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enni\ROOT\admin_task\自学\"/>
    </mc:Choice>
  </mc:AlternateContent>
  <xr:revisionPtr revIDLastSave="0" documentId="13_ncr:1_{324F4357-73DB-4256-87CF-DF43F490FE25}" xr6:coauthVersionLast="47" xr6:coauthVersionMax="47" xr10:uidLastSave="{00000000-0000-0000-0000-000000000000}"/>
  <bookViews>
    <workbookView xWindow="-105" yWindow="0" windowWidth="15900" windowHeight="15585" firstSheet="24" activeTab="28" xr2:uid="{00000000-000D-0000-FFFF-FFFF00000000}"/>
  </bookViews>
  <sheets>
    <sheet name="CP2_知見" sheetId="1" r:id="rId1"/>
    <sheet name="dataset" sheetId="2" r:id="rId2"/>
    <sheet name="CP2_1" sheetId="3" r:id="rId3"/>
    <sheet name="CP2_2" sheetId="4" r:id="rId4"/>
    <sheet name="CP3_知見" sheetId="5" r:id="rId5"/>
    <sheet name="CP3_2" sheetId="6" r:id="rId6"/>
    <sheet name="CP3_3" sheetId="7" r:id="rId7"/>
    <sheet name="CP3_4" sheetId="8" r:id="rId8"/>
    <sheet name="CP3_5" sheetId="9" r:id="rId9"/>
    <sheet name="CP3_6" sheetId="10" r:id="rId10"/>
    <sheet name="CP3_7" sheetId="11" r:id="rId11"/>
    <sheet name="CP4_知見" sheetId="12" r:id="rId12"/>
    <sheet name="CP4_8" sheetId="13" r:id="rId13"/>
    <sheet name="CP4_9" sheetId="14" r:id="rId14"/>
    <sheet name="CP4_10" sheetId="15" r:id="rId15"/>
    <sheet name="CP5_知見" sheetId="16" r:id="rId16"/>
    <sheet name="CP5_1_1" sheetId="17" r:id="rId17"/>
    <sheet name="CP5_1_2" sheetId="18" r:id="rId18"/>
    <sheet name="CP5_2" sheetId="19" r:id="rId19"/>
    <sheet name="CP5_3" sheetId="20" r:id="rId20"/>
    <sheet name="CP5_4" sheetId="21" r:id="rId21"/>
    <sheet name="CP6_知見" sheetId="22" r:id="rId22"/>
    <sheet name="CP6_3" sheetId="23" r:id="rId23"/>
    <sheet name="CP6_4" sheetId="24" r:id="rId24"/>
    <sheet name="CP6_5" sheetId="25" r:id="rId25"/>
    <sheet name="CP7_知見" sheetId="26" r:id="rId26"/>
    <sheet name="CP7_2_1" sheetId="27" r:id="rId27"/>
    <sheet name="CP7_2_2" sheetId="28" r:id="rId28"/>
    <sheet name="CP7_3" sheetId="29" r:id="rId29"/>
  </sheets>
  <externalReferences>
    <externalReference r:id="rId30"/>
    <externalReference r:id="rId31"/>
    <externalReference r:id="rId32"/>
  </externalReferences>
  <definedNames>
    <definedName name="_xlnm._FilterDatabase" localSheetId="5" hidden="1">CP3_2!$A$1:$C$1</definedName>
    <definedName name="_xlnm._FilterDatabase" localSheetId="6" hidden="1">CP3_3!$E$4:$F$4</definedName>
    <definedName name="_xlnm._FilterDatabase" localSheetId="19" hidden="1">CP5_3!$A$1:$C$1</definedName>
    <definedName name="_xlchart.v1.0" hidden="1">CP3_2!$C$1</definedName>
    <definedName name="_xlchart.v1.1" hidden="1">CP3_2!$C$2:$C$683</definedName>
    <definedName name="_xlchart.v1.2" hidden="1">CP3_2!$B$4:$B$683</definedName>
    <definedName name="_xlchart.v1.3" hidden="1">'[1]chap5-1-2'!$B$1</definedName>
    <definedName name="_xlchart.v1.4" hidden="1">'[1]chap5-1-2'!$B$2:$B$683</definedName>
    <definedName name="_xlchart.v1.5" hidden="1">'[1]chap5-3'!$B$1</definedName>
    <definedName name="_xlchart.v1.6" hidden="1">'[1]chap5-3'!$B$2:$B$683</definedName>
    <definedName name="_xlchart.v1.7" hidden="1">'[1]chap5-3'!$C$1</definedName>
    <definedName name="_xlchart.v1.8" hidden="1">'[1]chap5-3'!$C$2:$C$683</definedName>
    <definedName name="solver_adj" localSheetId="27" hidden="1">CP7_2_2!$O$2:$O$136</definedName>
    <definedName name="solver_adj" localSheetId="28" hidden="1">CP7_3!$O$2:$O$136</definedName>
    <definedName name="solver_cvg" localSheetId="27" hidden="1">0.0001</definedName>
    <definedName name="solver_cvg" localSheetId="28" hidden="1">0.0001</definedName>
    <definedName name="solver_drv" localSheetId="27" hidden="1">1</definedName>
    <definedName name="solver_drv" localSheetId="28" hidden="1">1</definedName>
    <definedName name="solver_eng" localSheetId="2" hidden="1">1</definedName>
    <definedName name="solver_eng" localSheetId="27" hidden="1">1</definedName>
    <definedName name="solver_eng" localSheetId="28" hidden="1">1</definedName>
    <definedName name="solver_est" localSheetId="27" hidden="1">1</definedName>
    <definedName name="solver_est" localSheetId="28" hidden="1">1</definedName>
    <definedName name="solver_itr" localSheetId="27" hidden="1">2147483647</definedName>
    <definedName name="solver_itr" localSheetId="28" hidden="1">2147483647</definedName>
    <definedName name="solver_lhs1" localSheetId="28" hidden="1">CP7_3!$O$2:$O$136</definedName>
    <definedName name="solver_mip" localSheetId="27" hidden="1">2147483647</definedName>
    <definedName name="solver_mip" localSheetId="28" hidden="1">2147483647</definedName>
    <definedName name="solver_mni" localSheetId="27" hidden="1">30</definedName>
    <definedName name="solver_mni" localSheetId="28" hidden="1">30</definedName>
    <definedName name="solver_mrt" localSheetId="27" hidden="1">0.075</definedName>
    <definedName name="solver_mrt" localSheetId="28" hidden="1">0.075</definedName>
    <definedName name="solver_msl" localSheetId="27" hidden="1">2</definedName>
    <definedName name="solver_msl" localSheetId="28" hidden="1">2</definedName>
    <definedName name="solver_neg" localSheetId="2" hidden="1">1</definedName>
    <definedName name="solver_neg" localSheetId="27" hidden="1">1</definedName>
    <definedName name="solver_neg" localSheetId="28" hidden="1">1</definedName>
    <definedName name="solver_nod" localSheetId="27" hidden="1">2147483647</definedName>
    <definedName name="solver_nod" localSheetId="28" hidden="1">2147483647</definedName>
    <definedName name="solver_num" localSheetId="2" hidden="1">0</definedName>
    <definedName name="solver_num" localSheetId="27" hidden="1">0</definedName>
    <definedName name="solver_num" localSheetId="28" hidden="1">1</definedName>
    <definedName name="solver_nwt" localSheetId="27" hidden="1">1</definedName>
    <definedName name="solver_nwt" localSheetId="28" hidden="1">1</definedName>
    <definedName name="solver_opt" localSheetId="2" hidden="1">CP2_1!$D$13</definedName>
    <definedName name="solver_opt" localSheetId="27" hidden="1">CP7_2_2!$S$5</definedName>
    <definedName name="solver_opt" localSheetId="28" hidden="1">CP7_3!$T$5</definedName>
    <definedName name="solver_pre" localSheetId="27" hidden="1">0.000001</definedName>
    <definedName name="solver_pre" localSheetId="28" hidden="1">0.000001</definedName>
    <definedName name="solver_rbv" localSheetId="27" hidden="1">1</definedName>
    <definedName name="solver_rbv" localSheetId="28" hidden="1">1</definedName>
    <definedName name="solver_rel1" localSheetId="28" hidden="1">1</definedName>
    <definedName name="solver_rhs1" localSheetId="28" hidden="1">CP7_3!$Q$2:$Q$136</definedName>
    <definedName name="solver_rlx" localSheetId="27" hidden="1">2</definedName>
    <definedName name="solver_rlx" localSheetId="28" hidden="1">2</definedName>
    <definedName name="solver_rsd" localSheetId="27" hidden="1">0</definedName>
    <definedName name="solver_rsd" localSheetId="28" hidden="1">0</definedName>
    <definedName name="solver_scl" localSheetId="27" hidden="1">1</definedName>
    <definedName name="solver_scl" localSheetId="28" hidden="1">1</definedName>
    <definedName name="solver_sho" localSheetId="27" hidden="1">2</definedName>
    <definedName name="solver_sho" localSheetId="28" hidden="1">2</definedName>
    <definedName name="solver_ssz" localSheetId="27" hidden="1">100</definedName>
    <definedName name="solver_ssz" localSheetId="28" hidden="1">100</definedName>
    <definedName name="solver_tim" localSheetId="27" hidden="1">2147483647</definedName>
    <definedName name="solver_tim" localSheetId="28" hidden="1">2147483647</definedName>
    <definedName name="solver_tol" localSheetId="27" hidden="1">0.01</definedName>
    <definedName name="solver_tol" localSheetId="28" hidden="1">0.01</definedName>
    <definedName name="solver_typ" localSheetId="2" hidden="1">1</definedName>
    <definedName name="solver_typ" localSheetId="27" hidden="1">1</definedName>
    <definedName name="solver_typ" localSheetId="28" hidden="1">1</definedName>
    <definedName name="solver_val" localSheetId="2" hidden="1">0</definedName>
    <definedName name="solver_val" localSheetId="27" hidden="1">0</definedName>
    <definedName name="solver_val" localSheetId="28" hidden="1">0</definedName>
    <definedName name="solver_ver" localSheetId="2" hidden="1">3</definedName>
    <definedName name="solver_ver" localSheetId="27" hidden="1">3</definedName>
    <definedName name="solver_ver" localSheetId="28" hidden="1">3</definedName>
  </definedNames>
  <calcPr calcId="191029"/>
  <pivotCaches>
    <pivotCache cacheId="0" r:id="rId33"/>
    <pivotCache cacheId="1" r:id="rId34"/>
    <pivotCache cacheId="2" r:id="rId35"/>
    <pivotCache cacheId="3" r:id="rId36"/>
    <pivotCache cacheId="4" r:id="rId37"/>
    <pivotCache cacheId="5" r:id="rId38"/>
    <pivotCache cacheId="6" r:id="rId3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29" l="1"/>
  <c r="X136" i="29"/>
  <c r="W136" i="29"/>
  <c r="V136" i="29"/>
  <c r="Q136" i="29"/>
  <c r="P136" i="29"/>
  <c r="Y136" i="29" s="1"/>
  <c r="X135" i="29"/>
  <c r="W135" i="29"/>
  <c r="V135" i="29"/>
  <c r="Q135" i="29"/>
  <c r="P135" i="29"/>
  <c r="Y135" i="29" s="1"/>
  <c r="X134" i="29"/>
  <c r="W134" i="29"/>
  <c r="V134" i="29"/>
  <c r="Q134" i="29"/>
  <c r="P134" i="29"/>
  <c r="Y134" i="29" s="1"/>
  <c r="X133" i="29"/>
  <c r="W133" i="29"/>
  <c r="V133" i="29"/>
  <c r="Q133" i="29"/>
  <c r="P133" i="29"/>
  <c r="Y133" i="29" s="1"/>
  <c r="X132" i="29"/>
  <c r="W132" i="29"/>
  <c r="V132" i="29"/>
  <c r="Q132" i="29"/>
  <c r="P132" i="29"/>
  <c r="Y132" i="29" s="1"/>
  <c r="X131" i="29"/>
  <c r="W131" i="29"/>
  <c r="V131" i="29"/>
  <c r="Q131" i="29"/>
  <c r="P131" i="29"/>
  <c r="Y131" i="29" s="1"/>
  <c r="X130" i="29"/>
  <c r="W130" i="29"/>
  <c r="V130" i="29"/>
  <c r="Q130" i="29"/>
  <c r="P130" i="29"/>
  <c r="Y130" i="29" s="1"/>
  <c r="X129" i="29"/>
  <c r="W129" i="29"/>
  <c r="V129" i="29"/>
  <c r="Q129" i="29"/>
  <c r="P129" i="29"/>
  <c r="Y129" i="29" s="1"/>
  <c r="X128" i="29"/>
  <c r="W128" i="29"/>
  <c r="V128" i="29"/>
  <c r="Q128" i="29"/>
  <c r="P128" i="29"/>
  <c r="Y128" i="29" s="1"/>
  <c r="X127" i="29"/>
  <c r="W127" i="29"/>
  <c r="V127" i="29"/>
  <c r="Q127" i="29"/>
  <c r="P127" i="29"/>
  <c r="Y127" i="29" s="1"/>
  <c r="X126" i="29"/>
  <c r="W126" i="29"/>
  <c r="V126" i="29"/>
  <c r="Q126" i="29"/>
  <c r="P126" i="29"/>
  <c r="Y126" i="29" s="1"/>
  <c r="X125" i="29"/>
  <c r="W125" i="29"/>
  <c r="V125" i="29"/>
  <c r="Q125" i="29"/>
  <c r="P125" i="29"/>
  <c r="Y125" i="29" s="1"/>
  <c r="X124" i="29"/>
  <c r="W124" i="29"/>
  <c r="V124" i="29"/>
  <c r="Q124" i="29"/>
  <c r="P124" i="29"/>
  <c r="Y124" i="29" s="1"/>
  <c r="X123" i="29"/>
  <c r="W123" i="29"/>
  <c r="V123" i="29"/>
  <c r="Q123" i="29"/>
  <c r="P123" i="29"/>
  <c r="Y123" i="29" s="1"/>
  <c r="X122" i="29"/>
  <c r="W122" i="29"/>
  <c r="V122" i="29"/>
  <c r="Q122" i="29"/>
  <c r="P122" i="29"/>
  <c r="Y122" i="29" s="1"/>
  <c r="X121" i="29"/>
  <c r="W121" i="29"/>
  <c r="V121" i="29"/>
  <c r="Q121" i="29"/>
  <c r="P121" i="29"/>
  <c r="Y121" i="29" s="1"/>
  <c r="X120" i="29"/>
  <c r="W120" i="29"/>
  <c r="V120" i="29"/>
  <c r="Q120" i="29"/>
  <c r="P120" i="29"/>
  <c r="Y120" i="29" s="1"/>
  <c r="X119" i="29"/>
  <c r="W119" i="29"/>
  <c r="V119" i="29"/>
  <c r="Q119" i="29"/>
  <c r="P119" i="29"/>
  <c r="Y119" i="29" s="1"/>
  <c r="X118" i="29"/>
  <c r="W118" i="29"/>
  <c r="V118" i="29"/>
  <c r="Q118" i="29"/>
  <c r="P118" i="29"/>
  <c r="Y118" i="29" s="1"/>
  <c r="X117" i="29"/>
  <c r="W117" i="29"/>
  <c r="V117" i="29"/>
  <c r="Q117" i="29"/>
  <c r="P117" i="29"/>
  <c r="Y117" i="29" s="1"/>
  <c r="X116" i="29"/>
  <c r="W116" i="29"/>
  <c r="V116" i="29"/>
  <c r="Q116" i="29"/>
  <c r="P116" i="29"/>
  <c r="Y116" i="29" s="1"/>
  <c r="X115" i="29"/>
  <c r="W115" i="29"/>
  <c r="V115" i="29"/>
  <c r="Q115" i="29"/>
  <c r="P115" i="29"/>
  <c r="Y115" i="29" s="1"/>
  <c r="X114" i="29"/>
  <c r="W114" i="29"/>
  <c r="V114" i="29"/>
  <c r="Q114" i="29"/>
  <c r="P114" i="29"/>
  <c r="Y114" i="29" s="1"/>
  <c r="X113" i="29"/>
  <c r="W113" i="29"/>
  <c r="V113" i="29"/>
  <c r="Q113" i="29"/>
  <c r="P113" i="29"/>
  <c r="Y113" i="29" s="1"/>
  <c r="X112" i="29"/>
  <c r="W112" i="29"/>
  <c r="V112" i="29"/>
  <c r="Q112" i="29"/>
  <c r="P112" i="29"/>
  <c r="Y112" i="29" s="1"/>
  <c r="X111" i="29"/>
  <c r="W111" i="29"/>
  <c r="V111" i="29"/>
  <c r="Q111" i="29"/>
  <c r="P111" i="29"/>
  <c r="Y111" i="29" s="1"/>
  <c r="X110" i="29"/>
  <c r="W110" i="29"/>
  <c r="V110" i="29"/>
  <c r="Q110" i="29"/>
  <c r="P110" i="29"/>
  <c r="Y110" i="29" s="1"/>
  <c r="X109" i="29"/>
  <c r="W109" i="29"/>
  <c r="V109" i="29"/>
  <c r="Q109" i="29"/>
  <c r="P109" i="29"/>
  <c r="Y109" i="29" s="1"/>
  <c r="X108" i="29"/>
  <c r="W108" i="29"/>
  <c r="V108" i="29"/>
  <c r="Q108" i="29"/>
  <c r="P108" i="29"/>
  <c r="Y108" i="29" s="1"/>
  <c r="X107" i="29"/>
  <c r="W107" i="29"/>
  <c r="V107" i="29"/>
  <c r="Q107" i="29"/>
  <c r="P107" i="29"/>
  <c r="Y107" i="29" s="1"/>
  <c r="X106" i="29"/>
  <c r="W106" i="29"/>
  <c r="V106" i="29"/>
  <c r="Q106" i="29"/>
  <c r="P106" i="29"/>
  <c r="Y106" i="29" s="1"/>
  <c r="X105" i="29"/>
  <c r="W105" i="29"/>
  <c r="V105" i="29"/>
  <c r="Q105" i="29"/>
  <c r="P105" i="29"/>
  <c r="Y105" i="29" s="1"/>
  <c r="X104" i="29"/>
  <c r="W104" i="29"/>
  <c r="V104" i="29"/>
  <c r="Q104" i="29"/>
  <c r="P104" i="29"/>
  <c r="Y104" i="29" s="1"/>
  <c r="X103" i="29"/>
  <c r="W103" i="29"/>
  <c r="V103" i="29"/>
  <c r="Q103" i="29"/>
  <c r="P103" i="29"/>
  <c r="Y103" i="29" s="1"/>
  <c r="X102" i="29"/>
  <c r="W102" i="29"/>
  <c r="V102" i="29"/>
  <c r="Q102" i="29"/>
  <c r="P102" i="29"/>
  <c r="Y102" i="29" s="1"/>
  <c r="X101" i="29"/>
  <c r="W101" i="29"/>
  <c r="V101" i="29"/>
  <c r="Q101" i="29"/>
  <c r="P101" i="29"/>
  <c r="Y101" i="29" s="1"/>
  <c r="X100" i="29"/>
  <c r="W100" i="29"/>
  <c r="V100" i="29"/>
  <c r="Q100" i="29"/>
  <c r="P100" i="29"/>
  <c r="Y100" i="29" s="1"/>
  <c r="X99" i="29"/>
  <c r="W99" i="29"/>
  <c r="V99" i="29"/>
  <c r="Q99" i="29"/>
  <c r="P99" i="29"/>
  <c r="Y99" i="29" s="1"/>
  <c r="X98" i="29"/>
  <c r="W98" i="29"/>
  <c r="V98" i="29"/>
  <c r="Q98" i="29"/>
  <c r="P98" i="29"/>
  <c r="Y98" i="29" s="1"/>
  <c r="X97" i="29"/>
  <c r="W97" i="29"/>
  <c r="V97" i="29"/>
  <c r="Q97" i="29"/>
  <c r="P97" i="29"/>
  <c r="Y97" i="29" s="1"/>
  <c r="X96" i="29"/>
  <c r="W96" i="29"/>
  <c r="V96" i="29"/>
  <c r="Q96" i="29"/>
  <c r="P96" i="29"/>
  <c r="Y96" i="29" s="1"/>
  <c r="X95" i="29"/>
  <c r="W95" i="29"/>
  <c r="V95" i="29"/>
  <c r="Q95" i="29"/>
  <c r="P95" i="29"/>
  <c r="Y95" i="29" s="1"/>
  <c r="X94" i="29"/>
  <c r="W94" i="29"/>
  <c r="V94" i="29"/>
  <c r="Q94" i="29"/>
  <c r="P94" i="29"/>
  <c r="Y94" i="29" s="1"/>
  <c r="X93" i="29"/>
  <c r="W93" i="29"/>
  <c r="V93" i="29"/>
  <c r="Q93" i="29"/>
  <c r="P93" i="29"/>
  <c r="Y93" i="29" s="1"/>
  <c r="X92" i="29"/>
  <c r="W92" i="29"/>
  <c r="V92" i="29"/>
  <c r="Q92" i="29"/>
  <c r="P92" i="29"/>
  <c r="Y92" i="29" s="1"/>
  <c r="X91" i="29"/>
  <c r="W91" i="29"/>
  <c r="V91" i="29"/>
  <c r="Q91" i="29"/>
  <c r="P91" i="29"/>
  <c r="Y91" i="29" s="1"/>
  <c r="X90" i="29"/>
  <c r="W90" i="29"/>
  <c r="V90" i="29"/>
  <c r="Q90" i="29"/>
  <c r="P90" i="29"/>
  <c r="Y90" i="29" s="1"/>
  <c r="X89" i="29"/>
  <c r="W89" i="29"/>
  <c r="V89" i="29"/>
  <c r="Q89" i="29"/>
  <c r="P89" i="29"/>
  <c r="Y89" i="29" s="1"/>
  <c r="X88" i="29"/>
  <c r="W88" i="29"/>
  <c r="V88" i="29"/>
  <c r="Q88" i="29"/>
  <c r="P88" i="29"/>
  <c r="Y88" i="29" s="1"/>
  <c r="X87" i="29"/>
  <c r="W87" i="29"/>
  <c r="V87" i="29"/>
  <c r="Q87" i="29"/>
  <c r="P87" i="29"/>
  <c r="Y87" i="29" s="1"/>
  <c r="X86" i="29"/>
  <c r="W86" i="29"/>
  <c r="V86" i="29"/>
  <c r="Q86" i="29"/>
  <c r="P86" i="29"/>
  <c r="Y86" i="29" s="1"/>
  <c r="X85" i="29"/>
  <c r="W85" i="29"/>
  <c r="V85" i="29"/>
  <c r="Q85" i="29"/>
  <c r="P85" i="29"/>
  <c r="Y85" i="29" s="1"/>
  <c r="X84" i="29"/>
  <c r="W84" i="29"/>
  <c r="V84" i="29"/>
  <c r="Q84" i="29"/>
  <c r="P84" i="29"/>
  <c r="Y84" i="29" s="1"/>
  <c r="X83" i="29"/>
  <c r="W83" i="29"/>
  <c r="V83" i="29"/>
  <c r="Q83" i="29"/>
  <c r="P83" i="29"/>
  <c r="Y83" i="29" s="1"/>
  <c r="X82" i="29"/>
  <c r="W82" i="29"/>
  <c r="V82" i="29"/>
  <c r="Q82" i="29"/>
  <c r="P82" i="29"/>
  <c r="Y82" i="29" s="1"/>
  <c r="X81" i="29"/>
  <c r="W81" i="29"/>
  <c r="V81" i="29"/>
  <c r="Q81" i="29"/>
  <c r="P81" i="29"/>
  <c r="Y81" i="29" s="1"/>
  <c r="X80" i="29"/>
  <c r="W80" i="29"/>
  <c r="V80" i="29"/>
  <c r="Q80" i="29"/>
  <c r="P80" i="29"/>
  <c r="Y80" i="29" s="1"/>
  <c r="X79" i="29"/>
  <c r="W79" i="29"/>
  <c r="V79" i="29"/>
  <c r="Q79" i="29"/>
  <c r="P79" i="29"/>
  <c r="Y79" i="29" s="1"/>
  <c r="X78" i="29"/>
  <c r="W78" i="29"/>
  <c r="V78" i="29"/>
  <c r="Q78" i="29"/>
  <c r="P78" i="29"/>
  <c r="Y78" i="29" s="1"/>
  <c r="X77" i="29"/>
  <c r="W77" i="29"/>
  <c r="V77" i="29"/>
  <c r="Q77" i="29"/>
  <c r="P77" i="29"/>
  <c r="Y77" i="29" s="1"/>
  <c r="X76" i="29"/>
  <c r="W76" i="29"/>
  <c r="V76" i="29"/>
  <c r="Q76" i="29"/>
  <c r="P76" i="29"/>
  <c r="Y76" i="29" s="1"/>
  <c r="X75" i="29"/>
  <c r="W75" i="29"/>
  <c r="V75" i="29"/>
  <c r="Q75" i="29"/>
  <c r="P75" i="29"/>
  <c r="Y75" i="29" s="1"/>
  <c r="X74" i="29"/>
  <c r="W74" i="29"/>
  <c r="V74" i="29"/>
  <c r="Q74" i="29"/>
  <c r="P74" i="29"/>
  <c r="Y74" i="29" s="1"/>
  <c r="X73" i="29"/>
  <c r="W73" i="29"/>
  <c r="V73" i="29"/>
  <c r="Q73" i="29"/>
  <c r="P73" i="29"/>
  <c r="Y73" i="29" s="1"/>
  <c r="X72" i="29"/>
  <c r="W72" i="29"/>
  <c r="V72" i="29"/>
  <c r="Q72" i="29"/>
  <c r="P72" i="29"/>
  <c r="Y72" i="29" s="1"/>
  <c r="X71" i="29"/>
  <c r="W71" i="29"/>
  <c r="V71" i="29"/>
  <c r="Q71" i="29"/>
  <c r="P71" i="29"/>
  <c r="Y71" i="29" s="1"/>
  <c r="X70" i="29"/>
  <c r="W70" i="29"/>
  <c r="V70" i="29"/>
  <c r="Q70" i="29"/>
  <c r="P70" i="29"/>
  <c r="Y70" i="29" s="1"/>
  <c r="X69" i="29"/>
  <c r="W69" i="29"/>
  <c r="V69" i="29"/>
  <c r="Q69" i="29"/>
  <c r="P69" i="29"/>
  <c r="Y69" i="29" s="1"/>
  <c r="X68" i="29"/>
  <c r="W68" i="29"/>
  <c r="V68" i="29"/>
  <c r="Q68" i="29"/>
  <c r="P68" i="29"/>
  <c r="Y68" i="29" s="1"/>
  <c r="X67" i="29"/>
  <c r="W67" i="29"/>
  <c r="V67" i="29"/>
  <c r="Q67" i="29"/>
  <c r="P67" i="29"/>
  <c r="Y67" i="29" s="1"/>
  <c r="X66" i="29"/>
  <c r="W66" i="29"/>
  <c r="V66" i="29"/>
  <c r="Q66" i="29"/>
  <c r="P66" i="29"/>
  <c r="Y66" i="29" s="1"/>
  <c r="X65" i="29"/>
  <c r="W65" i="29"/>
  <c r="V65" i="29"/>
  <c r="Q65" i="29"/>
  <c r="P65" i="29"/>
  <c r="Y65" i="29" s="1"/>
  <c r="X64" i="29"/>
  <c r="W64" i="29"/>
  <c r="V64" i="29"/>
  <c r="Q64" i="29"/>
  <c r="P64" i="29"/>
  <c r="Y64" i="29" s="1"/>
  <c r="X63" i="29"/>
  <c r="W63" i="29"/>
  <c r="V63" i="29"/>
  <c r="Q63" i="29"/>
  <c r="P63" i="29"/>
  <c r="Y63" i="29" s="1"/>
  <c r="X62" i="29"/>
  <c r="W62" i="29"/>
  <c r="V62" i="29"/>
  <c r="Q62" i="29"/>
  <c r="P62" i="29"/>
  <c r="Y62" i="29" s="1"/>
  <c r="X61" i="29"/>
  <c r="W61" i="29"/>
  <c r="V61" i="29"/>
  <c r="Q61" i="29"/>
  <c r="P61" i="29"/>
  <c r="Y61" i="29" s="1"/>
  <c r="X60" i="29"/>
  <c r="W60" i="29"/>
  <c r="V60" i="29"/>
  <c r="Q60" i="29"/>
  <c r="P60" i="29"/>
  <c r="Y60" i="29" s="1"/>
  <c r="X59" i="29"/>
  <c r="W59" i="29"/>
  <c r="V59" i="29"/>
  <c r="Q59" i="29"/>
  <c r="P59" i="29"/>
  <c r="Y59" i="29" s="1"/>
  <c r="X58" i="29"/>
  <c r="W58" i="29"/>
  <c r="V58" i="29"/>
  <c r="Q58" i="29"/>
  <c r="P58" i="29"/>
  <c r="Y58" i="29" s="1"/>
  <c r="X57" i="29"/>
  <c r="W57" i="29"/>
  <c r="V57" i="29"/>
  <c r="Q57" i="29"/>
  <c r="P57" i="29"/>
  <c r="Y57" i="29" s="1"/>
  <c r="X56" i="29"/>
  <c r="W56" i="29"/>
  <c r="V56" i="29"/>
  <c r="Q56" i="29"/>
  <c r="P56" i="29"/>
  <c r="Y56" i="29" s="1"/>
  <c r="X55" i="29"/>
  <c r="W55" i="29"/>
  <c r="V55" i="29"/>
  <c r="Q55" i="29"/>
  <c r="P55" i="29"/>
  <c r="Y55" i="29" s="1"/>
  <c r="X54" i="29"/>
  <c r="W54" i="29"/>
  <c r="V54" i="29"/>
  <c r="Q54" i="29"/>
  <c r="P54" i="29"/>
  <c r="Y54" i="29" s="1"/>
  <c r="X53" i="29"/>
  <c r="W53" i="29"/>
  <c r="V53" i="29"/>
  <c r="Q53" i="29"/>
  <c r="P53" i="29"/>
  <c r="Y53" i="29" s="1"/>
  <c r="X52" i="29"/>
  <c r="W52" i="29"/>
  <c r="V52" i="29"/>
  <c r="Q52" i="29"/>
  <c r="P52" i="29"/>
  <c r="Y52" i="29" s="1"/>
  <c r="X51" i="29"/>
  <c r="W51" i="29"/>
  <c r="V51" i="29"/>
  <c r="Q51" i="29"/>
  <c r="P51" i="29"/>
  <c r="Y51" i="29" s="1"/>
  <c r="X50" i="29"/>
  <c r="W50" i="29"/>
  <c r="V50" i="29"/>
  <c r="Q50" i="29"/>
  <c r="P50" i="29"/>
  <c r="Y50" i="29" s="1"/>
  <c r="X49" i="29"/>
  <c r="W49" i="29"/>
  <c r="V49" i="29"/>
  <c r="Q49" i="29"/>
  <c r="P49" i="29"/>
  <c r="Y49" i="29" s="1"/>
  <c r="X48" i="29"/>
  <c r="W48" i="29"/>
  <c r="V48" i="29"/>
  <c r="Q48" i="29"/>
  <c r="P48" i="29"/>
  <c r="Y48" i="29" s="1"/>
  <c r="X47" i="29"/>
  <c r="W47" i="29"/>
  <c r="V47" i="29"/>
  <c r="Q47" i="29"/>
  <c r="P47" i="29"/>
  <c r="Y47" i="29" s="1"/>
  <c r="X46" i="29"/>
  <c r="W46" i="29"/>
  <c r="V46" i="29"/>
  <c r="Q46" i="29"/>
  <c r="P46" i="29"/>
  <c r="Y46" i="29" s="1"/>
  <c r="X45" i="29"/>
  <c r="W45" i="29"/>
  <c r="V45" i="29"/>
  <c r="Q45" i="29"/>
  <c r="P45" i="29"/>
  <c r="Y45" i="29" s="1"/>
  <c r="X44" i="29"/>
  <c r="W44" i="29"/>
  <c r="V44" i="29"/>
  <c r="Q44" i="29"/>
  <c r="P44" i="29"/>
  <c r="Y44" i="29" s="1"/>
  <c r="X43" i="29"/>
  <c r="W43" i="29"/>
  <c r="V43" i="29"/>
  <c r="Q43" i="29"/>
  <c r="P43" i="29"/>
  <c r="Y43" i="29" s="1"/>
  <c r="X42" i="29"/>
  <c r="W42" i="29"/>
  <c r="V42" i="29"/>
  <c r="Q42" i="29"/>
  <c r="P42" i="29"/>
  <c r="Y42" i="29" s="1"/>
  <c r="X41" i="29"/>
  <c r="W41" i="29"/>
  <c r="V41" i="29"/>
  <c r="Q41" i="29"/>
  <c r="P41" i="29"/>
  <c r="Y41" i="29" s="1"/>
  <c r="X40" i="29"/>
  <c r="W40" i="29"/>
  <c r="V40" i="29"/>
  <c r="Q40" i="29"/>
  <c r="P40" i="29"/>
  <c r="Y40" i="29" s="1"/>
  <c r="X39" i="29"/>
  <c r="W39" i="29"/>
  <c r="V39" i="29"/>
  <c r="Q39" i="29"/>
  <c r="P39" i="29"/>
  <c r="Y39" i="29" s="1"/>
  <c r="X38" i="29"/>
  <c r="W38" i="29"/>
  <c r="V38" i="29"/>
  <c r="Q38" i="29"/>
  <c r="P38" i="29"/>
  <c r="Y38" i="29" s="1"/>
  <c r="X37" i="29"/>
  <c r="W37" i="29"/>
  <c r="V37" i="29"/>
  <c r="Q37" i="29"/>
  <c r="P37" i="29"/>
  <c r="Y37" i="29" s="1"/>
  <c r="X36" i="29"/>
  <c r="W36" i="29"/>
  <c r="V36" i="29"/>
  <c r="Q36" i="29"/>
  <c r="P36" i="29"/>
  <c r="Y36" i="29" s="1"/>
  <c r="X35" i="29"/>
  <c r="W35" i="29"/>
  <c r="V35" i="29"/>
  <c r="Q35" i="29"/>
  <c r="P35" i="29"/>
  <c r="Y35" i="29" s="1"/>
  <c r="X34" i="29"/>
  <c r="W34" i="29"/>
  <c r="V34" i="29"/>
  <c r="Q34" i="29"/>
  <c r="P34" i="29"/>
  <c r="Y34" i="29" s="1"/>
  <c r="X33" i="29"/>
  <c r="W33" i="29"/>
  <c r="V33" i="29"/>
  <c r="Q33" i="29"/>
  <c r="P33" i="29"/>
  <c r="Y33" i="29" s="1"/>
  <c r="X32" i="29"/>
  <c r="W32" i="29"/>
  <c r="V32" i="29"/>
  <c r="Q32" i="29"/>
  <c r="P32" i="29"/>
  <c r="Y32" i="29" s="1"/>
  <c r="X31" i="29"/>
  <c r="W31" i="29"/>
  <c r="V31" i="29"/>
  <c r="Q31" i="29"/>
  <c r="P31" i="29"/>
  <c r="Y31" i="29" s="1"/>
  <c r="X30" i="29"/>
  <c r="W30" i="29"/>
  <c r="V30" i="29"/>
  <c r="Q30" i="29"/>
  <c r="P30" i="29"/>
  <c r="Y30" i="29" s="1"/>
  <c r="X29" i="29"/>
  <c r="W29" i="29"/>
  <c r="V29" i="29"/>
  <c r="Q29" i="29"/>
  <c r="P29" i="29"/>
  <c r="Y29" i="29" s="1"/>
  <c r="X28" i="29"/>
  <c r="W28" i="29"/>
  <c r="V28" i="29"/>
  <c r="Q28" i="29"/>
  <c r="P28" i="29"/>
  <c r="Y28" i="29" s="1"/>
  <c r="X27" i="29"/>
  <c r="W27" i="29"/>
  <c r="V27" i="29"/>
  <c r="Q27" i="29"/>
  <c r="P27" i="29"/>
  <c r="Y27" i="29" s="1"/>
  <c r="X26" i="29"/>
  <c r="W26" i="29"/>
  <c r="V26" i="29"/>
  <c r="Q26" i="29"/>
  <c r="P26" i="29"/>
  <c r="Y26" i="29" s="1"/>
  <c r="X25" i="29"/>
  <c r="W25" i="29"/>
  <c r="V25" i="29"/>
  <c r="Q25" i="29"/>
  <c r="P25" i="29"/>
  <c r="Y25" i="29" s="1"/>
  <c r="X24" i="29"/>
  <c r="W24" i="29"/>
  <c r="V24" i="29"/>
  <c r="Q24" i="29"/>
  <c r="P24" i="29"/>
  <c r="Y24" i="29" s="1"/>
  <c r="X23" i="29"/>
  <c r="W23" i="29"/>
  <c r="V23" i="29"/>
  <c r="Q23" i="29"/>
  <c r="P23" i="29"/>
  <c r="Y23" i="29" s="1"/>
  <c r="X22" i="29"/>
  <c r="W22" i="29"/>
  <c r="V22" i="29"/>
  <c r="Q22" i="29"/>
  <c r="P22" i="29"/>
  <c r="Y22" i="29" s="1"/>
  <c r="X21" i="29"/>
  <c r="W21" i="29"/>
  <c r="V21" i="29"/>
  <c r="Q21" i="29"/>
  <c r="P21" i="29"/>
  <c r="Y21" i="29" s="1"/>
  <c r="X20" i="29"/>
  <c r="W20" i="29"/>
  <c r="V20" i="29"/>
  <c r="Q20" i="29"/>
  <c r="P20" i="29"/>
  <c r="Y20" i="29" s="1"/>
  <c r="X19" i="29"/>
  <c r="W19" i="29"/>
  <c r="V19" i="29"/>
  <c r="Q19" i="29"/>
  <c r="P19" i="29"/>
  <c r="Y19" i="29" s="1"/>
  <c r="X18" i="29"/>
  <c r="W18" i="29"/>
  <c r="V18" i="29"/>
  <c r="Q18" i="29"/>
  <c r="P18" i="29"/>
  <c r="Y18" i="29" s="1"/>
  <c r="X17" i="29"/>
  <c r="W17" i="29"/>
  <c r="V17" i="29"/>
  <c r="Q17" i="29"/>
  <c r="P17" i="29"/>
  <c r="Y17" i="29" s="1"/>
  <c r="C17" i="29"/>
  <c r="X16" i="29"/>
  <c r="W16" i="29"/>
  <c r="V16" i="29"/>
  <c r="Q16" i="29"/>
  <c r="P16" i="29"/>
  <c r="Y16" i="29" s="1"/>
  <c r="C16" i="29"/>
  <c r="X15" i="29"/>
  <c r="W15" i="29"/>
  <c r="V15" i="29"/>
  <c r="Q15" i="29"/>
  <c r="P15" i="29"/>
  <c r="Y15" i="29" s="1"/>
  <c r="X14" i="29"/>
  <c r="W14" i="29"/>
  <c r="V14" i="29"/>
  <c r="Q14" i="29"/>
  <c r="P14" i="29"/>
  <c r="Y14" i="29" s="1"/>
  <c r="X13" i="29"/>
  <c r="W13" i="29"/>
  <c r="V13" i="29"/>
  <c r="Q13" i="29"/>
  <c r="P13" i="29"/>
  <c r="Y13" i="29" s="1"/>
  <c r="C13" i="29"/>
  <c r="X12" i="29"/>
  <c r="W12" i="29"/>
  <c r="V12" i="29"/>
  <c r="Q12" i="29"/>
  <c r="P12" i="29"/>
  <c r="Y12" i="29" s="1"/>
  <c r="C12" i="29"/>
  <c r="X11" i="29"/>
  <c r="W11" i="29"/>
  <c r="V11" i="29"/>
  <c r="Q11" i="29"/>
  <c r="P11" i="29"/>
  <c r="Y11" i="29" s="1"/>
  <c r="X10" i="29"/>
  <c r="W10" i="29"/>
  <c r="V10" i="29"/>
  <c r="Q10" i="29"/>
  <c r="P10" i="29"/>
  <c r="Y10" i="29" s="1"/>
  <c r="X9" i="29"/>
  <c r="W9" i="29"/>
  <c r="V9" i="29"/>
  <c r="T9" i="29"/>
  <c r="Q9" i="29"/>
  <c r="P9" i="29"/>
  <c r="Y9" i="29" s="1"/>
  <c r="C9" i="29"/>
  <c r="X8" i="29"/>
  <c r="W8" i="29"/>
  <c r="V8" i="29"/>
  <c r="T8" i="29"/>
  <c r="Q8" i="29"/>
  <c r="P8" i="29"/>
  <c r="Y8" i="29" s="1"/>
  <c r="C8" i="29"/>
  <c r="X7" i="29"/>
  <c r="W7" i="29"/>
  <c r="V7" i="29"/>
  <c r="Q7" i="29"/>
  <c r="P7" i="29"/>
  <c r="Y7" i="29" s="1"/>
  <c r="X6" i="29"/>
  <c r="W6" i="29"/>
  <c r="V6" i="29"/>
  <c r="Q6" i="29"/>
  <c r="P6" i="29"/>
  <c r="Y6" i="29" s="1"/>
  <c r="X5" i="29"/>
  <c r="W5" i="29"/>
  <c r="V5" i="29"/>
  <c r="Q5" i="29"/>
  <c r="P5" i="29"/>
  <c r="Y5" i="29" s="1"/>
  <c r="X4" i="29"/>
  <c r="W4" i="29"/>
  <c r="V4" i="29"/>
  <c r="T4" i="29"/>
  <c r="Q4" i="29"/>
  <c r="P4" i="29"/>
  <c r="Y4" i="29" s="1"/>
  <c r="C4" i="29"/>
  <c r="X3" i="29"/>
  <c r="W3" i="29"/>
  <c r="V3" i="29"/>
  <c r="Q3" i="29"/>
  <c r="P3" i="29"/>
  <c r="Y3" i="29" s="1"/>
  <c r="C3" i="29"/>
  <c r="C5" i="29" s="1"/>
  <c r="X2" i="29"/>
  <c r="AB5" i="29" s="1"/>
  <c r="W2" i="29"/>
  <c r="V2" i="29"/>
  <c r="AB4" i="29" s="1"/>
  <c r="Q2" i="29"/>
  <c r="P2" i="29"/>
  <c r="Y2" i="29" s="1"/>
  <c r="P2" i="28"/>
  <c r="S4" i="28"/>
  <c r="W136" i="28"/>
  <c r="V136" i="28"/>
  <c r="U136" i="28"/>
  <c r="P136" i="28"/>
  <c r="X136" i="28" s="1"/>
  <c r="W135" i="28"/>
  <c r="V135" i="28"/>
  <c r="U135" i="28"/>
  <c r="P135" i="28"/>
  <c r="X135" i="28" s="1"/>
  <c r="W134" i="28"/>
  <c r="V134" i="28"/>
  <c r="U134" i="28"/>
  <c r="P134" i="28"/>
  <c r="X134" i="28" s="1"/>
  <c r="W133" i="28"/>
  <c r="V133" i="28"/>
  <c r="U133" i="28"/>
  <c r="P133" i="28"/>
  <c r="X133" i="28" s="1"/>
  <c r="W132" i="28"/>
  <c r="V132" i="28"/>
  <c r="U132" i="28"/>
  <c r="P132" i="28"/>
  <c r="X132" i="28" s="1"/>
  <c r="W131" i="28"/>
  <c r="V131" i="28"/>
  <c r="U131" i="28"/>
  <c r="P131" i="28"/>
  <c r="X131" i="28" s="1"/>
  <c r="W130" i="28"/>
  <c r="V130" i="28"/>
  <c r="U130" i="28"/>
  <c r="P130" i="28"/>
  <c r="X130" i="28" s="1"/>
  <c r="W129" i="28"/>
  <c r="V129" i="28"/>
  <c r="U129" i="28"/>
  <c r="P129" i="28"/>
  <c r="X129" i="28" s="1"/>
  <c r="W128" i="28"/>
  <c r="V128" i="28"/>
  <c r="U128" i="28"/>
  <c r="P128" i="28"/>
  <c r="X128" i="28" s="1"/>
  <c r="W127" i="28"/>
  <c r="V127" i="28"/>
  <c r="U127" i="28"/>
  <c r="P127" i="28"/>
  <c r="X127" i="28" s="1"/>
  <c r="W126" i="28"/>
  <c r="V126" i="28"/>
  <c r="U126" i="28"/>
  <c r="P126" i="28"/>
  <c r="X126" i="28" s="1"/>
  <c r="W125" i="28"/>
  <c r="V125" i="28"/>
  <c r="U125" i="28"/>
  <c r="P125" i="28"/>
  <c r="X125" i="28" s="1"/>
  <c r="W124" i="28"/>
  <c r="V124" i="28"/>
  <c r="U124" i="28"/>
  <c r="P124" i="28"/>
  <c r="X124" i="28" s="1"/>
  <c r="W123" i="28"/>
  <c r="V123" i="28"/>
  <c r="U123" i="28"/>
  <c r="P123" i="28"/>
  <c r="X123" i="28" s="1"/>
  <c r="W122" i="28"/>
  <c r="V122" i="28"/>
  <c r="U122" i="28"/>
  <c r="P122" i="28"/>
  <c r="X122" i="28" s="1"/>
  <c r="W121" i="28"/>
  <c r="V121" i="28"/>
  <c r="U121" i="28"/>
  <c r="P121" i="28"/>
  <c r="X121" i="28" s="1"/>
  <c r="W120" i="28"/>
  <c r="V120" i="28"/>
  <c r="U120" i="28"/>
  <c r="P120" i="28"/>
  <c r="X120" i="28" s="1"/>
  <c r="W119" i="28"/>
  <c r="V119" i="28"/>
  <c r="U119" i="28"/>
  <c r="P119" i="28"/>
  <c r="X119" i="28" s="1"/>
  <c r="W118" i="28"/>
  <c r="V118" i="28"/>
  <c r="U118" i="28"/>
  <c r="P118" i="28"/>
  <c r="X118" i="28" s="1"/>
  <c r="W117" i="28"/>
  <c r="V117" i="28"/>
  <c r="U117" i="28"/>
  <c r="P117" i="28"/>
  <c r="X117" i="28" s="1"/>
  <c r="W116" i="28"/>
  <c r="V116" i="28"/>
  <c r="U116" i="28"/>
  <c r="P116" i="28"/>
  <c r="X116" i="28" s="1"/>
  <c r="W115" i="28"/>
  <c r="V115" i="28"/>
  <c r="U115" i="28"/>
  <c r="P115" i="28"/>
  <c r="X115" i="28" s="1"/>
  <c r="W114" i="28"/>
  <c r="V114" i="28"/>
  <c r="U114" i="28"/>
  <c r="P114" i="28"/>
  <c r="X114" i="28" s="1"/>
  <c r="W113" i="28"/>
  <c r="V113" i="28"/>
  <c r="U113" i="28"/>
  <c r="P113" i="28"/>
  <c r="X113" i="28" s="1"/>
  <c r="W112" i="28"/>
  <c r="V112" i="28"/>
  <c r="U112" i="28"/>
  <c r="P112" i="28"/>
  <c r="X112" i="28" s="1"/>
  <c r="W111" i="28"/>
  <c r="V111" i="28"/>
  <c r="U111" i="28"/>
  <c r="P111" i="28"/>
  <c r="X111" i="28" s="1"/>
  <c r="W110" i="28"/>
  <c r="V110" i="28"/>
  <c r="U110" i="28"/>
  <c r="P110" i="28"/>
  <c r="X110" i="28" s="1"/>
  <c r="W109" i="28"/>
  <c r="V109" i="28"/>
  <c r="U109" i="28"/>
  <c r="P109" i="28"/>
  <c r="X109" i="28" s="1"/>
  <c r="W108" i="28"/>
  <c r="V108" i="28"/>
  <c r="U108" i="28"/>
  <c r="P108" i="28"/>
  <c r="X108" i="28" s="1"/>
  <c r="W107" i="28"/>
  <c r="V107" i="28"/>
  <c r="U107" i="28"/>
  <c r="P107" i="28"/>
  <c r="X107" i="28" s="1"/>
  <c r="W106" i="28"/>
  <c r="V106" i="28"/>
  <c r="U106" i="28"/>
  <c r="P106" i="28"/>
  <c r="X106" i="28" s="1"/>
  <c r="W105" i="28"/>
  <c r="V105" i="28"/>
  <c r="U105" i="28"/>
  <c r="P105" i="28"/>
  <c r="X105" i="28" s="1"/>
  <c r="W104" i="28"/>
  <c r="V104" i="28"/>
  <c r="U104" i="28"/>
  <c r="P104" i="28"/>
  <c r="X104" i="28" s="1"/>
  <c r="W103" i="28"/>
  <c r="V103" i="28"/>
  <c r="U103" i="28"/>
  <c r="P103" i="28"/>
  <c r="X103" i="28" s="1"/>
  <c r="W102" i="28"/>
  <c r="V102" i="28"/>
  <c r="U102" i="28"/>
  <c r="P102" i="28"/>
  <c r="X102" i="28" s="1"/>
  <c r="W101" i="28"/>
  <c r="V101" i="28"/>
  <c r="U101" i="28"/>
  <c r="P101" i="28"/>
  <c r="X101" i="28" s="1"/>
  <c r="W100" i="28"/>
  <c r="V100" i="28"/>
  <c r="U100" i="28"/>
  <c r="P100" i="28"/>
  <c r="X100" i="28" s="1"/>
  <c r="W99" i="28"/>
  <c r="V99" i="28"/>
  <c r="U99" i="28"/>
  <c r="P99" i="28"/>
  <c r="X99" i="28" s="1"/>
  <c r="W98" i="28"/>
  <c r="V98" i="28"/>
  <c r="U98" i="28"/>
  <c r="P98" i="28"/>
  <c r="X98" i="28" s="1"/>
  <c r="W97" i="28"/>
  <c r="V97" i="28"/>
  <c r="U97" i="28"/>
  <c r="P97" i="28"/>
  <c r="X97" i="28" s="1"/>
  <c r="W96" i="28"/>
  <c r="V96" i="28"/>
  <c r="U96" i="28"/>
  <c r="P96" i="28"/>
  <c r="X96" i="28" s="1"/>
  <c r="W95" i="28"/>
  <c r="V95" i="28"/>
  <c r="U95" i="28"/>
  <c r="P95" i="28"/>
  <c r="X95" i="28" s="1"/>
  <c r="W94" i="28"/>
  <c r="V94" i="28"/>
  <c r="U94" i="28"/>
  <c r="P94" i="28"/>
  <c r="X94" i="28" s="1"/>
  <c r="W93" i="28"/>
  <c r="V93" i="28"/>
  <c r="U93" i="28"/>
  <c r="P93" i="28"/>
  <c r="X93" i="28" s="1"/>
  <c r="W92" i="28"/>
  <c r="V92" i="28"/>
  <c r="U92" i="28"/>
  <c r="P92" i="28"/>
  <c r="X92" i="28" s="1"/>
  <c r="W91" i="28"/>
  <c r="V91" i="28"/>
  <c r="U91" i="28"/>
  <c r="P91" i="28"/>
  <c r="X91" i="28" s="1"/>
  <c r="W90" i="28"/>
  <c r="V90" i="28"/>
  <c r="U90" i="28"/>
  <c r="P90" i="28"/>
  <c r="X90" i="28" s="1"/>
  <c r="W89" i="28"/>
  <c r="V89" i="28"/>
  <c r="U89" i="28"/>
  <c r="P89" i="28"/>
  <c r="X89" i="28" s="1"/>
  <c r="W88" i="28"/>
  <c r="V88" i="28"/>
  <c r="U88" i="28"/>
  <c r="P88" i="28"/>
  <c r="X88" i="28" s="1"/>
  <c r="W87" i="28"/>
  <c r="V87" i="28"/>
  <c r="U87" i="28"/>
  <c r="P87" i="28"/>
  <c r="X87" i="28" s="1"/>
  <c r="W86" i="28"/>
  <c r="V86" i="28"/>
  <c r="U86" i="28"/>
  <c r="P86" i="28"/>
  <c r="X86" i="28" s="1"/>
  <c r="W85" i="28"/>
  <c r="V85" i="28"/>
  <c r="U85" i="28"/>
  <c r="P85" i="28"/>
  <c r="X85" i="28" s="1"/>
  <c r="W84" i="28"/>
  <c r="V84" i="28"/>
  <c r="U84" i="28"/>
  <c r="P84" i="28"/>
  <c r="X84" i="28" s="1"/>
  <c r="W83" i="28"/>
  <c r="V83" i="28"/>
  <c r="U83" i="28"/>
  <c r="P83" i="28"/>
  <c r="X83" i="28" s="1"/>
  <c r="W82" i="28"/>
  <c r="V82" i="28"/>
  <c r="U82" i="28"/>
  <c r="P82" i="28"/>
  <c r="X82" i="28" s="1"/>
  <c r="W81" i="28"/>
  <c r="V81" i="28"/>
  <c r="U81" i="28"/>
  <c r="P81" i="28"/>
  <c r="X81" i="28" s="1"/>
  <c r="W80" i="28"/>
  <c r="V80" i="28"/>
  <c r="U80" i="28"/>
  <c r="P80" i="28"/>
  <c r="X80" i="28" s="1"/>
  <c r="W79" i="28"/>
  <c r="V79" i="28"/>
  <c r="U79" i="28"/>
  <c r="P79" i="28"/>
  <c r="X79" i="28" s="1"/>
  <c r="W78" i="28"/>
  <c r="V78" i="28"/>
  <c r="U78" i="28"/>
  <c r="P78" i="28"/>
  <c r="X78" i="28" s="1"/>
  <c r="W77" i="28"/>
  <c r="V77" i="28"/>
  <c r="U77" i="28"/>
  <c r="P77" i="28"/>
  <c r="X77" i="28" s="1"/>
  <c r="W76" i="28"/>
  <c r="V76" i="28"/>
  <c r="U76" i="28"/>
  <c r="P76" i="28"/>
  <c r="X76" i="28" s="1"/>
  <c r="W75" i="28"/>
  <c r="V75" i="28"/>
  <c r="U75" i="28"/>
  <c r="P75" i="28"/>
  <c r="X75" i="28" s="1"/>
  <c r="W74" i="28"/>
  <c r="V74" i="28"/>
  <c r="U74" i="28"/>
  <c r="P74" i="28"/>
  <c r="X74" i="28" s="1"/>
  <c r="W73" i="28"/>
  <c r="V73" i="28"/>
  <c r="U73" i="28"/>
  <c r="P73" i="28"/>
  <c r="X73" i="28" s="1"/>
  <c r="W72" i="28"/>
  <c r="V72" i="28"/>
  <c r="U72" i="28"/>
  <c r="P72" i="28"/>
  <c r="X72" i="28" s="1"/>
  <c r="W71" i="28"/>
  <c r="V71" i="28"/>
  <c r="U71" i="28"/>
  <c r="P71" i="28"/>
  <c r="X71" i="28" s="1"/>
  <c r="W70" i="28"/>
  <c r="V70" i="28"/>
  <c r="U70" i="28"/>
  <c r="P70" i="28"/>
  <c r="X70" i="28" s="1"/>
  <c r="W69" i="28"/>
  <c r="V69" i="28"/>
  <c r="U69" i="28"/>
  <c r="P69" i="28"/>
  <c r="X69" i="28" s="1"/>
  <c r="W68" i="28"/>
  <c r="V68" i="28"/>
  <c r="U68" i="28"/>
  <c r="P68" i="28"/>
  <c r="X68" i="28" s="1"/>
  <c r="W67" i="28"/>
  <c r="V67" i="28"/>
  <c r="U67" i="28"/>
  <c r="P67" i="28"/>
  <c r="X67" i="28" s="1"/>
  <c r="W66" i="28"/>
  <c r="V66" i="28"/>
  <c r="U66" i="28"/>
  <c r="P66" i="28"/>
  <c r="X66" i="28" s="1"/>
  <c r="W65" i="28"/>
  <c r="V65" i="28"/>
  <c r="U65" i="28"/>
  <c r="P65" i="28"/>
  <c r="X65" i="28" s="1"/>
  <c r="W64" i="28"/>
  <c r="V64" i="28"/>
  <c r="U64" i="28"/>
  <c r="P64" i="28"/>
  <c r="X64" i="28" s="1"/>
  <c r="W63" i="28"/>
  <c r="V63" i="28"/>
  <c r="U63" i="28"/>
  <c r="P63" i="28"/>
  <c r="X63" i="28" s="1"/>
  <c r="W62" i="28"/>
  <c r="V62" i="28"/>
  <c r="U62" i="28"/>
  <c r="P62" i="28"/>
  <c r="X62" i="28" s="1"/>
  <c r="W61" i="28"/>
  <c r="V61" i="28"/>
  <c r="U61" i="28"/>
  <c r="P61" i="28"/>
  <c r="X61" i="28" s="1"/>
  <c r="W60" i="28"/>
  <c r="V60" i="28"/>
  <c r="U60" i="28"/>
  <c r="P60" i="28"/>
  <c r="X60" i="28" s="1"/>
  <c r="W59" i="28"/>
  <c r="V59" i="28"/>
  <c r="U59" i="28"/>
  <c r="P59" i="28"/>
  <c r="X59" i="28" s="1"/>
  <c r="W58" i="28"/>
  <c r="V58" i="28"/>
  <c r="U58" i="28"/>
  <c r="P58" i="28"/>
  <c r="X58" i="28" s="1"/>
  <c r="W57" i="28"/>
  <c r="V57" i="28"/>
  <c r="U57" i="28"/>
  <c r="P57" i="28"/>
  <c r="X57" i="28" s="1"/>
  <c r="W56" i="28"/>
  <c r="V56" i="28"/>
  <c r="U56" i="28"/>
  <c r="P56" i="28"/>
  <c r="X56" i="28" s="1"/>
  <c r="W55" i="28"/>
  <c r="V55" i="28"/>
  <c r="U55" i="28"/>
  <c r="P55" i="28"/>
  <c r="X55" i="28" s="1"/>
  <c r="W54" i="28"/>
  <c r="V54" i="28"/>
  <c r="U54" i="28"/>
  <c r="P54" i="28"/>
  <c r="X54" i="28" s="1"/>
  <c r="W53" i="28"/>
  <c r="V53" i="28"/>
  <c r="U53" i="28"/>
  <c r="P53" i="28"/>
  <c r="X53" i="28" s="1"/>
  <c r="W52" i="28"/>
  <c r="V52" i="28"/>
  <c r="U52" i="28"/>
  <c r="P52" i="28"/>
  <c r="X52" i="28" s="1"/>
  <c r="W51" i="28"/>
  <c r="V51" i="28"/>
  <c r="U51" i="28"/>
  <c r="P51" i="28"/>
  <c r="X51" i="28" s="1"/>
  <c r="W50" i="28"/>
  <c r="V50" i="28"/>
  <c r="U50" i="28"/>
  <c r="P50" i="28"/>
  <c r="X50" i="28" s="1"/>
  <c r="W49" i="28"/>
  <c r="V49" i="28"/>
  <c r="U49" i="28"/>
  <c r="P49" i="28"/>
  <c r="X49" i="28" s="1"/>
  <c r="W48" i="28"/>
  <c r="V48" i="28"/>
  <c r="U48" i="28"/>
  <c r="P48" i="28"/>
  <c r="X48" i="28" s="1"/>
  <c r="W47" i="28"/>
  <c r="V47" i="28"/>
  <c r="U47" i="28"/>
  <c r="P47" i="28"/>
  <c r="X47" i="28" s="1"/>
  <c r="W46" i="28"/>
  <c r="V46" i="28"/>
  <c r="U46" i="28"/>
  <c r="P46" i="28"/>
  <c r="X46" i="28" s="1"/>
  <c r="W45" i="28"/>
  <c r="V45" i="28"/>
  <c r="U45" i="28"/>
  <c r="P45" i="28"/>
  <c r="X45" i="28" s="1"/>
  <c r="W44" i="28"/>
  <c r="V44" i="28"/>
  <c r="U44" i="28"/>
  <c r="P44" i="28"/>
  <c r="X44" i="28" s="1"/>
  <c r="W43" i="28"/>
  <c r="V43" i="28"/>
  <c r="U43" i="28"/>
  <c r="P43" i="28"/>
  <c r="X43" i="28" s="1"/>
  <c r="W42" i="28"/>
  <c r="V42" i="28"/>
  <c r="U42" i="28"/>
  <c r="P42" i="28"/>
  <c r="X42" i="28" s="1"/>
  <c r="W41" i="28"/>
  <c r="V41" i="28"/>
  <c r="U41" i="28"/>
  <c r="P41" i="28"/>
  <c r="X41" i="28" s="1"/>
  <c r="W40" i="28"/>
  <c r="V40" i="28"/>
  <c r="U40" i="28"/>
  <c r="P40" i="28"/>
  <c r="X40" i="28" s="1"/>
  <c r="W39" i="28"/>
  <c r="V39" i="28"/>
  <c r="U39" i="28"/>
  <c r="P39" i="28"/>
  <c r="X39" i="28" s="1"/>
  <c r="W38" i="28"/>
  <c r="V38" i="28"/>
  <c r="U38" i="28"/>
  <c r="P38" i="28"/>
  <c r="X38" i="28" s="1"/>
  <c r="W37" i="28"/>
  <c r="V37" i="28"/>
  <c r="U37" i="28"/>
  <c r="P37" i="28"/>
  <c r="X37" i="28" s="1"/>
  <c r="W36" i="28"/>
  <c r="V36" i="28"/>
  <c r="U36" i="28"/>
  <c r="P36" i="28"/>
  <c r="X36" i="28" s="1"/>
  <c r="W35" i="28"/>
  <c r="V35" i="28"/>
  <c r="U35" i="28"/>
  <c r="P35" i="28"/>
  <c r="X35" i="28" s="1"/>
  <c r="W34" i="28"/>
  <c r="V34" i="28"/>
  <c r="U34" i="28"/>
  <c r="P34" i="28"/>
  <c r="X34" i="28" s="1"/>
  <c r="W33" i="28"/>
  <c r="V33" i="28"/>
  <c r="U33" i="28"/>
  <c r="P33" i="28"/>
  <c r="X33" i="28" s="1"/>
  <c r="W32" i="28"/>
  <c r="V32" i="28"/>
  <c r="U32" i="28"/>
  <c r="P32" i="28"/>
  <c r="X32" i="28" s="1"/>
  <c r="W31" i="28"/>
  <c r="V31" i="28"/>
  <c r="U31" i="28"/>
  <c r="P31" i="28"/>
  <c r="X31" i="28" s="1"/>
  <c r="W30" i="28"/>
  <c r="V30" i="28"/>
  <c r="U30" i="28"/>
  <c r="P30" i="28"/>
  <c r="X30" i="28" s="1"/>
  <c r="W29" i="28"/>
  <c r="V29" i="28"/>
  <c r="U29" i="28"/>
  <c r="P29" i="28"/>
  <c r="X29" i="28" s="1"/>
  <c r="W28" i="28"/>
  <c r="V28" i="28"/>
  <c r="U28" i="28"/>
  <c r="P28" i="28"/>
  <c r="X28" i="28" s="1"/>
  <c r="W27" i="28"/>
  <c r="V27" i="28"/>
  <c r="U27" i="28"/>
  <c r="P27" i="28"/>
  <c r="X27" i="28" s="1"/>
  <c r="W26" i="28"/>
  <c r="V26" i="28"/>
  <c r="U26" i="28"/>
  <c r="P26" i="28"/>
  <c r="X26" i="28" s="1"/>
  <c r="W25" i="28"/>
  <c r="V25" i="28"/>
  <c r="U25" i="28"/>
  <c r="P25" i="28"/>
  <c r="X25" i="28" s="1"/>
  <c r="W24" i="28"/>
  <c r="V24" i="28"/>
  <c r="U24" i="28"/>
  <c r="P24" i="28"/>
  <c r="X24" i="28" s="1"/>
  <c r="W23" i="28"/>
  <c r="V23" i="28"/>
  <c r="U23" i="28"/>
  <c r="P23" i="28"/>
  <c r="X23" i="28" s="1"/>
  <c r="W22" i="28"/>
  <c r="V22" i="28"/>
  <c r="U22" i="28"/>
  <c r="P22" i="28"/>
  <c r="X22" i="28" s="1"/>
  <c r="W21" i="28"/>
  <c r="V21" i="28"/>
  <c r="U21" i="28"/>
  <c r="P21" i="28"/>
  <c r="X21" i="28" s="1"/>
  <c r="W20" i="28"/>
  <c r="V20" i="28"/>
  <c r="U20" i="28"/>
  <c r="P20" i="28"/>
  <c r="X20" i="28" s="1"/>
  <c r="W19" i="28"/>
  <c r="V19" i="28"/>
  <c r="U19" i="28"/>
  <c r="P19" i="28"/>
  <c r="X19" i="28" s="1"/>
  <c r="W18" i="28"/>
  <c r="V18" i="28"/>
  <c r="U18" i="28"/>
  <c r="P18" i="28"/>
  <c r="X18" i="28" s="1"/>
  <c r="W17" i="28"/>
  <c r="V17" i="28"/>
  <c r="U17" i="28"/>
  <c r="P17" i="28"/>
  <c r="X17" i="28" s="1"/>
  <c r="C17" i="28"/>
  <c r="W16" i="28"/>
  <c r="V16" i="28"/>
  <c r="U16" i="28"/>
  <c r="P16" i="28"/>
  <c r="X16" i="28" s="1"/>
  <c r="C16" i="28"/>
  <c r="W15" i="28"/>
  <c r="V15" i="28"/>
  <c r="U15" i="28"/>
  <c r="P15" i="28"/>
  <c r="X15" i="28" s="1"/>
  <c r="W14" i="28"/>
  <c r="V14" i="28"/>
  <c r="U14" i="28"/>
  <c r="P14" i="28"/>
  <c r="X14" i="28" s="1"/>
  <c r="W13" i="28"/>
  <c r="V13" i="28"/>
  <c r="U13" i="28"/>
  <c r="P13" i="28"/>
  <c r="X13" i="28" s="1"/>
  <c r="C13" i="28"/>
  <c r="W12" i="28"/>
  <c r="V12" i="28"/>
  <c r="U12" i="28"/>
  <c r="P12" i="28"/>
  <c r="X12" i="28" s="1"/>
  <c r="C12" i="28"/>
  <c r="W11" i="28"/>
  <c r="V11" i="28"/>
  <c r="U11" i="28"/>
  <c r="P11" i="28"/>
  <c r="X11" i="28" s="1"/>
  <c r="W10" i="28"/>
  <c r="V10" i="28"/>
  <c r="U10" i="28"/>
  <c r="P10" i="28"/>
  <c r="X10" i="28" s="1"/>
  <c r="W9" i="28"/>
  <c r="V9" i="28"/>
  <c r="U9" i="28"/>
  <c r="S9" i="28"/>
  <c r="P9" i="28"/>
  <c r="X9" i="28" s="1"/>
  <c r="C9" i="28"/>
  <c r="W8" i="28"/>
  <c r="V8" i="28"/>
  <c r="U8" i="28"/>
  <c r="S8" i="28"/>
  <c r="P8" i="28"/>
  <c r="X8" i="28" s="1"/>
  <c r="C8" i="28"/>
  <c r="W7" i="28"/>
  <c r="V7" i="28"/>
  <c r="U7" i="28"/>
  <c r="P7" i="28"/>
  <c r="X7" i="28" s="1"/>
  <c r="W6" i="28"/>
  <c r="V6" i="28"/>
  <c r="U6" i="28"/>
  <c r="P6" i="28"/>
  <c r="X6" i="28" s="1"/>
  <c r="W5" i="28"/>
  <c r="V5" i="28"/>
  <c r="U5" i="28"/>
  <c r="P5" i="28"/>
  <c r="X5" i="28" s="1"/>
  <c r="W4" i="28"/>
  <c r="V4" i="28"/>
  <c r="U4" i="28"/>
  <c r="P4" i="28"/>
  <c r="X4" i="28" s="1"/>
  <c r="C4" i="28"/>
  <c r="W3" i="28"/>
  <c r="AA5" i="28" s="1"/>
  <c r="V3" i="28"/>
  <c r="U3" i="28"/>
  <c r="S3" i="28"/>
  <c r="P3" i="28"/>
  <c r="X3" i="28" s="1"/>
  <c r="C3" i="28"/>
  <c r="C5" i="28" s="1"/>
  <c r="W2" i="28"/>
  <c r="V2" i="28"/>
  <c r="U2" i="28"/>
  <c r="AA4" i="28" s="1"/>
  <c r="X2" i="28"/>
  <c r="I4" i="27"/>
  <c r="I3" i="27"/>
  <c r="E136" i="27"/>
  <c r="E135" i="27"/>
  <c r="E134" i="27"/>
  <c r="E133" i="27"/>
  <c r="E132" i="27"/>
  <c r="E131" i="27"/>
  <c r="E130" i="27"/>
  <c r="E129" i="27"/>
  <c r="E128" i="27"/>
  <c r="E127" i="27"/>
  <c r="E126" i="27"/>
  <c r="E125" i="27"/>
  <c r="E124" i="27"/>
  <c r="E123" i="27"/>
  <c r="E122" i="27"/>
  <c r="E121" i="27"/>
  <c r="E120" i="27"/>
  <c r="E119" i="27"/>
  <c r="E118" i="27"/>
  <c r="E117" i="27"/>
  <c r="E116" i="27"/>
  <c r="E115" i="27"/>
  <c r="E114" i="27"/>
  <c r="E113" i="27"/>
  <c r="E112" i="27"/>
  <c r="E111" i="27"/>
  <c r="E110" i="27"/>
  <c r="E109" i="27"/>
  <c r="E108" i="27"/>
  <c r="E107" i="27"/>
  <c r="E106" i="27"/>
  <c r="E105" i="27"/>
  <c r="E104" i="27"/>
  <c r="E103" i="27"/>
  <c r="E102" i="27"/>
  <c r="E101" i="27"/>
  <c r="E100" i="27"/>
  <c r="E99" i="27"/>
  <c r="E98" i="27"/>
  <c r="E97" i="27"/>
  <c r="E96" i="27"/>
  <c r="E95" i="27"/>
  <c r="E94" i="27"/>
  <c r="E93" i="27"/>
  <c r="E92" i="27"/>
  <c r="E91" i="27"/>
  <c r="E90" i="27"/>
  <c r="E89" i="27"/>
  <c r="E88" i="27"/>
  <c r="E87" i="27"/>
  <c r="E86" i="27"/>
  <c r="E85" i="27"/>
  <c r="E84" i="27"/>
  <c r="E83" i="27"/>
  <c r="E82" i="27"/>
  <c r="E81" i="27"/>
  <c r="E80" i="27"/>
  <c r="E79" i="27"/>
  <c r="E78" i="27"/>
  <c r="E77" i="27"/>
  <c r="E76" i="27"/>
  <c r="E75" i="27"/>
  <c r="E74" i="27"/>
  <c r="E73" i="27"/>
  <c r="E72" i="27"/>
  <c r="E71" i="27"/>
  <c r="E70" i="27"/>
  <c r="E69" i="27"/>
  <c r="E68" i="27"/>
  <c r="E67" i="27"/>
  <c r="E66" i="27"/>
  <c r="E65" i="27"/>
  <c r="E64" i="27"/>
  <c r="E63" i="27"/>
  <c r="E62" i="27"/>
  <c r="E61" i="27"/>
  <c r="E60" i="27"/>
  <c r="E59" i="27"/>
  <c r="E58" i="27"/>
  <c r="E57" i="27"/>
  <c r="E56" i="27"/>
  <c r="E55" i="27"/>
  <c r="E54" i="27"/>
  <c r="E53" i="27"/>
  <c r="E52" i="27"/>
  <c r="E51" i="27"/>
  <c r="E50" i="27"/>
  <c r="E49" i="27"/>
  <c r="E48" i="27"/>
  <c r="E47" i="27"/>
  <c r="E46" i="27"/>
  <c r="E45" i="27"/>
  <c r="E44" i="27"/>
  <c r="E43" i="27"/>
  <c r="E42" i="27"/>
  <c r="E41" i="27"/>
  <c r="E40" i="27"/>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14" i="27"/>
  <c r="I13" i="27"/>
  <c r="E13" i="27"/>
  <c r="I12" i="27"/>
  <c r="E12" i="27"/>
  <c r="E11" i="27"/>
  <c r="E10" i="27"/>
  <c r="I9" i="27"/>
  <c r="E9" i="27"/>
  <c r="I8" i="27"/>
  <c r="E8" i="27"/>
  <c r="E7" i="27"/>
  <c r="E6" i="27"/>
  <c r="E5" i="27"/>
  <c r="E4" i="27"/>
  <c r="E3" i="27"/>
  <c r="E2" i="27"/>
  <c r="I16" i="27" s="1"/>
  <c r="T5" i="29" l="1"/>
  <c r="AC4" i="29"/>
  <c r="AC5" i="29"/>
  <c r="AB4" i="28"/>
  <c r="S5" i="28"/>
  <c r="AB5" i="28"/>
  <c r="I5" i="27"/>
  <c r="I17" i="27"/>
  <c r="I2" i="25"/>
  <c r="V3" i="21"/>
  <c r="V4" i="21"/>
  <c r="V5" i="21"/>
  <c r="V6" i="21"/>
  <c r="V7" i="21"/>
  <c r="V8" i="21"/>
  <c r="V9" i="21"/>
  <c r="V10" i="21"/>
  <c r="V11" i="21"/>
  <c r="V12" i="21"/>
  <c r="V13" i="21"/>
  <c r="V14" i="21"/>
  <c r="V15" i="21"/>
  <c r="V16" i="21"/>
  <c r="V17" i="21"/>
  <c r="V18" i="21"/>
  <c r="V19" i="21"/>
  <c r="V20" i="21"/>
  <c r="V21" i="21"/>
  <c r="V22" i="21"/>
  <c r="V23" i="21"/>
  <c r="V24" i="21"/>
  <c r="V25" i="21"/>
  <c r="V26" i="21"/>
  <c r="V27" i="21"/>
  <c r="V28" i="21"/>
  <c r="V29" i="21"/>
  <c r="V30" i="21"/>
  <c r="V31" i="21"/>
  <c r="V32" i="21"/>
  <c r="V33" i="21"/>
  <c r="V34" i="21"/>
  <c r="V35" i="21"/>
  <c r="V36" i="21"/>
  <c r="V37" i="21"/>
  <c r="V38" i="21"/>
  <c r="V39" i="21"/>
  <c r="V40" i="21"/>
  <c r="V41" i="21"/>
  <c r="V42" i="21"/>
  <c r="V43" i="21"/>
  <c r="V44" i="21"/>
  <c r="V45" i="21"/>
  <c r="V46" i="21"/>
  <c r="V47" i="21"/>
  <c r="V48" i="21"/>
  <c r="V49" i="21"/>
  <c r="V50" i="21"/>
  <c r="V51" i="21"/>
  <c r="V52" i="21"/>
  <c r="V53" i="21"/>
  <c r="V54" i="21"/>
  <c r="V55" i="21"/>
  <c r="V56" i="21"/>
  <c r="V57" i="21"/>
  <c r="V58" i="21"/>
  <c r="V59" i="21"/>
  <c r="V60" i="21"/>
  <c r="V61" i="21"/>
  <c r="V62" i="21"/>
  <c r="V63" i="21"/>
  <c r="V64" i="21"/>
  <c r="V65" i="21"/>
  <c r="V66" i="21"/>
  <c r="V67" i="21"/>
  <c r="V68" i="21"/>
  <c r="V69" i="21"/>
  <c r="V70" i="21"/>
  <c r="V71" i="21"/>
  <c r="V72" i="21"/>
  <c r="V73" i="21"/>
  <c r="V74" i="21"/>
  <c r="V75" i="21"/>
  <c r="V76" i="21"/>
  <c r="V77" i="21"/>
  <c r="V78" i="21"/>
  <c r="V79" i="21"/>
  <c r="V80" i="21"/>
  <c r="V81" i="21"/>
  <c r="V82" i="21"/>
  <c r="V83" i="21"/>
  <c r="V84" i="21"/>
  <c r="V85" i="21"/>
  <c r="V86" i="21"/>
  <c r="V87" i="21"/>
  <c r="V88" i="21"/>
  <c r="V89" i="21"/>
  <c r="V90" i="21"/>
  <c r="V91" i="21"/>
  <c r="V92" i="21"/>
  <c r="V93" i="21"/>
  <c r="V94" i="21"/>
  <c r="V95" i="21"/>
  <c r="V96" i="21"/>
  <c r="V97" i="21"/>
  <c r="V98" i="21"/>
  <c r="V99" i="21"/>
  <c r="V100" i="21"/>
  <c r="V101" i="21"/>
  <c r="V102" i="21"/>
  <c r="V103" i="21"/>
  <c r="V104" i="21"/>
  <c r="V105" i="21"/>
  <c r="V106" i="21"/>
  <c r="V107" i="21"/>
  <c r="V108" i="21"/>
  <c r="V109" i="21"/>
  <c r="V110" i="21"/>
  <c r="V111" i="21"/>
  <c r="V112" i="21"/>
  <c r="V113" i="21"/>
  <c r="V114" i="21"/>
  <c r="V115" i="21"/>
  <c r="V116" i="21"/>
  <c r="V117" i="21"/>
  <c r="V118" i="21"/>
  <c r="V119" i="21"/>
  <c r="V120" i="21"/>
  <c r="V121" i="21"/>
  <c r="V122" i="21"/>
  <c r="V123" i="21"/>
  <c r="V124" i="21"/>
  <c r="V125" i="21"/>
  <c r="V126" i="21"/>
  <c r="V127" i="21"/>
  <c r="V128" i="21"/>
  <c r="V129" i="21"/>
  <c r="V130" i="21"/>
  <c r="V131" i="21"/>
  <c r="V132" i="21"/>
  <c r="V133" i="21"/>
  <c r="V134" i="21"/>
  <c r="V135" i="21"/>
  <c r="V136" i="21"/>
  <c r="V137" i="21"/>
  <c r="V138" i="21"/>
  <c r="V139" i="21"/>
  <c r="V140" i="21"/>
  <c r="V141" i="21"/>
  <c r="V142" i="21"/>
  <c r="V143" i="21"/>
  <c r="V144" i="21"/>
  <c r="V145" i="21"/>
  <c r="V146" i="21"/>
  <c r="V147" i="21"/>
  <c r="V148" i="21"/>
  <c r="V149" i="21"/>
  <c r="V150" i="21"/>
  <c r="V151" i="21"/>
  <c r="V152" i="21"/>
  <c r="V153" i="21"/>
  <c r="V154" i="21"/>
  <c r="V155" i="21"/>
  <c r="V156" i="21"/>
  <c r="V157" i="21"/>
  <c r="V158" i="21"/>
  <c r="V159" i="21"/>
  <c r="V160" i="21"/>
  <c r="V161" i="21"/>
  <c r="V162" i="21"/>
  <c r="V163" i="21"/>
  <c r="V164" i="21"/>
  <c r="V165" i="21"/>
  <c r="V166" i="21"/>
  <c r="V167" i="21"/>
  <c r="V168" i="21"/>
  <c r="V169" i="21"/>
  <c r="V170" i="21"/>
  <c r="V171" i="21"/>
  <c r="V172" i="21"/>
  <c r="V173" i="21"/>
  <c r="V174" i="21"/>
  <c r="V175" i="21"/>
  <c r="V176" i="21"/>
  <c r="V177" i="21"/>
  <c r="V178" i="21"/>
  <c r="V179" i="21"/>
  <c r="V180" i="21"/>
  <c r="V181" i="21"/>
  <c r="V182" i="21"/>
  <c r="V183" i="21"/>
  <c r="V184" i="21"/>
  <c r="V185" i="21"/>
  <c r="V186" i="21"/>
  <c r="V187" i="21"/>
  <c r="V188" i="21"/>
  <c r="V189" i="21"/>
  <c r="V190" i="21"/>
  <c r="V191" i="21"/>
  <c r="V192" i="21"/>
  <c r="V193" i="21"/>
  <c r="V194" i="21"/>
  <c r="V195" i="21"/>
  <c r="V196" i="21"/>
  <c r="V197" i="21"/>
  <c r="V198" i="21"/>
  <c r="V199" i="21"/>
  <c r="V200" i="21"/>
  <c r="V201" i="21"/>
  <c r="V202" i="21"/>
  <c r="V203" i="21"/>
  <c r="V204" i="21"/>
  <c r="V205" i="21"/>
  <c r="V206" i="21"/>
  <c r="V207" i="21"/>
  <c r="V208" i="21"/>
  <c r="V209" i="21"/>
  <c r="V210" i="21"/>
  <c r="V211" i="21"/>
  <c r="V212" i="21"/>
  <c r="V213" i="21"/>
  <c r="V214" i="21"/>
  <c r="V215" i="21"/>
  <c r="V216" i="21"/>
  <c r="V217" i="21"/>
  <c r="V218" i="21"/>
  <c r="V219" i="21"/>
  <c r="V220" i="21"/>
  <c r="V221" i="21"/>
  <c r="V222" i="21"/>
  <c r="V223" i="21"/>
  <c r="V224" i="21"/>
  <c r="V225" i="21"/>
  <c r="V226" i="21"/>
  <c r="V227" i="21"/>
  <c r="V228" i="21"/>
  <c r="V229" i="21"/>
  <c r="V230" i="21"/>
  <c r="V231" i="21"/>
  <c r="V232" i="21"/>
  <c r="V233" i="21"/>
  <c r="V234" i="21"/>
  <c r="V235" i="21"/>
  <c r="V236" i="21"/>
  <c r="V237" i="21"/>
  <c r="V238" i="21"/>
  <c r="V239" i="21"/>
  <c r="V240" i="21"/>
  <c r="V241" i="21"/>
  <c r="V242" i="21"/>
  <c r="V243" i="21"/>
  <c r="V244" i="21"/>
  <c r="V245" i="21"/>
  <c r="V246" i="21"/>
  <c r="V247" i="21"/>
  <c r="V248" i="21"/>
  <c r="V249" i="21"/>
  <c r="V250" i="21"/>
  <c r="V251" i="21"/>
  <c r="V252" i="21"/>
  <c r="V253" i="21"/>
  <c r="V254" i="21"/>
  <c r="V255" i="21"/>
  <c r="V256" i="21"/>
  <c r="V257" i="21"/>
  <c r="V258" i="21"/>
  <c r="V259" i="21"/>
  <c r="V260" i="21"/>
  <c r="V261" i="21"/>
  <c r="V262" i="21"/>
  <c r="V263" i="21"/>
  <c r="V264" i="21"/>
  <c r="V265" i="21"/>
  <c r="V266" i="21"/>
  <c r="V267" i="21"/>
  <c r="V268" i="21"/>
  <c r="V269" i="21"/>
  <c r="V270" i="21"/>
  <c r="V271" i="21"/>
  <c r="V272" i="21"/>
  <c r="V273" i="21"/>
  <c r="V274" i="21"/>
  <c r="V275" i="21"/>
  <c r="V276" i="21"/>
  <c r="V277" i="21"/>
  <c r="V278" i="21"/>
  <c r="V279" i="21"/>
  <c r="V280" i="21"/>
  <c r="V281" i="21"/>
  <c r="V282" i="21"/>
  <c r="V283" i="21"/>
  <c r="V284" i="21"/>
  <c r="V285" i="21"/>
  <c r="V286" i="21"/>
  <c r="V287" i="21"/>
  <c r="V288" i="21"/>
  <c r="V289" i="21"/>
  <c r="V290" i="21"/>
  <c r="V291" i="21"/>
  <c r="V292" i="21"/>
  <c r="V293" i="21"/>
  <c r="V294" i="21"/>
  <c r="V295" i="21"/>
  <c r="V296" i="21"/>
  <c r="V297" i="21"/>
  <c r="V298" i="21"/>
  <c r="V299" i="21"/>
  <c r="V300" i="21"/>
  <c r="V301" i="21"/>
  <c r="V302" i="21"/>
  <c r="V303" i="21"/>
  <c r="V304" i="21"/>
  <c r="V305" i="21"/>
  <c r="V306" i="21"/>
  <c r="V307" i="21"/>
  <c r="V308" i="21"/>
  <c r="V309" i="21"/>
  <c r="V310" i="21"/>
  <c r="V311" i="21"/>
  <c r="V312" i="21"/>
  <c r="V313" i="21"/>
  <c r="V314" i="21"/>
  <c r="V315" i="21"/>
  <c r="V316" i="21"/>
  <c r="V317" i="21"/>
  <c r="V318" i="21"/>
  <c r="V319" i="21"/>
  <c r="V320" i="21"/>
  <c r="V321" i="21"/>
  <c r="V322" i="21"/>
  <c r="V323" i="21"/>
  <c r="V324" i="21"/>
  <c r="V325" i="21"/>
  <c r="V326" i="21"/>
  <c r="V327" i="21"/>
  <c r="V328" i="21"/>
  <c r="V329" i="21"/>
  <c r="V330" i="21"/>
  <c r="V331" i="21"/>
  <c r="V332" i="21"/>
  <c r="V333" i="21"/>
  <c r="V334" i="21"/>
  <c r="V335" i="21"/>
  <c r="V336" i="21"/>
  <c r="V337" i="21"/>
  <c r="V338" i="21"/>
  <c r="V339" i="21"/>
  <c r="V340" i="21"/>
  <c r="V341" i="21"/>
  <c r="V342" i="21"/>
  <c r="V343" i="21"/>
  <c r="V344" i="21"/>
  <c r="V345" i="21"/>
  <c r="V346" i="21"/>
  <c r="V347" i="21"/>
  <c r="V348" i="21"/>
  <c r="V349" i="21"/>
  <c r="V350" i="21"/>
  <c r="V351" i="21"/>
  <c r="V352" i="21"/>
  <c r="V353" i="21"/>
  <c r="V354" i="21"/>
  <c r="V355" i="21"/>
  <c r="V356" i="21"/>
  <c r="V357" i="21"/>
  <c r="V358" i="21"/>
  <c r="V359" i="21"/>
  <c r="V360" i="21"/>
  <c r="V361" i="21"/>
  <c r="V362" i="21"/>
  <c r="V363" i="21"/>
  <c r="V364" i="21"/>
  <c r="V365" i="21"/>
  <c r="V366" i="21"/>
  <c r="V367" i="21"/>
  <c r="V368" i="21"/>
  <c r="V369" i="21"/>
  <c r="V370" i="21"/>
  <c r="V371" i="21"/>
  <c r="V372" i="21"/>
  <c r="V373" i="21"/>
  <c r="V374" i="21"/>
  <c r="V375" i="21"/>
  <c r="V376" i="21"/>
  <c r="V377" i="21"/>
  <c r="V378" i="21"/>
  <c r="V379" i="21"/>
  <c r="V380" i="21"/>
  <c r="V381" i="21"/>
  <c r="V382" i="21"/>
  <c r="V383" i="21"/>
  <c r="V384" i="21"/>
  <c r="V385" i="21"/>
  <c r="V386" i="21"/>
  <c r="V387" i="21"/>
  <c r="V388" i="21"/>
  <c r="V389" i="21"/>
  <c r="V390" i="21"/>
  <c r="V391" i="21"/>
  <c r="V392" i="21"/>
  <c r="V393" i="21"/>
  <c r="V394" i="21"/>
  <c r="V395" i="21"/>
  <c r="V396" i="21"/>
  <c r="V397" i="21"/>
  <c r="V398" i="21"/>
  <c r="V399" i="21"/>
  <c r="V400" i="21"/>
  <c r="V401" i="21"/>
  <c r="V402" i="21"/>
  <c r="V403" i="21"/>
  <c r="V404" i="21"/>
  <c r="V405" i="21"/>
  <c r="V406" i="21"/>
  <c r="V407" i="21"/>
  <c r="V408" i="21"/>
  <c r="V409" i="21"/>
  <c r="V410" i="21"/>
  <c r="V411" i="21"/>
  <c r="V412" i="21"/>
  <c r="V413" i="21"/>
  <c r="V414" i="21"/>
  <c r="V415" i="21"/>
  <c r="V416" i="21"/>
  <c r="V417" i="21"/>
  <c r="V418" i="21"/>
  <c r="V419" i="21"/>
  <c r="V420" i="21"/>
  <c r="V421" i="21"/>
  <c r="V422" i="21"/>
  <c r="V423" i="21"/>
  <c r="V424" i="21"/>
  <c r="V425" i="21"/>
  <c r="V426" i="21"/>
  <c r="V427" i="21"/>
  <c r="V428" i="21"/>
  <c r="V429" i="21"/>
  <c r="V430" i="21"/>
  <c r="V431" i="21"/>
  <c r="V432" i="21"/>
  <c r="V433" i="21"/>
  <c r="V434" i="21"/>
  <c r="V435" i="21"/>
  <c r="V436" i="21"/>
  <c r="V437" i="21"/>
  <c r="V438" i="21"/>
  <c r="V439" i="21"/>
  <c r="V440" i="21"/>
  <c r="V441" i="21"/>
  <c r="V442" i="21"/>
  <c r="V443" i="21"/>
  <c r="V444" i="21"/>
  <c r="V445" i="21"/>
  <c r="V446" i="21"/>
  <c r="V447" i="21"/>
  <c r="V448" i="21"/>
  <c r="V449" i="21"/>
  <c r="V450" i="21"/>
  <c r="V451" i="21"/>
  <c r="V452" i="21"/>
  <c r="V453" i="21"/>
  <c r="V454" i="21"/>
  <c r="V455" i="21"/>
  <c r="V456" i="21"/>
  <c r="V457" i="21"/>
  <c r="V458" i="21"/>
  <c r="V459" i="21"/>
  <c r="V460" i="21"/>
  <c r="V461" i="21"/>
  <c r="V462" i="21"/>
  <c r="V463" i="21"/>
  <c r="V464" i="21"/>
  <c r="V465" i="21"/>
  <c r="V466" i="21"/>
  <c r="V467" i="21"/>
  <c r="V468" i="21"/>
  <c r="V469" i="21"/>
  <c r="V470" i="21"/>
  <c r="V471" i="21"/>
  <c r="V472" i="21"/>
  <c r="V473" i="21"/>
  <c r="V474" i="21"/>
  <c r="V475" i="21"/>
  <c r="V476" i="21"/>
  <c r="V477" i="21"/>
  <c r="V478" i="21"/>
  <c r="V479" i="21"/>
  <c r="V480" i="21"/>
  <c r="V481" i="21"/>
  <c r="V482" i="21"/>
  <c r="V483" i="21"/>
  <c r="V484" i="21"/>
  <c r="V485" i="21"/>
  <c r="V486" i="21"/>
  <c r="V487" i="21"/>
  <c r="V488" i="21"/>
  <c r="V489" i="21"/>
  <c r="V490" i="21"/>
  <c r="V491" i="21"/>
  <c r="V492" i="21"/>
  <c r="V493" i="21"/>
  <c r="V494" i="21"/>
  <c r="V495" i="21"/>
  <c r="V496" i="21"/>
  <c r="V497" i="21"/>
  <c r="V498" i="21"/>
  <c r="V499" i="21"/>
  <c r="V500" i="21"/>
  <c r="V501" i="21"/>
  <c r="V502" i="21"/>
  <c r="V503" i="21"/>
  <c r="V504" i="21"/>
  <c r="V505" i="21"/>
  <c r="V506" i="21"/>
  <c r="V507" i="21"/>
  <c r="V508" i="21"/>
  <c r="V509" i="21"/>
  <c r="V510" i="21"/>
  <c r="V511" i="21"/>
  <c r="V512" i="21"/>
  <c r="V513" i="21"/>
  <c r="V514" i="21"/>
  <c r="V515" i="21"/>
  <c r="V516" i="21"/>
  <c r="V517" i="21"/>
  <c r="V518" i="21"/>
  <c r="V519" i="21"/>
  <c r="V520" i="21"/>
  <c r="V521" i="21"/>
  <c r="V522" i="21"/>
  <c r="V523" i="21"/>
  <c r="V524" i="21"/>
  <c r="V525" i="21"/>
  <c r="V526" i="21"/>
  <c r="V527" i="21"/>
  <c r="V528" i="21"/>
  <c r="V529" i="21"/>
  <c r="V530" i="21"/>
  <c r="V531" i="21"/>
  <c r="V532" i="21"/>
  <c r="V533" i="21"/>
  <c r="V534" i="21"/>
  <c r="V535" i="21"/>
  <c r="V536" i="21"/>
  <c r="V537" i="21"/>
  <c r="V538" i="21"/>
  <c r="V539" i="21"/>
  <c r="V540" i="21"/>
  <c r="V541" i="21"/>
  <c r="V542" i="21"/>
  <c r="V543" i="21"/>
  <c r="V544" i="21"/>
  <c r="V545" i="21"/>
  <c r="V546" i="21"/>
  <c r="V547" i="21"/>
  <c r="V548" i="21"/>
  <c r="V549" i="21"/>
  <c r="V550" i="21"/>
  <c r="V551" i="21"/>
  <c r="V552" i="21"/>
  <c r="V553" i="21"/>
  <c r="V554" i="21"/>
  <c r="V555" i="21"/>
  <c r="V556" i="21"/>
  <c r="V557" i="21"/>
  <c r="V558" i="21"/>
  <c r="V559" i="21"/>
  <c r="V560" i="21"/>
  <c r="V561" i="21"/>
  <c r="V562" i="21"/>
  <c r="V563" i="21"/>
  <c r="V564" i="21"/>
  <c r="V565" i="21"/>
  <c r="V566" i="21"/>
  <c r="V567" i="21"/>
  <c r="V568" i="21"/>
  <c r="V569" i="21"/>
  <c r="V570" i="21"/>
  <c r="V571" i="21"/>
  <c r="V572" i="21"/>
  <c r="V573" i="21"/>
  <c r="V574" i="21"/>
  <c r="V575" i="21"/>
  <c r="V576" i="21"/>
  <c r="V577" i="21"/>
  <c r="V578" i="21"/>
  <c r="V579" i="21"/>
  <c r="V580" i="21"/>
  <c r="V581" i="21"/>
  <c r="V582" i="21"/>
  <c r="V583" i="21"/>
  <c r="V584" i="21"/>
  <c r="V585" i="21"/>
  <c r="V586" i="21"/>
  <c r="V587" i="21"/>
  <c r="V588" i="21"/>
  <c r="V589" i="21"/>
  <c r="V590" i="21"/>
  <c r="V591" i="21"/>
  <c r="V592" i="21"/>
  <c r="V593" i="21"/>
  <c r="V594" i="21"/>
  <c r="V595" i="21"/>
  <c r="V596" i="21"/>
  <c r="V597" i="21"/>
  <c r="V598" i="21"/>
  <c r="V599" i="21"/>
  <c r="V600" i="21"/>
  <c r="V601" i="21"/>
  <c r="V602" i="21"/>
  <c r="V603" i="21"/>
  <c r="V604" i="21"/>
  <c r="V605" i="21"/>
  <c r="V606" i="21"/>
  <c r="V607" i="21"/>
  <c r="V608" i="21"/>
  <c r="V609" i="21"/>
  <c r="V610" i="21"/>
  <c r="V611" i="21"/>
  <c r="V612" i="21"/>
  <c r="V613" i="21"/>
  <c r="V614" i="21"/>
  <c r="V615" i="21"/>
  <c r="V616" i="21"/>
  <c r="V617" i="21"/>
  <c r="V618" i="21"/>
  <c r="V619" i="21"/>
  <c r="V620" i="21"/>
  <c r="V621" i="21"/>
  <c r="V622" i="21"/>
  <c r="V623" i="21"/>
  <c r="V624" i="21"/>
  <c r="V625" i="21"/>
  <c r="V626" i="21"/>
  <c r="V627" i="21"/>
  <c r="V628" i="21"/>
  <c r="V629" i="21"/>
  <c r="V630" i="21"/>
  <c r="V631" i="21"/>
  <c r="V632" i="21"/>
  <c r="V633" i="21"/>
  <c r="V634" i="21"/>
  <c r="V635" i="21"/>
  <c r="V636" i="21"/>
  <c r="V637" i="21"/>
  <c r="V638" i="21"/>
  <c r="V639" i="21"/>
  <c r="V640" i="21"/>
  <c r="V641" i="21"/>
  <c r="V642" i="21"/>
  <c r="V643" i="21"/>
  <c r="V644" i="21"/>
  <c r="V645" i="21"/>
  <c r="V646" i="21"/>
  <c r="V647" i="21"/>
  <c r="V648" i="21"/>
  <c r="V649" i="21"/>
  <c r="V650" i="21"/>
  <c r="V651" i="21"/>
  <c r="V652" i="21"/>
  <c r="V653" i="21"/>
  <c r="V654" i="21"/>
  <c r="V655" i="21"/>
  <c r="V656" i="21"/>
  <c r="V657" i="21"/>
  <c r="V658" i="21"/>
  <c r="V659" i="21"/>
  <c r="V660" i="21"/>
  <c r="V661" i="21"/>
  <c r="V662" i="21"/>
  <c r="V663" i="21"/>
  <c r="V664" i="21"/>
  <c r="V665" i="21"/>
  <c r="V666" i="21"/>
  <c r="V667" i="21"/>
  <c r="V668" i="21"/>
  <c r="V669" i="21"/>
  <c r="V670" i="21"/>
  <c r="V671" i="21"/>
  <c r="V672" i="21"/>
  <c r="V673" i="21"/>
  <c r="V674" i="21"/>
  <c r="V675" i="21"/>
  <c r="V676" i="21"/>
  <c r="V677" i="21"/>
  <c r="V678" i="21"/>
  <c r="V679" i="21"/>
  <c r="V680" i="21"/>
  <c r="V681" i="21"/>
  <c r="V682" i="21"/>
  <c r="V683" i="21"/>
  <c r="V2" i="21"/>
  <c r="U3" i="21"/>
  <c r="U4" i="21"/>
  <c r="U5" i="21"/>
  <c r="U6" i="21"/>
  <c r="U7" i="21"/>
  <c r="U8" i="21"/>
  <c r="U9" i="21"/>
  <c r="U10" i="21"/>
  <c r="U11" i="21"/>
  <c r="U12" i="21"/>
  <c r="U13" i="21"/>
  <c r="U14" i="21"/>
  <c r="U15" i="21"/>
  <c r="U16" i="21"/>
  <c r="U17" i="21"/>
  <c r="U18" i="21"/>
  <c r="U19" i="21"/>
  <c r="U20" i="21"/>
  <c r="U21" i="21"/>
  <c r="U22" i="21"/>
  <c r="U23" i="21"/>
  <c r="U24" i="21"/>
  <c r="U25" i="21"/>
  <c r="U26" i="21"/>
  <c r="U27" i="21"/>
  <c r="U28" i="21"/>
  <c r="U29" i="21"/>
  <c r="U30" i="21"/>
  <c r="U31" i="21"/>
  <c r="U32" i="21"/>
  <c r="U33" i="21"/>
  <c r="U34" i="21"/>
  <c r="U35" i="21"/>
  <c r="U36" i="21"/>
  <c r="U37" i="21"/>
  <c r="U38" i="21"/>
  <c r="U39" i="21"/>
  <c r="U40" i="21"/>
  <c r="U41" i="21"/>
  <c r="U42" i="21"/>
  <c r="U43" i="21"/>
  <c r="U44" i="21"/>
  <c r="U45" i="21"/>
  <c r="U46" i="21"/>
  <c r="U47" i="21"/>
  <c r="U48" i="21"/>
  <c r="U49" i="21"/>
  <c r="U50" i="21"/>
  <c r="U51" i="21"/>
  <c r="U52" i="21"/>
  <c r="U53" i="21"/>
  <c r="U54" i="21"/>
  <c r="U55" i="21"/>
  <c r="U56" i="21"/>
  <c r="U57" i="21"/>
  <c r="U58" i="21"/>
  <c r="U59" i="21"/>
  <c r="U60" i="21"/>
  <c r="U61" i="21"/>
  <c r="U62" i="21"/>
  <c r="U63" i="21"/>
  <c r="U64" i="21"/>
  <c r="U65" i="21"/>
  <c r="U66" i="21"/>
  <c r="U67" i="21"/>
  <c r="U68" i="21"/>
  <c r="U69" i="21"/>
  <c r="U70" i="21"/>
  <c r="U71" i="21"/>
  <c r="U72" i="21"/>
  <c r="U73" i="21"/>
  <c r="U74" i="21"/>
  <c r="U75" i="21"/>
  <c r="U76" i="21"/>
  <c r="U77" i="21"/>
  <c r="U78" i="21"/>
  <c r="U79" i="21"/>
  <c r="U80" i="21"/>
  <c r="U81" i="21"/>
  <c r="U82" i="21"/>
  <c r="U83" i="21"/>
  <c r="U84" i="21"/>
  <c r="U85" i="21"/>
  <c r="U86" i="21"/>
  <c r="U87" i="21"/>
  <c r="U88" i="21"/>
  <c r="U89" i="21"/>
  <c r="U90" i="21"/>
  <c r="U91" i="21"/>
  <c r="U92" i="21"/>
  <c r="U93" i="21"/>
  <c r="U94" i="21"/>
  <c r="U95" i="21"/>
  <c r="U96" i="21"/>
  <c r="U97" i="21"/>
  <c r="U98" i="21"/>
  <c r="U99" i="21"/>
  <c r="U100" i="21"/>
  <c r="U101" i="21"/>
  <c r="U102" i="21"/>
  <c r="U103" i="21"/>
  <c r="U104" i="21"/>
  <c r="U105" i="21"/>
  <c r="U106" i="21"/>
  <c r="U107" i="21"/>
  <c r="U108" i="21"/>
  <c r="U109" i="21"/>
  <c r="U110" i="21"/>
  <c r="U111" i="21"/>
  <c r="U112" i="21"/>
  <c r="U113" i="21"/>
  <c r="U114" i="21"/>
  <c r="U115" i="21"/>
  <c r="U116" i="21"/>
  <c r="U117" i="21"/>
  <c r="U118" i="21"/>
  <c r="U119" i="21"/>
  <c r="U120" i="21"/>
  <c r="U121" i="21"/>
  <c r="U122" i="21"/>
  <c r="U123" i="21"/>
  <c r="U124" i="21"/>
  <c r="U125" i="21"/>
  <c r="U126" i="21"/>
  <c r="U127" i="21"/>
  <c r="U128" i="21"/>
  <c r="U129" i="21"/>
  <c r="U130" i="21"/>
  <c r="U131" i="21"/>
  <c r="U132" i="21"/>
  <c r="U133" i="21"/>
  <c r="U134" i="21"/>
  <c r="U135" i="21"/>
  <c r="U136" i="21"/>
  <c r="U137" i="21"/>
  <c r="U138" i="21"/>
  <c r="U139" i="21"/>
  <c r="U140" i="21"/>
  <c r="U141" i="21"/>
  <c r="U142" i="21"/>
  <c r="U143" i="21"/>
  <c r="U144" i="21"/>
  <c r="U145" i="21"/>
  <c r="U146" i="21"/>
  <c r="U147" i="21"/>
  <c r="U148" i="21"/>
  <c r="U149" i="21"/>
  <c r="U150" i="21"/>
  <c r="U151" i="21"/>
  <c r="U152" i="21"/>
  <c r="U153" i="21"/>
  <c r="U154" i="21"/>
  <c r="U155" i="21"/>
  <c r="U156" i="21"/>
  <c r="U157" i="21"/>
  <c r="U158" i="21"/>
  <c r="U159" i="21"/>
  <c r="U160" i="21"/>
  <c r="U161" i="21"/>
  <c r="U162" i="21"/>
  <c r="U163" i="21"/>
  <c r="U164" i="21"/>
  <c r="U165" i="21"/>
  <c r="U166" i="21"/>
  <c r="U167" i="21"/>
  <c r="U168" i="21"/>
  <c r="U169" i="21"/>
  <c r="U170" i="21"/>
  <c r="U171" i="21"/>
  <c r="U172" i="21"/>
  <c r="U173" i="21"/>
  <c r="U174" i="21"/>
  <c r="U175" i="21"/>
  <c r="U176" i="21"/>
  <c r="U177" i="21"/>
  <c r="U178" i="21"/>
  <c r="U179" i="21"/>
  <c r="U180" i="21"/>
  <c r="U181" i="21"/>
  <c r="U182" i="21"/>
  <c r="U183" i="21"/>
  <c r="U184" i="21"/>
  <c r="U185" i="21"/>
  <c r="U186" i="21"/>
  <c r="U187" i="21"/>
  <c r="U188" i="21"/>
  <c r="U189" i="21"/>
  <c r="U190" i="21"/>
  <c r="U191" i="21"/>
  <c r="U192" i="21"/>
  <c r="U193" i="21"/>
  <c r="U194" i="21"/>
  <c r="U195" i="21"/>
  <c r="U196" i="21"/>
  <c r="U197" i="21"/>
  <c r="U198" i="21"/>
  <c r="U199" i="21"/>
  <c r="U200" i="21"/>
  <c r="U201" i="21"/>
  <c r="U202" i="21"/>
  <c r="U203" i="21"/>
  <c r="U204" i="21"/>
  <c r="U205" i="21"/>
  <c r="U206" i="21"/>
  <c r="U207" i="21"/>
  <c r="U208" i="21"/>
  <c r="U209" i="21"/>
  <c r="U210" i="21"/>
  <c r="U211" i="21"/>
  <c r="U212" i="21"/>
  <c r="U213" i="21"/>
  <c r="U214" i="21"/>
  <c r="U215" i="21"/>
  <c r="U216" i="21"/>
  <c r="U217" i="21"/>
  <c r="U218" i="21"/>
  <c r="U219" i="21"/>
  <c r="U220" i="21"/>
  <c r="U221" i="21"/>
  <c r="U222" i="21"/>
  <c r="U223" i="21"/>
  <c r="U224" i="21"/>
  <c r="U225" i="21"/>
  <c r="U226" i="21"/>
  <c r="U227" i="21"/>
  <c r="U228" i="21"/>
  <c r="U229" i="21"/>
  <c r="U230" i="21"/>
  <c r="U231" i="21"/>
  <c r="U232" i="21"/>
  <c r="U233" i="21"/>
  <c r="U234" i="21"/>
  <c r="U235" i="21"/>
  <c r="U236" i="21"/>
  <c r="U237" i="21"/>
  <c r="U238" i="21"/>
  <c r="U239" i="21"/>
  <c r="U240" i="21"/>
  <c r="U241" i="21"/>
  <c r="U242" i="21"/>
  <c r="U243" i="21"/>
  <c r="U244" i="21"/>
  <c r="U245" i="21"/>
  <c r="U246" i="21"/>
  <c r="U247" i="21"/>
  <c r="U248" i="21"/>
  <c r="U249" i="21"/>
  <c r="U250" i="21"/>
  <c r="U251" i="21"/>
  <c r="U252" i="21"/>
  <c r="U253" i="21"/>
  <c r="U254" i="21"/>
  <c r="U255" i="21"/>
  <c r="U256" i="21"/>
  <c r="U257" i="21"/>
  <c r="U258" i="21"/>
  <c r="U259" i="21"/>
  <c r="U260" i="21"/>
  <c r="U261" i="21"/>
  <c r="U262" i="21"/>
  <c r="U263" i="21"/>
  <c r="U264" i="21"/>
  <c r="U265" i="21"/>
  <c r="U266" i="21"/>
  <c r="U267" i="21"/>
  <c r="U268" i="21"/>
  <c r="U269" i="21"/>
  <c r="U270" i="21"/>
  <c r="U271" i="21"/>
  <c r="U272" i="21"/>
  <c r="U273" i="21"/>
  <c r="U274" i="21"/>
  <c r="U275" i="21"/>
  <c r="U276" i="21"/>
  <c r="U277" i="21"/>
  <c r="U278" i="21"/>
  <c r="U279" i="21"/>
  <c r="U280" i="21"/>
  <c r="U281" i="21"/>
  <c r="U282" i="21"/>
  <c r="U283" i="21"/>
  <c r="U284" i="21"/>
  <c r="U285" i="21"/>
  <c r="U286" i="21"/>
  <c r="U287" i="21"/>
  <c r="U288" i="21"/>
  <c r="U289" i="21"/>
  <c r="U290" i="21"/>
  <c r="U291" i="21"/>
  <c r="U292" i="21"/>
  <c r="U293" i="21"/>
  <c r="U294" i="21"/>
  <c r="U295" i="21"/>
  <c r="U296" i="21"/>
  <c r="U297" i="21"/>
  <c r="U298" i="21"/>
  <c r="U299" i="21"/>
  <c r="U300" i="21"/>
  <c r="U301" i="21"/>
  <c r="U302" i="21"/>
  <c r="U303" i="21"/>
  <c r="U304" i="21"/>
  <c r="U305" i="21"/>
  <c r="U306" i="21"/>
  <c r="U307" i="21"/>
  <c r="U308" i="21"/>
  <c r="U309" i="21"/>
  <c r="U310" i="21"/>
  <c r="U311" i="21"/>
  <c r="U312" i="21"/>
  <c r="U313" i="21"/>
  <c r="U314" i="21"/>
  <c r="U315" i="21"/>
  <c r="U316" i="21"/>
  <c r="U317" i="21"/>
  <c r="U318" i="21"/>
  <c r="U319" i="21"/>
  <c r="U320" i="21"/>
  <c r="U321" i="21"/>
  <c r="U322" i="21"/>
  <c r="U323" i="21"/>
  <c r="U324" i="21"/>
  <c r="U325" i="21"/>
  <c r="U326" i="21"/>
  <c r="U327" i="21"/>
  <c r="U328" i="21"/>
  <c r="U329" i="21"/>
  <c r="U330" i="21"/>
  <c r="U331" i="21"/>
  <c r="U332" i="21"/>
  <c r="U333" i="21"/>
  <c r="U334" i="21"/>
  <c r="U335" i="21"/>
  <c r="U336" i="21"/>
  <c r="U337" i="21"/>
  <c r="U338" i="21"/>
  <c r="U339" i="21"/>
  <c r="U340" i="21"/>
  <c r="U341" i="21"/>
  <c r="U342" i="21"/>
  <c r="U343" i="21"/>
  <c r="U344" i="21"/>
  <c r="U345" i="21"/>
  <c r="U346" i="21"/>
  <c r="U347" i="21"/>
  <c r="U348" i="21"/>
  <c r="U349" i="21"/>
  <c r="U350" i="21"/>
  <c r="U351" i="21"/>
  <c r="U352" i="21"/>
  <c r="U353" i="21"/>
  <c r="U354" i="21"/>
  <c r="U355" i="21"/>
  <c r="U356" i="21"/>
  <c r="U357" i="21"/>
  <c r="U358" i="21"/>
  <c r="U359" i="21"/>
  <c r="U360" i="21"/>
  <c r="U361" i="21"/>
  <c r="U362" i="21"/>
  <c r="U363" i="21"/>
  <c r="U364" i="21"/>
  <c r="U365" i="21"/>
  <c r="U366" i="21"/>
  <c r="U367" i="21"/>
  <c r="U368" i="21"/>
  <c r="U369" i="21"/>
  <c r="U370" i="21"/>
  <c r="U371" i="21"/>
  <c r="U372" i="21"/>
  <c r="U373" i="21"/>
  <c r="U374" i="21"/>
  <c r="U375" i="21"/>
  <c r="U376" i="21"/>
  <c r="U377" i="21"/>
  <c r="U378" i="21"/>
  <c r="U379" i="21"/>
  <c r="U380" i="21"/>
  <c r="U381" i="21"/>
  <c r="U382" i="21"/>
  <c r="U383" i="21"/>
  <c r="U384" i="21"/>
  <c r="U385" i="21"/>
  <c r="U386" i="21"/>
  <c r="U387" i="21"/>
  <c r="U388" i="21"/>
  <c r="U389" i="21"/>
  <c r="U390" i="21"/>
  <c r="U391" i="21"/>
  <c r="U392" i="21"/>
  <c r="U393" i="21"/>
  <c r="U394" i="21"/>
  <c r="U395" i="21"/>
  <c r="U396" i="21"/>
  <c r="U397" i="21"/>
  <c r="U398" i="21"/>
  <c r="U399" i="21"/>
  <c r="U400" i="21"/>
  <c r="U401" i="21"/>
  <c r="U402" i="21"/>
  <c r="U403" i="21"/>
  <c r="U404" i="21"/>
  <c r="U405" i="21"/>
  <c r="U406" i="21"/>
  <c r="U407" i="21"/>
  <c r="U408" i="21"/>
  <c r="U409" i="21"/>
  <c r="U410" i="21"/>
  <c r="U411" i="21"/>
  <c r="U412" i="21"/>
  <c r="U413" i="21"/>
  <c r="U414" i="21"/>
  <c r="U415" i="21"/>
  <c r="U416" i="21"/>
  <c r="U417" i="21"/>
  <c r="U418" i="21"/>
  <c r="U419" i="21"/>
  <c r="U420" i="21"/>
  <c r="U421" i="21"/>
  <c r="U422" i="21"/>
  <c r="U423" i="21"/>
  <c r="U424" i="21"/>
  <c r="U425" i="21"/>
  <c r="U426" i="21"/>
  <c r="U427" i="21"/>
  <c r="U428" i="21"/>
  <c r="U429" i="21"/>
  <c r="U430" i="21"/>
  <c r="U431" i="21"/>
  <c r="U432" i="21"/>
  <c r="U433" i="21"/>
  <c r="U434" i="21"/>
  <c r="U435" i="21"/>
  <c r="U436" i="21"/>
  <c r="U437" i="21"/>
  <c r="U438" i="21"/>
  <c r="U439" i="21"/>
  <c r="U440" i="21"/>
  <c r="U441" i="21"/>
  <c r="U442" i="21"/>
  <c r="U443" i="21"/>
  <c r="U444" i="21"/>
  <c r="U445" i="21"/>
  <c r="U446" i="21"/>
  <c r="U447" i="21"/>
  <c r="U448" i="21"/>
  <c r="U449" i="21"/>
  <c r="U450" i="21"/>
  <c r="U451" i="21"/>
  <c r="U452" i="21"/>
  <c r="U453" i="21"/>
  <c r="U454" i="21"/>
  <c r="U455" i="21"/>
  <c r="U456" i="21"/>
  <c r="U457" i="21"/>
  <c r="U458" i="21"/>
  <c r="U459" i="21"/>
  <c r="U460" i="21"/>
  <c r="U461" i="21"/>
  <c r="U462" i="21"/>
  <c r="U463" i="21"/>
  <c r="U464" i="21"/>
  <c r="U465" i="21"/>
  <c r="U466" i="21"/>
  <c r="U467" i="21"/>
  <c r="U468" i="21"/>
  <c r="U469" i="21"/>
  <c r="U470" i="21"/>
  <c r="U471" i="21"/>
  <c r="U472" i="21"/>
  <c r="U473" i="21"/>
  <c r="U474" i="21"/>
  <c r="U475" i="21"/>
  <c r="U476" i="21"/>
  <c r="U477" i="21"/>
  <c r="U478" i="21"/>
  <c r="U479" i="21"/>
  <c r="U480" i="21"/>
  <c r="U481" i="21"/>
  <c r="U482" i="21"/>
  <c r="U483" i="21"/>
  <c r="U484" i="21"/>
  <c r="U485" i="21"/>
  <c r="U486" i="21"/>
  <c r="U487" i="21"/>
  <c r="U488" i="21"/>
  <c r="U489" i="21"/>
  <c r="U490" i="21"/>
  <c r="U491" i="21"/>
  <c r="U492" i="21"/>
  <c r="U493" i="21"/>
  <c r="U494" i="21"/>
  <c r="U495" i="21"/>
  <c r="U496" i="21"/>
  <c r="U497" i="21"/>
  <c r="U498" i="21"/>
  <c r="U499" i="21"/>
  <c r="U500" i="21"/>
  <c r="U501" i="21"/>
  <c r="U502" i="21"/>
  <c r="U503" i="21"/>
  <c r="U504" i="21"/>
  <c r="U505" i="21"/>
  <c r="U506" i="21"/>
  <c r="U507" i="21"/>
  <c r="U508" i="21"/>
  <c r="U509" i="21"/>
  <c r="U510" i="21"/>
  <c r="U511" i="21"/>
  <c r="U512" i="21"/>
  <c r="U513" i="21"/>
  <c r="U514" i="21"/>
  <c r="U515" i="21"/>
  <c r="U516" i="21"/>
  <c r="U517" i="21"/>
  <c r="U518" i="21"/>
  <c r="U519" i="21"/>
  <c r="U520" i="21"/>
  <c r="U521" i="21"/>
  <c r="U522" i="21"/>
  <c r="U523" i="21"/>
  <c r="U524" i="21"/>
  <c r="U525" i="21"/>
  <c r="U526" i="21"/>
  <c r="U527" i="21"/>
  <c r="U528" i="21"/>
  <c r="U529" i="21"/>
  <c r="U530" i="21"/>
  <c r="U531" i="21"/>
  <c r="U532" i="21"/>
  <c r="U533" i="21"/>
  <c r="U534" i="21"/>
  <c r="U535" i="21"/>
  <c r="U536" i="21"/>
  <c r="U537" i="21"/>
  <c r="U538" i="21"/>
  <c r="U539" i="21"/>
  <c r="U540" i="21"/>
  <c r="U541" i="21"/>
  <c r="U542" i="21"/>
  <c r="U543" i="21"/>
  <c r="U544" i="21"/>
  <c r="U545" i="21"/>
  <c r="U546" i="21"/>
  <c r="U547" i="21"/>
  <c r="U548" i="21"/>
  <c r="U549" i="21"/>
  <c r="U550" i="21"/>
  <c r="U551" i="21"/>
  <c r="U552" i="21"/>
  <c r="U553" i="21"/>
  <c r="U554" i="21"/>
  <c r="U555" i="21"/>
  <c r="U556" i="21"/>
  <c r="U557" i="21"/>
  <c r="U558" i="21"/>
  <c r="U559" i="21"/>
  <c r="U560" i="21"/>
  <c r="U561" i="21"/>
  <c r="U562" i="21"/>
  <c r="U563" i="21"/>
  <c r="U564" i="21"/>
  <c r="U565" i="21"/>
  <c r="U566" i="21"/>
  <c r="U567" i="21"/>
  <c r="U568" i="21"/>
  <c r="U569" i="21"/>
  <c r="U570" i="21"/>
  <c r="U571" i="21"/>
  <c r="U572" i="21"/>
  <c r="U573" i="21"/>
  <c r="U574" i="21"/>
  <c r="U575" i="21"/>
  <c r="U576" i="21"/>
  <c r="U577" i="21"/>
  <c r="U578" i="21"/>
  <c r="U579" i="21"/>
  <c r="U580" i="21"/>
  <c r="U581" i="21"/>
  <c r="U582" i="21"/>
  <c r="U583" i="21"/>
  <c r="U584" i="21"/>
  <c r="U585" i="21"/>
  <c r="U586" i="21"/>
  <c r="U587" i="21"/>
  <c r="U588" i="21"/>
  <c r="U589" i="21"/>
  <c r="U590" i="21"/>
  <c r="U591" i="21"/>
  <c r="U592" i="21"/>
  <c r="U593" i="21"/>
  <c r="U594" i="21"/>
  <c r="U595" i="21"/>
  <c r="U596" i="21"/>
  <c r="U597" i="21"/>
  <c r="U598" i="21"/>
  <c r="U599" i="21"/>
  <c r="U600" i="21"/>
  <c r="U601" i="21"/>
  <c r="U602" i="21"/>
  <c r="U603" i="21"/>
  <c r="U604" i="21"/>
  <c r="U605" i="21"/>
  <c r="U606" i="21"/>
  <c r="U607" i="21"/>
  <c r="U608" i="21"/>
  <c r="U609" i="21"/>
  <c r="U610" i="21"/>
  <c r="U611" i="21"/>
  <c r="U612" i="21"/>
  <c r="U613" i="21"/>
  <c r="U614" i="21"/>
  <c r="U615" i="21"/>
  <c r="U616" i="21"/>
  <c r="U617" i="21"/>
  <c r="U618" i="21"/>
  <c r="U619" i="21"/>
  <c r="U620" i="21"/>
  <c r="U621" i="21"/>
  <c r="U622" i="21"/>
  <c r="U623" i="21"/>
  <c r="U624" i="21"/>
  <c r="U625" i="21"/>
  <c r="U626" i="21"/>
  <c r="U627" i="21"/>
  <c r="U628" i="21"/>
  <c r="U629" i="21"/>
  <c r="U630" i="21"/>
  <c r="U631" i="21"/>
  <c r="U632" i="21"/>
  <c r="U633" i="21"/>
  <c r="U634" i="21"/>
  <c r="U635" i="21"/>
  <c r="U636" i="21"/>
  <c r="U637" i="21"/>
  <c r="U638" i="21"/>
  <c r="U639" i="21"/>
  <c r="U640" i="21"/>
  <c r="U641" i="21"/>
  <c r="U642" i="21"/>
  <c r="U643" i="21"/>
  <c r="U644" i="21"/>
  <c r="U645" i="21"/>
  <c r="U646" i="21"/>
  <c r="U647" i="21"/>
  <c r="U648" i="21"/>
  <c r="U649" i="21"/>
  <c r="U650" i="21"/>
  <c r="U651" i="21"/>
  <c r="U652" i="21"/>
  <c r="U653" i="21"/>
  <c r="U654" i="21"/>
  <c r="U655" i="21"/>
  <c r="U656" i="21"/>
  <c r="U657" i="21"/>
  <c r="U658" i="21"/>
  <c r="U659" i="21"/>
  <c r="U660" i="21"/>
  <c r="U661" i="21"/>
  <c r="U662" i="21"/>
  <c r="U663" i="21"/>
  <c r="U664" i="21"/>
  <c r="U665" i="21"/>
  <c r="U666" i="21"/>
  <c r="U667" i="21"/>
  <c r="U668" i="21"/>
  <c r="U669" i="21"/>
  <c r="U670" i="21"/>
  <c r="U671" i="21"/>
  <c r="U672" i="21"/>
  <c r="U673" i="21"/>
  <c r="U674" i="21"/>
  <c r="U675" i="21"/>
  <c r="U676" i="21"/>
  <c r="U677" i="21"/>
  <c r="U678" i="21"/>
  <c r="U679" i="21"/>
  <c r="U680" i="21"/>
  <c r="U681" i="21"/>
  <c r="U682" i="21"/>
  <c r="U683" i="21"/>
  <c r="T3" i="21"/>
  <c r="T4" i="21"/>
  <c r="T5" i="21"/>
  <c r="T6" i="21"/>
  <c r="T7" i="21"/>
  <c r="T8" i="21"/>
  <c r="T9" i="21"/>
  <c r="T10" i="21"/>
  <c r="T11" i="21"/>
  <c r="T12" i="21"/>
  <c r="T13" i="21"/>
  <c r="T14" i="21"/>
  <c r="T15" i="21"/>
  <c r="T16" i="21"/>
  <c r="T17" i="21"/>
  <c r="T18" i="21"/>
  <c r="T19" i="21"/>
  <c r="T20" i="21"/>
  <c r="T21" i="21"/>
  <c r="T22" i="21"/>
  <c r="T23" i="21"/>
  <c r="T24" i="21"/>
  <c r="T25" i="21"/>
  <c r="T26" i="21"/>
  <c r="T27" i="21"/>
  <c r="T28" i="21"/>
  <c r="T29" i="21"/>
  <c r="T30" i="21"/>
  <c r="T31" i="21"/>
  <c r="T32" i="21"/>
  <c r="T33" i="21"/>
  <c r="T34" i="21"/>
  <c r="T35" i="21"/>
  <c r="T36" i="21"/>
  <c r="T37" i="21"/>
  <c r="T38" i="21"/>
  <c r="T39" i="21"/>
  <c r="T40" i="21"/>
  <c r="T41" i="21"/>
  <c r="T42" i="21"/>
  <c r="T43" i="21"/>
  <c r="T44" i="21"/>
  <c r="T45" i="21"/>
  <c r="T46" i="21"/>
  <c r="T47" i="21"/>
  <c r="T48" i="21"/>
  <c r="T49" i="21"/>
  <c r="T50" i="21"/>
  <c r="T51" i="21"/>
  <c r="T52" i="21"/>
  <c r="T53" i="21"/>
  <c r="T54" i="21"/>
  <c r="T55" i="21"/>
  <c r="T56" i="21"/>
  <c r="T57" i="21"/>
  <c r="T58" i="21"/>
  <c r="T59" i="21"/>
  <c r="T60" i="21"/>
  <c r="T61" i="21"/>
  <c r="T62" i="21"/>
  <c r="T63" i="21"/>
  <c r="T64" i="21"/>
  <c r="T65" i="21"/>
  <c r="T66" i="21"/>
  <c r="T67" i="21"/>
  <c r="T68" i="21"/>
  <c r="T69" i="21"/>
  <c r="T70" i="21"/>
  <c r="T71" i="21"/>
  <c r="T72" i="21"/>
  <c r="T73" i="21"/>
  <c r="T74" i="21"/>
  <c r="T75" i="21"/>
  <c r="T76" i="21"/>
  <c r="T77" i="21"/>
  <c r="T78" i="21"/>
  <c r="T79" i="21"/>
  <c r="T80" i="21"/>
  <c r="T81" i="21"/>
  <c r="T82" i="21"/>
  <c r="T83" i="21"/>
  <c r="T84" i="21"/>
  <c r="T85" i="21"/>
  <c r="T86" i="21"/>
  <c r="T87" i="21"/>
  <c r="T88" i="21"/>
  <c r="T89" i="21"/>
  <c r="T90" i="21"/>
  <c r="T91" i="21"/>
  <c r="T92" i="21"/>
  <c r="T93" i="21"/>
  <c r="T94" i="21"/>
  <c r="T95" i="21"/>
  <c r="T96" i="21"/>
  <c r="T97" i="21"/>
  <c r="T98" i="21"/>
  <c r="T99" i="21"/>
  <c r="T100" i="21"/>
  <c r="T101" i="21"/>
  <c r="T102" i="21"/>
  <c r="T103" i="21"/>
  <c r="T104" i="21"/>
  <c r="T105" i="21"/>
  <c r="T106" i="21"/>
  <c r="T107" i="21"/>
  <c r="T108" i="21"/>
  <c r="T109" i="21"/>
  <c r="T110" i="21"/>
  <c r="T111" i="21"/>
  <c r="T112" i="21"/>
  <c r="T113" i="21"/>
  <c r="T114" i="21"/>
  <c r="T115" i="21"/>
  <c r="T116" i="21"/>
  <c r="T117" i="21"/>
  <c r="T118" i="21"/>
  <c r="T119" i="21"/>
  <c r="T120" i="21"/>
  <c r="T121" i="21"/>
  <c r="T122" i="21"/>
  <c r="T123" i="21"/>
  <c r="T124" i="21"/>
  <c r="T125" i="21"/>
  <c r="T126" i="21"/>
  <c r="T127" i="21"/>
  <c r="T128" i="21"/>
  <c r="T129" i="21"/>
  <c r="T130" i="21"/>
  <c r="T131" i="21"/>
  <c r="T132" i="21"/>
  <c r="T133" i="21"/>
  <c r="T134" i="21"/>
  <c r="T135" i="21"/>
  <c r="T136" i="21"/>
  <c r="T137" i="21"/>
  <c r="T138" i="21"/>
  <c r="T139" i="21"/>
  <c r="T140" i="21"/>
  <c r="T141" i="21"/>
  <c r="T142" i="21"/>
  <c r="T143" i="21"/>
  <c r="T144" i="21"/>
  <c r="T145" i="21"/>
  <c r="T146" i="21"/>
  <c r="T147" i="21"/>
  <c r="T148" i="21"/>
  <c r="T149" i="21"/>
  <c r="T150" i="21"/>
  <c r="T151" i="21"/>
  <c r="T152" i="21"/>
  <c r="T153" i="21"/>
  <c r="T154" i="21"/>
  <c r="T155" i="21"/>
  <c r="T156" i="21"/>
  <c r="T157" i="21"/>
  <c r="T158" i="21"/>
  <c r="T159" i="21"/>
  <c r="T160" i="21"/>
  <c r="T161" i="21"/>
  <c r="T162" i="21"/>
  <c r="T163" i="21"/>
  <c r="T164" i="21"/>
  <c r="T165" i="21"/>
  <c r="T166" i="21"/>
  <c r="T167" i="21"/>
  <c r="T168" i="21"/>
  <c r="T169" i="21"/>
  <c r="T170" i="21"/>
  <c r="T171" i="21"/>
  <c r="T172" i="21"/>
  <c r="T173" i="21"/>
  <c r="T174" i="21"/>
  <c r="T175" i="21"/>
  <c r="T176" i="21"/>
  <c r="T177" i="21"/>
  <c r="T178" i="21"/>
  <c r="T179" i="21"/>
  <c r="T180" i="21"/>
  <c r="T181" i="21"/>
  <c r="T182" i="21"/>
  <c r="T183" i="21"/>
  <c r="T184" i="21"/>
  <c r="T185" i="21"/>
  <c r="T186" i="21"/>
  <c r="T187" i="21"/>
  <c r="T188" i="21"/>
  <c r="T189" i="21"/>
  <c r="T190" i="21"/>
  <c r="T191" i="21"/>
  <c r="T192" i="21"/>
  <c r="T193" i="21"/>
  <c r="T194" i="21"/>
  <c r="T195" i="21"/>
  <c r="T196" i="21"/>
  <c r="T197" i="21"/>
  <c r="T198" i="21"/>
  <c r="T199" i="21"/>
  <c r="T200" i="21"/>
  <c r="T201" i="21"/>
  <c r="T202" i="21"/>
  <c r="T203" i="21"/>
  <c r="T204" i="21"/>
  <c r="T205" i="21"/>
  <c r="T206" i="21"/>
  <c r="T207" i="21"/>
  <c r="T208" i="21"/>
  <c r="T209" i="21"/>
  <c r="T210" i="21"/>
  <c r="T211" i="21"/>
  <c r="T212" i="21"/>
  <c r="T213" i="21"/>
  <c r="T214" i="21"/>
  <c r="T215" i="21"/>
  <c r="T216" i="21"/>
  <c r="T217" i="21"/>
  <c r="T218" i="21"/>
  <c r="T219" i="21"/>
  <c r="T220" i="21"/>
  <c r="T221" i="21"/>
  <c r="T222" i="21"/>
  <c r="T223" i="21"/>
  <c r="T224" i="21"/>
  <c r="T225" i="21"/>
  <c r="T226" i="21"/>
  <c r="T227" i="21"/>
  <c r="T228" i="21"/>
  <c r="T229" i="21"/>
  <c r="T230" i="21"/>
  <c r="T231" i="21"/>
  <c r="T232" i="21"/>
  <c r="T233" i="21"/>
  <c r="T234" i="21"/>
  <c r="T235" i="21"/>
  <c r="T236" i="21"/>
  <c r="T237" i="21"/>
  <c r="T238" i="21"/>
  <c r="T239" i="21"/>
  <c r="T240" i="21"/>
  <c r="T241" i="21"/>
  <c r="T242" i="21"/>
  <c r="T243" i="21"/>
  <c r="T244" i="21"/>
  <c r="T245" i="21"/>
  <c r="T246" i="21"/>
  <c r="T247" i="21"/>
  <c r="T248" i="21"/>
  <c r="T249" i="21"/>
  <c r="T250" i="21"/>
  <c r="T251" i="21"/>
  <c r="T252" i="21"/>
  <c r="T253" i="21"/>
  <c r="T254" i="21"/>
  <c r="T255" i="21"/>
  <c r="T256" i="21"/>
  <c r="T257" i="21"/>
  <c r="T258" i="21"/>
  <c r="T259" i="21"/>
  <c r="T260" i="21"/>
  <c r="T261" i="21"/>
  <c r="T262" i="21"/>
  <c r="T263" i="21"/>
  <c r="T264" i="21"/>
  <c r="T265" i="21"/>
  <c r="T266" i="21"/>
  <c r="T267" i="21"/>
  <c r="T268" i="21"/>
  <c r="T269" i="21"/>
  <c r="T270" i="21"/>
  <c r="T271" i="21"/>
  <c r="T272" i="21"/>
  <c r="T273" i="21"/>
  <c r="T274" i="21"/>
  <c r="T275" i="21"/>
  <c r="T276" i="21"/>
  <c r="T277" i="21"/>
  <c r="T278" i="21"/>
  <c r="T279" i="21"/>
  <c r="T280" i="21"/>
  <c r="T281" i="21"/>
  <c r="T282" i="21"/>
  <c r="T283" i="21"/>
  <c r="T284" i="21"/>
  <c r="T285" i="21"/>
  <c r="T286" i="21"/>
  <c r="T287" i="21"/>
  <c r="T288" i="21"/>
  <c r="T289" i="21"/>
  <c r="T290" i="21"/>
  <c r="T291" i="21"/>
  <c r="T292" i="21"/>
  <c r="T293" i="21"/>
  <c r="T294" i="21"/>
  <c r="T295" i="21"/>
  <c r="T296" i="21"/>
  <c r="T297" i="21"/>
  <c r="T298" i="21"/>
  <c r="T299" i="21"/>
  <c r="T300" i="21"/>
  <c r="T301" i="21"/>
  <c r="T302" i="21"/>
  <c r="T303" i="21"/>
  <c r="T304" i="21"/>
  <c r="T305" i="21"/>
  <c r="T306" i="21"/>
  <c r="T307" i="21"/>
  <c r="T308" i="21"/>
  <c r="T309" i="21"/>
  <c r="T310" i="21"/>
  <c r="T311" i="21"/>
  <c r="T312" i="21"/>
  <c r="T313" i="21"/>
  <c r="T314" i="21"/>
  <c r="T315" i="21"/>
  <c r="T316" i="21"/>
  <c r="T317" i="21"/>
  <c r="T318" i="21"/>
  <c r="T319" i="21"/>
  <c r="T320" i="21"/>
  <c r="T321" i="21"/>
  <c r="T322" i="21"/>
  <c r="T323" i="21"/>
  <c r="T324" i="21"/>
  <c r="T325" i="21"/>
  <c r="T326" i="21"/>
  <c r="T327" i="21"/>
  <c r="T328" i="21"/>
  <c r="T329" i="21"/>
  <c r="T330" i="21"/>
  <c r="T331" i="21"/>
  <c r="T332" i="21"/>
  <c r="T333" i="21"/>
  <c r="T334" i="21"/>
  <c r="T335" i="21"/>
  <c r="T336" i="21"/>
  <c r="T337" i="21"/>
  <c r="T338" i="21"/>
  <c r="T339" i="21"/>
  <c r="T340" i="21"/>
  <c r="T341" i="21"/>
  <c r="T342" i="21"/>
  <c r="T343" i="21"/>
  <c r="T344" i="21"/>
  <c r="T345" i="21"/>
  <c r="T346" i="21"/>
  <c r="T347" i="21"/>
  <c r="T348" i="21"/>
  <c r="T349" i="21"/>
  <c r="T350" i="21"/>
  <c r="T351" i="21"/>
  <c r="T352" i="21"/>
  <c r="T353" i="21"/>
  <c r="T354" i="21"/>
  <c r="T355" i="21"/>
  <c r="T356" i="21"/>
  <c r="T357" i="21"/>
  <c r="T358" i="21"/>
  <c r="T359" i="21"/>
  <c r="T360" i="21"/>
  <c r="T361" i="21"/>
  <c r="T362" i="21"/>
  <c r="T363" i="21"/>
  <c r="T364" i="21"/>
  <c r="T365" i="21"/>
  <c r="T366" i="21"/>
  <c r="T367" i="21"/>
  <c r="T368" i="21"/>
  <c r="T369" i="21"/>
  <c r="T370" i="21"/>
  <c r="T371" i="21"/>
  <c r="T372" i="21"/>
  <c r="T373" i="21"/>
  <c r="T374" i="21"/>
  <c r="T375" i="21"/>
  <c r="T376" i="21"/>
  <c r="T377" i="21"/>
  <c r="T378" i="21"/>
  <c r="T379" i="21"/>
  <c r="T380" i="21"/>
  <c r="T381" i="21"/>
  <c r="T382" i="21"/>
  <c r="T383" i="21"/>
  <c r="T384" i="21"/>
  <c r="T385" i="21"/>
  <c r="T386" i="21"/>
  <c r="T387" i="21"/>
  <c r="T388" i="21"/>
  <c r="T389" i="21"/>
  <c r="T390" i="21"/>
  <c r="T391" i="21"/>
  <c r="T392" i="21"/>
  <c r="T393" i="21"/>
  <c r="T394" i="21"/>
  <c r="T395" i="21"/>
  <c r="T396" i="21"/>
  <c r="T397" i="21"/>
  <c r="T398" i="21"/>
  <c r="T399" i="21"/>
  <c r="T400" i="21"/>
  <c r="T401" i="21"/>
  <c r="T402" i="21"/>
  <c r="T403" i="21"/>
  <c r="T404" i="21"/>
  <c r="T405" i="21"/>
  <c r="T406" i="21"/>
  <c r="T407" i="21"/>
  <c r="T408" i="21"/>
  <c r="T409" i="21"/>
  <c r="T410" i="21"/>
  <c r="T411" i="21"/>
  <c r="T412" i="21"/>
  <c r="T413" i="21"/>
  <c r="T414" i="21"/>
  <c r="T415" i="21"/>
  <c r="T416" i="21"/>
  <c r="T417" i="21"/>
  <c r="T418" i="21"/>
  <c r="T419" i="21"/>
  <c r="T420" i="21"/>
  <c r="T421" i="21"/>
  <c r="T422" i="21"/>
  <c r="T423" i="21"/>
  <c r="T424" i="21"/>
  <c r="T425" i="21"/>
  <c r="T426" i="21"/>
  <c r="T427" i="21"/>
  <c r="T428" i="21"/>
  <c r="T429" i="21"/>
  <c r="T430" i="21"/>
  <c r="T431" i="21"/>
  <c r="T432" i="21"/>
  <c r="T433" i="21"/>
  <c r="T434" i="21"/>
  <c r="T435" i="21"/>
  <c r="T436" i="21"/>
  <c r="T437" i="21"/>
  <c r="T438" i="21"/>
  <c r="T439" i="21"/>
  <c r="T440" i="21"/>
  <c r="T441" i="21"/>
  <c r="T442" i="21"/>
  <c r="T443" i="21"/>
  <c r="T444" i="21"/>
  <c r="T445" i="21"/>
  <c r="T446" i="21"/>
  <c r="T447" i="21"/>
  <c r="T448" i="21"/>
  <c r="T449" i="21"/>
  <c r="T450" i="21"/>
  <c r="T451" i="21"/>
  <c r="T452" i="21"/>
  <c r="T453" i="21"/>
  <c r="T454" i="21"/>
  <c r="T455" i="21"/>
  <c r="T456" i="21"/>
  <c r="T457" i="21"/>
  <c r="T458" i="21"/>
  <c r="T459" i="21"/>
  <c r="T460" i="21"/>
  <c r="T461" i="21"/>
  <c r="T462" i="21"/>
  <c r="T463" i="21"/>
  <c r="T464" i="21"/>
  <c r="T465" i="21"/>
  <c r="T466" i="21"/>
  <c r="T467" i="21"/>
  <c r="T468" i="21"/>
  <c r="T469" i="21"/>
  <c r="T470" i="21"/>
  <c r="T471" i="21"/>
  <c r="T472" i="21"/>
  <c r="T473" i="21"/>
  <c r="T474" i="21"/>
  <c r="T475" i="21"/>
  <c r="T476" i="21"/>
  <c r="T477" i="21"/>
  <c r="T478" i="21"/>
  <c r="T479" i="21"/>
  <c r="T480" i="21"/>
  <c r="T481" i="21"/>
  <c r="T482" i="21"/>
  <c r="T483" i="21"/>
  <c r="T484" i="21"/>
  <c r="T485" i="21"/>
  <c r="T486" i="21"/>
  <c r="T487" i="21"/>
  <c r="T488" i="21"/>
  <c r="T489" i="21"/>
  <c r="T490" i="21"/>
  <c r="T491" i="21"/>
  <c r="T492" i="21"/>
  <c r="T493" i="21"/>
  <c r="T494" i="21"/>
  <c r="T495" i="21"/>
  <c r="T496" i="21"/>
  <c r="T497" i="21"/>
  <c r="T498" i="21"/>
  <c r="T499" i="21"/>
  <c r="T500" i="21"/>
  <c r="T501" i="21"/>
  <c r="T502" i="21"/>
  <c r="T503" i="21"/>
  <c r="T504" i="21"/>
  <c r="T505" i="21"/>
  <c r="T506" i="21"/>
  <c r="T507" i="21"/>
  <c r="T508" i="21"/>
  <c r="T509" i="21"/>
  <c r="T510" i="21"/>
  <c r="T511" i="21"/>
  <c r="T512" i="21"/>
  <c r="T513" i="21"/>
  <c r="T514" i="21"/>
  <c r="T515" i="21"/>
  <c r="T516" i="21"/>
  <c r="T517" i="21"/>
  <c r="T518" i="21"/>
  <c r="T519" i="21"/>
  <c r="T520" i="21"/>
  <c r="T521" i="21"/>
  <c r="T522" i="21"/>
  <c r="T523" i="21"/>
  <c r="T524" i="21"/>
  <c r="T525" i="21"/>
  <c r="T526" i="21"/>
  <c r="T527" i="21"/>
  <c r="T528" i="21"/>
  <c r="T529" i="21"/>
  <c r="T530" i="21"/>
  <c r="T531" i="21"/>
  <c r="T532" i="21"/>
  <c r="T533" i="21"/>
  <c r="T534" i="21"/>
  <c r="T535" i="21"/>
  <c r="T536" i="21"/>
  <c r="T537" i="21"/>
  <c r="T538" i="21"/>
  <c r="T539" i="21"/>
  <c r="T540" i="21"/>
  <c r="T541" i="21"/>
  <c r="T542" i="21"/>
  <c r="T543" i="21"/>
  <c r="T544" i="21"/>
  <c r="T545" i="21"/>
  <c r="T546" i="21"/>
  <c r="T547" i="21"/>
  <c r="T548" i="21"/>
  <c r="T549" i="21"/>
  <c r="T550" i="21"/>
  <c r="T551" i="21"/>
  <c r="T552" i="21"/>
  <c r="T553" i="21"/>
  <c r="T554" i="21"/>
  <c r="T555" i="21"/>
  <c r="T556" i="21"/>
  <c r="T557" i="21"/>
  <c r="T558" i="21"/>
  <c r="T559" i="21"/>
  <c r="T560" i="21"/>
  <c r="T561" i="21"/>
  <c r="T562" i="21"/>
  <c r="T563" i="21"/>
  <c r="T564" i="21"/>
  <c r="T565" i="21"/>
  <c r="T566" i="21"/>
  <c r="T567" i="21"/>
  <c r="T568" i="21"/>
  <c r="T569" i="21"/>
  <c r="T570" i="21"/>
  <c r="T571" i="21"/>
  <c r="T572" i="21"/>
  <c r="T573" i="21"/>
  <c r="T574" i="21"/>
  <c r="T575" i="21"/>
  <c r="T576" i="21"/>
  <c r="T577" i="21"/>
  <c r="T578" i="21"/>
  <c r="T579" i="21"/>
  <c r="T580" i="21"/>
  <c r="T581" i="21"/>
  <c r="T582" i="21"/>
  <c r="T583" i="21"/>
  <c r="T584" i="21"/>
  <c r="T585" i="21"/>
  <c r="T586" i="21"/>
  <c r="T587" i="21"/>
  <c r="T588" i="21"/>
  <c r="T589" i="21"/>
  <c r="T590" i="21"/>
  <c r="T591" i="21"/>
  <c r="T592" i="21"/>
  <c r="T593" i="21"/>
  <c r="T594" i="21"/>
  <c r="T595" i="21"/>
  <c r="T596" i="21"/>
  <c r="T597" i="21"/>
  <c r="T598" i="21"/>
  <c r="T599" i="21"/>
  <c r="T600" i="21"/>
  <c r="T601" i="21"/>
  <c r="T602" i="21"/>
  <c r="T603" i="21"/>
  <c r="T604" i="21"/>
  <c r="T605" i="21"/>
  <c r="T606" i="21"/>
  <c r="T607" i="21"/>
  <c r="T608" i="21"/>
  <c r="T609" i="21"/>
  <c r="T610" i="21"/>
  <c r="T611" i="21"/>
  <c r="T612" i="21"/>
  <c r="T613" i="21"/>
  <c r="T614" i="21"/>
  <c r="T615" i="21"/>
  <c r="T616" i="21"/>
  <c r="T617" i="21"/>
  <c r="T618" i="21"/>
  <c r="T619" i="21"/>
  <c r="T620" i="21"/>
  <c r="T621" i="21"/>
  <c r="T622" i="21"/>
  <c r="T623" i="21"/>
  <c r="T624" i="21"/>
  <c r="T625" i="21"/>
  <c r="T626" i="21"/>
  <c r="T627" i="21"/>
  <c r="T628" i="21"/>
  <c r="T629" i="21"/>
  <c r="T630" i="21"/>
  <c r="T631" i="21"/>
  <c r="T632" i="21"/>
  <c r="T633" i="21"/>
  <c r="T634" i="21"/>
  <c r="T635" i="21"/>
  <c r="T636" i="21"/>
  <c r="T637" i="21"/>
  <c r="T638" i="21"/>
  <c r="T639" i="21"/>
  <c r="T640" i="21"/>
  <c r="T641" i="21"/>
  <c r="T642" i="21"/>
  <c r="T643" i="21"/>
  <c r="T644" i="21"/>
  <c r="T645" i="21"/>
  <c r="T646" i="21"/>
  <c r="T647" i="21"/>
  <c r="T648" i="21"/>
  <c r="T649" i="21"/>
  <c r="T650" i="21"/>
  <c r="T651" i="21"/>
  <c r="T652" i="21"/>
  <c r="T653" i="21"/>
  <c r="T654" i="21"/>
  <c r="T655" i="21"/>
  <c r="T656" i="21"/>
  <c r="T657" i="21"/>
  <c r="T658" i="21"/>
  <c r="T659" i="21"/>
  <c r="T660" i="21"/>
  <c r="T661" i="21"/>
  <c r="T662" i="21"/>
  <c r="T663" i="21"/>
  <c r="T664" i="21"/>
  <c r="T665" i="21"/>
  <c r="T666" i="21"/>
  <c r="T667" i="21"/>
  <c r="T668" i="21"/>
  <c r="T669" i="21"/>
  <c r="T670" i="21"/>
  <c r="T671" i="21"/>
  <c r="T672" i="21"/>
  <c r="T673" i="21"/>
  <c r="T674" i="21"/>
  <c r="T675" i="21"/>
  <c r="T676" i="21"/>
  <c r="T677" i="21"/>
  <c r="T678" i="21"/>
  <c r="T679" i="21"/>
  <c r="T680" i="21"/>
  <c r="T681" i="21"/>
  <c r="T682" i="21"/>
  <c r="T683" i="21"/>
  <c r="S3" i="21"/>
  <c r="S4" i="21"/>
  <c r="S5" i="21"/>
  <c r="S6" i="21"/>
  <c r="S7" i="21"/>
  <c r="S8" i="21"/>
  <c r="S9" i="21"/>
  <c r="S10" i="21"/>
  <c r="S11" i="21"/>
  <c r="S12" i="21"/>
  <c r="S13" i="21"/>
  <c r="S14" i="21"/>
  <c r="S15" i="21"/>
  <c r="S16" i="21"/>
  <c r="S17" i="21"/>
  <c r="S18" i="21"/>
  <c r="S19" i="21"/>
  <c r="S20" i="21"/>
  <c r="S21" i="21"/>
  <c r="S22" i="21"/>
  <c r="S23" i="21"/>
  <c r="S24" i="21"/>
  <c r="S25" i="21"/>
  <c r="S26" i="21"/>
  <c r="S27" i="21"/>
  <c r="S28" i="21"/>
  <c r="S29" i="21"/>
  <c r="S30" i="21"/>
  <c r="S31" i="21"/>
  <c r="S32" i="21"/>
  <c r="S33" i="21"/>
  <c r="S34" i="21"/>
  <c r="S35" i="21"/>
  <c r="S36" i="21"/>
  <c r="S37" i="21"/>
  <c r="S38" i="21"/>
  <c r="S39" i="21"/>
  <c r="S40" i="21"/>
  <c r="S41" i="21"/>
  <c r="S42" i="21"/>
  <c r="S43" i="21"/>
  <c r="S44" i="21"/>
  <c r="S45" i="21"/>
  <c r="S46" i="21"/>
  <c r="S47" i="21"/>
  <c r="S48" i="21"/>
  <c r="S49" i="21"/>
  <c r="S50" i="21"/>
  <c r="S51" i="21"/>
  <c r="S52" i="21"/>
  <c r="S53" i="21"/>
  <c r="S54" i="21"/>
  <c r="S55" i="21"/>
  <c r="S56" i="21"/>
  <c r="S57" i="21"/>
  <c r="S58" i="21"/>
  <c r="S59" i="21"/>
  <c r="S60" i="21"/>
  <c r="S61" i="21"/>
  <c r="S62" i="21"/>
  <c r="S63" i="21"/>
  <c r="S64" i="21"/>
  <c r="S65" i="21"/>
  <c r="S66" i="21"/>
  <c r="S67" i="21"/>
  <c r="S68" i="21"/>
  <c r="S69" i="21"/>
  <c r="S70" i="21"/>
  <c r="S71" i="21"/>
  <c r="S72" i="21"/>
  <c r="S73" i="21"/>
  <c r="S74" i="21"/>
  <c r="S75" i="21"/>
  <c r="S76" i="21"/>
  <c r="S77" i="21"/>
  <c r="S78" i="21"/>
  <c r="S79" i="21"/>
  <c r="S80" i="21"/>
  <c r="S81" i="21"/>
  <c r="S82" i="21"/>
  <c r="S83" i="21"/>
  <c r="S84" i="21"/>
  <c r="S85" i="21"/>
  <c r="S86" i="21"/>
  <c r="S87" i="21"/>
  <c r="S88" i="21"/>
  <c r="S89" i="21"/>
  <c r="S90" i="21"/>
  <c r="S91" i="21"/>
  <c r="S92" i="21"/>
  <c r="S93" i="21"/>
  <c r="S94" i="21"/>
  <c r="S95" i="21"/>
  <c r="S96" i="21"/>
  <c r="S97" i="21"/>
  <c r="S98" i="21"/>
  <c r="S99" i="21"/>
  <c r="S100" i="21"/>
  <c r="S101" i="21"/>
  <c r="S102" i="21"/>
  <c r="S103" i="21"/>
  <c r="S104" i="21"/>
  <c r="S105" i="21"/>
  <c r="S106" i="21"/>
  <c r="S107" i="21"/>
  <c r="S108" i="21"/>
  <c r="S109" i="21"/>
  <c r="S110" i="21"/>
  <c r="S111" i="21"/>
  <c r="S112" i="21"/>
  <c r="S113" i="21"/>
  <c r="S114" i="21"/>
  <c r="S115" i="21"/>
  <c r="S116" i="21"/>
  <c r="S117" i="21"/>
  <c r="S118" i="21"/>
  <c r="S119" i="21"/>
  <c r="S120" i="21"/>
  <c r="S121" i="21"/>
  <c r="S122" i="21"/>
  <c r="S123" i="21"/>
  <c r="S124" i="21"/>
  <c r="S125" i="21"/>
  <c r="S126" i="21"/>
  <c r="S127" i="21"/>
  <c r="S128" i="21"/>
  <c r="S129" i="21"/>
  <c r="S130" i="21"/>
  <c r="S131" i="21"/>
  <c r="S132" i="21"/>
  <c r="S133" i="21"/>
  <c r="S134" i="21"/>
  <c r="S135" i="21"/>
  <c r="S136" i="21"/>
  <c r="S137" i="21"/>
  <c r="S138" i="21"/>
  <c r="S139" i="21"/>
  <c r="S140" i="21"/>
  <c r="S141" i="21"/>
  <c r="S142" i="21"/>
  <c r="S143" i="21"/>
  <c r="S144" i="21"/>
  <c r="S145" i="21"/>
  <c r="S146" i="21"/>
  <c r="S147" i="21"/>
  <c r="S148" i="21"/>
  <c r="S149" i="21"/>
  <c r="S150" i="21"/>
  <c r="S151" i="21"/>
  <c r="S152" i="21"/>
  <c r="S153" i="21"/>
  <c r="S154" i="21"/>
  <c r="S155" i="21"/>
  <c r="S156" i="21"/>
  <c r="S157" i="21"/>
  <c r="S158" i="21"/>
  <c r="S159" i="21"/>
  <c r="S160" i="21"/>
  <c r="S161" i="21"/>
  <c r="S162" i="21"/>
  <c r="S163" i="21"/>
  <c r="S164" i="21"/>
  <c r="S165" i="21"/>
  <c r="S166" i="21"/>
  <c r="S167" i="21"/>
  <c r="S168" i="21"/>
  <c r="S169" i="21"/>
  <c r="S170" i="21"/>
  <c r="S171" i="21"/>
  <c r="S172" i="21"/>
  <c r="S173" i="21"/>
  <c r="S174" i="21"/>
  <c r="S175" i="21"/>
  <c r="S176" i="21"/>
  <c r="S177" i="21"/>
  <c r="S178" i="21"/>
  <c r="S179" i="21"/>
  <c r="S180" i="21"/>
  <c r="S181" i="21"/>
  <c r="S182" i="21"/>
  <c r="S183" i="21"/>
  <c r="S184" i="21"/>
  <c r="S185" i="21"/>
  <c r="S186" i="21"/>
  <c r="S187" i="21"/>
  <c r="S188" i="21"/>
  <c r="S189" i="21"/>
  <c r="S190" i="21"/>
  <c r="S191" i="21"/>
  <c r="S192" i="21"/>
  <c r="S193" i="21"/>
  <c r="S194" i="21"/>
  <c r="S195" i="21"/>
  <c r="S196" i="21"/>
  <c r="S197" i="21"/>
  <c r="S198" i="21"/>
  <c r="S199" i="21"/>
  <c r="S200" i="21"/>
  <c r="S201" i="21"/>
  <c r="S202" i="21"/>
  <c r="S203" i="21"/>
  <c r="S204" i="21"/>
  <c r="S205" i="21"/>
  <c r="S206" i="21"/>
  <c r="S207" i="21"/>
  <c r="S208" i="21"/>
  <c r="S209" i="21"/>
  <c r="S210" i="21"/>
  <c r="S211" i="21"/>
  <c r="S212" i="21"/>
  <c r="S213" i="21"/>
  <c r="S214" i="21"/>
  <c r="S215" i="21"/>
  <c r="S216" i="21"/>
  <c r="S217" i="21"/>
  <c r="S218" i="21"/>
  <c r="S219" i="21"/>
  <c r="S220" i="21"/>
  <c r="S221" i="21"/>
  <c r="S222" i="21"/>
  <c r="S223" i="21"/>
  <c r="S224" i="21"/>
  <c r="S225" i="21"/>
  <c r="S226" i="21"/>
  <c r="S227" i="21"/>
  <c r="S228" i="21"/>
  <c r="S229" i="21"/>
  <c r="S230" i="21"/>
  <c r="S231" i="21"/>
  <c r="S232" i="21"/>
  <c r="S233" i="21"/>
  <c r="S234" i="21"/>
  <c r="S235" i="21"/>
  <c r="S236" i="21"/>
  <c r="S237" i="21"/>
  <c r="S238" i="21"/>
  <c r="S239" i="21"/>
  <c r="S240" i="21"/>
  <c r="S241" i="21"/>
  <c r="S242" i="21"/>
  <c r="S243" i="21"/>
  <c r="S244" i="21"/>
  <c r="S245" i="21"/>
  <c r="S246" i="21"/>
  <c r="S247" i="21"/>
  <c r="S248" i="21"/>
  <c r="S249" i="21"/>
  <c r="S250" i="21"/>
  <c r="S251" i="21"/>
  <c r="S252" i="21"/>
  <c r="S253" i="21"/>
  <c r="S254" i="21"/>
  <c r="S255" i="21"/>
  <c r="S256" i="21"/>
  <c r="S257" i="21"/>
  <c r="S258" i="21"/>
  <c r="S259" i="21"/>
  <c r="S260" i="21"/>
  <c r="S261" i="21"/>
  <c r="S262" i="21"/>
  <c r="S263" i="21"/>
  <c r="S264" i="21"/>
  <c r="S265" i="21"/>
  <c r="S266" i="21"/>
  <c r="S267" i="21"/>
  <c r="S268" i="21"/>
  <c r="S269" i="21"/>
  <c r="S270" i="21"/>
  <c r="S271" i="21"/>
  <c r="S272" i="21"/>
  <c r="S273" i="21"/>
  <c r="S274" i="21"/>
  <c r="S275" i="21"/>
  <c r="S276" i="21"/>
  <c r="S277" i="21"/>
  <c r="S278" i="21"/>
  <c r="S279" i="21"/>
  <c r="S280" i="21"/>
  <c r="S281" i="21"/>
  <c r="S282" i="21"/>
  <c r="S283" i="21"/>
  <c r="S284" i="21"/>
  <c r="S285" i="21"/>
  <c r="S286" i="21"/>
  <c r="S287" i="21"/>
  <c r="S288" i="21"/>
  <c r="S289" i="21"/>
  <c r="S290" i="21"/>
  <c r="S291" i="21"/>
  <c r="S292" i="21"/>
  <c r="S293" i="21"/>
  <c r="S294" i="21"/>
  <c r="S295" i="21"/>
  <c r="S296" i="21"/>
  <c r="S297" i="21"/>
  <c r="S298" i="21"/>
  <c r="S299" i="21"/>
  <c r="S300" i="21"/>
  <c r="S301" i="21"/>
  <c r="S302" i="21"/>
  <c r="S303" i="21"/>
  <c r="S304" i="21"/>
  <c r="S305" i="21"/>
  <c r="S306" i="21"/>
  <c r="S307" i="21"/>
  <c r="S308" i="21"/>
  <c r="S309" i="21"/>
  <c r="S310" i="21"/>
  <c r="S311" i="21"/>
  <c r="S312" i="21"/>
  <c r="S313" i="21"/>
  <c r="S314" i="21"/>
  <c r="S315" i="21"/>
  <c r="S316" i="21"/>
  <c r="S317" i="21"/>
  <c r="S318" i="21"/>
  <c r="S319" i="21"/>
  <c r="S320" i="21"/>
  <c r="S321" i="21"/>
  <c r="S322" i="21"/>
  <c r="S323" i="21"/>
  <c r="S324" i="21"/>
  <c r="S325" i="21"/>
  <c r="S326" i="21"/>
  <c r="S327" i="21"/>
  <c r="S328" i="21"/>
  <c r="S329" i="21"/>
  <c r="S330" i="21"/>
  <c r="S331" i="21"/>
  <c r="S332" i="21"/>
  <c r="S333" i="21"/>
  <c r="S334" i="21"/>
  <c r="S335" i="21"/>
  <c r="S336" i="21"/>
  <c r="S337" i="21"/>
  <c r="S338" i="21"/>
  <c r="S339" i="21"/>
  <c r="S340" i="21"/>
  <c r="S341" i="21"/>
  <c r="S342" i="21"/>
  <c r="S343" i="21"/>
  <c r="S344" i="21"/>
  <c r="S345" i="21"/>
  <c r="S346" i="21"/>
  <c r="S347" i="21"/>
  <c r="S348" i="21"/>
  <c r="S349" i="21"/>
  <c r="S350" i="21"/>
  <c r="S351" i="21"/>
  <c r="S352" i="21"/>
  <c r="S353" i="21"/>
  <c r="S354" i="21"/>
  <c r="S355" i="21"/>
  <c r="S356" i="21"/>
  <c r="S357" i="21"/>
  <c r="S358" i="21"/>
  <c r="S359" i="21"/>
  <c r="S360" i="21"/>
  <c r="S361" i="21"/>
  <c r="S362" i="21"/>
  <c r="S363" i="21"/>
  <c r="S364" i="21"/>
  <c r="S365" i="21"/>
  <c r="S366" i="21"/>
  <c r="S367" i="21"/>
  <c r="S368" i="21"/>
  <c r="S369" i="21"/>
  <c r="S370" i="21"/>
  <c r="S371" i="21"/>
  <c r="S372" i="21"/>
  <c r="S373" i="21"/>
  <c r="S374" i="21"/>
  <c r="S375" i="21"/>
  <c r="S376" i="21"/>
  <c r="S377" i="21"/>
  <c r="S378" i="21"/>
  <c r="S379" i="21"/>
  <c r="S380" i="21"/>
  <c r="S381" i="21"/>
  <c r="S382" i="21"/>
  <c r="S383" i="21"/>
  <c r="S384" i="21"/>
  <c r="S385" i="21"/>
  <c r="S386" i="21"/>
  <c r="S387" i="21"/>
  <c r="S388" i="21"/>
  <c r="S389" i="21"/>
  <c r="S390" i="21"/>
  <c r="S391" i="21"/>
  <c r="S392" i="21"/>
  <c r="S393" i="21"/>
  <c r="S394" i="21"/>
  <c r="S395" i="21"/>
  <c r="S396" i="21"/>
  <c r="S397" i="21"/>
  <c r="S398" i="21"/>
  <c r="S399" i="21"/>
  <c r="S400" i="21"/>
  <c r="S401" i="21"/>
  <c r="S402" i="21"/>
  <c r="S403" i="21"/>
  <c r="S404" i="21"/>
  <c r="S405" i="21"/>
  <c r="S406" i="21"/>
  <c r="S407" i="21"/>
  <c r="S408" i="21"/>
  <c r="S409" i="21"/>
  <c r="S410" i="21"/>
  <c r="S411" i="21"/>
  <c r="S412" i="21"/>
  <c r="S413" i="21"/>
  <c r="S414" i="21"/>
  <c r="S415" i="21"/>
  <c r="S416" i="21"/>
  <c r="S417" i="21"/>
  <c r="S418" i="21"/>
  <c r="S419" i="21"/>
  <c r="S420" i="21"/>
  <c r="S421" i="21"/>
  <c r="S422" i="21"/>
  <c r="S423" i="21"/>
  <c r="S424" i="21"/>
  <c r="S425" i="21"/>
  <c r="S426" i="21"/>
  <c r="S427" i="21"/>
  <c r="S428" i="21"/>
  <c r="S429" i="21"/>
  <c r="S430" i="21"/>
  <c r="S431" i="21"/>
  <c r="S432" i="21"/>
  <c r="S433" i="21"/>
  <c r="S434" i="21"/>
  <c r="S435" i="21"/>
  <c r="S436" i="21"/>
  <c r="S437" i="21"/>
  <c r="S438" i="21"/>
  <c r="S439" i="21"/>
  <c r="S440" i="21"/>
  <c r="S441" i="21"/>
  <c r="S442" i="21"/>
  <c r="S443" i="21"/>
  <c r="S444" i="21"/>
  <c r="S445" i="21"/>
  <c r="S446" i="21"/>
  <c r="S447" i="21"/>
  <c r="S448" i="21"/>
  <c r="S449" i="21"/>
  <c r="S450" i="21"/>
  <c r="S451" i="21"/>
  <c r="S452" i="21"/>
  <c r="S453" i="21"/>
  <c r="S454" i="21"/>
  <c r="S455" i="21"/>
  <c r="S456" i="21"/>
  <c r="S457" i="21"/>
  <c r="S458" i="21"/>
  <c r="S459" i="21"/>
  <c r="S460" i="21"/>
  <c r="S461" i="21"/>
  <c r="S462" i="21"/>
  <c r="S463" i="21"/>
  <c r="S464" i="21"/>
  <c r="S465" i="21"/>
  <c r="S466" i="21"/>
  <c r="S467" i="21"/>
  <c r="S468" i="21"/>
  <c r="S469" i="21"/>
  <c r="S470" i="21"/>
  <c r="S471" i="21"/>
  <c r="S472" i="21"/>
  <c r="S473" i="21"/>
  <c r="S474" i="21"/>
  <c r="S475" i="21"/>
  <c r="S476" i="21"/>
  <c r="S477" i="21"/>
  <c r="S478" i="21"/>
  <c r="S479" i="21"/>
  <c r="S480" i="21"/>
  <c r="S481" i="21"/>
  <c r="S482" i="21"/>
  <c r="S483" i="21"/>
  <c r="S484" i="21"/>
  <c r="S485" i="21"/>
  <c r="S486" i="21"/>
  <c r="S487" i="21"/>
  <c r="S488" i="21"/>
  <c r="S489" i="21"/>
  <c r="S490" i="21"/>
  <c r="S491" i="21"/>
  <c r="S492" i="21"/>
  <c r="S493" i="21"/>
  <c r="S494" i="21"/>
  <c r="S495" i="21"/>
  <c r="S496" i="21"/>
  <c r="S497" i="21"/>
  <c r="S498" i="21"/>
  <c r="S499" i="21"/>
  <c r="S500" i="21"/>
  <c r="S501" i="21"/>
  <c r="S502" i="21"/>
  <c r="S503" i="21"/>
  <c r="S504" i="21"/>
  <c r="S505" i="21"/>
  <c r="S506" i="21"/>
  <c r="S507" i="21"/>
  <c r="S508" i="21"/>
  <c r="S509" i="21"/>
  <c r="S510" i="21"/>
  <c r="S511" i="21"/>
  <c r="S512" i="21"/>
  <c r="S513" i="21"/>
  <c r="S514" i="21"/>
  <c r="S515" i="21"/>
  <c r="S516" i="21"/>
  <c r="S517" i="21"/>
  <c r="S518" i="21"/>
  <c r="S519" i="21"/>
  <c r="S520" i="21"/>
  <c r="S521" i="21"/>
  <c r="S522" i="21"/>
  <c r="S523" i="21"/>
  <c r="S524" i="21"/>
  <c r="S525" i="21"/>
  <c r="S526" i="21"/>
  <c r="S527" i="21"/>
  <c r="S528" i="21"/>
  <c r="S529" i="21"/>
  <c r="S530" i="21"/>
  <c r="S531" i="21"/>
  <c r="S532" i="21"/>
  <c r="S533" i="21"/>
  <c r="S534" i="21"/>
  <c r="S535" i="21"/>
  <c r="S536" i="21"/>
  <c r="S537" i="21"/>
  <c r="S538" i="21"/>
  <c r="S539" i="21"/>
  <c r="S540" i="21"/>
  <c r="S541" i="21"/>
  <c r="S542" i="21"/>
  <c r="S543" i="21"/>
  <c r="S544" i="21"/>
  <c r="S545" i="21"/>
  <c r="S546" i="21"/>
  <c r="S547" i="21"/>
  <c r="S548" i="21"/>
  <c r="S549" i="21"/>
  <c r="S550" i="21"/>
  <c r="S551" i="21"/>
  <c r="S552" i="21"/>
  <c r="S553" i="21"/>
  <c r="S554" i="21"/>
  <c r="S555" i="21"/>
  <c r="S556" i="21"/>
  <c r="S557" i="21"/>
  <c r="S558" i="21"/>
  <c r="S559" i="21"/>
  <c r="S560" i="21"/>
  <c r="S561" i="21"/>
  <c r="S562" i="21"/>
  <c r="S563" i="21"/>
  <c r="S564" i="21"/>
  <c r="S565" i="21"/>
  <c r="S566" i="21"/>
  <c r="S567" i="21"/>
  <c r="S568" i="21"/>
  <c r="S569" i="21"/>
  <c r="S570" i="21"/>
  <c r="S571" i="21"/>
  <c r="S572" i="21"/>
  <c r="S573" i="21"/>
  <c r="S574" i="21"/>
  <c r="S575" i="21"/>
  <c r="S576" i="21"/>
  <c r="S577" i="21"/>
  <c r="S578" i="21"/>
  <c r="S579" i="21"/>
  <c r="S580" i="21"/>
  <c r="S581" i="21"/>
  <c r="S582" i="21"/>
  <c r="S583" i="21"/>
  <c r="S584" i="21"/>
  <c r="S585" i="21"/>
  <c r="S586" i="21"/>
  <c r="S587" i="21"/>
  <c r="S588" i="21"/>
  <c r="S589" i="21"/>
  <c r="S590" i="21"/>
  <c r="S591" i="21"/>
  <c r="S592" i="21"/>
  <c r="S593" i="21"/>
  <c r="S594" i="21"/>
  <c r="S595" i="21"/>
  <c r="S596" i="21"/>
  <c r="S597" i="21"/>
  <c r="S598" i="21"/>
  <c r="S599" i="21"/>
  <c r="S600" i="21"/>
  <c r="S601" i="21"/>
  <c r="S602" i="21"/>
  <c r="S603" i="21"/>
  <c r="S604" i="21"/>
  <c r="S605" i="21"/>
  <c r="S606" i="21"/>
  <c r="S607" i="21"/>
  <c r="S608" i="21"/>
  <c r="S609" i="21"/>
  <c r="S610" i="21"/>
  <c r="S611" i="21"/>
  <c r="S612" i="21"/>
  <c r="S613" i="21"/>
  <c r="S614" i="21"/>
  <c r="S615" i="21"/>
  <c r="S616" i="21"/>
  <c r="S617" i="21"/>
  <c r="S618" i="21"/>
  <c r="S619" i="21"/>
  <c r="S620" i="21"/>
  <c r="S621" i="21"/>
  <c r="S622" i="21"/>
  <c r="S623" i="21"/>
  <c r="S624" i="21"/>
  <c r="S625" i="21"/>
  <c r="S626" i="21"/>
  <c r="S627" i="21"/>
  <c r="S628" i="21"/>
  <c r="S629" i="21"/>
  <c r="S630" i="21"/>
  <c r="S631" i="21"/>
  <c r="S632" i="21"/>
  <c r="S633" i="21"/>
  <c r="S634" i="21"/>
  <c r="S635" i="21"/>
  <c r="S636" i="21"/>
  <c r="S637" i="21"/>
  <c r="S638" i="21"/>
  <c r="S639" i="21"/>
  <c r="S640" i="21"/>
  <c r="S641" i="21"/>
  <c r="S642" i="21"/>
  <c r="S643" i="21"/>
  <c r="S644" i="21"/>
  <c r="S645" i="21"/>
  <c r="S646" i="21"/>
  <c r="S647" i="21"/>
  <c r="S648" i="21"/>
  <c r="S649" i="21"/>
  <c r="S650" i="21"/>
  <c r="S651" i="21"/>
  <c r="S652" i="21"/>
  <c r="S653" i="21"/>
  <c r="S654" i="21"/>
  <c r="S655" i="21"/>
  <c r="S656" i="21"/>
  <c r="S657" i="21"/>
  <c r="S658" i="21"/>
  <c r="S659" i="21"/>
  <c r="S660" i="21"/>
  <c r="S661" i="21"/>
  <c r="S662" i="21"/>
  <c r="S663" i="21"/>
  <c r="S664" i="21"/>
  <c r="S665" i="21"/>
  <c r="S666" i="21"/>
  <c r="S667" i="21"/>
  <c r="S668" i="21"/>
  <c r="S669" i="21"/>
  <c r="S670" i="21"/>
  <c r="S671" i="21"/>
  <c r="S672" i="21"/>
  <c r="S673" i="21"/>
  <c r="S674" i="21"/>
  <c r="S675" i="21"/>
  <c r="S676" i="21"/>
  <c r="S677" i="21"/>
  <c r="S678" i="21"/>
  <c r="S679" i="21"/>
  <c r="S680" i="21"/>
  <c r="S681" i="21"/>
  <c r="S682" i="21"/>
  <c r="S683" i="21"/>
  <c r="R3" i="21"/>
  <c r="R4" i="21"/>
  <c r="R5" i="21"/>
  <c r="R6" i="21"/>
  <c r="R7" i="21"/>
  <c r="R8" i="21"/>
  <c r="R9" i="21"/>
  <c r="R10" i="21"/>
  <c r="R11" i="21"/>
  <c r="R12" i="21"/>
  <c r="R13" i="21"/>
  <c r="R14" i="21"/>
  <c r="R15" i="21"/>
  <c r="R16" i="21"/>
  <c r="R17" i="21"/>
  <c r="R18" i="21"/>
  <c r="R19" i="21"/>
  <c r="R20" i="21"/>
  <c r="R21" i="21"/>
  <c r="R22" i="21"/>
  <c r="R23" i="21"/>
  <c r="R24" i="21"/>
  <c r="R25" i="21"/>
  <c r="R26" i="21"/>
  <c r="R27" i="21"/>
  <c r="R28" i="21"/>
  <c r="R29" i="21"/>
  <c r="R30" i="21"/>
  <c r="R31" i="21"/>
  <c r="R32" i="21"/>
  <c r="R33" i="21"/>
  <c r="R34" i="21"/>
  <c r="R35" i="21"/>
  <c r="R36" i="21"/>
  <c r="R37" i="21"/>
  <c r="R38" i="21"/>
  <c r="R39" i="21"/>
  <c r="R40" i="21"/>
  <c r="R41" i="21"/>
  <c r="R42" i="21"/>
  <c r="R43" i="21"/>
  <c r="R44" i="21"/>
  <c r="R45" i="21"/>
  <c r="R46" i="21"/>
  <c r="R47" i="21"/>
  <c r="R48" i="21"/>
  <c r="R49" i="21"/>
  <c r="R50" i="21"/>
  <c r="R51" i="21"/>
  <c r="R52" i="21"/>
  <c r="R53" i="21"/>
  <c r="R54" i="21"/>
  <c r="R55" i="21"/>
  <c r="R56" i="21"/>
  <c r="R57" i="21"/>
  <c r="R58" i="21"/>
  <c r="R59" i="21"/>
  <c r="R60" i="21"/>
  <c r="R61" i="21"/>
  <c r="R62" i="21"/>
  <c r="R63" i="21"/>
  <c r="R64" i="21"/>
  <c r="R65" i="21"/>
  <c r="R66" i="21"/>
  <c r="R67" i="21"/>
  <c r="R68" i="21"/>
  <c r="R69" i="21"/>
  <c r="R70" i="21"/>
  <c r="R71" i="21"/>
  <c r="R72" i="21"/>
  <c r="R73" i="21"/>
  <c r="R74" i="21"/>
  <c r="R75" i="21"/>
  <c r="R76" i="21"/>
  <c r="R77" i="21"/>
  <c r="R78" i="21"/>
  <c r="R79" i="21"/>
  <c r="R80" i="21"/>
  <c r="R81" i="21"/>
  <c r="R82" i="21"/>
  <c r="R83" i="21"/>
  <c r="R84" i="21"/>
  <c r="R85" i="21"/>
  <c r="R86" i="21"/>
  <c r="R87" i="21"/>
  <c r="R88" i="21"/>
  <c r="R89" i="21"/>
  <c r="R90" i="21"/>
  <c r="R91" i="21"/>
  <c r="R92" i="21"/>
  <c r="R93" i="21"/>
  <c r="R94" i="21"/>
  <c r="R95" i="21"/>
  <c r="R96" i="21"/>
  <c r="R97" i="21"/>
  <c r="R98" i="21"/>
  <c r="R99" i="21"/>
  <c r="R100" i="21"/>
  <c r="R101" i="21"/>
  <c r="R102" i="21"/>
  <c r="R103" i="21"/>
  <c r="R104" i="21"/>
  <c r="R105" i="21"/>
  <c r="R106" i="21"/>
  <c r="R107" i="21"/>
  <c r="R108" i="21"/>
  <c r="R109" i="21"/>
  <c r="R110" i="21"/>
  <c r="R111" i="21"/>
  <c r="R112" i="21"/>
  <c r="R113" i="21"/>
  <c r="R114" i="21"/>
  <c r="R115" i="21"/>
  <c r="R116" i="21"/>
  <c r="R117" i="21"/>
  <c r="R118" i="21"/>
  <c r="R119" i="21"/>
  <c r="R120" i="21"/>
  <c r="R121" i="21"/>
  <c r="R122" i="21"/>
  <c r="R123" i="21"/>
  <c r="R124" i="21"/>
  <c r="R125" i="21"/>
  <c r="R126" i="21"/>
  <c r="R127" i="21"/>
  <c r="R128" i="21"/>
  <c r="R129" i="21"/>
  <c r="R130" i="21"/>
  <c r="R131" i="21"/>
  <c r="R132" i="21"/>
  <c r="R133" i="21"/>
  <c r="R134" i="21"/>
  <c r="R135" i="21"/>
  <c r="R136" i="21"/>
  <c r="R137" i="21"/>
  <c r="R138" i="21"/>
  <c r="R139" i="21"/>
  <c r="R140" i="21"/>
  <c r="R141" i="21"/>
  <c r="R142" i="21"/>
  <c r="R143" i="21"/>
  <c r="R144" i="21"/>
  <c r="R145" i="21"/>
  <c r="R146" i="21"/>
  <c r="R147" i="21"/>
  <c r="R148" i="21"/>
  <c r="R149" i="21"/>
  <c r="R150" i="21"/>
  <c r="R151" i="21"/>
  <c r="R152" i="21"/>
  <c r="R153" i="21"/>
  <c r="R154" i="21"/>
  <c r="R155" i="21"/>
  <c r="R156" i="21"/>
  <c r="R157" i="21"/>
  <c r="R158" i="21"/>
  <c r="R159" i="21"/>
  <c r="R160" i="21"/>
  <c r="R161" i="21"/>
  <c r="R162" i="21"/>
  <c r="R163" i="21"/>
  <c r="R164" i="21"/>
  <c r="R165" i="21"/>
  <c r="R166" i="21"/>
  <c r="R167" i="21"/>
  <c r="R168" i="21"/>
  <c r="R169" i="21"/>
  <c r="R170" i="21"/>
  <c r="R171" i="21"/>
  <c r="R172" i="21"/>
  <c r="R173" i="21"/>
  <c r="R174" i="21"/>
  <c r="R175" i="21"/>
  <c r="R176" i="21"/>
  <c r="R177" i="21"/>
  <c r="R178" i="21"/>
  <c r="R179" i="21"/>
  <c r="R180" i="21"/>
  <c r="R181" i="21"/>
  <c r="R182" i="21"/>
  <c r="R183" i="21"/>
  <c r="R184" i="21"/>
  <c r="R185" i="21"/>
  <c r="R186" i="21"/>
  <c r="R187" i="21"/>
  <c r="R188" i="21"/>
  <c r="R189" i="21"/>
  <c r="R190" i="21"/>
  <c r="R191" i="21"/>
  <c r="R192" i="21"/>
  <c r="R193" i="21"/>
  <c r="R194" i="21"/>
  <c r="R195" i="21"/>
  <c r="R196" i="21"/>
  <c r="R197" i="21"/>
  <c r="R198" i="21"/>
  <c r="R199" i="21"/>
  <c r="R200" i="21"/>
  <c r="R201" i="21"/>
  <c r="R202" i="21"/>
  <c r="R203" i="21"/>
  <c r="R204" i="21"/>
  <c r="R205" i="21"/>
  <c r="R206" i="21"/>
  <c r="R207" i="21"/>
  <c r="R208" i="21"/>
  <c r="R209" i="21"/>
  <c r="R210" i="21"/>
  <c r="R211" i="21"/>
  <c r="R212" i="21"/>
  <c r="R213" i="21"/>
  <c r="R214" i="21"/>
  <c r="R215" i="21"/>
  <c r="R216" i="21"/>
  <c r="R217" i="21"/>
  <c r="R218" i="21"/>
  <c r="R219" i="21"/>
  <c r="R220" i="21"/>
  <c r="R221" i="21"/>
  <c r="R222" i="21"/>
  <c r="R223" i="21"/>
  <c r="R224" i="21"/>
  <c r="R225" i="21"/>
  <c r="R226" i="21"/>
  <c r="R227" i="21"/>
  <c r="R228" i="21"/>
  <c r="R229" i="21"/>
  <c r="R230" i="21"/>
  <c r="R231" i="21"/>
  <c r="R232" i="21"/>
  <c r="R233" i="21"/>
  <c r="R234" i="21"/>
  <c r="R235" i="21"/>
  <c r="R236" i="21"/>
  <c r="R237" i="21"/>
  <c r="R238" i="21"/>
  <c r="R239" i="21"/>
  <c r="R240" i="21"/>
  <c r="R241" i="21"/>
  <c r="R242" i="21"/>
  <c r="R243" i="21"/>
  <c r="R244" i="21"/>
  <c r="R245" i="21"/>
  <c r="R246" i="21"/>
  <c r="R247" i="21"/>
  <c r="R248" i="21"/>
  <c r="R249" i="21"/>
  <c r="R250" i="21"/>
  <c r="R251" i="21"/>
  <c r="R252" i="21"/>
  <c r="R253" i="21"/>
  <c r="R254" i="21"/>
  <c r="R255" i="21"/>
  <c r="R256" i="21"/>
  <c r="R257" i="21"/>
  <c r="R258" i="21"/>
  <c r="R259" i="21"/>
  <c r="R260" i="21"/>
  <c r="R261" i="21"/>
  <c r="R262" i="21"/>
  <c r="R263" i="21"/>
  <c r="R264" i="21"/>
  <c r="R265" i="21"/>
  <c r="R266" i="21"/>
  <c r="R267" i="21"/>
  <c r="R268" i="21"/>
  <c r="R269" i="21"/>
  <c r="R270" i="21"/>
  <c r="R271" i="21"/>
  <c r="R272" i="21"/>
  <c r="R273" i="21"/>
  <c r="R274" i="21"/>
  <c r="R275" i="21"/>
  <c r="R276" i="21"/>
  <c r="R277" i="21"/>
  <c r="R278" i="21"/>
  <c r="R279" i="21"/>
  <c r="R280" i="21"/>
  <c r="R281" i="21"/>
  <c r="R282" i="21"/>
  <c r="R283" i="21"/>
  <c r="R284" i="21"/>
  <c r="R285" i="21"/>
  <c r="R286" i="21"/>
  <c r="R287" i="21"/>
  <c r="R288" i="21"/>
  <c r="R289" i="21"/>
  <c r="R290" i="21"/>
  <c r="R291" i="21"/>
  <c r="R292" i="21"/>
  <c r="R293" i="21"/>
  <c r="R294" i="21"/>
  <c r="R295" i="21"/>
  <c r="R296" i="21"/>
  <c r="R297" i="21"/>
  <c r="R298" i="21"/>
  <c r="R299" i="21"/>
  <c r="R300" i="21"/>
  <c r="R301" i="21"/>
  <c r="R302" i="21"/>
  <c r="R303" i="21"/>
  <c r="R304" i="21"/>
  <c r="R305" i="21"/>
  <c r="R306" i="21"/>
  <c r="R307" i="21"/>
  <c r="R308" i="21"/>
  <c r="R309" i="21"/>
  <c r="R310" i="21"/>
  <c r="R311" i="21"/>
  <c r="R312" i="21"/>
  <c r="R313" i="21"/>
  <c r="R314" i="21"/>
  <c r="R315" i="21"/>
  <c r="R316" i="21"/>
  <c r="R317" i="21"/>
  <c r="R318" i="21"/>
  <c r="R319" i="21"/>
  <c r="R320" i="21"/>
  <c r="R321" i="21"/>
  <c r="R322" i="21"/>
  <c r="R323" i="21"/>
  <c r="R324" i="21"/>
  <c r="R325" i="21"/>
  <c r="R326" i="21"/>
  <c r="R327" i="21"/>
  <c r="R328" i="21"/>
  <c r="R329" i="21"/>
  <c r="R330" i="21"/>
  <c r="R331" i="21"/>
  <c r="R332" i="21"/>
  <c r="R333" i="21"/>
  <c r="R334" i="21"/>
  <c r="R335" i="21"/>
  <c r="R336" i="21"/>
  <c r="R337" i="21"/>
  <c r="R338" i="21"/>
  <c r="R339" i="21"/>
  <c r="R340" i="21"/>
  <c r="R341" i="21"/>
  <c r="R342" i="21"/>
  <c r="R343" i="21"/>
  <c r="R344" i="21"/>
  <c r="R345" i="21"/>
  <c r="R346" i="21"/>
  <c r="R347" i="21"/>
  <c r="R348" i="21"/>
  <c r="R349" i="21"/>
  <c r="R350" i="21"/>
  <c r="R351" i="21"/>
  <c r="R352" i="21"/>
  <c r="R353" i="21"/>
  <c r="R354" i="21"/>
  <c r="R355" i="21"/>
  <c r="R356" i="21"/>
  <c r="R357" i="21"/>
  <c r="R358" i="21"/>
  <c r="R359" i="21"/>
  <c r="R360" i="21"/>
  <c r="R361" i="21"/>
  <c r="R362" i="21"/>
  <c r="R363" i="21"/>
  <c r="R364" i="21"/>
  <c r="R365" i="21"/>
  <c r="R366" i="21"/>
  <c r="R367" i="21"/>
  <c r="R368" i="21"/>
  <c r="R369" i="21"/>
  <c r="R370" i="21"/>
  <c r="R371" i="21"/>
  <c r="R372" i="21"/>
  <c r="R373" i="21"/>
  <c r="R374" i="21"/>
  <c r="R375" i="21"/>
  <c r="R376" i="21"/>
  <c r="R377" i="21"/>
  <c r="R378" i="21"/>
  <c r="R379" i="21"/>
  <c r="R380" i="21"/>
  <c r="R381" i="21"/>
  <c r="R382" i="21"/>
  <c r="R383" i="21"/>
  <c r="R384" i="21"/>
  <c r="R385" i="21"/>
  <c r="R386" i="21"/>
  <c r="R387" i="21"/>
  <c r="R388" i="21"/>
  <c r="R389" i="21"/>
  <c r="R390" i="21"/>
  <c r="R391" i="21"/>
  <c r="R392" i="21"/>
  <c r="R393" i="21"/>
  <c r="R394" i="21"/>
  <c r="R395" i="21"/>
  <c r="R396" i="21"/>
  <c r="R397" i="21"/>
  <c r="R398" i="21"/>
  <c r="R399" i="21"/>
  <c r="R400" i="21"/>
  <c r="R401" i="21"/>
  <c r="R402" i="21"/>
  <c r="R403" i="21"/>
  <c r="R404" i="21"/>
  <c r="R405" i="21"/>
  <c r="R406" i="21"/>
  <c r="R407" i="21"/>
  <c r="R408" i="21"/>
  <c r="R409" i="21"/>
  <c r="R410" i="21"/>
  <c r="R411" i="21"/>
  <c r="R412" i="21"/>
  <c r="R413" i="21"/>
  <c r="R414" i="21"/>
  <c r="R415" i="21"/>
  <c r="R416" i="21"/>
  <c r="R417" i="21"/>
  <c r="R418" i="21"/>
  <c r="R419" i="21"/>
  <c r="R420" i="21"/>
  <c r="R421" i="21"/>
  <c r="R422" i="21"/>
  <c r="R423" i="21"/>
  <c r="R424" i="21"/>
  <c r="R425" i="21"/>
  <c r="R426" i="21"/>
  <c r="R427" i="21"/>
  <c r="R428" i="21"/>
  <c r="R429" i="21"/>
  <c r="R430" i="21"/>
  <c r="R431" i="21"/>
  <c r="R432" i="21"/>
  <c r="R433" i="21"/>
  <c r="R434" i="21"/>
  <c r="R435" i="21"/>
  <c r="R436" i="21"/>
  <c r="R437" i="21"/>
  <c r="R438" i="21"/>
  <c r="R439" i="21"/>
  <c r="R440" i="21"/>
  <c r="R441" i="21"/>
  <c r="R442" i="21"/>
  <c r="R443" i="21"/>
  <c r="R444" i="21"/>
  <c r="R445" i="21"/>
  <c r="R446" i="21"/>
  <c r="R447" i="21"/>
  <c r="R448" i="21"/>
  <c r="R449" i="21"/>
  <c r="R450" i="21"/>
  <c r="R451" i="21"/>
  <c r="R452" i="21"/>
  <c r="R453" i="21"/>
  <c r="R454" i="21"/>
  <c r="R455" i="21"/>
  <c r="R456" i="21"/>
  <c r="R457" i="21"/>
  <c r="R458" i="21"/>
  <c r="R459" i="21"/>
  <c r="R460" i="21"/>
  <c r="R461" i="21"/>
  <c r="R462" i="21"/>
  <c r="R463" i="21"/>
  <c r="R464" i="21"/>
  <c r="R465" i="21"/>
  <c r="R466" i="21"/>
  <c r="R467" i="21"/>
  <c r="R468" i="21"/>
  <c r="R469" i="21"/>
  <c r="R470" i="21"/>
  <c r="R471" i="21"/>
  <c r="R472" i="21"/>
  <c r="R473" i="21"/>
  <c r="R474" i="21"/>
  <c r="R475" i="21"/>
  <c r="R476" i="21"/>
  <c r="R477" i="21"/>
  <c r="R478" i="21"/>
  <c r="R479" i="21"/>
  <c r="R480" i="21"/>
  <c r="R481" i="21"/>
  <c r="R482" i="21"/>
  <c r="R483" i="21"/>
  <c r="R484" i="21"/>
  <c r="R485" i="21"/>
  <c r="R486" i="21"/>
  <c r="R487" i="21"/>
  <c r="R488" i="21"/>
  <c r="R489" i="21"/>
  <c r="R490" i="21"/>
  <c r="R491" i="21"/>
  <c r="R492" i="21"/>
  <c r="R493" i="21"/>
  <c r="R494" i="21"/>
  <c r="R495" i="21"/>
  <c r="R496" i="21"/>
  <c r="R497" i="21"/>
  <c r="R498" i="21"/>
  <c r="R499" i="21"/>
  <c r="R500" i="21"/>
  <c r="R501" i="21"/>
  <c r="R502" i="21"/>
  <c r="R503" i="21"/>
  <c r="R504" i="21"/>
  <c r="R505" i="21"/>
  <c r="R506" i="21"/>
  <c r="R507" i="21"/>
  <c r="R508" i="21"/>
  <c r="R509" i="21"/>
  <c r="R510" i="21"/>
  <c r="R511" i="21"/>
  <c r="R512" i="21"/>
  <c r="R513" i="21"/>
  <c r="R514" i="21"/>
  <c r="R515" i="21"/>
  <c r="R516" i="21"/>
  <c r="R517" i="21"/>
  <c r="R518" i="21"/>
  <c r="R519" i="21"/>
  <c r="R520" i="21"/>
  <c r="R521" i="21"/>
  <c r="R522" i="21"/>
  <c r="R523" i="21"/>
  <c r="R524" i="21"/>
  <c r="R525" i="21"/>
  <c r="R526" i="21"/>
  <c r="R527" i="21"/>
  <c r="R528" i="21"/>
  <c r="R529" i="21"/>
  <c r="R530" i="21"/>
  <c r="R531" i="21"/>
  <c r="R532" i="21"/>
  <c r="R533" i="21"/>
  <c r="R534" i="21"/>
  <c r="R535" i="21"/>
  <c r="R536" i="21"/>
  <c r="R537" i="21"/>
  <c r="R538" i="21"/>
  <c r="R539" i="21"/>
  <c r="R540" i="21"/>
  <c r="R541" i="21"/>
  <c r="R542" i="21"/>
  <c r="R543" i="21"/>
  <c r="R544" i="21"/>
  <c r="R545" i="21"/>
  <c r="R546" i="21"/>
  <c r="R547" i="21"/>
  <c r="R548" i="21"/>
  <c r="R549" i="21"/>
  <c r="R550" i="21"/>
  <c r="R551" i="21"/>
  <c r="R552" i="21"/>
  <c r="R553" i="21"/>
  <c r="R554" i="21"/>
  <c r="R555" i="21"/>
  <c r="R556" i="21"/>
  <c r="R557" i="21"/>
  <c r="R558" i="21"/>
  <c r="R559" i="21"/>
  <c r="R560" i="21"/>
  <c r="R561" i="21"/>
  <c r="R562" i="21"/>
  <c r="R563" i="21"/>
  <c r="R564" i="21"/>
  <c r="R565" i="21"/>
  <c r="R566" i="21"/>
  <c r="R567" i="21"/>
  <c r="R568" i="21"/>
  <c r="R569" i="21"/>
  <c r="R570" i="21"/>
  <c r="R571" i="21"/>
  <c r="R572" i="21"/>
  <c r="R573" i="21"/>
  <c r="R574" i="21"/>
  <c r="R575" i="21"/>
  <c r="R576" i="21"/>
  <c r="R577" i="21"/>
  <c r="R578" i="21"/>
  <c r="R579" i="21"/>
  <c r="R580" i="21"/>
  <c r="R581" i="21"/>
  <c r="R582" i="21"/>
  <c r="R583" i="21"/>
  <c r="R584" i="21"/>
  <c r="R585" i="21"/>
  <c r="R586" i="21"/>
  <c r="R587" i="21"/>
  <c r="R588" i="21"/>
  <c r="R589" i="21"/>
  <c r="R590" i="21"/>
  <c r="R591" i="21"/>
  <c r="R592" i="21"/>
  <c r="R593" i="21"/>
  <c r="R594" i="21"/>
  <c r="R595" i="21"/>
  <c r="R596" i="21"/>
  <c r="R597" i="21"/>
  <c r="R598" i="21"/>
  <c r="R599" i="21"/>
  <c r="R600" i="21"/>
  <c r="R601" i="21"/>
  <c r="R602" i="21"/>
  <c r="R603" i="21"/>
  <c r="R604" i="21"/>
  <c r="R605" i="21"/>
  <c r="R606" i="21"/>
  <c r="R607" i="21"/>
  <c r="R608" i="21"/>
  <c r="R609" i="21"/>
  <c r="R610" i="21"/>
  <c r="R611" i="21"/>
  <c r="R612" i="21"/>
  <c r="R613" i="21"/>
  <c r="R614" i="21"/>
  <c r="R615" i="21"/>
  <c r="R616" i="21"/>
  <c r="R617" i="21"/>
  <c r="R618" i="21"/>
  <c r="R619" i="21"/>
  <c r="R620" i="21"/>
  <c r="R621" i="21"/>
  <c r="R622" i="21"/>
  <c r="R623" i="21"/>
  <c r="R624" i="21"/>
  <c r="R625" i="21"/>
  <c r="R626" i="21"/>
  <c r="R627" i="21"/>
  <c r="R628" i="21"/>
  <c r="R629" i="21"/>
  <c r="R630" i="21"/>
  <c r="R631" i="21"/>
  <c r="R632" i="21"/>
  <c r="R633" i="21"/>
  <c r="R634" i="21"/>
  <c r="R635" i="21"/>
  <c r="R636" i="21"/>
  <c r="R637" i="21"/>
  <c r="R638" i="21"/>
  <c r="R639" i="21"/>
  <c r="R640" i="21"/>
  <c r="R641" i="21"/>
  <c r="R642" i="21"/>
  <c r="R643" i="21"/>
  <c r="R644" i="21"/>
  <c r="R645" i="21"/>
  <c r="R646" i="21"/>
  <c r="R647" i="21"/>
  <c r="R648" i="21"/>
  <c r="R649" i="21"/>
  <c r="R650" i="21"/>
  <c r="R651" i="21"/>
  <c r="R652" i="21"/>
  <c r="R653" i="21"/>
  <c r="R654" i="21"/>
  <c r="R655" i="21"/>
  <c r="R656" i="21"/>
  <c r="R657" i="21"/>
  <c r="R658" i="21"/>
  <c r="R659" i="21"/>
  <c r="R660" i="21"/>
  <c r="R661" i="21"/>
  <c r="R662" i="21"/>
  <c r="R663" i="21"/>
  <c r="R664" i="21"/>
  <c r="R665" i="21"/>
  <c r="R666" i="21"/>
  <c r="R667" i="21"/>
  <c r="R668" i="21"/>
  <c r="R669" i="21"/>
  <c r="R670" i="21"/>
  <c r="R671" i="21"/>
  <c r="R672" i="21"/>
  <c r="R673" i="21"/>
  <c r="R674" i="21"/>
  <c r="R675" i="21"/>
  <c r="R676" i="21"/>
  <c r="R677" i="21"/>
  <c r="R678" i="21"/>
  <c r="R679" i="21"/>
  <c r="R680" i="21"/>
  <c r="R681" i="21"/>
  <c r="R682" i="21"/>
  <c r="R683" i="21"/>
  <c r="Q3" i="21"/>
  <c r="Q4" i="21"/>
  <c r="Q5" i="21"/>
  <c r="Q6" i="21"/>
  <c r="Q7" i="21"/>
  <c r="Q8" i="21"/>
  <c r="Q9" i="21"/>
  <c r="Q10" i="21"/>
  <c r="Q11" i="21"/>
  <c r="Q12" i="21"/>
  <c r="Q13" i="21"/>
  <c r="Q14" i="21"/>
  <c r="Q15" i="21"/>
  <c r="Q16" i="21"/>
  <c r="Q17" i="21"/>
  <c r="Q18" i="21"/>
  <c r="Q19" i="21"/>
  <c r="Q20" i="21"/>
  <c r="Q21" i="21"/>
  <c r="Q22" i="21"/>
  <c r="Q23" i="21"/>
  <c r="Q24" i="21"/>
  <c r="Q25" i="21"/>
  <c r="Q26" i="21"/>
  <c r="Q27" i="21"/>
  <c r="Q28" i="21"/>
  <c r="Q29" i="21"/>
  <c r="Q30" i="21"/>
  <c r="Q31" i="21"/>
  <c r="Q32" i="21"/>
  <c r="Q33" i="21"/>
  <c r="Q34" i="21"/>
  <c r="Q35" i="21"/>
  <c r="Q36" i="21"/>
  <c r="Q37" i="21"/>
  <c r="Q38" i="21"/>
  <c r="Q39" i="21"/>
  <c r="Q40" i="21"/>
  <c r="Q41" i="21"/>
  <c r="Q42" i="21"/>
  <c r="Q43" i="21"/>
  <c r="Q44" i="21"/>
  <c r="Q45" i="21"/>
  <c r="Q46" i="21"/>
  <c r="Q47" i="21"/>
  <c r="Q48" i="21"/>
  <c r="Q49" i="21"/>
  <c r="Q50" i="21"/>
  <c r="Q51" i="21"/>
  <c r="Q52" i="21"/>
  <c r="Q53" i="21"/>
  <c r="Q54" i="21"/>
  <c r="Q55" i="21"/>
  <c r="Q56" i="21"/>
  <c r="Q57" i="21"/>
  <c r="Q58" i="21"/>
  <c r="Q59" i="21"/>
  <c r="Q60" i="21"/>
  <c r="Q61" i="21"/>
  <c r="Q62" i="21"/>
  <c r="Q63" i="21"/>
  <c r="Q64" i="21"/>
  <c r="Q65" i="21"/>
  <c r="Q66" i="21"/>
  <c r="Q67" i="21"/>
  <c r="Q68" i="21"/>
  <c r="Q69" i="21"/>
  <c r="Q70" i="21"/>
  <c r="Q71" i="21"/>
  <c r="Q72" i="21"/>
  <c r="Q73" i="21"/>
  <c r="Q74" i="21"/>
  <c r="Q75" i="21"/>
  <c r="Q76" i="21"/>
  <c r="Q77" i="21"/>
  <c r="Q78" i="21"/>
  <c r="Q79" i="21"/>
  <c r="Q80" i="21"/>
  <c r="Q81" i="21"/>
  <c r="Q82" i="21"/>
  <c r="Q83" i="21"/>
  <c r="Q84" i="21"/>
  <c r="Q85" i="21"/>
  <c r="Q86" i="21"/>
  <c r="Q87" i="21"/>
  <c r="Q88" i="21"/>
  <c r="Q89" i="21"/>
  <c r="Q90" i="21"/>
  <c r="Q91" i="21"/>
  <c r="Q92" i="21"/>
  <c r="Q93" i="21"/>
  <c r="Q94" i="21"/>
  <c r="Q95" i="21"/>
  <c r="Q96" i="21"/>
  <c r="Q97" i="21"/>
  <c r="Q98" i="21"/>
  <c r="Q99" i="21"/>
  <c r="Q100" i="21"/>
  <c r="Q101" i="21"/>
  <c r="Q102" i="21"/>
  <c r="Q103" i="21"/>
  <c r="Q104" i="21"/>
  <c r="Q105" i="21"/>
  <c r="Q106" i="21"/>
  <c r="Q107" i="21"/>
  <c r="Q108" i="21"/>
  <c r="Q109" i="21"/>
  <c r="Q110" i="21"/>
  <c r="Q111" i="21"/>
  <c r="Q112" i="21"/>
  <c r="Q113" i="21"/>
  <c r="Q114" i="21"/>
  <c r="Q115" i="21"/>
  <c r="Q116" i="21"/>
  <c r="Q117" i="21"/>
  <c r="Q118" i="21"/>
  <c r="Q119" i="21"/>
  <c r="Q120" i="21"/>
  <c r="Q121" i="21"/>
  <c r="Q122" i="21"/>
  <c r="Q123" i="21"/>
  <c r="Q124" i="21"/>
  <c r="Q125" i="21"/>
  <c r="Q126" i="21"/>
  <c r="Q127" i="21"/>
  <c r="Q128" i="21"/>
  <c r="Q129" i="21"/>
  <c r="Q130" i="21"/>
  <c r="Q131" i="21"/>
  <c r="Q132" i="21"/>
  <c r="Q133" i="21"/>
  <c r="Q134" i="21"/>
  <c r="Q135" i="21"/>
  <c r="Q136" i="21"/>
  <c r="Q137" i="21"/>
  <c r="Q138" i="21"/>
  <c r="Q139" i="21"/>
  <c r="Q140" i="21"/>
  <c r="Q141" i="21"/>
  <c r="Q142" i="21"/>
  <c r="Q143" i="21"/>
  <c r="Q144" i="21"/>
  <c r="Q145" i="21"/>
  <c r="Q146" i="21"/>
  <c r="Q147" i="21"/>
  <c r="Q148" i="21"/>
  <c r="Q149" i="21"/>
  <c r="Q150" i="21"/>
  <c r="Q151" i="21"/>
  <c r="Q152" i="21"/>
  <c r="Q153" i="21"/>
  <c r="Q154" i="21"/>
  <c r="Q155" i="21"/>
  <c r="Q156" i="21"/>
  <c r="Q157" i="21"/>
  <c r="Q158" i="21"/>
  <c r="Q159" i="21"/>
  <c r="Q160" i="21"/>
  <c r="Q161" i="21"/>
  <c r="Q162" i="21"/>
  <c r="Q163" i="21"/>
  <c r="Q164" i="21"/>
  <c r="Q165" i="21"/>
  <c r="Q166" i="21"/>
  <c r="Q167" i="21"/>
  <c r="Q168" i="21"/>
  <c r="Q169" i="21"/>
  <c r="Q170" i="21"/>
  <c r="Q171" i="21"/>
  <c r="Q172" i="21"/>
  <c r="Q173" i="21"/>
  <c r="Q174" i="21"/>
  <c r="Q175" i="21"/>
  <c r="Q176" i="21"/>
  <c r="Q177" i="21"/>
  <c r="Q178" i="21"/>
  <c r="Q179" i="21"/>
  <c r="Q180" i="21"/>
  <c r="Q181" i="21"/>
  <c r="Q182" i="21"/>
  <c r="Q183" i="21"/>
  <c r="Q184" i="21"/>
  <c r="Q185" i="21"/>
  <c r="Q186" i="21"/>
  <c r="Q187" i="21"/>
  <c r="Q188" i="21"/>
  <c r="Q189" i="21"/>
  <c r="Q190" i="21"/>
  <c r="Q191" i="21"/>
  <c r="Q192" i="21"/>
  <c r="Q193" i="21"/>
  <c r="Q194" i="21"/>
  <c r="Q195" i="21"/>
  <c r="Q196" i="21"/>
  <c r="Q197" i="21"/>
  <c r="Q198" i="21"/>
  <c r="Q199" i="21"/>
  <c r="Q200" i="21"/>
  <c r="Q201" i="21"/>
  <c r="Q202" i="21"/>
  <c r="Q203" i="21"/>
  <c r="Q204" i="21"/>
  <c r="Q205" i="21"/>
  <c r="Q206" i="21"/>
  <c r="Q207" i="21"/>
  <c r="Q208" i="21"/>
  <c r="Q209" i="21"/>
  <c r="Q210" i="21"/>
  <c r="Q211" i="21"/>
  <c r="Q212" i="21"/>
  <c r="Q213" i="21"/>
  <c r="Q214" i="21"/>
  <c r="Q215" i="21"/>
  <c r="Q216" i="21"/>
  <c r="Q217" i="21"/>
  <c r="Q218" i="21"/>
  <c r="Q219" i="21"/>
  <c r="Q220" i="21"/>
  <c r="Q221" i="21"/>
  <c r="Q222" i="21"/>
  <c r="Q223" i="21"/>
  <c r="Q224" i="21"/>
  <c r="Q225" i="21"/>
  <c r="Q226" i="21"/>
  <c r="Q227" i="21"/>
  <c r="Q228" i="21"/>
  <c r="Q229" i="21"/>
  <c r="Q230" i="21"/>
  <c r="Q231" i="21"/>
  <c r="Q232" i="21"/>
  <c r="Q233" i="21"/>
  <c r="Q234" i="21"/>
  <c r="Q235" i="21"/>
  <c r="Q236" i="21"/>
  <c r="Q237" i="21"/>
  <c r="Q238" i="21"/>
  <c r="Q239" i="21"/>
  <c r="Q240" i="21"/>
  <c r="Q241" i="21"/>
  <c r="Q242" i="21"/>
  <c r="Q243" i="21"/>
  <c r="Q244" i="21"/>
  <c r="Q245" i="21"/>
  <c r="Q246" i="21"/>
  <c r="Q247" i="21"/>
  <c r="Q248" i="21"/>
  <c r="Q249" i="21"/>
  <c r="Q250" i="21"/>
  <c r="Q251" i="21"/>
  <c r="Q252" i="21"/>
  <c r="Q253" i="21"/>
  <c r="Q254" i="21"/>
  <c r="Q255" i="21"/>
  <c r="Q256" i="21"/>
  <c r="Q257" i="21"/>
  <c r="Q258" i="21"/>
  <c r="Q259" i="21"/>
  <c r="Q260" i="21"/>
  <c r="Q261" i="21"/>
  <c r="Q262" i="21"/>
  <c r="Q263" i="21"/>
  <c r="Q264" i="21"/>
  <c r="Q265" i="21"/>
  <c r="Q266" i="21"/>
  <c r="Q267" i="21"/>
  <c r="Q268" i="21"/>
  <c r="Q269" i="21"/>
  <c r="Q270" i="21"/>
  <c r="Q271" i="21"/>
  <c r="Q272" i="21"/>
  <c r="Q273" i="21"/>
  <c r="Q274" i="21"/>
  <c r="Q275" i="21"/>
  <c r="Q276" i="21"/>
  <c r="Q277" i="21"/>
  <c r="Q278" i="21"/>
  <c r="Q279" i="21"/>
  <c r="Q280" i="21"/>
  <c r="Q281" i="21"/>
  <c r="Q282" i="21"/>
  <c r="Q283" i="21"/>
  <c r="Q284" i="21"/>
  <c r="Q285" i="21"/>
  <c r="Q286" i="21"/>
  <c r="Q287" i="21"/>
  <c r="Q288" i="21"/>
  <c r="Q289" i="21"/>
  <c r="Q290" i="21"/>
  <c r="Q291" i="21"/>
  <c r="Q292" i="21"/>
  <c r="Q293" i="21"/>
  <c r="Q294" i="21"/>
  <c r="Q295" i="21"/>
  <c r="Q296" i="21"/>
  <c r="Q297" i="21"/>
  <c r="Q298" i="21"/>
  <c r="Q299" i="21"/>
  <c r="Q300" i="21"/>
  <c r="Q301" i="21"/>
  <c r="Q302" i="21"/>
  <c r="Q303" i="21"/>
  <c r="Q304" i="21"/>
  <c r="Q305" i="21"/>
  <c r="Q306" i="21"/>
  <c r="Q307" i="21"/>
  <c r="Q308" i="21"/>
  <c r="Q309" i="21"/>
  <c r="Q310" i="21"/>
  <c r="Q311" i="21"/>
  <c r="Q312" i="21"/>
  <c r="Q313" i="21"/>
  <c r="Q314" i="21"/>
  <c r="Q315" i="21"/>
  <c r="Q316" i="21"/>
  <c r="Q317" i="21"/>
  <c r="Q318" i="21"/>
  <c r="Q319" i="21"/>
  <c r="Q320" i="21"/>
  <c r="Q321" i="21"/>
  <c r="Q322" i="21"/>
  <c r="Q323" i="21"/>
  <c r="Q324" i="21"/>
  <c r="Q325" i="21"/>
  <c r="Q326" i="21"/>
  <c r="Q327" i="21"/>
  <c r="Q328" i="21"/>
  <c r="Q329" i="21"/>
  <c r="Q330" i="21"/>
  <c r="Q331" i="21"/>
  <c r="Q332" i="21"/>
  <c r="Q333" i="21"/>
  <c r="Q334" i="21"/>
  <c r="Q335" i="21"/>
  <c r="Q336" i="21"/>
  <c r="Q337" i="21"/>
  <c r="Q338" i="21"/>
  <c r="Q339" i="21"/>
  <c r="Q340" i="21"/>
  <c r="Q341" i="21"/>
  <c r="Q342" i="21"/>
  <c r="Q343" i="21"/>
  <c r="Q344" i="21"/>
  <c r="Q345" i="21"/>
  <c r="Q346" i="21"/>
  <c r="Q347" i="21"/>
  <c r="Q348" i="21"/>
  <c r="Q349" i="21"/>
  <c r="Q350" i="21"/>
  <c r="Q351" i="21"/>
  <c r="Q352" i="21"/>
  <c r="Q353" i="21"/>
  <c r="Q354" i="21"/>
  <c r="Q355" i="21"/>
  <c r="Q356" i="21"/>
  <c r="Q357" i="21"/>
  <c r="Q358" i="21"/>
  <c r="Q359" i="21"/>
  <c r="Q360" i="21"/>
  <c r="Q361" i="21"/>
  <c r="Q362" i="21"/>
  <c r="Q363" i="21"/>
  <c r="Q364" i="21"/>
  <c r="Q365" i="21"/>
  <c r="Q366" i="21"/>
  <c r="Q367" i="21"/>
  <c r="Q368" i="21"/>
  <c r="Q369" i="21"/>
  <c r="Q370" i="21"/>
  <c r="Q371" i="21"/>
  <c r="Q372" i="21"/>
  <c r="Q373" i="21"/>
  <c r="Q374" i="21"/>
  <c r="Q375" i="21"/>
  <c r="Q376" i="21"/>
  <c r="Q377" i="21"/>
  <c r="Q378" i="21"/>
  <c r="Q379" i="21"/>
  <c r="Q380" i="21"/>
  <c r="Q381" i="21"/>
  <c r="Q382" i="21"/>
  <c r="Q383" i="21"/>
  <c r="Q384" i="21"/>
  <c r="Q385" i="21"/>
  <c r="Q386" i="21"/>
  <c r="Q387" i="21"/>
  <c r="Q388" i="21"/>
  <c r="Q389" i="21"/>
  <c r="Q390" i="21"/>
  <c r="Q391" i="21"/>
  <c r="Q392" i="21"/>
  <c r="Q393" i="21"/>
  <c r="Q394" i="21"/>
  <c r="Q395" i="21"/>
  <c r="Q396" i="21"/>
  <c r="Q397" i="21"/>
  <c r="Q398" i="21"/>
  <c r="Q399" i="21"/>
  <c r="Q400" i="21"/>
  <c r="Q401" i="21"/>
  <c r="Q402" i="21"/>
  <c r="Q403" i="21"/>
  <c r="Q404" i="21"/>
  <c r="Q405" i="21"/>
  <c r="Q406" i="21"/>
  <c r="Q407" i="21"/>
  <c r="Q408" i="21"/>
  <c r="Q409" i="21"/>
  <c r="Q410" i="21"/>
  <c r="Q411" i="21"/>
  <c r="Q412" i="21"/>
  <c r="Q413" i="21"/>
  <c r="Q414" i="21"/>
  <c r="Q415" i="21"/>
  <c r="Q416" i="21"/>
  <c r="Q417" i="21"/>
  <c r="Q418" i="21"/>
  <c r="Q419" i="21"/>
  <c r="Q420" i="21"/>
  <c r="Q421" i="21"/>
  <c r="Q422" i="21"/>
  <c r="Q423" i="21"/>
  <c r="Q424" i="21"/>
  <c r="Q425" i="21"/>
  <c r="Q426" i="21"/>
  <c r="Q427" i="21"/>
  <c r="Q428" i="21"/>
  <c r="Q429" i="21"/>
  <c r="Q430" i="21"/>
  <c r="Q431" i="21"/>
  <c r="Q432" i="21"/>
  <c r="Q433" i="21"/>
  <c r="Q434" i="21"/>
  <c r="Q435" i="21"/>
  <c r="Q436" i="21"/>
  <c r="Q437" i="21"/>
  <c r="Q438" i="21"/>
  <c r="Q439" i="21"/>
  <c r="Q440" i="21"/>
  <c r="Q441" i="21"/>
  <c r="Q442" i="21"/>
  <c r="Q443" i="21"/>
  <c r="Q444" i="21"/>
  <c r="Q445" i="21"/>
  <c r="Q446" i="21"/>
  <c r="Q447" i="21"/>
  <c r="Q448" i="21"/>
  <c r="Q449" i="21"/>
  <c r="Q450" i="21"/>
  <c r="Q451" i="21"/>
  <c r="Q452" i="21"/>
  <c r="Q453" i="21"/>
  <c r="Q454" i="21"/>
  <c r="Q455" i="21"/>
  <c r="Q456" i="21"/>
  <c r="Q457" i="21"/>
  <c r="Q458" i="21"/>
  <c r="Q459" i="21"/>
  <c r="Q460" i="21"/>
  <c r="Q461" i="21"/>
  <c r="Q462" i="21"/>
  <c r="Q463" i="21"/>
  <c r="Q464" i="21"/>
  <c r="Q465" i="21"/>
  <c r="Q466" i="21"/>
  <c r="Q467" i="21"/>
  <c r="Q468" i="21"/>
  <c r="Q469" i="21"/>
  <c r="Q470" i="21"/>
  <c r="Q471" i="21"/>
  <c r="Q472" i="21"/>
  <c r="Q473" i="21"/>
  <c r="Q474" i="21"/>
  <c r="Q475" i="21"/>
  <c r="Q476" i="21"/>
  <c r="Q477" i="21"/>
  <c r="Q478" i="21"/>
  <c r="Q479" i="21"/>
  <c r="Q480" i="21"/>
  <c r="Q481" i="21"/>
  <c r="Q482" i="21"/>
  <c r="Q483" i="21"/>
  <c r="Q484" i="21"/>
  <c r="Q485" i="21"/>
  <c r="Q486" i="21"/>
  <c r="Q487" i="21"/>
  <c r="Q488" i="21"/>
  <c r="Q489" i="21"/>
  <c r="Q490" i="21"/>
  <c r="Q491" i="21"/>
  <c r="Q492" i="21"/>
  <c r="Q493" i="21"/>
  <c r="Q494" i="21"/>
  <c r="Q495" i="21"/>
  <c r="Q496" i="21"/>
  <c r="Q497" i="21"/>
  <c r="Q498" i="21"/>
  <c r="Q499" i="21"/>
  <c r="Q500" i="21"/>
  <c r="Q501" i="21"/>
  <c r="Q502" i="21"/>
  <c r="Q503" i="21"/>
  <c r="Q504" i="21"/>
  <c r="Q505" i="21"/>
  <c r="Q506" i="21"/>
  <c r="Q507" i="21"/>
  <c r="Q508" i="21"/>
  <c r="Q509" i="21"/>
  <c r="Q510" i="21"/>
  <c r="Q511" i="21"/>
  <c r="Q512" i="21"/>
  <c r="Q513" i="21"/>
  <c r="Q514" i="21"/>
  <c r="Q515" i="21"/>
  <c r="Q516" i="21"/>
  <c r="Q517" i="21"/>
  <c r="Q518" i="21"/>
  <c r="Q519" i="21"/>
  <c r="Q520" i="21"/>
  <c r="Q521" i="21"/>
  <c r="Q522" i="21"/>
  <c r="Q523" i="21"/>
  <c r="Q524" i="21"/>
  <c r="Q525" i="21"/>
  <c r="Q526" i="21"/>
  <c r="Q527" i="21"/>
  <c r="Q528" i="21"/>
  <c r="Q529" i="21"/>
  <c r="Q530" i="21"/>
  <c r="Q531" i="21"/>
  <c r="Q532" i="21"/>
  <c r="Q533" i="21"/>
  <c r="Q534" i="21"/>
  <c r="Q535" i="21"/>
  <c r="Q536" i="21"/>
  <c r="Q537" i="21"/>
  <c r="Q538" i="21"/>
  <c r="Q539" i="21"/>
  <c r="Q540" i="21"/>
  <c r="Q541" i="21"/>
  <c r="Q542" i="21"/>
  <c r="Q543" i="21"/>
  <c r="Q544" i="21"/>
  <c r="Q545" i="21"/>
  <c r="Q546" i="21"/>
  <c r="Q547" i="21"/>
  <c r="Q548" i="21"/>
  <c r="Q549" i="21"/>
  <c r="Q550" i="21"/>
  <c r="Q551" i="21"/>
  <c r="Q552" i="21"/>
  <c r="Q553" i="21"/>
  <c r="Q554" i="21"/>
  <c r="Q555" i="21"/>
  <c r="Q556" i="21"/>
  <c r="Q557" i="21"/>
  <c r="Q558" i="21"/>
  <c r="Q559" i="21"/>
  <c r="Q560" i="21"/>
  <c r="Q561" i="21"/>
  <c r="Q562" i="21"/>
  <c r="Q563" i="21"/>
  <c r="Q564" i="21"/>
  <c r="Q565" i="21"/>
  <c r="Q566" i="21"/>
  <c r="Q567" i="21"/>
  <c r="Q568" i="21"/>
  <c r="Q569" i="21"/>
  <c r="Q570" i="21"/>
  <c r="Q571" i="21"/>
  <c r="Q572" i="21"/>
  <c r="Q573" i="21"/>
  <c r="Q574" i="21"/>
  <c r="Q575" i="21"/>
  <c r="Q576" i="21"/>
  <c r="Q577" i="21"/>
  <c r="Q578" i="21"/>
  <c r="Q579" i="21"/>
  <c r="Q580" i="21"/>
  <c r="Q581" i="21"/>
  <c r="Q582" i="21"/>
  <c r="Q583" i="21"/>
  <c r="Q584" i="21"/>
  <c r="Q585" i="21"/>
  <c r="Q586" i="21"/>
  <c r="Q587" i="21"/>
  <c r="Q588" i="21"/>
  <c r="Q589" i="21"/>
  <c r="Q590" i="21"/>
  <c r="Q591" i="21"/>
  <c r="Q592" i="21"/>
  <c r="Q593" i="21"/>
  <c r="Q594" i="21"/>
  <c r="Q595" i="21"/>
  <c r="Q596" i="21"/>
  <c r="Q597" i="21"/>
  <c r="Q598" i="21"/>
  <c r="Q599" i="21"/>
  <c r="Q600" i="21"/>
  <c r="Q601" i="21"/>
  <c r="Q602" i="21"/>
  <c r="Q603" i="21"/>
  <c r="Q604" i="21"/>
  <c r="Q605" i="21"/>
  <c r="Q606" i="21"/>
  <c r="Q607" i="21"/>
  <c r="Q608" i="21"/>
  <c r="Q609" i="21"/>
  <c r="Q610" i="21"/>
  <c r="Q611" i="21"/>
  <c r="Q612" i="21"/>
  <c r="Q613" i="21"/>
  <c r="Q614" i="21"/>
  <c r="Q615" i="21"/>
  <c r="Q616" i="21"/>
  <c r="Q617" i="21"/>
  <c r="Q618" i="21"/>
  <c r="Q619" i="21"/>
  <c r="Q620" i="21"/>
  <c r="Q621" i="21"/>
  <c r="Q622" i="21"/>
  <c r="Q623" i="21"/>
  <c r="Q624" i="21"/>
  <c r="Q625" i="21"/>
  <c r="Q626" i="21"/>
  <c r="Q627" i="21"/>
  <c r="Q628" i="21"/>
  <c r="Q629" i="21"/>
  <c r="Q630" i="21"/>
  <c r="Q631" i="21"/>
  <c r="Q632" i="21"/>
  <c r="Q633" i="21"/>
  <c r="Q634" i="21"/>
  <c r="Q635" i="21"/>
  <c r="Q636" i="21"/>
  <c r="Q637" i="21"/>
  <c r="Q638" i="21"/>
  <c r="Q639" i="21"/>
  <c r="Q640" i="21"/>
  <c r="Q641" i="21"/>
  <c r="Q642" i="21"/>
  <c r="Q643" i="21"/>
  <c r="Q644" i="21"/>
  <c r="Q645" i="21"/>
  <c r="Q646" i="21"/>
  <c r="Q647" i="21"/>
  <c r="Q648" i="21"/>
  <c r="Q649" i="21"/>
  <c r="Q650" i="21"/>
  <c r="Q651" i="21"/>
  <c r="Q652" i="21"/>
  <c r="Q653" i="21"/>
  <c r="Q654" i="21"/>
  <c r="Q655" i="21"/>
  <c r="Q656" i="21"/>
  <c r="Q657" i="21"/>
  <c r="Q658" i="21"/>
  <c r="Q659" i="21"/>
  <c r="Q660" i="21"/>
  <c r="Q661" i="21"/>
  <c r="Q662" i="21"/>
  <c r="Q663" i="21"/>
  <c r="Q664" i="21"/>
  <c r="Q665" i="21"/>
  <c r="Q666" i="21"/>
  <c r="Q667" i="21"/>
  <c r="Q668" i="21"/>
  <c r="Q669" i="21"/>
  <c r="Q670" i="21"/>
  <c r="Q671" i="21"/>
  <c r="Q672" i="21"/>
  <c r="Q673" i="21"/>
  <c r="Q674" i="21"/>
  <c r="Q675" i="21"/>
  <c r="Q676" i="21"/>
  <c r="Q677" i="21"/>
  <c r="Q678" i="21"/>
  <c r="Q679" i="21"/>
  <c r="Q680" i="21"/>
  <c r="Q681" i="21"/>
  <c r="Q682" i="21"/>
  <c r="Q683" i="21"/>
  <c r="P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10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0" i="21"/>
  <c r="P261" i="21"/>
  <c r="P262" i="21"/>
  <c r="P263" i="21"/>
  <c r="P264" i="21"/>
  <c r="P265"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3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374" i="21"/>
  <c r="P375" i="21"/>
  <c r="P376" i="21"/>
  <c r="P377" i="21"/>
  <c r="P378" i="21"/>
  <c r="P379" i="21"/>
  <c r="P380" i="21"/>
  <c r="P381" i="21"/>
  <c r="P382" i="21"/>
  <c r="P383" i="21"/>
  <c r="P384" i="21"/>
  <c r="P385" i="21"/>
  <c r="P386" i="21"/>
  <c r="P387" i="21"/>
  <c r="P388" i="21"/>
  <c r="P389" i="21"/>
  <c r="P390" i="21"/>
  <c r="P391" i="21"/>
  <c r="P392" i="21"/>
  <c r="P393" i="21"/>
  <c r="P394" i="21"/>
  <c r="P395" i="21"/>
  <c r="P396" i="21"/>
  <c r="P397" i="21"/>
  <c r="P398" i="21"/>
  <c r="P399" i="21"/>
  <c r="P400" i="21"/>
  <c r="P401" i="21"/>
  <c r="P402" i="21"/>
  <c r="P403" i="21"/>
  <c r="P404" i="21"/>
  <c r="P405" i="21"/>
  <c r="P406" i="21"/>
  <c r="P407" i="21"/>
  <c r="P408" i="21"/>
  <c r="P409" i="21"/>
  <c r="P410" i="21"/>
  <c r="P411" i="21"/>
  <c r="P412" i="21"/>
  <c r="P413" i="21"/>
  <c r="P414" i="21"/>
  <c r="P415" i="21"/>
  <c r="P416" i="21"/>
  <c r="P417" i="21"/>
  <c r="P418" i="21"/>
  <c r="P419" i="21"/>
  <c r="P420" i="21"/>
  <c r="P421" i="21"/>
  <c r="P422" i="21"/>
  <c r="P423" i="21"/>
  <c r="P424" i="21"/>
  <c r="P425" i="21"/>
  <c r="P426" i="21"/>
  <c r="P427" i="21"/>
  <c r="P428" i="21"/>
  <c r="P429" i="21"/>
  <c r="P430" i="21"/>
  <c r="P431" i="21"/>
  <c r="P432" i="21"/>
  <c r="P433" i="21"/>
  <c r="P434" i="21"/>
  <c r="P435" i="21"/>
  <c r="P436" i="21"/>
  <c r="P437" i="21"/>
  <c r="P438" i="21"/>
  <c r="P439" i="21"/>
  <c r="P440" i="21"/>
  <c r="P441" i="21"/>
  <c r="P442" i="21"/>
  <c r="P443" i="21"/>
  <c r="P444" i="21"/>
  <c r="P445" i="21"/>
  <c r="P446" i="21"/>
  <c r="P447" i="21"/>
  <c r="P448" i="21"/>
  <c r="P449" i="21"/>
  <c r="P450" i="21"/>
  <c r="P451" i="21"/>
  <c r="P452" i="21"/>
  <c r="P453" i="21"/>
  <c r="P454" i="21"/>
  <c r="P455" i="21"/>
  <c r="P456" i="21"/>
  <c r="P457" i="21"/>
  <c r="P458" i="21"/>
  <c r="P459" i="21"/>
  <c r="P460" i="21"/>
  <c r="P461" i="21"/>
  <c r="P462" i="21"/>
  <c r="P463" i="21"/>
  <c r="P464" i="21"/>
  <c r="P465" i="21"/>
  <c r="P466" i="21"/>
  <c r="P467" i="21"/>
  <c r="P468" i="21"/>
  <c r="P469" i="21"/>
  <c r="P470" i="21"/>
  <c r="P471" i="21"/>
  <c r="P472" i="21"/>
  <c r="P473" i="21"/>
  <c r="P474" i="21"/>
  <c r="P475" i="21"/>
  <c r="P476" i="21"/>
  <c r="P477" i="21"/>
  <c r="P478" i="21"/>
  <c r="P479" i="21"/>
  <c r="P480" i="21"/>
  <c r="P481" i="21"/>
  <c r="P482" i="21"/>
  <c r="P483" i="21"/>
  <c r="P484" i="21"/>
  <c r="P485" i="21"/>
  <c r="P486" i="21"/>
  <c r="P487" i="21"/>
  <c r="P488" i="21"/>
  <c r="P489" i="21"/>
  <c r="P490" i="21"/>
  <c r="P491" i="21"/>
  <c r="P492" i="21"/>
  <c r="P493" i="21"/>
  <c r="P494" i="21"/>
  <c r="P495" i="21"/>
  <c r="P496" i="21"/>
  <c r="P497" i="21"/>
  <c r="P498" i="21"/>
  <c r="P499" i="21"/>
  <c r="P500" i="21"/>
  <c r="P501" i="21"/>
  <c r="P502" i="21"/>
  <c r="P503" i="21"/>
  <c r="P504" i="21"/>
  <c r="P505" i="21"/>
  <c r="P506" i="21"/>
  <c r="P507" i="21"/>
  <c r="P508" i="21"/>
  <c r="P509" i="21"/>
  <c r="P510" i="21"/>
  <c r="P511" i="21"/>
  <c r="P512" i="21"/>
  <c r="P513" i="21"/>
  <c r="P514" i="21"/>
  <c r="P515" i="21"/>
  <c r="P516" i="21"/>
  <c r="P517" i="21"/>
  <c r="P518" i="21"/>
  <c r="P519" i="21"/>
  <c r="P520" i="21"/>
  <c r="P521" i="21"/>
  <c r="P522" i="21"/>
  <c r="P523" i="21"/>
  <c r="P524" i="21"/>
  <c r="P525" i="21"/>
  <c r="P526" i="21"/>
  <c r="P527" i="21"/>
  <c r="P528" i="21"/>
  <c r="P529" i="21"/>
  <c r="P530" i="21"/>
  <c r="P531" i="21"/>
  <c r="P532" i="21"/>
  <c r="P533" i="21"/>
  <c r="P534" i="21"/>
  <c r="P535" i="21"/>
  <c r="P536" i="21"/>
  <c r="P537" i="21"/>
  <c r="P538" i="21"/>
  <c r="P539" i="21"/>
  <c r="P540" i="21"/>
  <c r="P541" i="21"/>
  <c r="P542" i="21"/>
  <c r="P543" i="21"/>
  <c r="P544" i="21"/>
  <c r="P545" i="21"/>
  <c r="P546" i="21"/>
  <c r="P547" i="21"/>
  <c r="P548" i="21"/>
  <c r="P549" i="21"/>
  <c r="P550" i="21"/>
  <c r="P551" i="21"/>
  <c r="P552" i="21"/>
  <c r="P553" i="21"/>
  <c r="P554" i="21"/>
  <c r="P555" i="21"/>
  <c r="P556" i="21"/>
  <c r="P557" i="21"/>
  <c r="P558" i="21"/>
  <c r="P559" i="21"/>
  <c r="P560" i="21"/>
  <c r="P561" i="21"/>
  <c r="P562" i="21"/>
  <c r="P563" i="21"/>
  <c r="P564" i="21"/>
  <c r="P565" i="21"/>
  <c r="P566" i="21"/>
  <c r="P567" i="21"/>
  <c r="P568" i="21"/>
  <c r="P569" i="21"/>
  <c r="P570" i="21"/>
  <c r="P571" i="21"/>
  <c r="P572" i="21"/>
  <c r="P573" i="21"/>
  <c r="P574" i="21"/>
  <c r="P575" i="21"/>
  <c r="P576" i="21"/>
  <c r="P577" i="21"/>
  <c r="P578" i="21"/>
  <c r="P579" i="21"/>
  <c r="P580" i="21"/>
  <c r="P581" i="21"/>
  <c r="P582" i="21"/>
  <c r="P583" i="21"/>
  <c r="P584" i="21"/>
  <c r="P585" i="21"/>
  <c r="P586" i="21"/>
  <c r="P587" i="21"/>
  <c r="P588" i="21"/>
  <c r="P589" i="21"/>
  <c r="P590" i="21"/>
  <c r="P591" i="21"/>
  <c r="P592" i="21"/>
  <c r="P593" i="21"/>
  <c r="P594" i="21"/>
  <c r="P595" i="21"/>
  <c r="P596" i="21"/>
  <c r="P597" i="21"/>
  <c r="P598" i="21"/>
  <c r="P599" i="21"/>
  <c r="P600" i="21"/>
  <c r="P601" i="21"/>
  <c r="P602" i="21"/>
  <c r="P603" i="21"/>
  <c r="P604" i="21"/>
  <c r="P605" i="21"/>
  <c r="P606" i="21"/>
  <c r="P607" i="21"/>
  <c r="P608" i="21"/>
  <c r="P609" i="21"/>
  <c r="P610" i="21"/>
  <c r="P611" i="21"/>
  <c r="P612" i="21"/>
  <c r="P613" i="21"/>
  <c r="P614" i="21"/>
  <c r="P615" i="21"/>
  <c r="P616" i="21"/>
  <c r="P617" i="21"/>
  <c r="P618" i="21"/>
  <c r="P619" i="21"/>
  <c r="P620" i="21"/>
  <c r="P621" i="21"/>
  <c r="P622" i="21"/>
  <c r="P623" i="21"/>
  <c r="P624" i="21"/>
  <c r="P625" i="21"/>
  <c r="P626" i="21"/>
  <c r="P627" i="21"/>
  <c r="P628" i="21"/>
  <c r="P629" i="21"/>
  <c r="P630" i="21"/>
  <c r="P631" i="21"/>
  <c r="P632" i="21"/>
  <c r="P633" i="21"/>
  <c r="P634" i="21"/>
  <c r="P635" i="21"/>
  <c r="P636" i="21"/>
  <c r="P637" i="21"/>
  <c r="P638" i="21"/>
  <c r="P639" i="21"/>
  <c r="P640" i="21"/>
  <c r="P641" i="21"/>
  <c r="P642" i="21"/>
  <c r="P643" i="21"/>
  <c r="P644" i="21"/>
  <c r="P645" i="21"/>
  <c r="P646" i="21"/>
  <c r="P647" i="21"/>
  <c r="P648" i="21"/>
  <c r="P649" i="21"/>
  <c r="P650" i="21"/>
  <c r="P651" i="21"/>
  <c r="P652" i="21"/>
  <c r="P653" i="21"/>
  <c r="P654" i="21"/>
  <c r="P655" i="21"/>
  <c r="P656" i="21"/>
  <c r="P657" i="21"/>
  <c r="P658" i="21"/>
  <c r="P659" i="21"/>
  <c r="P660" i="21"/>
  <c r="P661" i="21"/>
  <c r="P662" i="21"/>
  <c r="P663" i="21"/>
  <c r="P664" i="21"/>
  <c r="P665" i="21"/>
  <c r="P666" i="21"/>
  <c r="P667" i="21"/>
  <c r="P668" i="21"/>
  <c r="P669" i="21"/>
  <c r="P670" i="21"/>
  <c r="P671" i="21"/>
  <c r="P672" i="21"/>
  <c r="P673" i="21"/>
  <c r="P674" i="21"/>
  <c r="P675" i="21"/>
  <c r="P676" i="21"/>
  <c r="P677" i="21"/>
  <c r="P678" i="21"/>
  <c r="P679" i="21"/>
  <c r="P680" i="21"/>
  <c r="P681" i="21"/>
  <c r="P682" i="21"/>
  <c r="P683" i="21"/>
  <c r="O3" i="21"/>
  <c r="O4" i="21"/>
  <c r="O5" i="21"/>
  <c r="O6" i="21"/>
  <c r="O7" i="21"/>
  <c r="O8" i="21"/>
  <c r="O9" i="21"/>
  <c r="O10" i="21"/>
  <c r="O11" i="21"/>
  <c r="O12" i="21"/>
  <c r="O13" i="21"/>
  <c r="O14" i="21"/>
  <c r="O15" i="21"/>
  <c r="O16" i="21"/>
  <c r="O17" i="21"/>
  <c r="O18" i="21"/>
  <c r="O19" i="21"/>
  <c r="O20" i="21"/>
  <c r="O21" i="21"/>
  <c r="O22" i="21"/>
  <c r="O23" i="21"/>
  <c r="O24" i="21"/>
  <c r="O25" i="21"/>
  <c r="O26" i="21"/>
  <c r="O27" i="21"/>
  <c r="O28" i="21"/>
  <c r="O29" i="21"/>
  <c r="O30" i="21"/>
  <c r="O31" i="21"/>
  <c r="O32" i="21"/>
  <c r="O33" i="21"/>
  <c r="O34" i="21"/>
  <c r="O35" i="21"/>
  <c r="O36" i="21"/>
  <c r="O37" i="21"/>
  <c r="O38" i="21"/>
  <c r="O39" i="21"/>
  <c r="O40" i="21"/>
  <c r="O41" i="21"/>
  <c r="O42" i="21"/>
  <c r="O43" i="21"/>
  <c r="O44" i="21"/>
  <c r="O45" i="21"/>
  <c r="O46" i="21"/>
  <c r="O47" i="21"/>
  <c r="O48" i="21"/>
  <c r="O49" i="21"/>
  <c r="O50" i="21"/>
  <c r="O51" i="21"/>
  <c r="O52" i="21"/>
  <c r="O53" i="21"/>
  <c r="O54" i="21"/>
  <c r="O55" i="21"/>
  <c r="O56" i="21"/>
  <c r="O57" i="21"/>
  <c r="O58" i="21"/>
  <c r="O59" i="21"/>
  <c r="O60" i="21"/>
  <c r="O61" i="21"/>
  <c r="O62" i="21"/>
  <c r="O63" i="21"/>
  <c r="O64" i="21"/>
  <c r="O65" i="21"/>
  <c r="O66" i="21"/>
  <c r="O67" i="21"/>
  <c r="O68" i="21"/>
  <c r="O69" i="21"/>
  <c r="O70" i="21"/>
  <c r="O71" i="21"/>
  <c r="O72" i="21"/>
  <c r="O73" i="21"/>
  <c r="O74" i="21"/>
  <c r="O75" i="21"/>
  <c r="O76" i="21"/>
  <c r="O77" i="21"/>
  <c r="O78" i="21"/>
  <c r="O79" i="21"/>
  <c r="O80" i="21"/>
  <c r="O81" i="21"/>
  <c r="O82" i="21"/>
  <c r="O83" i="21"/>
  <c r="O84" i="21"/>
  <c r="O85" i="21"/>
  <c r="O86" i="21"/>
  <c r="O87" i="21"/>
  <c r="O88" i="21"/>
  <c r="O89" i="21"/>
  <c r="O90" i="21"/>
  <c r="O91" i="21"/>
  <c r="O92" i="21"/>
  <c r="O93" i="21"/>
  <c r="O94" i="21"/>
  <c r="O95" i="21"/>
  <c r="O96" i="21"/>
  <c r="O97" i="21"/>
  <c r="O98" i="21"/>
  <c r="O99" i="21"/>
  <c r="O100" i="21"/>
  <c r="O101" i="21"/>
  <c r="O102" i="21"/>
  <c r="O103" i="21"/>
  <c r="O104" i="21"/>
  <c r="O105" i="21"/>
  <c r="O106" i="21"/>
  <c r="O107" i="21"/>
  <c r="O108" i="21"/>
  <c r="O109" i="21"/>
  <c r="O110" i="21"/>
  <c r="O111" i="21"/>
  <c r="O112" i="21"/>
  <c r="O113" i="21"/>
  <c r="O114" i="21"/>
  <c r="O115" i="21"/>
  <c r="O116" i="21"/>
  <c r="O117" i="21"/>
  <c r="O118" i="21"/>
  <c r="O119" i="21"/>
  <c r="O120" i="21"/>
  <c r="O121" i="21"/>
  <c r="O122" i="21"/>
  <c r="O123" i="21"/>
  <c r="O124" i="21"/>
  <c r="O125" i="21"/>
  <c r="O126" i="21"/>
  <c r="O127" i="21"/>
  <c r="O128" i="21"/>
  <c r="O129" i="21"/>
  <c r="O130" i="21"/>
  <c r="O131" i="21"/>
  <c r="O132" i="21"/>
  <c r="O133" i="21"/>
  <c r="O134" i="21"/>
  <c r="O135" i="21"/>
  <c r="O136" i="21"/>
  <c r="O137" i="21"/>
  <c r="O138" i="21"/>
  <c r="O139" i="21"/>
  <c r="O140" i="21"/>
  <c r="O141" i="21"/>
  <c r="O142" i="21"/>
  <c r="O143" i="21"/>
  <c r="O144" i="21"/>
  <c r="O145" i="21"/>
  <c r="O146" i="21"/>
  <c r="O147" i="21"/>
  <c r="O148" i="21"/>
  <c r="O149" i="21"/>
  <c r="O150" i="21"/>
  <c r="O151" i="21"/>
  <c r="O152" i="21"/>
  <c r="O153" i="21"/>
  <c r="O154" i="21"/>
  <c r="O155" i="21"/>
  <c r="O156" i="21"/>
  <c r="O157" i="21"/>
  <c r="O158" i="21"/>
  <c r="O159" i="21"/>
  <c r="O160" i="21"/>
  <c r="O161" i="21"/>
  <c r="O162" i="21"/>
  <c r="O163" i="21"/>
  <c r="O164" i="21"/>
  <c r="O165" i="21"/>
  <c r="O166" i="21"/>
  <c r="O167" i="21"/>
  <c r="O168" i="21"/>
  <c r="O169" i="21"/>
  <c r="O170" i="21"/>
  <c r="O171" i="21"/>
  <c r="O172" i="21"/>
  <c r="O173" i="21"/>
  <c r="O174" i="21"/>
  <c r="O175" i="21"/>
  <c r="O176" i="21"/>
  <c r="O177" i="21"/>
  <c r="O178" i="21"/>
  <c r="O179" i="21"/>
  <c r="O180" i="21"/>
  <c r="O181" i="21"/>
  <c r="O182" i="21"/>
  <c r="O183" i="21"/>
  <c r="O184" i="21"/>
  <c r="O185" i="21"/>
  <c r="O186" i="21"/>
  <c r="O187" i="21"/>
  <c r="O188" i="21"/>
  <c r="O189" i="21"/>
  <c r="O190" i="21"/>
  <c r="O191" i="21"/>
  <c r="O192" i="21"/>
  <c r="O193" i="21"/>
  <c r="O194" i="21"/>
  <c r="O195" i="21"/>
  <c r="O196" i="21"/>
  <c r="O197" i="21"/>
  <c r="O198" i="21"/>
  <c r="O199" i="21"/>
  <c r="O200" i="21"/>
  <c r="O201" i="21"/>
  <c r="O202" i="21"/>
  <c r="O203" i="21"/>
  <c r="O204" i="21"/>
  <c r="O205" i="21"/>
  <c r="O206" i="21"/>
  <c r="O207" i="21"/>
  <c r="O208" i="21"/>
  <c r="O209" i="21"/>
  <c r="O210" i="21"/>
  <c r="O211" i="21"/>
  <c r="O212" i="21"/>
  <c r="O213" i="21"/>
  <c r="O214" i="21"/>
  <c r="O215" i="21"/>
  <c r="O216" i="21"/>
  <c r="O217" i="21"/>
  <c r="O218" i="21"/>
  <c r="O219" i="21"/>
  <c r="O220" i="21"/>
  <c r="O221" i="21"/>
  <c r="O222" i="21"/>
  <c r="O223" i="21"/>
  <c r="O224" i="21"/>
  <c r="O225" i="21"/>
  <c r="O226" i="21"/>
  <c r="O227" i="21"/>
  <c r="O228" i="21"/>
  <c r="O229" i="21"/>
  <c r="O230" i="21"/>
  <c r="O231" i="21"/>
  <c r="O232" i="21"/>
  <c r="O233" i="21"/>
  <c r="O234" i="21"/>
  <c r="O235" i="21"/>
  <c r="O236" i="21"/>
  <c r="O237" i="21"/>
  <c r="O238" i="21"/>
  <c r="O239" i="21"/>
  <c r="O240" i="21"/>
  <c r="O241" i="21"/>
  <c r="O242" i="21"/>
  <c r="O243" i="21"/>
  <c r="O244" i="21"/>
  <c r="O245" i="21"/>
  <c r="O246" i="21"/>
  <c r="O247" i="21"/>
  <c r="O248" i="21"/>
  <c r="O249" i="21"/>
  <c r="O250" i="21"/>
  <c r="O251" i="21"/>
  <c r="O252" i="21"/>
  <c r="O253" i="21"/>
  <c r="O254" i="21"/>
  <c r="O255" i="21"/>
  <c r="O256" i="21"/>
  <c r="O257" i="21"/>
  <c r="O258" i="21"/>
  <c r="O259" i="21"/>
  <c r="O260" i="21"/>
  <c r="O261" i="21"/>
  <c r="O262" i="21"/>
  <c r="O263" i="21"/>
  <c r="O264" i="21"/>
  <c r="O265" i="21"/>
  <c r="O266" i="21"/>
  <c r="O267" i="21"/>
  <c r="O268" i="21"/>
  <c r="O269" i="21"/>
  <c r="O270" i="21"/>
  <c r="O271" i="21"/>
  <c r="O272" i="21"/>
  <c r="O273" i="21"/>
  <c r="O274" i="21"/>
  <c r="O275" i="21"/>
  <c r="O276" i="21"/>
  <c r="O277" i="21"/>
  <c r="O278" i="21"/>
  <c r="O279" i="21"/>
  <c r="O280" i="21"/>
  <c r="O281" i="21"/>
  <c r="O282" i="21"/>
  <c r="O283" i="21"/>
  <c r="O284" i="21"/>
  <c r="O285" i="21"/>
  <c r="O286" i="21"/>
  <c r="O287" i="21"/>
  <c r="O288" i="21"/>
  <c r="O289" i="21"/>
  <c r="O290" i="21"/>
  <c r="O291" i="21"/>
  <c r="O292" i="21"/>
  <c r="O293" i="21"/>
  <c r="O294" i="21"/>
  <c r="O295" i="21"/>
  <c r="O296" i="21"/>
  <c r="O297" i="21"/>
  <c r="O298" i="21"/>
  <c r="O299" i="21"/>
  <c r="O300" i="21"/>
  <c r="O301" i="21"/>
  <c r="O302" i="21"/>
  <c r="O303" i="21"/>
  <c r="O304" i="21"/>
  <c r="O305" i="21"/>
  <c r="O306" i="21"/>
  <c r="O307" i="21"/>
  <c r="O308" i="21"/>
  <c r="O309" i="21"/>
  <c r="O310" i="21"/>
  <c r="O311" i="21"/>
  <c r="O312" i="21"/>
  <c r="O313" i="21"/>
  <c r="O314" i="21"/>
  <c r="O315" i="21"/>
  <c r="O316" i="21"/>
  <c r="O317" i="21"/>
  <c r="O318" i="21"/>
  <c r="O319" i="21"/>
  <c r="O320" i="21"/>
  <c r="O321" i="21"/>
  <c r="O322" i="21"/>
  <c r="O323" i="21"/>
  <c r="O324" i="21"/>
  <c r="O325" i="21"/>
  <c r="O326" i="21"/>
  <c r="O327" i="21"/>
  <c r="O328" i="21"/>
  <c r="O329" i="21"/>
  <c r="O330" i="21"/>
  <c r="O331" i="21"/>
  <c r="O332" i="21"/>
  <c r="O333" i="21"/>
  <c r="O334" i="21"/>
  <c r="O335" i="21"/>
  <c r="O336" i="21"/>
  <c r="O337" i="21"/>
  <c r="O338" i="21"/>
  <c r="O339" i="21"/>
  <c r="O340" i="21"/>
  <c r="O341" i="21"/>
  <c r="O342" i="21"/>
  <c r="O343" i="21"/>
  <c r="O344" i="21"/>
  <c r="O345" i="21"/>
  <c r="O346" i="21"/>
  <c r="O347" i="21"/>
  <c r="O348" i="21"/>
  <c r="O349" i="21"/>
  <c r="O350" i="21"/>
  <c r="O351" i="21"/>
  <c r="O352" i="21"/>
  <c r="O353" i="21"/>
  <c r="O354" i="21"/>
  <c r="O355" i="21"/>
  <c r="O356" i="21"/>
  <c r="O357" i="21"/>
  <c r="O358" i="21"/>
  <c r="O359" i="21"/>
  <c r="O360" i="21"/>
  <c r="O361" i="21"/>
  <c r="O362" i="21"/>
  <c r="O363" i="21"/>
  <c r="O364" i="21"/>
  <c r="O365" i="21"/>
  <c r="O366" i="21"/>
  <c r="O367" i="21"/>
  <c r="O368" i="21"/>
  <c r="O369" i="21"/>
  <c r="O370" i="21"/>
  <c r="O371" i="21"/>
  <c r="O372" i="21"/>
  <c r="O373" i="21"/>
  <c r="O374" i="21"/>
  <c r="O375" i="21"/>
  <c r="O376" i="21"/>
  <c r="O377" i="21"/>
  <c r="O378" i="21"/>
  <c r="O379" i="21"/>
  <c r="O380" i="21"/>
  <c r="O381" i="21"/>
  <c r="O382" i="21"/>
  <c r="O383" i="21"/>
  <c r="O384" i="21"/>
  <c r="O385" i="21"/>
  <c r="O386" i="21"/>
  <c r="O387" i="21"/>
  <c r="O388" i="21"/>
  <c r="O389" i="21"/>
  <c r="O390" i="21"/>
  <c r="O391" i="21"/>
  <c r="O392" i="21"/>
  <c r="O393" i="21"/>
  <c r="O394" i="21"/>
  <c r="O395" i="21"/>
  <c r="O396" i="21"/>
  <c r="O397" i="21"/>
  <c r="O398" i="21"/>
  <c r="O399" i="21"/>
  <c r="O400" i="21"/>
  <c r="O401" i="21"/>
  <c r="O402" i="21"/>
  <c r="O403" i="21"/>
  <c r="O404" i="21"/>
  <c r="O405" i="21"/>
  <c r="O406" i="21"/>
  <c r="O407" i="21"/>
  <c r="O408" i="21"/>
  <c r="O409" i="21"/>
  <c r="O410" i="21"/>
  <c r="O411" i="21"/>
  <c r="O412" i="21"/>
  <c r="O413" i="21"/>
  <c r="O414" i="21"/>
  <c r="O415" i="21"/>
  <c r="O416" i="21"/>
  <c r="O417" i="21"/>
  <c r="O418" i="21"/>
  <c r="O419" i="21"/>
  <c r="O420" i="21"/>
  <c r="O421" i="21"/>
  <c r="O422" i="21"/>
  <c r="O423" i="21"/>
  <c r="O424" i="21"/>
  <c r="O425" i="21"/>
  <c r="O426" i="21"/>
  <c r="O427" i="21"/>
  <c r="O428" i="21"/>
  <c r="O429" i="21"/>
  <c r="O430" i="21"/>
  <c r="O431" i="21"/>
  <c r="O432" i="21"/>
  <c r="O433" i="21"/>
  <c r="O434" i="21"/>
  <c r="O435" i="21"/>
  <c r="O436" i="21"/>
  <c r="O437" i="21"/>
  <c r="O438" i="21"/>
  <c r="O439" i="21"/>
  <c r="O440" i="21"/>
  <c r="O441" i="21"/>
  <c r="O442" i="21"/>
  <c r="O443" i="21"/>
  <c r="O444" i="21"/>
  <c r="O445" i="21"/>
  <c r="O446" i="21"/>
  <c r="O447" i="21"/>
  <c r="O448" i="21"/>
  <c r="O449" i="21"/>
  <c r="O450" i="21"/>
  <c r="O451" i="21"/>
  <c r="O452" i="21"/>
  <c r="O453" i="21"/>
  <c r="O454" i="21"/>
  <c r="O455" i="21"/>
  <c r="O456" i="21"/>
  <c r="O457" i="21"/>
  <c r="O458" i="21"/>
  <c r="O459" i="21"/>
  <c r="O460" i="21"/>
  <c r="O461" i="21"/>
  <c r="O462" i="21"/>
  <c r="O463" i="21"/>
  <c r="O464" i="21"/>
  <c r="O465" i="21"/>
  <c r="O466" i="21"/>
  <c r="O467" i="21"/>
  <c r="O468" i="21"/>
  <c r="O469" i="21"/>
  <c r="O470" i="21"/>
  <c r="O471" i="21"/>
  <c r="O472" i="21"/>
  <c r="O473" i="21"/>
  <c r="O474" i="21"/>
  <c r="O475" i="21"/>
  <c r="O476" i="21"/>
  <c r="O477" i="21"/>
  <c r="O478" i="21"/>
  <c r="O479" i="21"/>
  <c r="O480" i="21"/>
  <c r="O481" i="21"/>
  <c r="O482" i="21"/>
  <c r="O483" i="21"/>
  <c r="O484" i="21"/>
  <c r="O485" i="21"/>
  <c r="O486" i="21"/>
  <c r="O487" i="21"/>
  <c r="O488" i="21"/>
  <c r="O489" i="21"/>
  <c r="O490" i="21"/>
  <c r="O491" i="21"/>
  <c r="O492" i="21"/>
  <c r="O493" i="21"/>
  <c r="O494" i="21"/>
  <c r="O495" i="21"/>
  <c r="O496" i="21"/>
  <c r="O497" i="21"/>
  <c r="O498" i="21"/>
  <c r="O499" i="21"/>
  <c r="O500" i="21"/>
  <c r="O501" i="21"/>
  <c r="O502" i="21"/>
  <c r="O503" i="21"/>
  <c r="O504" i="21"/>
  <c r="O505" i="21"/>
  <c r="O506" i="21"/>
  <c r="O507" i="21"/>
  <c r="O508" i="21"/>
  <c r="O509" i="21"/>
  <c r="O510" i="21"/>
  <c r="O511" i="21"/>
  <c r="O512" i="21"/>
  <c r="O513" i="21"/>
  <c r="O514" i="21"/>
  <c r="O515" i="21"/>
  <c r="O516" i="21"/>
  <c r="O517" i="21"/>
  <c r="O518" i="21"/>
  <c r="O519" i="21"/>
  <c r="O520" i="21"/>
  <c r="O521" i="21"/>
  <c r="O522" i="21"/>
  <c r="O523" i="21"/>
  <c r="O524" i="21"/>
  <c r="O525" i="21"/>
  <c r="O526" i="21"/>
  <c r="O527" i="21"/>
  <c r="O528" i="21"/>
  <c r="O529" i="21"/>
  <c r="O530" i="21"/>
  <c r="O531" i="21"/>
  <c r="O532" i="21"/>
  <c r="O533" i="21"/>
  <c r="O534" i="21"/>
  <c r="O535" i="21"/>
  <c r="O536" i="21"/>
  <c r="O537" i="21"/>
  <c r="O538" i="21"/>
  <c r="O539" i="21"/>
  <c r="O540" i="21"/>
  <c r="O541" i="21"/>
  <c r="O542" i="21"/>
  <c r="O543" i="21"/>
  <c r="O544" i="21"/>
  <c r="O545" i="21"/>
  <c r="O546" i="21"/>
  <c r="O547" i="21"/>
  <c r="O548" i="21"/>
  <c r="O549" i="21"/>
  <c r="O550" i="21"/>
  <c r="O551" i="21"/>
  <c r="O552" i="21"/>
  <c r="O553" i="21"/>
  <c r="O554" i="21"/>
  <c r="O555" i="21"/>
  <c r="O556" i="21"/>
  <c r="O557" i="21"/>
  <c r="O558" i="21"/>
  <c r="O559" i="21"/>
  <c r="O560" i="21"/>
  <c r="O561" i="21"/>
  <c r="O562" i="21"/>
  <c r="O563" i="21"/>
  <c r="O564" i="21"/>
  <c r="O565" i="21"/>
  <c r="O566" i="21"/>
  <c r="O567" i="21"/>
  <c r="O568" i="21"/>
  <c r="O569" i="21"/>
  <c r="O570" i="21"/>
  <c r="O571" i="21"/>
  <c r="O572" i="21"/>
  <c r="O573" i="21"/>
  <c r="O574" i="21"/>
  <c r="O575" i="21"/>
  <c r="O576" i="21"/>
  <c r="O577" i="21"/>
  <c r="O578" i="21"/>
  <c r="O579" i="21"/>
  <c r="O580" i="21"/>
  <c r="O581" i="21"/>
  <c r="O582" i="21"/>
  <c r="O583" i="21"/>
  <c r="O584" i="21"/>
  <c r="O585" i="21"/>
  <c r="O586" i="21"/>
  <c r="O587" i="21"/>
  <c r="O588" i="21"/>
  <c r="O589" i="21"/>
  <c r="O590" i="21"/>
  <c r="O591" i="21"/>
  <c r="O592" i="21"/>
  <c r="O593" i="21"/>
  <c r="O594" i="21"/>
  <c r="O595" i="21"/>
  <c r="O596" i="21"/>
  <c r="O597" i="21"/>
  <c r="O598" i="21"/>
  <c r="O599" i="21"/>
  <c r="O600" i="21"/>
  <c r="O601" i="21"/>
  <c r="O602" i="21"/>
  <c r="O603" i="21"/>
  <c r="O604" i="21"/>
  <c r="O605" i="21"/>
  <c r="O606" i="21"/>
  <c r="O607" i="21"/>
  <c r="O608" i="21"/>
  <c r="O609" i="21"/>
  <c r="O610" i="21"/>
  <c r="O611" i="21"/>
  <c r="O612" i="21"/>
  <c r="O613" i="21"/>
  <c r="O614" i="21"/>
  <c r="O615" i="21"/>
  <c r="O616" i="21"/>
  <c r="O617" i="21"/>
  <c r="O618" i="21"/>
  <c r="O619" i="21"/>
  <c r="O620" i="21"/>
  <c r="O621" i="21"/>
  <c r="O622" i="21"/>
  <c r="O623" i="21"/>
  <c r="O624" i="21"/>
  <c r="O625" i="21"/>
  <c r="O626" i="21"/>
  <c r="O627" i="21"/>
  <c r="O628" i="21"/>
  <c r="O629" i="21"/>
  <c r="O630" i="21"/>
  <c r="O631" i="21"/>
  <c r="O632" i="21"/>
  <c r="O633" i="21"/>
  <c r="O634" i="21"/>
  <c r="O635" i="21"/>
  <c r="O636" i="21"/>
  <c r="O637" i="21"/>
  <c r="O638" i="21"/>
  <c r="O639" i="21"/>
  <c r="O640" i="21"/>
  <c r="O641" i="21"/>
  <c r="O642" i="21"/>
  <c r="O643" i="21"/>
  <c r="O644" i="21"/>
  <c r="O645" i="21"/>
  <c r="O646" i="21"/>
  <c r="O647" i="21"/>
  <c r="O648" i="21"/>
  <c r="O649" i="21"/>
  <c r="O650" i="21"/>
  <c r="O651" i="21"/>
  <c r="O652" i="21"/>
  <c r="O653" i="21"/>
  <c r="O654" i="21"/>
  <c r="O655" i="21"/>
  <c r="O656" i="21"/>
  <c r="O657" i="21"/>
  <c r="O658" i="21"/>
  <c r="O659" i="21"/>
  <c r="O660" i="21"/>
  <c r="O661" i="21"/>
  <c r="O662" i="21"/>
  <c r="O663" i="21"/>
  <c r="O664" i="21"/>
  <c r="O665" i="21"/>
  <c r="O666" i="21"/>
  <c r="O667" i="21"/>
  <c r="O668" i="21"/>
  <c r="O669" i="21"/>
  <c r="O670" i="21"/>
  <c r="O671" i="21"/>
  <c r="O672" i="21"/>
  <c r="O673" i="21"/>
  <c r="O674" i="21"/>
  <c r="O675" i="21"/>
  <c r="O676" i="21"/>
  <c r="O677" i="21"/>
  <c r="O678" i="21"/>
  <c r="O679" i="21"/>
  <c r="O680" i="21"/>
  <c r="O681" i="21"/>
  <c r="O682" i="21"/>
  <c r="O683" i="21"/>
  <c r="N3" i="21"/>
  <c r="N4" i="21"/>
  <c r="N5" i="21"/>
  <c r="N6" i="21"/>
  <c r="N7" i="21"/>
  <c r="N8" i="21"/>
  <c r="N9" i="21"/>
  <c r="N10" i="21"/>
  <c r="N11" i="21"/>
  <c r="N12" i="21"/>
  <c r="N13" i="21"/>
  <c r="N14" i="21"/>
  <c r="N15" i="21"/>
  <c r="N16" i="21"/>
  <c r="N17" i="21"/>
  <c r="N18" i="21"/>
  <c r="N19" i="21"/>
  <c r="N20" i="21"/>
  <c r="N21" i="21"/>
  <c r="N22" i="21"/>
  <c r="N23" i="21"/>
  <c r="N24" i="21"/>
  <c r="N25" i="21"/>
  <c r="N26" i="21"/>
  <c r="N27" i="21"/>
  <c r="N28" i="21"/>
  <c r="N29" i="21"/>
  <c r="N30" i="21"/>
  <c r="N31" i="21"/>
  <c r="N32" i="21"/>
  <c r="N33" i="21"/>
  <c r="N34" i="21"/>
  <c r="N35" i="21"/>
  <c r="N36" i="21"/>
  <c r="N37" i="21"/>
  <c r="N38" i="21"/>
  <c r="N39" i="21"/>
  <c r="N40" i="21"/>
  <c r="N41" i="21"/>
  <c r="N42" i="21"/>
  <c r="N43" i="21"/>
  <c r="N44" i="21"/>
  <c r="N45" i="21"/>
  <c r="N46" i="21"/>
  <c r="N47" i="21"/>
  <c r="N48" i="21"/>
  <c r="N49" i="21"/>
  <c r="N50" i="21"/>
  <c r="N51" i="21"/>
  <c r="N52" i="21"/>
  <c r="N53" i="21"/>
  <c r="N54" i="21"/>
  <c r="N55" i="21"/>
  <c r="N56" i="21"/>
  <c r="N57" i="21"/>
  <c r="N58" i="21"/>
  <c r="N59" i="21"/>
  <c r="N60" i="21"/>
  <c r="N61" i="21"/>
  <c r="N62" i="21"/>
  <c r="N63" i="21"/>
  <c r="N64" i="21"/>
  <c r="N65" i="21"/>
  <c r="N66" i="21"/>
  <c r="N67" i="21"/>
  <c r="N68"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3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409" i="21"/>
  <c r="N410" i="21"/>
  <c r="N411" i="21"/>
  <c r="N412" i="21"/>
  <c r="N413" i="21"/>
  <c r="N414" i="21"/>
  <c r="N415" i="21"/>
  <c r="N416" i="21"/>
  <c r="N417" i="21"/>
  <c r="N418" i="21"/>
  <c r="N419" i="21"/>
  <c r="N420" i="21"/>
  <c r="N421" i="21"/>
  <c r="N422" i="21"/>
  <c r="N423" i="21"/>
  <c r="N424" i="21"/>
  <c r="N425" i="21"/>
  <c r="N426" i="21"/>
  <c r="N427" i="21"/>
  <c r="N428" i="21"/>
  <c r="N429" i="21"/>
  <c r="N430" i="21"/>
  <c r="N431" i="21"/>
  <c r="N432" i="21"/>
  <c r="N433" i="21"/>
  <c r="N434" i="21"/>
  <c r="N435" i="21"/>
  <c r="N436" i="21"/>
  <c r="N437" i="21"/>
  <c r="N438" i="21"/>
  <c r="N439" i="21"/>
  <c r="N440" i="21"/>
  <c r="N441" i="21"/>
  <c r="N442" i="21"/>
  <c r="N443" i="21"/>
  <c r="N444" i="21"/>
  <c r="N445" i="21"/>
  <c r="N446" i="21"/>
  <c r="N447" i="21"/>
  <c r="N448" i="21"/>
  <c r="N449" i="21"/>
  <c r="N450" i="21"/>
  <c r="N451" i="21"/>
  <c r="N452" i="21"/>
  <c r="N453" i="21"/>
  <c r="N454" i="21"/>
  <c r="N455" i="21"/>
  <c r="N456" i="21"/>
  <c r="N457" i="21"/>
  <c r="N458" i="21"/>
  <c r="N459" i="21"/>
  <c r="N460" i="21"/>
  <c r="N461" i="21"/>
  <c r="N462" i="21"/>
  <c r="N463" i="21"/>
  <c r="N464" i="21"/>
  <c r="N465" i="21"/>
  <c r="N466" i="21"/>
  <c r="N467" i="21"/>
  <c r="N468" i="21"/>
  <c r="N469" i="21"/>
  <c r="N470" i="21"/>
  <c r="N471" i="21"/>
  <c r="N472" i="21"/>
  <c r="N473" i="21"/>
  <c r="N474" i="21"/>
  <c r="N475" i="21"/>
  <c r="N476" i="21"/>
  <c r="N477" i="21"/>
  <c r="N478" i="21"/>
  <c r="N479" i="21"/>
  <c r="N480" i="21"/>
  <c r="N481" i="21"/>
  <c r="N482" i="21"/>
  <c r="N483" i="21"/>
  <c r="N484" i="21"/>
  <c r="N485" i="21"/>
  <c r="N486" i="21"/>
  <c r="N487" i="21"/>
  <c r="N488" i="21"/>
  <c r="N489" i="21"/>
  <c r="N490" i="21"/>
  <c r="N491" i="21"/>
  <c r="N492" i="21"/>
  <c r="N493" i="21"/>
  <c r="N494" i="21"/>
  <c r="N495" i="21"/>
  <c r="N496" i="21"/>
  <c r="N497" i="21"/>
  <c r="N498" i="21"/>
  <c r="N499" i="21"/>
  <c r="N500" i="21"/>
  <c r="N501" i="21"/>
  <c r="N502" i="21"/>
  <c r="N503" i="21"/>
  <c r="N504" i="21"/>
  <c r="N505" i="21"/>
  <c r="N506" i="21"/>
  <c r="N507" i="21"/>
  <c r="N508" i="21"/>
  <c r="N509" i="21"/>
  <c r="N510" i="21"/>
  <c r="N511" i="21"/>
  <c r="N512" i="21"/>
  <c r="N513" i="21"/>
  <c r="N514" i="21"/>
  <c r="N515" i="21"/>
  <c r="N516" i="21"/>
  <c r="N517" i="21"/>
  <c r="N518" i="21"/>
  <c r="N519" i="21"/>
  <c r="N520" i="21"/>
  <c r="N521" i="21"/>
  <c r="N522" i="21"/>
  <c r="N523" i="21"/>
  <c r="N524" i="21"/>
  <c r="N525" i="21"/>
  <c r="N526" i="21"/>
  <c r="N527" i="21"/>
  <c r="N528" i="21"/>
  <c r="N529" i="21"/>
  <c r="N530" i="21"/>
  <c r="N531" i="21"/>
  <c r="N532" i="21"/>
  <c r="N533" i="21"/>
  <c r="N534" i="21"/>
  <c r="N535" i="21"/>
  <c r="N536" i="21"/>
  <c r="N537" i="21"/>
  <c r="N538" i="21"/>
  <c r="N539" i="21"/>
  <c r="N540" i="21"/>
  <c r="N541" i="21"/>
  <c r="N542" i="21"/>
  <c r="N543" i="21"/>
  <c r="N544" i="21"/>
  <c r="N545" i="21"/>
  <c r="N546" i="21"/>
  <c r="N547" i="21"/>
  <c r="N548" i="21"/>
  <c r="N549" i="21"/>
  <c r="N550" i="21"/>
  <c r="N551" i="21"/>
  <c r="N552" i="21"/>
  <c r="N553" i="21"/>
  <c r="N554" i="21"/>
  <c r="N555" i="21"/>
  <c r="N556" i="21"/>
  <c r="N557" i="21"/>
  <c r="N558" i="21"/>
  <c r="N559" i="21"/>
  <c r="N560" i="21"/>
  <c r="N561" i="21"/>
  <c r="N562" i="21"/>
  <c r="N563" i="21"/>
  <c r="N564" i="21"/>
  <c r="N565" i="21"/>
  <c r="N566" i="21"/>
  <c r="N567" i="21"/>
  <c r="N568" i="21"/>
  <c r="N569" i="21"/>
  <c r="N570" i="21"/>
  <c r="N571" i="21"/>
  <c r="N572" i="21"/>
  <c r="N573" i="21"/>
  <c r="N574" i="21"/>
  <c r="N575" i="21"/>
  <c r="N576" i="21"/>
  <c r="N577" i="21"/>
  <c r="N578" i="21"/>
  <c r="N579" i="21"/>
  <c r="N580" i="21"/>
  <c r="N581" i="21"/>
  <c r="N582" i="21"/>
  <c r="N583" i="21"/>
  <c r="N584" i="21"/>
  <c r="N585" i="21"/>
  <c r="N586" i="21"/>
  <c r="N587" i="21"/>
  <c r="N588" i="21"/>
  <c r="N589" i="21"/>
  <c r="N590" i="21"/>
  <c r="N591" i="21"/>
  <c r="N592" i="21"/>
  <c r="N593" i="21"/>
  <c r="N594" i="21"/>
  <c r="N595" i="21"/>
  <c r="N596" i="21"/>
  <c r="N597" i="21"/>
  <c r="N598" i="21"/>
  <c r="N599" i="21"/>
  <c r="N600" i="21"/>
  <c r="N601" i="21"/>
  <c r="N602" i="21"/>
  <c r="N603" i="21"/>
  <c r="N604" i="21"/>
  <c r="N605" i="21"/>
  <c r="N606" i="21"/>
  <c r="N607" i="21"/>
  <c r="N608" i="21"/>
  <c r="N609" i="21"/>
  <c r="N610" i="21"/>
  <c r="N611" i="21"/>
  <c r="N612" i="21"/>
  <c r="N613" i="21"/>
  <c r="N614" i="21"/>
  <c r="N615" i="21"/>
  <c r="N616" i="21"/>
  <c r="N617" i="21"/>
  <c r="N618" i="21"/>
  <c r="N619" i="21"/>
  <c r="N620" i="21"/>
  <c r="N621" i="21"/>
  <c r="N622" i="21"/>
  <c r="N623" i="21"/>
  <c r="N624" i="21"/>
  <c r="N625" i="21"/>
  <c r="N626" i="21"/>
  <c r="N627" i="21"/>
  <c r="N628" i="21"/>
  <c r="N629" i="21"/>
  <c r="N630" i="21"/>
  <c r="N631" i="21"/>
  <c r="N632" i="21"/>
  <c r="N633" i="21"/>
  <c r="N634" i="21"/>
  <c r="N635" i="21"/>
  <c r="N636" i="21"/>
  <c r="N637" i="21"/>
  <c r="N638" i="21"/>
  <c r="N639" i="21"/>
  <c r="N640" i="21"/>
  <c r="N641" i="21"/>
  <c r="N642" i="21"/>
  <c r="N643" i="21"/>
  <c r="N644" i="21"/>
  <c r="N645" i="21"/>
  <c r="N646" i="21"/>
  <c r="N647" i="21"/>
  <c r="N648" i="21"/>
  <c r="N649" i="21"/>
  <c r="N650" i="21"/>
  <c r="N651" i="21"/>
  <c r="N652" i="21"/>
  <c r="N653" i="21"/>
  <c r="N654" i="21"/>
  <c r="N655" i="21"/>
  <c r="N656" i="21"/>
  <c r="N657" i="21"/>
  <c r="N658" i="21"/>
  <c r="N659" i="21"/>
  <c r="N660" i="21"/>
  <c r="N661" i="21"/>
  <c r="N662" i="21"/>
  <c r="N663" i="21"/>
  <c r="N664" i="21"/>
  <c r="N665" i="21"/>
  <c r="N666" i="21"/>
  <c r="N667" i="21"/>
  <c r="N668" i="21"/>
  <c r="N669" i="21"/>
  <c r="N670" i="21"/>
  <c r="N671" i="21"/>
  <c r="N672" i="21"/>
  <c r="N673" i="21"/>
  <c r="N674" i="21"/>
  <c r="N675" i="21"/>
  <c r="N676" i="21"/>
  <c r="N677" i="21"/>
  <c r="N678" i="21"/>
  <c r="N679" i="21"/>
  <c r="N680" i="21"/>
  <c r="N681" i="21"/>
  <c r="N682" i="21"/>
  <c r="N683" i="21"/>
  <c r="M3"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80" i="21"/>
  <c r="M81" i="21"/>
  <c r="M82" i="21"/>
  <c r="M83" i="21"/>
  <c r="M84" i="21"/>
  <c r="M85" i="21"/>
  <c r="M86" i="21"/>
  <c r="M87" i="21"/>
  <c r="M88" i="21"/>
  <c r="M89" i="21"/>
  <c r="M90" i="21"/>
  <c r="M91" i="21"/>
  <c r="M92" i="21"/>
  <c r="M93" i="21"/>
  <c r="M94" i="21"/>
  <c r="M95" i="21"/>
  <c r="M96" i="21"/>
  <c r="M97" i="21"/>
  <c r="M98" i="21"/>
  <c r="M99" i="21"/>
  <c r="M100" i="21"/>
  <c r="M101" i="21"/>
  <c r="M102" i="21"/>
  <c r="M103" i="21"/>
  <c r="M104" i="21"/>
  <c r="M105" i="21"/>
  <c r="M106" i="21"/>
  <c r="M107" i="21"/>
  <c r="M108" i="21"/>
  <c r="M109" i="21"/>
  <c r="M110" i="21"/>
  <c r="M111" i="21"/>
  <c r="M112" i="21"/>
  <c r="M113" i="21"/>
  <c r="M114" i="21"/>
  <c r="M115" i="21"/>
  <c r="M116" i="21"/>
  <c r="M117" i="21"/>
  <c r="M118" i="21"/>
  <c r="M119" i="21"/>
  <c r="M120" i="21"/>
  <c r="M121" i="21"/>
  <c r="M122" i="21"/>
  <c r="M123" i="21"/>
  <c r="M124" i="21"/>
  <c r="M125"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49" i="21"/>
  <c r="M150" i="21"/>
  <c r="M151" i="21"/>
  <c r="M152" i="21"/>
  <c r="M153" i="21"/>
  <c r="M154" i="21"/>
  <c r="M155" i="21"/>
  <c r="M156" i="21"/>
  <c r="M157" i="21"/>
  <c r="M158" i="21"/>
  <c r="M159" i="21"/>
  <c r="M160" i="21"/>
  <c r="M161" i="21"/>
  <c r="M162" i="21"/>
  <c r="M163" i="21"/>
  <c r="M164" i="21"/>
  <c r="M165" i="21"/>
  <c r="M166" i="21"/>
  <c r="M167" i="21"/>
  <c r="M168" i="21"/>
  <c r="M169" i="21"/>
  <c r="M170" i="21"/>
  <c r="M171" i="21"/>
  <c r="M172" i="21"/>
  <c r="M173" i="21"/>
  <c r="M174" i="21"/>
  <c r="M175" i="21"/>
  <c r="M176" i="21"/>
  <c r="M177" i="21"/>
  <c r="M178" i="21"/>
  <c r="M179" i="21"/>
  <c r="M180" i="21"/>
  <c r="M181" i="21"/>
  <c r="M182" i="21"/>
  <c r="M183" i="21"/>
  <c r="M184" i="21"/>
  <c r="M185" i="21"/>
  <c r="M186" i="21"/>
  <c r="M187" i="21"/>
  <c r="M188" i="21"/>
  <c r="M189" i="21"/>
  <c r="M190" i="21"/>
  <c r="M191" i="21"/>
  <c r="M192" i="21"/>
  <c r="M193" i="21"/>
  <c r="M194" i="21"/>
  <c r="M195" i="21"/>
  <c r="M196" i="21"/>
  <c r="M197" i="21"/>
  <c r="M198" i="21"/>
  <c r="M199" i="21"/>
  <c r="M200" i="21"/>
  <c r="M201" i="21"/>
  <c r="M202" i="21"/>
  <c r="M203" i="21"/>
  <c r="M204" i="21"/>
  <c r="M205" i="21"/>
  <c r="M206" i="21"/>
  <c r="M207" i="21"/>
  <c r="M208" i="21"/>
  <c r="M209" i="21"/>
  <c r="M210" i="21"/>
  <c r="M211" i="21"/>
  <c r="M212" i="21"/>
  <c r="M213" i="21"/>
  <c r="M214" i="21"/>
  <c r="M215" i="21"/>
  <c r="M216" i="21"/>
  <c r="M217" i="21"/>
  <c r="M218" i="21"/>
  <c r="M219" i="21"/>
  <c r="M220" i="21"/>
  <c r="M221" i="21"/>
  <c r="M222" i="21"/>
  <c r="M223" i="21"/>
  <c r="M224" i="21"/>
  <c r="M225" i="21"/>
  <c r="M226" i="21"/>
  <c r="M227" i="21"/>
  <c r="M228" i="21"/>
  <c r="M229" i="21"/>
  <c r="M230" i="21"/>
  <c r="M231" i="21"/>
  <c r="M232" i="21"/>
  <c r="M233" i="21"/>
  <c r="M234" i="21"/>
  <c r="M235" i="21"/>
  <c r="M236" i="21"/>
  <c r="M237" i="21"/>
  <c r="M238" i="21"/>
  <c r="M239" i="21"/>
  <c r="M240" i="21"/>
  <c r="M241" i="21"/>
  <c r="M242" i="21"/>
  <c r="M243" i="21"/>
  <c r="M244" i="21"/>
  <c r="M245" i="21"/>
  <c r="M246" i="21"/>
  <c r="M247" i="21"/>
  <c r="M248" i="21"/>
  <c r="M249" i="21"/>
  <c r="M250" i="21"/>
  <c r="M251" i="21"/>
  <c r="M252" i="21"/>
  <c r="M253" i="21"/>
  <c r="M254" i="21"/>
  <c r="M255" i="21"/>
  <c r="M256" i="21"/>
  <c r="M257" i="21"/>
  <c r="M258" i="21"/>
  <c r="M259" i="21"/>
  <c r="M260" i="21"/>
  <c r="M261" i="21"/>
  <c r="M262" i="21"/>
  <c r="M263" i="21"/>
  <c r="M264" i="21"/>
  <c r="M265" i="21"/>
  <c r="M266" i="21"/>
  <c r="M267" i="21"/>
  <c r="M268" i="21"/>
  <c r="M269" i="21"/>
  <c r="M270" i="21"/>
  <c r="M271" i="21"/>
  <c r="M272" i="21"/>
  <c r="M273" i="21"/>
  <c r="M274" i="21"/>
  <c r="M275" i="21"/>
  <c r="M276" i="21"/>
  <c r="M277" i="21"/>
  <c r="M278" i="21"/>
  <c r="M279" i="21"/>
  <c r="M280" i="21"/>
  <c r="M281" i="21"/>
  <c r="M282" i="21"/>
  <c r="M283" i="21"/>
  <c r="M284" i="21"/>
  <c r="M285" i="21"/>
  <c r="M286" i="21"/>
  <c r="M287" i="21"/>
  <c r="M288" i="21"/>
  <c r="M289" i="21"/>
  <c r="M290" i="21"/>
  <c r="M291" i="21"/>
  <c r="M292" i="21"/>
  <c r="M293" i="21"/>
  <c r="M294" i="21"/>
  <c r="M295" i="21"/>
  <c r="M296" i="21"/>
  <c r="M297" i="21"/>
  <c r="M298" i="21"/>
  <c r="M299" i="21"/>
  <c r="M300" i="21"/>
  <c r="M301" i="21"/>
  <c r="M302" i="21"/>
  <c r="M303" i="21"/>
  <c r="M304" i="21"/>
  <c r="M305" i="21"/>
  <c r="M306" i="21"/>
  <c r="M307" i="21"/>
  <c r="M308" i="21"/>
  <c r="M309" i="21"/>
  <c r="M310" i="21"/>
  <c r="M311" i="21"/>
  <c r="M312" i="21"/>
  <c r="M313" i="21"/>
  <c r="M314" i="21"/>
  <c r="M315" i="21"/>
  <c r="M316" i="21"/>
  <c r="M317" i="21"/>
  <c r="M318" i="21"/>
  <c r="M319" i="21"/>
  <c r="M320" i="21"/>
  <c r="M321" i="21"/>
  <c r="M322" i="21"/>
  <c r="M323" i="21"/>
  <c r="M324" i="21"/>
  <c r="M325" i="21"/>
  <c r="M326" i="21"/>
  <c r="M327" i="21"/>
  <c r="M328" i="21"/>
  <c r="M329" i="21"/>
  <c r="M330" i="21"/>
  <c r="M331" i="21"/>
  <c r="M332" i="21"/>
  <c r="M333" i="21"/>
  <c r="M334" i="21"/>
  <c r="M335" i="21"/>
  <c r="M336" i="21"/>
  <c r="M337" i="21"/>
  <c r="M338" i="21"/>
  <c r="M339" i="21"/>
  <c r="M340" i="21"/>
  <c r="M341" i="21"/>
  <c r="M342" i="21"/>
  <c r="M343" i="21"/>
  <c r="M344" i="21"/>
  <c r="M345" i="21"/>
  <c r="M346" i="21"/>
  <c r="M347" i="21"/>
  <c r="M348" i="21"/>
  <c r="M349" i="21"/>
  <c r="M350" i="21"/>
  <c r="M351" i="21"/>
  <c r="M352" i="21"/>
  <c r="M353" i="21"/>
  <c r="M354" i="21"/>
  <c r="M355" i="21"/>
  <c r="M356" i="21"/>
  <c r="M357" i="21"/>
  <c r="M358" i="21"/>
  <c r="M359" i="21"/>
  <c r="M360" i="21"/>
  <c r="M361" i="21"/>
  <c r="M362" i="21"/>
  <c r="M363" i="21"/>
  <c r="M364" i="21"/>
  <c r="M365" i="21"/>
  <c r="M366" i="21"/>
  <c r="M367" i="21"/>
  <c r="M368" i="21"/>
  <c r="M369" i="21"/>
  <c r="M370" i="21"/>
  <c r="M371" i="21"/>
  <c r="M372" i="21"/>
  <c r="M373" i="21"/>
  <c r="M374" i="21"/>
  <c r="M375" i="21"/>
  <c r="M376" i="21"/>
  <c r="M377" i="21"/>
  <c r="M378" i="21"/>
  <c r="M379" i="21"/>
  <c r="M380" i="21"/>
  <c r="M381" i="21"/>
  <c r="M382" i="21"/>
  <c r="M383" i="21"/>
  <c r="M384" i="21"/>
  <c r="M385" i="21"/>
  <c r="M386" i="21"/>
  <c r="M387" i="21"/>
  <c r="M388" i="21"/>
  <c r="M389" i="21"/>
  <c r="M390" i="21"/>
  <c r="M391" i="21"/>
  <c r="M392" i="21"/>
  <c r="M393" i="21"/>
  <c r="M394" i="21"/>
  <c r="M395" i="21"/>
  <c r="M396" i="21"/>
  <c r="M397" i="21"/>
  <c r="M398" i="21"/>
  <c r="M399" i="21"/>
  <c r="M400" i="21"/>
  <c r="M401" i="21"/>
  <c r="M402" i="21"/>
  <c r="M403" i="21"/>
  <c r="M404" i="21"/>
  <c r="M405" i="21"/>
  <c r="M406" i="21"/>
  <c r="M407" i="21"/>
  <c r="M408" i="21"/>
  <c r="M409" i="21"/>
  <c r="M410" i="21"/>
  <c r="M411" i="21"/>
  <c r="M412" i="21"/>
  <c r="M413" i="21"/>
  <c r="M414" i="21"/>
  <c r="M415" i="21"/>
  <c r="M416" i="21"/>
  <c r="M417" i="21"/>
  <c r="M418" i="21"/>
  <c r="M419" i="21"/>
  <c r="M420" i="21"/>
  <c r="M421" i="21"/>
  <c r="M422" i="21"/>
  <c r="M423" i="21"/>
  <c r="M424" i="21"/>
  <c r="M425" i="21"/>
  <c r="M426" i="21"/>
  <c r="M427" i="21"/>
  <c r="M428" i="21"/>
  <c r="M429" i="21"/>
  <c r="M430" i="21"/>
  <c r="M431" i="21"/>
  <c r="M432" i="21"/>
  <c r="M433" i="21"/>
  <c r="M434" i="21"/>
  <c r="M435" i="21"/>
  <c r="M436" i="21"/>
  <c r="M437" i="21"/>
  <c r="M438" i="21"/>
  <c r="M439" i="21"/>
  <c r="M440" i="21"/>
  <c r="M441" i="21"/>
  <c r="M442" i="21"/>
  <c r="M443" i="21"/>
  <c r="M444" i="21"/>
  <c r="M445" i="21"/>
  <c r="M446" i="21"/>
  <c r="M447" i="21"/>
  <c r="M448" i="21"/>
  <c r="M449" i="21"/>
  <c r="M450" i="21"/>
  <c r="M451" i="21"/>
  <c r="M452" i="21"/>
  <c r="M453" i="21"/>
  <c r="M454" i="21"/>
  <c r="M455" i="21"/>
  <c r="M456" i="21"/>
  <c r="M457" i="21"/>
  <c r="M458" i="21"/>
  <c r="M459" i="21"/>
  <c r="M460" i="21"/>
  <c r="M461" i="21"/>
  <c r="M462" i="21"/>
  <c r="M463" i="21"/>
  <c r="M464" i="21"/>
  <c r="M465" i="21"/>
  <c r="M466" i="21"/>
  <c r="M467" i="21"/>
  <c r="M468" i="21"/>
  <c r="M469" i="21"/>
  <c r="M470" i="21"/>
  <c r="M471" i="21"/>
  <c r="M472" i="21"/>
  <c r="M473" i="21"/>
  <c r="M474" i="21"/>
  <c r="M475" i="21"/>
  <c r="M476" i="21"/>
  <c r="M477" i="21"/>
  <c r="M478" i="21"/>
  <c r="M479" i="21"/>
  <c r="M480" i="21"/>
  <c r="M481" i="21"/>
  <c r="M482" i="21"/>
  <c r="M483" i="21"/>
  <c r="M484" i="21"/>
  <c r="M485" i="21"/>
  <c r="M486" i="21"/>
  <c r="M487" i="21"/>
  <c r="M488" i="21"/>
  <c r="M489" i="21"/>
  <c r="M490" i="21"/>
  <c r="M491" i="21"/>
  <c r="M492" i="21"/>
  <c r="M493" i="21"/>
  <c r="M494" i="21"/>
  <c r="M495" i="21"/>
  <c r="M496" i="21"/>
  <c r="M497" i="21"/>
  <c r="M498" i="21"/>
  <c r="M499" i="21"/>
  <c r="M500" i="21"/>
  <c r="M501" i="21"/>
  <c r="M502" i="21"/>
  <c r="M503" i="21"/>
  <c r="M504" i="21"/>
  <c r="M505" i="21"/>
  <c r="M506" i="21"/>
  <c r="M507" i="21"/>
  <c r="M508" i="21"/>
  <c r="M509" i="21"/>
  <c r="M510" i="21"/>
  <c r="M511" i="21"/>
  <c r="M512" i="21"/>
  <c r="M513" i="21"/>
  <c r="M514" i="21"/>
  <c r="M515" i="21"/>
  <c r="M516" i="21"/>
  <c r="M517" i="21"/>
  <c r="M518" i="21"/>
  <c r="M519" i="21"/>
  <c r="M520" i="21"/>
  <c r="M521" i="21"/>
  <c r="M522" i="21"/>
  <c r="M523" i="21"/>
  <c r="M524" i="21"/>
  <c r="M525" i="21"/>
  <c r="M526" i="21"/>
  <c r="M527" i="21"/>
  <c r="M528" i="21"/>
  <c r="M529" i="21"/>
  <c r="M530" i="21"/>
  <c r="M531" i="21"/>
  <c r="M532" i="21"/>
  <c r="M533" i="21"/>
  <c r="M534" i="21"/>
  <c r="M535" i="21"/>
  <c r="M536" i="21"/>
  <c r="M537" i="21"/>
  <c r="M538" i="21"/>
  <c r="M539" i="21"/>
  <c r="M540" i="21"/>
  <c r="M541" i="21"/>
  <c r="M542" i="21"/>
  <c r="M543" i="21"/>
  <c r="M544" i="21"/>
  <c r="M545" i="21"/>
  <c r="M546" i="21"/>
  <c r="M547" i="21"/>
  <c r="M548" i="21"/>
  <c r="M549" i="21"/>
  <c r="M550" i="21"/>
  <c r="M551" i="21"/>
  <c r="M552" i="21"/>
  <c r="M553" i="21"/>
  <c r="M554" i="21"/>
  <c r="M555" i="21"/>
  <c r="M556" i="21"/>
  <c r="M557" i="21"/>
  <c r="M558" i="21"/>
  <c r="M559" i="21"/>
  <c r="M560" i="21"/>
  <c r="M561" i="21"/>
  <c r="M562" i="21"/>
  <c r="M563" i="21"/>
  <c r="M564" i="21"/>
  <c r="M565" i="21"/>
  <c r="M566" i="21"/>
  <c r="M567" i="21"/>
  <c r="M568" i="21"/>
  <c r="M569" i="21"/>
  <c r="M570" i="21"/>
  <c r="M571" i="21"/>
  <c r="M572" i="21"/>
  <c r="M573" i="21"/>
  <c r="M574" i="21"/>
  <c r="M575" i="21"/>
  <c r="M576" i="21"/>
  <c r="M577" i="21"/>
  <c r="M578" i="21"/>
  <c r="M579" i="21"/>
  <c r="M580" i="21"/>
  <c r="M581" i="21"/>
  <c r="M582" i="21"/>
  <c r="M583" i="21"/>
  <c r="M584" i="21"/>
  <c r="M585" i="21"/>
  <c r="M586" i="21"/>
  <c r="M587" i="21"/>
  <c r="M588" i="21"/>
  <c r="M589" i="21"/>
  <c r="M590" i="21"/>
  <c r="M591" i="21"/>
  <c r="M592" i="21"/>
  <c r="M593" i="21"/>
  <c r="M594" i="21"/>
  <c r="M595" i="21"/>
  <c r="M596" i="21"/>
  <c r="M597" i="21"/>
  <c r="M598" i="21"/>
  <c r="M599" i="21"/>
  <c r="M600" i="21"/>
  <c r="M601" i="21"/>
  <c r="M602" i="21"/>
  <c r="M603" i="21"/>
  <c r="M604" i="21"/>
  <c r="M605" i="21"/>
  <c r="M606" i="21"/>
  <c r="M607" i="21"/>
  <c r="M608" i="21"/>
  <c r="M609" i="21"/>
  <c r="M610" i="21"/>
  <c r="M611" i="21"/>
  <c r="M612" i="21"/>
  <c r="M613" i="21"/>
  <c r="M614" i="21"/>
  <c r="M615" i="21"/>
  <c r="M616" i="21"/>
  <c r="M617" i="21"/>
  <c r="M618" i="21"/>
  <c r="M619" i="21"/>
  <c r="M620" i="21"/>
  <c r="M621" i="21"/>
  <c r="M622" i="21"/>
  <c r="M623" i="21"/>
  <c r="M624" i="21"/>
  <c r="M625" i="21"/>
  <c r="M626" i="21"/>
  <c r="M627" i="21"/>
  <c r="M628" i="21"/>
  <c r="M629" i="21"/>
  <c r="M630" i="21"/>
  <c r="M631" i="21"/>
  <c r="M632" i="21"/>
  <c r="M633" i="21"/>
  <c r="M634" i="21"/>
  <c r="M635" i="21"/>
  <c r="M636" i="21"/>
  <c r="M637" i="21"/>
  <c r="M638" i="21"/>
  <c r="M639" i="21"/>
  <c r="M640" i="21"/>
  <c r="M641" i="21"/>
  <c r="M642" i="21"/>
  <c r="M643" i="21"/>
  <c r="M644" i="21"/>
  <c r="M645" i="21"/>
  <c r="M646" i="21"/>
  <c r="M647" i="21"/>
  <c r="M648" i="21"/>
  <c r="M649" i="21"/>
  <c r="M650" i="21"/>
  <c r="M651" i="21"/>
  <c r="M652" i="21"/>
  <c r="M653" i="21"/>
  <c r="M654" i="21"/>
  <c r="M655" i="21"/>
  <c r="M656" i="21"/>
  <c r="M657" i="21"/>
  <c r="M658" i="21"/>
  <c r="M659" i="21"/>
  <c r="M660" i="21"/>
  <c r="M661" i="21"/>
  <c r="M662" i="21"/>
  <c r="M663" i="21"/>
  <c r="M664" i="21"/>
  <c r="M665" i="21"/>
  <c r="M666" i="21"/>
  <c r="M667" i="21"/>
  <c r="M668" i="21"/>
  <c r="M669" i="21"/>
  <c r="M670" i="21"/>
  <c r="M671" i="21"/>
  <c r="M672" i="21"/>
  <c r="M673" i="21"/>
  <c r="M674" i="21"/>
  <c r="M675" i="21"/>
  <c r="M676" i="21"/>
  <c r="M677" i="21"/>
  <c r="M678" i="21"/>
  <c r="M679" i="21"/>
  <c r="M680" i="21"/>
  <c r="M681" i="21"/>
  <c r="M682" i="21"/>
  <c r="M683" i="21"/>
  <c r="L3" i="21"/>
  <c r="L4" i="21"/>
  <c r="L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L102" i="21"/>
  <c r="L103" i="21"/>
  <c r="L104" i="21"/>
  <c r="L105" i="21"/>
  <c r="L106" i="21"/>
  <c r="L107" i="21"/>
  <c r="L108" i="21"/>
  <c r="L109" i="21"/>
  <c r="L110" i="21"/>
  <c r="L111" i="21"/>
  <c r="L112" i="21"/>
  <c r="L113" i="21"/>
  <c r="L114" i="21"/>
  <c r="L115" i="21"/>
  <c r="L116" i="21"/>
  <c r="L117" i="21"/>
  <c r="L118" i="21"/>
  <c r="L119" i="21"/>
  <c r="L120"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209" i="21"/>
  <c r="L210" i="21"/>
  <c r="L211" i="21"/>
  <c r="L212" i="21"/>
  <c r="L213" i="21"/>
  <c r="L214" i="21"/>
  <c r="L215" i="21"/>
  <c r="L216" i="21"/>
  <c r="L217" i="21"/>
  <c r="L218" i="21"/>
  <c r="L219" i="21"/>
  <c r="L220" i="21"/>
  <c r="L221" i="21"/>
  <c r="L222" i="21"/>
  <c r="L223" i="21"/>
  <c r="L224" i="21"/>
  <c r="L225" i="21"/>
  <c r="L226" i="21"/>
  <c r="L227" i="21"/>
  <c r="L228" i="21"/>
  <c r="L229" i="21"/>
  <c r="L230" i="21"/>
  <c r="L231" i="21"/>
  <c r="L232" i="21"/>
  <c r="L233" i="21"/>
  <c r="L234" i="21"/>
  <c r="L235" i="21"/>
  <c r="L236" i="21"/>
  <c r="L237" i="21"/>
  <c r="L238" i="21"/>
  <c r="L239" i="21"/>
  <c r="L240" i="21"/>
  <c r="L241" i="21"/>
  <c r="L242" i="21"/>
  <c r="L243" i="21"/>
  <c r="L244" i="21"/>
  <c r="L245" i="21"/>
  <c r="L246" i="21"/>
  <c r="L247" i="21"/>
  <c r="L248" i="21"/>
  <c r="L249" i="21"/>
  <c r="L250" i="21"/>
  <c r="L251" i="21"/>
  <c r="L252" i="21"/>
  <c r="L253" i="21"/>
  <c r="L254" i="21"/>
  <c r="L255" i="21"/>
  <c r="L256" i="21"/>
  <c r="L257" i="21"/>
  <c r="L258" i="21"/>
  <c r="L259" i="21"/>
  <c r="L260" i="21"/>
  <c r="L261" i="21"/>
  <c r="L262" i="21"/>
  <c r="L263" i="21"/>
  <c r="L264" i="21"/>
  <c r="L265" i="21"/>
  <c r="L266" i="21"/>
  <c r="L267" i="21"/>
  <c r="L268" i="21"/>
  <c r="L269" i="21"/>
  <c r="L270" i="21"/>
  <c r="L271" i="21"/>
  <c r="L272" i="21"/>
  <c r="L273" i="21"/>
  <c r="L274" i="21"/>
  <c r="L275" i="21"/>
  <c r="L276" i="21"/>
  <c r="L277" i="21"/>
  <c r="L278" i="21"/>
  <c r="L279" i="21"/>
  <c r="L280" i="21"/>
  <c r="L281" i="21"/>
  <c r="L282" i="21"/>
  <c r="L283" i="21"/>
  <c r="L284" i="21"/>
  <c r="L285" i="21"/>
  <c r="L286" i="21"/>
  <c r="L287" i="21"/>
  <c r="L288" i="21"/>
  <c r="L289" i="21"/>
  <c r="L290" i="21"/>
  <c r="L291" i="21"/>
  <c r="L292" i="21"/>
  <c r="L293" i="21"/>
  <c r="L294" i="21"/>
  <c r="L295" i="21"/>
  <c r="L296" i="21"/>
  <c r="L297" i="21"/>
  <c r="L298" i="21"/>
  <c r="L299" i="21"/>
  <c r="L300" i="21"/>
  <c r="L301" i="21"/>
  <c r="L302" i="21"/>
  <c r="L303" i="21"/>
  <c r="L304" i="21"/>
  <c r="L305" i="21"/>
  <c r="L306" i="21"/>
  <c r="L307" i="21"/>
  <c r="L308" i="21"/>
  <c r="L309" i="21"/>
  <c r="L310" i="21"/>
  <c r="L311" i="21"/>
  <c r="L312" i="21"/>
  <c r="L313" i="21"/>
  <c r="L314" i="21"/>
  <c r="L315" i="21"/>
  <c r="L316" i="21"/>
  <c r="L317" i="21"/>
  <c r="L318" i="21"/>
  <c r="L319" i="21"/>
  <c r="L320" i="21"/>
  <c r="L321" i="21"/>
  <c r="L322" i="21"/>
  <c r="L323" i="21"/>
  <c r="L324" i="21"/>
  <c r="L325" i="21"/>
  <c r="L326" i="21"/>
  <c r="L327" i="21"/>
  <c r="L328" i="21"/>
  <c r="L329" i="21"/>
  <c r="L330" i="21"/>
  <c r="L331" i="21"/>
  <c r="L332" i="21"/>
  <c r="L333" i="21"/>
  <c r="L334" i="21"/>
  <c r="L335" i="21"/>
  <c r="L336" i="21"/>
  <c r="L337" i="21"/>
  <c r="L338" i="21"/>
  <c r="L339" i="21"/>
  <c r="L340" i="21"/>
  <c r="L341" i="21"/>
  <c r="L342" i="21"/>
  <c r="L343" i="21"/>
  <c r="L344" i="21"/>
  <c r="L345" i="21"/>
  <c r="L346" i="21"/>
  <c r="L347" i="21"/>
  <c r="L348" i="21"/>
  <c r="L349" i="21"/>
  <c r="L350" i="21"/>
  <c r="L351" i="21"/>
  <c r="L352" i="21"/>
  <c r="L353" i="21"/>
  <c r="L354" i="21"/>
  <c r="L355" i="21"/>
  <c r="L356" i="21"/>
  <c r="L357" i="21"/>
  <c r="L358" i="21"/>
  <c r="L359" i="21"/>
  <c r="L360" i="21"/>
  <c r="L361" i="21"/>
  <c r="L362" i="21"/>
  <c r="L363" i="21"/>
  <c r="L364" i="21"/>
  <c r="L365" i="21"/>
  <c r="L366" i="21"/>
  <c r="L367" i="21"/>
  <c r="L368" i="21"/>
  <c r="L369" i="21"/>
  <c r="L370" i="21"/>
  <c r="L371" i="21"/>
  <c r="L372" i="21"/>
  <c r="L373" i="21"/>
  <c r="L374" i="21"/>
  <c r="L375" i="21"/>
  <c r="L376" i="21"/>
  <c r="L377" i="21"/>
  <c r="L378" i="21"/>
  <c r="L379" i="21"/>
  <c r="L380" i="21"/>
  <c r="L381" i="21"/>
  <c r="L382" i="21"/>
  <c r="L383" i="21"/>
  <c r="L384" i="21"/>
  <c r="L385" i="21"/>
  <c r="L386" i="21"/>
  <c r="L387" i="21"/>
  <c r="L388" i="21"/>
  <c r="L389" i="21"/>
  <c r="L390" i="21"/>
  <c r="L391" i="21"/>
  <c r="L392" i="21"/>
  <c r="L393" i="21"/>
  <c r="L394" i="21"/>
  <c r="L395" i="21"/>
  <c r="L396" i="21"/>
  <c r="L397" i="21"/>
  <c r="L398" i="21"/>
  <c r="L399" i="21"/>
  <c r="L400" i="21"/>
  <c r="L401" i="21"/>
  <c r="L402" i="21"/>
  <c r="L403" i="21"/>
  <c r="L404" i="21"/>
  <c r="L405" i="21"/>
  <c r="L406" i="21"/>
  <c r="L407" i="21"/>
  <c r="L408" i="21"/>
  <c r="L409" i="21"/>
  <c r="L410" i="21"/>
  <c r="L411" i="21"/>
  <c r="L412" i="21"/>
  <c r="L413" i="21"/>
  <c r="L414" i="21"/>
  <c r="L415" i="21"/>
  <c r="L416" i="21"/>
  <c r="L417" i="21"/>
  <c r="L418" i="21"/>
  <c r="L419" i="21"/>
  <c r="L420" i="21"/>
  <c r="L421" i="21"/>
  <c r="L422" i="21"/>
  <c r="L423" i="21"/>
  <c r="L424" i="21"/>
  <c r="L425" i="21"/>
  <c r="L426" i="21"/>
  <c r="L427" i="21"/>
  <c r="L428" i="21"/>
  <c r="L429" i="21"/>
  <c r="L430" i="21"/>
  <c r="L431" i="21"/>
  <c r="L432" i="21"/>
  <c r="L433" i="21"/>
  <c r="L434" i="21"/>
  <c r="L435" i="21"/>
  <c r="L436" i="21"/>
  <c r="L437" i="21"/>
  <c r="L438" i="21"/>
  <c r="L439" i="21"/>
  <c r="L440" i="21"/>
  <c r="L441" i="21"/>
  <c r="L442" i="21"/>
  <c r="L443" i="21"/>
  <c r="L444" i="21"/>
  <c r="L445" i="21"/>
  <c r="L446" i="21"/>
  <c r="L447" i="21"/>
  <c r="L448" i="21"/>
  <c r="L449" i="21"/>
  <c r="L450" i="21"/>
  <c r="L451" i="21"/>
  <c r="L452" i="21"/>
  <c r="L453" i="21"/>
  <c r="L454" i="21"/>
  <c r="L455" i="21"/>
  <c r="L456" i="21"/>
  <c r="L457" i="21"/>
  <c r="L458" i="21"/>
  <c r="L459" i="21"/>
  <c r="L460" i="21"/>
  <c r="L461" i="21"/>
  <c r="L462" i="21"/>
  <c r="L463" i="21"/>
  <c r="L464" i="21"/>
  <c r="L465" i="21"/>
  <c r="L466" i="21"/>
  <c r="L467" i="21"/>
  <c r="L468" i="21"/>
  <c r="L469" i="21"/>
  <c r="L470" i="21"/>
  <c r="L471" i="21"/>
  <c r="L472" i="21"/>
  <c r="L473" i="21"/>
  <c r="L474" i="21"/>
  <c r="L475" i="21"/>
  <c r="L476" i="21"/>
  <c r="L477" i="21"/>
  <c r="L478" i="21"/>
  <c r="L479" i="21"/>
  <c r="L480" i="21"/>
  <c r="L481" i="21"/>
  <c r="L482" i="21"/>
  <c r="L483" i="21"/>
  <c r="L484" i="21"/>
  <c r="L485" i="21"/>
  <c r="L486" i="21"/>
  <c r="L487" i="21"/>
  <c r="L488" i="21"/>
  <c r="L489" i="21"/>
  <c r="L490" i="21"/>
  <c r="L491" i="21"/>
  <c r="L492" i="21"/>
  <c r="L493" i="21"/>
  <c r="L494" i="21"/>
  <c r="L495" i="21"/>
  <c r="L496" i="21"/>
  <c r="L497" i="21"/>
  <c r="L498" i="21"/>
  <c r="L499" i="21"/>
  <c r="L500" i="21"/>
  <c r="L501" i="21"/>
  <c r="L502" i="21"/>
  <c r="L503" i="21"/>
  <c r="L504" i="21"/>
  <c r="L505" i="21"/>
  <c r="L506" i="21"/>
  <c r="L507" i="21"/>
  <c r="L508" i="21"/>
  <c r="L509" i="21"/>
  <c r="L510" i="21"/>
  <c r="L511" i="21"/>
  <c r="L512" i="21"/>
  <c r="L513" i="21"/>
  <c r="L514" i="21"/>
  <c r="L515" i="21"/>
  <c r="L516" i="21"/>
  <c r="L517" i="21"/>
  <c r="L518" i="21"/>
  <c r="L519" i="21"/>
  <c r="L520" i="21"/>
  <c r="L521" i="21"/>
  <c r="L522" i="21"/>
  <c r="L523" i="21"/>
  <c r="L524" i="21"/>
  <c r="L525" i="21"/>
  <c r="L526" i="21"/>
  <c r="L527" i="21"/>
  <c r="L528" i="21"/>
  <c r="L529" i="21"/>
  <c r="L530" i="21"/>
  <c r="L531" i="21"/>
  <c r="L532" i="21"/>
  <c r="L533" i="21"/>
  <c r="L534" i="21"/>
  <c r="L535" i="21"/>
  <c r="L536" i="21"/>
  <c r="L537" i="21"/>
  <c r="L538" i="21"/>
  <c r="L539" i="21"/>
  <c r="L540" i="21"/>
  <c r="L541" i="21"/>
  <c r="L542" i="21"/>
  <c r="L543" i="21"/>
  <c r="L544" i="21"/>
  <c r="L545" i="21"/>
  <c r="L546" i="21"/>
  <c r="L547" i="21"/>
  <c r="L548" i="21"/>
  <c r="L549" i="21"/>
  <c r="L550" i="21"/>
  <c r="L551" i="21"/>
  <c r="L552" i="21"/>
  <c r="L553" i="21"/>
  <c r="L554" i="21"/>
  <c r="L555" i="21"/>
  <c r="L556" i="21"/>
  <c r="L557" i="21"/>
  <c r="L558" i="21"/>
  <c r="L559" i="21"/>
  <c r="L560" i="21"/>
  <c r="L561" i="21"/>
  <c r="L562" i="21"/>
  <c r="L563" i="21"/>
  <c r="L564" i="21"/>
  <c r="L565" i="21"/>
  <c r="L566" i="21"/>
  <c r="L567" i="21"/>
  <c r="L568" i="21"/>
  <c r="L569" i="21"/>
  <c r="L570" i="21"/>
  <c r="L571" i="21"/>
  <c r="L572" i="21"/>
  <c r="L573" i="21"/>
  <c r="L574" i="21"/>
  <c r="L575" i="21"/>
  <c r="L576" i="21"/>
  <c r="L577" i="21"/>
  <c r="L578" i="21"/>
  <c r="L579" i="21"/>
  <c r="L580" i="21"/>
  <c r="L581" i="21"/>
  <c r="L582" i="21"/>
  <c r="L583" i="21"/>
  <c r="L584" i="21"/>
  <c r="L585" i="21"/>
  <c r="L586" i="21"/>
  <c r="L587" i="21"/>
  <c r="L588" i="21"/>
  <c r="L589" i="21"/>
  <c r="L590" i="21"/>
  <c r="L591" i="21"/>
  <c r="L592" i="21"/>
  <c r="L593" i="21"/>
  <c r="L594" i="21"/>
  <c r="L595" i="21"/>
  <c r="L596" i="21"/>
  <c r="L597" i="21"/>
  <c r="L598" i="21"/>
  <c r="L599" i="21"/>
  <c r="L600" i="21"/>
  <c r="L601" i="21"/>
  <c r="L602" i="21"/>
  <c r="L603" i="21"/>
  <c r="L604" i="21"/>
  <c r="L605" i="21"/>
  <c r="L606" i="21"/>
  <c r="L607" i="21"/>
  <c r="L608" i="21"/>
  <c r="L609" i="21"/>
  <c r="L610" i="21"/>
  <c r="L611" i="21"/>
  <c r="L612" i="21"/>
  <c r="L613" i="21"/>
  <c r="L614" i="21"/>
  <c r="L615" i="21"/>
  <c r="L616" i="21"/>
  <c r="L617" i="21"/>
  <c r="L618" i="21"/>
  <c r="L619" i="21"/>
  <c r="L620" i="21"/>
  <c r="L621" i="21"/>
  <c r="L622" i="21"/>
  <c r="L623" i="21"/>
  <c r="L624" i="21"/>
  <c r="L625" i="21"/>
  <c r="L626" i="21"/>
  <c r="L627" i="21"/>
  <c r="L628" i="21"/>
  <c r="L629" i="21"/>
  <c r="L630" i="21"/>
  <c r="L631" i="21"/>
  <c r="L632" i="21"/>
  <c r="L633" i="21"/>
  <c r="L634" i="21"/>
  <c r="L635" i="21"/>
  <c r="L636" i="21"/>
  <c r="L637" i="21"/>
  <c r="L638" i="21"/>
  <c r="L639" i="21"/>
  <c r="L640" i="21"/>
  <c r="L641" i="21"/>
  <c r="L642" i="21"/>
  <c r="L643" i="21"/>
  <c r="L644" i="21"/>
  <c r="L645" i="21"/>
  <c r="L646" i="21"/>
  <c r="L647" i="21"/>
  <c r="L648" i="21"/>
  <c r="L649" i="21"/>
  <c r="L650" i="21"/>
  <c r="L651" i="21"/>
  <c r="L652" i="21"/>
  <c r="L653" i="21"/>
  <c r="L654" i="21"/>
  <c r="L655" i="21"/>
  <c r="L656" i="21"/>
  <c r="L657" i="21"/>
  <c r="L658" i="21"/>
  <c r="L659" i="21"/>
  <c r="L660" i="21"/>
  <c r="L661" i="21"/>
  <c r="L662" i="21"/>
  <c r="L663" i="21"/>
  <c r="L664" i="21"/>
  <c r="L665" i="21"/>
  <c r="L666" i="21"/>
  <c r="L667" i="21"/>
  <c r="L668" i="21"/>
  <c r="L669" i="21"/>
  <c r="L670" i="21"/>
  <c r="L671" i="21"/>
  <c r="L672" i="21"/>
  <c r="L673" i="21"/>
  <c r="L674" i="21"/>
  <c r="L675" i="21"/>
  <c r="L676" i="21"/>
  <c r="L677" i="21"/>
  <c r="L678" i="21"/>
  <c r="L679" i="21"/>
  <c r="L680" i="21"/>
  <c r="L681" i="21"/>
  <c r="L682" i="21"/>
  <c r="L683" i="21"/>
  <c r="L2" i="21"/>
  <c r="M2" i="21"/>
  <c r="N2" i="21"/>
  <c r="O2" i="21"/>
  <c r="P2" i="21"/>
  <c r="Q2" i="21"/>
  <c r="R2" i="21"/>
  <c r="S2" i="21"/>
  <c r="T2" i="21"/>
  <c r="U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2" i="21"/>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405" i="19"/>
  <c r="C406" i="19"/>
  <c r="C407" i="19"/>
  <c r="C408" i="19"/>
  <c r="C409" i="19"/>
  <c r="C410" i="19"/>
  <c r="C411" i="19"/>
  <c r="C412" i="19"/>
  <c r="C413" i="19"/>
  <c r="C414" i="19"/>
  <c r="C415" i="19"/>
  <c r="C416" i="19"/>
  <c r="C417" i="19"/>
  <c r="C418" i="19"/>
  <c r="C419" i="19"/>
  <c r="C420" i="19"/>
  <c r="C421" i="19"/>
  <c r="C422" i="19"/>
  <c r="C423" i="19"/>
  <c r="C424" i="19"/>
  <c r="C425" i="19"/>
  <c r="C426" i="19"/>
  <c r="C427" i="19"/>
  <c r="C428" i="19"/>
  <c r="C429" i="19"/>
  <c r="C430" i="19"/>
  <c r="C431" i="19"/>
  <c r="C432" i="19"/>
  <c r="C433" i="19"/>
  <c r="C434" i="19"/>
  <c r="C435" i="19"/>
  <c r="C436" i="19"/>
  <c r="C437" i="19"/>
  <c r="C438" i="19"/>
  <c r="C439" i="19"/>
  <c r="C440" i="19"/>
  <c r="C441" i="19"/>
  <c r="C442" i="19"/>
  <c r="C443" i="19"/>
  <c r="C444" i="19"/>
  <c r="C445" i="19"/>
  <c r="C446" i="19"/>
  <c r="C447" i="19"/>
  <c r="C448" i="19"/>
  <c r="C449" i="19"/>
  <c r="C450" i="19"/>
  <c r="C451" i="19"/>
  <c r="C452" i="19"/>
  <c r="C453" i="19"/>
  <c r="C454" i="19"/>
  <c r="C455" i="19"/>
  <c r="C456" i="19"/>
  <c r="C457" i="19"/>
  <c r="C458" i="19"/>
  <c r="C459" i="19"/>
  <c r="C460" i="19"/>
  <c r="C461" i="19"/>
  <c r="C462" i="19"/>
  <c r="C463" i="19"/>
  <c r="C464" i="19"/>
  <c r="C465" i="19"/>
  <c r="C466" i="19"/>
  <c r="C467" i="19"/>
  <c r="C468" i="19"/>
  <c r="C469" i="19"/>
  <c r="C470" i="19"/>
  <c r="C471" i="19"/>
  <c r="C472" i="19"/>
  <c r="C473" i="19"/>
  <c r="C474" i="19"/>
  <c r="C475" i="19"/>
  <c r="C476" i="19"/>
  <c r="C477" i="19"/>
  <c r="C478" i="19"/>
  <c r="C479" i="19"/>
  <c r="C480" i="19"/>
  <c r="C481" i="19"/>
  <c r="C482" i="19"/>
  <c r="C483" i="19"/>
  <c r="C484" i="19"/>
  <c r="C485" i="19"/>
  <c r="C486" i="19"/>
  <c r="C487" i="19"/>
  <c r="C488" i="19"/>
  <c r="C489" i="19"/>
  <c r="C490" i="19"/>
  <c r="C491" i="19"/>
  <c r="C492" i="19"/>
  <c r="C493" i="19"/>
  <c r="C494" i="19"/>
  <c r="C495" i="19"/>
  <c r="C496" i="19"/>
  <c r="C497" i="19"/>
  <c r="C498" i="19"/>
  <c r="C499" i="19"/>
  <c r="C500" i="19"/>
  <c r="C501" i="19"/>
  <c r="C502" i="19"/>
  <c r="C503" i="19"/>
  <c r="C504" i="19"/>
  <c r="C505" i="19"/>
  <c r="C506" i="19"/>
  <c r="C507" i="19"/>
  <c r="C508" i="19"/>
  <c r="C509" i="19"/>
  <c r="C510" i="19"/>
  <c r="C511" i="19"/>
  <c r="C512" i="19"/>
  <c r="C513" i="19"/>
  <c r="C514" i="19"/>
  <c r="C515" i="19"/>
  <c r="C516" i="19"/>
  <c r="C517" i="19"/>
  <c r="C518" i="19"/>
  <c r="C519" i="19"/>
  <c r="C520" i="19"/>
  <c r="C521" i="19"/>
  <c r="C522" i="19"/>
  <c r="C523" i="19"/>
  <c r="C524" i="19"/>
  <c r="C525" i="19"/>
  <c r="C526" i="19"/>
  <c r="C527" i="19"/>
  <c r="C528" i="19"/>
  <c r="C529" i="19"/>
  <c r="C530" i="19"/>
  <c r="C531" i="19"/>
  <c r="C532" i="19"/>
  <c r="C533" i="19"/>
  <c r="C534" i="19"/>
  <c r="C535" i="19"/>
  <c r="C536" i="19"/>
  <c r="C537" i="19"/>
  <c r="C538" i="19"/>
  <c r="C539" i="19"/>
  <c r="C540" i="19"/>
  <c r="C541" i="19"/>
  <c r="C542" i="19"/>
  <c r="C543" i="19"/>
  <c r="C544" i="19"/>
  <c r="C545" i="19"/>
  <c r="C546" i="19"/>
  <c r="C547" i="19"/>
  <c r="C548" i="19"/>
  <c r="C549" i="19"/>
  <c r="C550" i="19"/>
  <c r="C551" i="19"/>
  <c r="C552" i="19"/>
  <c r="C553" i="19"/>
  <c r="C554" i="19"/>
  <c r="C555" i="19"/>
  <c r="C556" i="19"/>
  <c r="C557" i="19"/>
  <c r="C558" i="19"/>
  <c r="C559" i="19"/>
  <c r="C560" i="19"/>
  <c r="C561" i="19"/>
  <c r="C562" i="19"/>
  <c r="C563" i="19"/>
  <c r="C564" i="19"/>
  <c r="C565" i="19"/>
  <c r="C566" i="19"/>
  <c r="C567" i="19"/>
  <c r="C568" i="19"/>
  <c r="C569" i="19"/>
  <c r="C570" i="19"/>
  <c r="C571" i="19"/>
  <c r="C572" i="19"/>
  <c r="C573" i="19"/>
  <c r="C574" i="19"/>
  <c r="C575" i="19"/>
  <c r="C576" i="19"/>
  <c r="C577" i="19"/>
  <c r="C578" i="19"/>
  <c r="C579" i="19"/>
  <c r="C580" i="19"/>
  <c r="C581" i="19"/>
  <c r="C582" i="19"/>
  <c r="C583" i="19"/>
  <c r="C584" i="19"/>
  <c r="C585" i="19"/>
  <c r="C586" i="19"/>
  <c r="C587" i="19"/>
  <c r="C588" i="19"/>
  <c r="C589" i="19"/>
  <c r="C590" i="19"/>
  <c r="C591" i="19"/>
  <c r="C592" i="19"/>
  <c r="C593" i="19"/>
  <c r="C594" i="19"/>
  <c r="C595" i="19"/>
  <c r="C596" i="19"/>
  <c r="C597" i="19"/>
  <c r="C598" i="19"/>
  <c r="C599" i="19"/>
  <c r="C600" i="19"/>
  <c r="C601" i="19"/>
  <c r="C602" i="19"/>
  <c r="C603" i="19"/>
  <c r="C604" i="19"/>
  <c r="C605" i="19"/>
  <c r="C606" i="19"/>
  <c r="C607" i="19"/>
  <c r="C608" i="19"/>
  <c r="C609" i="19"/>
  <c r="C610" i="19"/>
  <c r="C611" i="19"/>
  <c r="C612" i="19"/>
  <c r="C613" i="19"/>
  <c r="C614" i="19"/>
  <c r="C615" i="19"/>
  <c r="C616" i="19"/>
  <c r="C617" i="19"/>
  <c r="C618" i="19"/>
  <c r="C619" i="19"/>
  <c r="C620" i="19"/>
  <c r="C621" i="19"/>
  <c r="C622" i="19"/>
  <c r="C623" i="19"/>
  <c r="C624" i="19"/>
  <c r="C625" i="19"/>
  <c r="C626" i="19"/>
  <c r="C627" i="19"/>
  <c r="C628" i="19"/>
  <c r="C629" i="19"/>
  <c r="C630" i="19"/>
  <c r="C631" i="19"/>
  <c r="C632" i="19"/>
  <c r="C633" i="19"/>
  <c r="C634" i="19"/>
  <c r="C635" i="19"/>
  <c r="C636" i="19"/>
  <c r="C637" i="19"/>
  <c r="C638" i="19"/>
  <c r="C639" i="19"/>
  <c r="C640" i="19"/>
  <c r="C641" i="19"/>
  <c r="C642" i="19"/>
  <c r="C643" i="19"/>
  <c r="C644" i="19"/>
  <c r="C645" i="19"/>
  <c r="C646" i="19"/>
  <c r="C647" i="19"/>
  <c r="C648" i="19"/>
  <c r="C649" i="19"/>
  <c r="C650" i="19"/>
  <c r="C651" i="19"/>
  <c r="C652" i="19"/>
  <c r="C653" i="19"/>
  <c r="C654" i="19"/>
  <c r="C655" i="19"/>
  <c r="C656" i="19"/>
  <c r="C657" i="19"/>
  <c r="C658" i="19"/>
  <c r="C659" i="19"/>
  <c r="C660" i="19"/>
  <c r="C661" i="19"/>
  <c r="C662" i="19"/>
  <c r="C663" i="19"/>
  <c r="C664" i="19"/>
  <c r="C665" i="19"/>
  <c r="C666" i="19"/>
  <c r="C667" i="19"/>
  <c r="C668" i="19"/>
  <c r="C669" i="19"/>
  <c r="C670" i="19"/>
  <c r="C671" i="19"/>
  <c r="C672" i="19"/>
  <c r="C673" i="19"/>
  <c r="C674" i="19"/>
  <c r="C675" i="19"/>
  <c r="C676" i="19"/>
  <c r="C677" i="19"/>
  <c r="C678" i="19"/>
  <c r="C679" i="19"/>
  <c r="C680" i="19"/>
  <c r="C681" i="19"/>
  <c r="C682" i="19"/>
  <c r="C683" i="19"/>
  <c r="C2" i="19"/>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2" i="18"/>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 i="17"/>
  <c r="F6" i="18"/>
  <c r="F5" i="18"/>
  <c r="F4" i="18"/>
  <c r="C25" i="15" l="1"/>
  <c r="D19" i="15"/>
  <c r="D18" i="15"/>
  <c r="C19" i="15"/>
  <c r="E19" i="15" s="1"/>
  <c r="C18" i="15"/>
  <c r="C14" i="15"/>
  <c r="E18" i="15"/>
  <c r="C20" i="15"/>
  <c r="D20" i="15"/>
  <c r="D12" i="15"/>
  <c r="D11" i="15"/>
  <c r="D13" i="15" s="1"/>
  <c r="F7" i="15"/>
  <c r="D7" i="15"/>
  <c r="C12" i="15" s="1"/>
  <c r="E12" i="15" s="1"/>
  <c r="F6" i="15"/>
  <c r="D6" i="15"/>
  <c r="C11" i="15" s="1"/>
  <c r="F41" i="13"/>
  <c r="F35" i="13"/>
  <c r="F34" i="13"/>
  <c r="F29" i="13"/>
  <c r="F27" i="13"/>
  <c r="F24" i="13"/>
  <c r="F16" i="13"/>
  <c r="F12" i="13"/>
  <c r="F8" i="13"/>
  <c r="E20" i="15" l="1"/>
  <c r="D21" i="15" s="1"/>
  <c r="C13" i="15"/>
  <c r="E11" i="15"/>
  <c r="C21" i="15" l="1"/>
  <c r="E21" i="15" s="1"/>
  <c r="E13" i="15"/>
  <c r="D14" i="15" s="1"/>
  <c r="E14" i="15" l="1"/>
  <c r="I3" i="10" l="1"/>
  <c r="F8" i="3" l="1"/>
  <c r="F7" i="3"/>
  <c r="F6" i="3"/>
  <c r="F5" i="3"/>
  <c r="F4" i="3"/>
  <c r="F3" i="3"/>
</calcChain>
</file>

<file path=xl/sharedStrings.xml><?xml version="1.0" encoding="utf-8"?>
<sst xmlns="http://schemas.openxmlformats.org/spreadsheetml/2006/main" count="21431" uniqueCount="1037">
  <si>
    <t>基本統計量の出し方</t>
    <rPh sb="0" eb="5">
      <t>キホントウケイリョウ</t>
    </rPh>
    <rPh sb="6" eb="7">
      <t>ダ</t>
    </rPh>
    <rPh sb="8" eb="9">
      <t>カタ</t>
    </rPh>
    <phoneticPr fontId="2"/>
  </si>
  <si>
    <t>記述統計とは平均や標準偏差のように、データの傾向をとらえる手法</t>
    <rPh sb="0" eb="2">
      <t>キジュツ</t>
    </rPh>
    <rPh sb="2" eb="4">
      <t>トウケイ</t>
    </rPh>
    <rPh sb="6" eb="8">
      <t>ヘイキン</t>
    </rPh>
    <rPh sb="9" eb="13">
      <t>ヒョウジュンヘンサ</t>
    </rPh>
    <rPh sb="22" eb="24">
      <t>ケイコウ</t>
    </rPh>
    <rPh sb="29" eb="31">
      <t>シュホウ</t>
    </rPh>
    <phoneticPr fontId="2"/>
  </si>
  <si>
    <t>記述統計で得られた値は「基本統計量」という</t>
    <rPh sb="0" eb="4">
      <t>キジュツトウケイ</t>
    </rPh>
    <rPh sb="5" eb="6">
      <t>エ</t>
    </rPh>
    <rPh sb="9" eb="10">
      <t>アタイ</t>
    </rPh>
    <rPh sb="12" eb="17">
      <t>キホントウケイリョウ</t>
    </rPh>
    <phoneticPr fontId="2"/>
  </si>
  <si>
    <t>商品ID</t>
    <rPh sb="0" eb="2">
      <t xml:space="preserve">ショウヒン </t>
    </rPh>
    <phoneticPr fontId="4"/>
  </si>
  <si>
    <t>タイプ</t>
  </si>
  <si>
    <t>価格表示</t>
    <rPh sb="0" eb="2">
      <t xml:space="preserve">カカクヒョウジ </t>
    </rPh>
    <phoneticPr fontId="4"/>
  </si>
  <si>
    <t>重量</t>
    <rPh sb="0" eb="2">
      <t xml:space="preserve">ジュウリョウ </t>
    </rPh>
    <phoneticPr fontId="4"/>
  </si>
  <si>
    <t>占有率</t>
    <rPh sb="0" eb="3">
      <t xml:space="preserve">センユウリツ </t>
    </rPh>
    <phoneticPr fontId="4"/>
  </si>
  <si>
    <t>仕入単価</t>
    <rPh sb="0" eb="2">
      <t xml:space="preserve">シイレ </t>
    </rPh>
    <rPh sb="2" eb="4">
      <t xml:space="preserve">タンカ </t>
    </rPh>
    <phoneticPr fontId="4"/>
  </si>
  <si>
    <t>商品単価</t>
  </si>
  <si>
    <t>売上個数</t>
    <rPh sb="0" eb="1">
      <t xml:space="preserve">ウリアゲ </t>
    </rPh>
    <rPh sb="2" eb="4">
      <t xml:space="preserve">コスウ </t>
    </rPh>
    <phoneticPr fontId="4"/>
  </si>
  <si>
    <t>ID_CI31</t>
  </si>
  <si>
    <t>その他</t>
    <rPh sb="2" eb="3">
      <t xml:space="preserve">ホカ </t>
    </rPh>
    <phoneticPr fontId="4"/>
  </si>
  <si>
    <t>定価</t>
  </si>
  <si>
    <t>ID_CJ19</t>
  </si>
  <si>
    <t>ID_CJ31</t>
  </si>
  <si>
    <t>割引価格</t>
  </si>
  <si>
    <t>ID_CK31</t>
  </si>
  <si>
    <t>ID_CL07</t>
  </si>
  <si>
    <t>ID_CL31</t>
  </si>
  <si>
    <t>割引</t>
  </si>
  <si>
    <t>ID_CM07</t>
  </si>
  <si>
    <t>ID_CM19</t>
  </si>
  <si>
    <t>ID_CM43</t>
  </si>
  <si>
    <t>ID_CN14</t>
  </si>
  <si>
    <t>ID_CN43</t>
  </si>
  <si>
    <t>ID_CO02</t>
  </si>
  <si>
    <t>ID_CO55</t>
  </si>
  <si>
    <t>ID_CP50</t>
  </si>
  <si>
    <t>ID_CQ43</t>
  </si>
  <si>
    <t>ID_DA01</t>
  </si>
  <si>
    <t>缶類</t>
    <rPh sb="0" eb="2">
      <t xml:space="preserve">ルイ </t>
    </rPh>
    <phoneticPr fontId="4"/>
  </si>
  <si>
    <t>通常価格</t>
  </si>
  <si>
    <t>ID_DA02</t>
  </si>
  <si>
    <t>日用品</t>
    <rPh sb="0" eb="3">
      <t xml:space="preserve">ニチヨウヒン </t>
    </rPh>
    <phoneticPr fontId="4"/>
  </si>
  <si>
    <t>ID_DA03</t>
  </si>
  <si>
    <t>ID_DA04</t>
  </si>
  <si>
    <t>冷凍食品</t>
  </si>
  <si>
    <t>ID_DA07</t>
  </si>
  <si>
    <t>青果物</t>
  </si>
  <si>
    <t>ID_DA08</t>
  </si>
  <si>
    <t>ID_DA10</t>
  </si>
  <si>
    <t>スナック食品</t>
  </si>
  <si>
    <t>ID_DA13</t>
  </si>
  <si>
    <t>ID_DA15</t>
  </si>
  <si>
    <t>ID_DA16</t>
  </si>
  <si>
    <t>ID_DA20</t>
  </si>
  <si>
    <t>ID_DA26</t>
  </si>
  <si>
    <t>ID_DA28</t>
  </si>
  <si>
    <t>ID_DA39</t>
  </si>
  <si>
    <t>肉類</t>
    <rPh sb="0" eb="2">
      <t xml:space="preserve">ニクルイ </t>
    </rPh>
    <phoneticPr fontId="4"/>
  </si>
  <si>
    <t>ID_DA43</t>
  </si>
  <si>
    <t>ID_DA44</t>
  </si>
  <si>
    <t>ID_DA45</t>
  </si>
  <si>
    <t>ID_DA46</t>
  </si>
  <si>
    <t>ID_DA49</t>
  </si>
  <si>
    <t>ID_DA50</t>
  </si>
  <si>
    <t>ID_DA51</t>
  </si>
  <si>
    <t>ID_DA52</t>
  </si>
  <si>
    <t>ID_DA55</t>
  </si>
  <si>
    <t>ID_DA56</t>
  </si>
  <si>
    <t>ID_DA57</t>
  </si>
  <si>
    <t>ID_DB02</t>
  </si>
  <si>
    <t>ID_DB04</t>
  </si>
  <si>
    <t>ID_DB05</t>
  </si>
  <si>
    <t>ID_DB08</t>
  </si>
  <si>
    <t>ID_DB14</t>
  </si>
  <si>
    <t>ID_DB17</t>
  </si>
  <si>
    <t>ID_DB21</t>
  </si>
  <si>
    <t>ID_DB22</t>
  </si>
  <si>
    <t>ID_DB26</t>
  </si>
  <si>
    <t>ID_DB27</t>
  </si>
  <si>
    <t>ID_DB32</t>
  </si>
  <si>
    <t>ID_DB34</t>
  </si>
  <si>
    <t>ID_DB38</t>
  </si>
  <si>
    <t>ID_DB40</t>
  </si>
  <si>
    <t>ID_DB44</t>
  </si>
  <si>
    <t>ID_DB52</t>
  </si>
  <si>
    <t>ID_DB53</t>
  </si>
  <si>
    <t>ID_DB56</t>
  </si>
  <si>
    <t>ID_DB57</t>
  </si>
  <si>
    <t>ID_DB58</t>
  </si>
  <si>
    <t>ID_DB59</t>
  </si>
  <si>
    <t>ID_DC02</t>
  </si>
  <si>
    <t>ID_DC04</t>
  </si>
  <si>
    <t>ID_DC08</t>
  </si>
  <si>
    <t>ID_DC10</t>
  </si>
  <si>
    <t>ID_DC14</t>
  </si>
  <si>
    <t>ID_DC16</t>
  </si>
  <si>
    <t>ID_DC17</t>
  </si>
  <si>
    <t>ID_DC28</t>
  </si>
  <si>
    <t>ID_DC29</t>
  </si>
  <si>
    <t>ID_DC32</t>
  </si>
  <si>
    <t>ID_DC33</t>
  </si>
  <si>
    <t>ID_DC41</t>
  </si>
  <si>
    <t>ID_DC44</t>
  </si>
  <si>
    <t>ID_DC45</t>
  </si>
  <si>
    <t>ID_DC46</t>
  </si>
  <si>
    <t>ID_DC50</t>
  </si>
  <si>
    <t>ID_DC53</t>
  </si>
  <si>
    <t>ID_DC58</t>
  </si>
  <si>
    <t>ID_DD05</t>
  </si>
  <si>
    <t>ID_DD08</t>
  </si>
  <si>
    <t>ID_DD09</t>
  </si>
  <si>
    <t>ID_DD10</t>
  </si>
  <si>
    <t>ID_DD20</t>
  </si>
  <si>
    <t>ID_DD26</t>
  </si>
  <si>
    <t>ID_DD28</t>
  </si>
  <si>
    <t>ID_DD29</t>
  </si>
  <si>
    <t>ID_DD33</t>
  </si>
  <si>
    <t>ID_DD38</t>
  </si>
  <si>
    <t>ID_DD39</t>
  </si>
  <si>
    <t>ID_DD40</t>
  </si>
  <si>
    <t>ID_DD41</t>
  </si>
  <si>
    <t>ID_DD46</t>
  </si>
  <si>
    <t>ID_DD50</t>
  </si>
  <si>
    <t>ID_DD51</t>
  </si>
  <si>
    <t>ID_DD52</t>
  </si>
  <si>
    <t>ID_DD53</t>
  </si>
  <si>
    <t>ID_DD57</t>
  </si>
  <si>
    <t>ID_DE02</t>
  </si>
  <si>
    <t>ID_DE05</t>
  </si>
  <si>
    <t>ID_DE08</t>
  </si>
  <si>
    <t>ID_DE09</t>
  </si>
  <si>
    <t>ID_DE10</t>
  </si>
  <si>
    <t>ID_DE16</t>
  </si>
  <si>
    <t>ID_DE21</t>
  </si>
  <si>
    <t>ID_DE29</t>
  </si>
  <si>
    <t>ID_DE32</t>
  </si>
  <si>
    <t>ID_DE33</t>
  </si>
  <si>
    <t>ID_DE38</t>
  </si>
  <si>
    <t>ID_DE40</t>
  </si>
  <si>
    <t>ID_DE46</t>
  </si>
  <si>
    <t>ID_DE50</t>
  </si>
  <si>
    <t>ID_DE51</t>
  </si>
  <si>
    <t>ID_DE52</t>
  </si>
  <si>
    <t>ID_DE53</t>
  </si>
  <si>
    <t>ID_DE56</t>
  </si>
  <si>
    <t>ID_DE57</t>
  </si>
  <si>
    <t>ID_DE58</t>
  </si>
  <si>
    <t>ID_DF05</t>
  </si>
  <si>
    <t>ID_DF09</t>
  </si>
  <si>
    <t>ID_DF16</t>
  </si>
  <si>
    <t>ID_DF20</t>
  </si>
  <si>
    <t>ID_DF21</t>
  </si>
  <si>
    <t>ID_DF26</t>
  </si>
  <si>
    <t>ID_DF28</t>
  </si>
  <si>
    <t>ID_DF29</t>
  </si>
  <si>
    <t>ID_DF33</t>
  </si>
  <si>
    <t>魚介類</t>
    <rPh sb="0" eb="3">
      <t xml:space="preserve">ギョカイルイ </t>
    </rPh>
    <phoneticPr fontId="4"/>
  </si>
  <si>
    <t>ID_DF34</t>
  </si>
  <si>
    <t>ID_DF40</t>
  </si>
  <si>
    <t>ID_DF41</t>
  </si>
  <si>
    <t>ID_DF44</t>
  </si>
  <si>
    <t>ID_DF46</t>
  </si>
  <si>
    <t>ID_DF50</t>
  </si>
  <si>
    <t>ID_DF52</t>
  </si>
  <si>
    <t>ID_DF56</t>
  </si>
  <si>
    <t>ID_DF57</t>
  </si>
  <si>
    <t>ID_DF58</t>
  </si>
  <si>
    <t>ID_DG02</t>
  </si>
  <si>
    <t>ID_DG05</t>
  </si>
  <si>
    <t>ID_DG09</t>
  </si>
  <si>
    <t>ID_DG10</t>
  </si>
  <si>
    <t>ID_DG14</t>
  </si>
  <si>
    <t>ID_DG17</t>
  </si>
  <si>
    <t>ID_DG21</t>
  </si>
  <si>
    <t>ID_DG22</t>
  </si>
  <si>
    <t>ID_DG29</t>
  </si>
  <si>
    <t>ID_DG31</t>
  </si>
  <si>
    <t>ID_DG32</t>
  </si>
  <si>
    <t>ID_DG33</t>
  </si>
  <si>
    <t>ID_DG34</t>
  </si>
  <si>
    <t>ID_DG38</t>
  </si>
  <si>
    <t>ID_DG40</t>
  </si>
  <si>
    <t>ID_DG44</t>
  </si>
  <si>
    <t>ID_DG46</t>
  </si>
  <si>
    <t>ID_DG52</t>
  </si>
  <si>
    <t>ID_DG56</t>
  </si>
  <si>
    <t>ID_DH02</t>
  </si>
  <si>
    <t>ID_DH05</t>
  </si>
  <si>
    <t>ID_DH08</t>
  </si>
  <si>
    <t>ID_DH09</t>
  </si>
  <si>
    <t>ID_DH10</t>
  </si>
  <si>
    <t>ID_DH16</t>
  </si>
  <si>
    <t>ID_DH19</t>
  </si>
  <si>
    <t>ID_DH21</t>
  </si>
  <si>
    <t>ID_DH26</t>
  </si>
  <si>
    <t>ID_DH28</t>
  </si>
  <si>
    <t>ID_DH31</t>
  </si>
  <si>
    <t>ID_DH32</t>
  </si>
  <si>
    <t>ID_DH33</t>
  </si>
  <si>
    <t>ID_DH34</t>
  </si>
  <si>
    <t>ID_DH40</t>
  </si>
  <si>
    <t>ID_DH41</t>
  </si>
  <si>
    <t>ID_DH50</t>
  </si>
  <si>
    <t>ID_DH52</t>
  </si>
  <si>
    <t>ID_DH57</t>
  </si>
  <si>
    <t>ID_DI04</t>
  </si>
  <si>
    <t>ID_DI07</t>
  </si>
  <si>
    <t>ID_DI10</t>
  </si>
  <si>
    <t>ID_DI14</t>
  </si>
  <si>
    <t>ID_DI16</t>
  </si>
  <si>
    <t>ID_DI19</t>
  </si>
  <si>
    <t>ID_DI20</t>
  </si>
  <si>
    <t>ID_DI21</t>
  </si>
  <si>
    <t>ID_DI22</t>
  </si>
  <si>
    <t>ID_DI26</t>
  </si>
  <si>
    <t>ID_DI27</t>
  </si>
  <si>
    <t>ID_DI28</t>
  </si>
  <si>
    <t>ID_DI32</t>
  </si>
  <si>
    <t>ID_DI33</t>
  </si>
  <si>
    <t>ID_DI41</t>
  </si>
  <si>
    <t>ID_DI44</t>
  </si>
  <si>
    <t>ID_DI46</t>
  </si>
  <si>
    <t>ID_DI50</t>
  </si>
  <si>
    <t>ID_DI56</t>
  </si>
  <si>
    <t>ID_DI57</t>
  </si>
  <si>
    <t>ID_DJ07</t>
  </si>
  <si>
    <t>ID_DJ10</t>
  </si>
  <si>
    <t>ID_DJ15</t>
  </si>
  <si>
    <t>ID_DJ21</t>
  </si>
  <si>
    <t>ID_DJ22</t>
  </si>
  <si>
    <t>ID_DJ26</t>
  </si>
  <si>
    <t>ID_DJ28</t>
  </si>
  <si>
    <t>ID_DJ32</t>
  </si>
  <si>
    <t>ID_DJ33</t>
  </si>
  <si>
    <t>ID_DJ34</t>
  </si>
  <si>
    <t>ID_DJ40</t>
  </si>
  <si>
    <t>ID_DJ44</t>
  </si>
  <si>
    <t>ID_DJ45</t>
  </si>
  <si>
    <t>ID_DJ46</t>
  </si>
  <si>
    <t>ID_DJ53</t>
  </si>
  <si>
    <t>ID_DJ55</t>
  </si>
  <si>
    <t>ID_DJ56</t>
  </si>
  <si>
    <t>ID_DJ58</t>
  </si>
  <si>
    <t>ID_DK03</t>
  </si>
  <si>
    <t>ID_DK04</t>
  </si>
  <si>
    <t>ID_DK08</t>
  </si>
  <si>
    <t>ID_DK09</t>
  </si>
  <si>
    <t>ID_DK10</t>
  </si>
  <si>
    <t>ID_DK15</t>
  </si>
  <si>
    <t>ID_DK16</t>
  </si>
  <si>
    <t>ID_DK20</t>
  </si>
  <si>
    <t>ID_DK22</t>
  </si>
  <si>
    <t>ID_DK27</t>
  </si>
  <si>
    <t>ID_DK28</t>
  </si>
  <si>
    <t>ID_DK32</t>
  </si>
  <si>
    <t>ID_DK33</t>
  </si>
  <si>
    <t>ID_DK34</t>
  </si>
  <si>
    <t>ID_DK38</t>
  </si>
  <si>
    <t>ID_DK40</t>
  </si>
  <si>
    <t>ID_DK41</t>
  </si>
  <si>
    <t>ID_DK44</t>
  </si>
  <si>
    <t>ID_DK51</t>
  </si>
  <si>
    <t>ID_DK52</t>
  </si>
  <si>
    <t>ID_DK57</t>
  </si>
  <si>
    <t>ID_DK58</t>
  </si>
  <si>
    <t>ID_DL03</t>
  </si>
  <si>
    <t>ID_DL04</t>
  </si>
  <si>
    <t>ID_DL08</t>
  </si>
  <si>
    <t>ID_DL09</t>
  </si>
  <si>
    <t>ID_DL10</t>
  </si>
  <si>
    <t>ID_DL20</t>
  </si>
  <si>
    <t>ID_DL22</t>
  </si>
  <si>
    <t>ID_DL26</t>
  </si>
  <si>
    <t>ID_DL33</t>
  </si>
  <si>
    <t>ID_DL34</t>
  </si>
  <si>
    <t>ID_DL38</t>
  </si>
  <si>
    <t>ID_DL39</t>
  </si>
  <si>
    <t>ID_DL40</t>
  </si>
  <si>
    <t>ID_DL43</t>
  </si>
  <si>
    <t>ID_DL44</t>
  </si>
  <si>
    <t>ID_DL45</t>
  </si>
  <si>
    <t>ID_DL46</t>
  </si>
  <si>
    <t>ID_DL52</t>
  </si>
  <si>
    <t>ID_DL56</t>
  </si>
  <si>
    <t>ID_DM03</t>
  </si>
  <si>
    <t>ID_DM10</t>
  </si>
  <si>
    <t>ID_DM14</t>
  </si>
  <si>
    <t>ID_DM15</t>
  </si>
  <si>
    <t>ID_DM20</t>
  </si>
  <si>
    <t>ID_DM21</t>
  </si>
  <si>
    <t>ID_DM22</t>
  </si>
  <si>
    <t>ID_DM27</t>
  </si>
  <si>
    <t>ID_DM34</t>
  </si>
  <si>
    <t>ID_DM39</t>
  </si>
  <si>
    <t>ID_DM46</t>
  </si>
  <si>
    <t>ID_DM50</t>
  </si>
  <si>
    <t>ID_DM56</t>
  </si>
  <si>
    <t>ID_DM58</t>
  </si>
  <si>
    <t>ID_DN02</t>
  </si>
  <si>
    <t>ID_DN03</t>
  </si>
  <si>
    <t>ID_DN04</t>
  </si>
  <si>
    <t>ID_DN08</t>
  </si>
  <si>
    <t>ID_DN09</t>
  </si>
  <si>
    <t>ID_DN10</t>
  </si>
  <si>
    <t>ID_DN15</t>
  </si>
  <si>
    <t>ID_DN20</t>
  </si>
  <si>
    <t>ID_DN21</t>
  </si>
  <si>
    <t>ID_DN23</t>
  </si>
  <si>
    <t>パン類</t>
    <rPh sb="2" eb="3">
      <t xml:space="preserve">ルイ </t>
    </rPh>
    <phoneticPr fontId="4"/>
  </si>
  <si>
    <t>ID_DN27</t>
  </si>
  <si>
    <t>ID_DN32</t>
  </si>
  <si>
    <t>ID_DN33</t>
  </si>
  <si>
    <t>ID_DN34</t>
  </si>
  <si>
    <t>ID_DN39</t>
  </si>
  <si>
    <t>ID_DN44</t>
  </si>
  <si>
    <t>ID_DN45</t>
  </si>
  <si>
    <t>ID_DN50</t>
  </si>
  <si>
    <t>ID_DN52</t>
  </si>
  <si>
    <t>ID_DN56</t>
  </si>
  <si>
    <t>ID_DN57</t>
  </si>
  <si>
    <t>ID_DN58</t>
  </si>
  <si>
    <t>ID_DO03</t>
  </si>
  <si>
    <t>ID_DO04</t>
  </si>
  <si>
    <t>ID_DO09</t>
  </si>
  <si>
    <t>ID_DO10</t>
  </si>
  <si>
    <t>ID_DO11</t>
  </si>
  <si>
    <t>ID_DO15</t>
  </si>
  <si>
    <t>ID_DO19</t>
  </si>
  <si>
    <t>ID_DO23</t>
  </si>
  <si>
    <t>ID_DO25</t>
  </si>
  <si>
    <t>ID_DO27</t>
  </si>
  <si>
    <t>ID_DO28</t>
  </si>
  <si>
    <t>ID_DO31</t>
  </si>
  <si>
    <t>ID_DO32</t>
  </si>
  <si>
    <t>ID_DO34</t>
  </si>
  <si>
    <t>ID_DO38</t>
  </si>
  <si>
    <t>ID_DO39</t>
  </si>
  <si>
    <t>ID_DO40</t>
  </si>
  <si>
    <t>ID_DO44</t>
  </si>
  <si>
    <t>ID_DO45</t>
  </si>
  <si>
    <t>ID_DO46</t>
  </si>
  <si>
    <t>ID_DO50</t>
  </si>
  <si>
    <t>ID_DO51</t>
  </si>
  <si>
    <t>ID_DO52</t>
  </si>
  <si>
    <t>ID_DO58</t>
  </si>
  <si>
    <t>ID_DP04</t>
  </si>
  <si>
    <t>ID_DP09</t>
  </si>
  <si>
    <t>ID_DP10</t>
  </si>
  <si>
    <t>ID_DP11</t>
  </si>
  <si>
    <t>ID_DP13</t>
  </si>
  <si>
    <t>ID_DP15</t>
  </si>
  <si>
    <t>ID_DP21</t>
  </si>
  <si>
    <t>ID_DP22</t>
  </si>
  <si>
    <t>ID_DP23</t>
  </si>
  <si>
    <t>ID_DP25</t>
  </si>
  <si>
    <t>ID_DP27</t>
  </si>
  <si>
    <t>ID_DP31</t>
  </si>
  <si>
    <t>ID_DP33</t>
  </si>
  <si>
    <t>ID_DP38</t>
  </si>
  <si>
    <t>ID_DP39</t>
  </si>
  <si>
    <t>ID_DP45</t>
  </si>
  <si>
    <t>ID_DP52</t>
  </si>
  <si>
    <t>ID_DP56</t>
  </si>
  <si>
    <t>ID_DP59</t>
  </si>
  <si>
    <t>ID_DQ07</t>
  </si>
  <si>
    <t>ID_DQ08</t>
  </si>
  <si>
    <t>ID_DQ09</t>
  </si>
  <si>
    <t>ID_DQ10</t>
  </si>
  <si>
    <t>ID_DQ11</t>
  </si>
  <si>
    <t>ID_DQ13</t>
  </si>
  <si>
    <t>ID_DQ15</t>
  </si>
  <si>
    <t>ID_DQ19</t>
  </si>
  <si>
    <t>ID_DQ20</t>
  </si>
  <si>
    <t>ID_DQ22</t>
  </si>
  <si>
    <t>ID_DQ23</t>
  </si>
  <si>
    <t>ID_DQ25</t>
  </si>
  <si>
    <t>ID_DQ26</t>
  </si>
  <si>
    <t>ID_DQ28</t>
  </si>
  <si>
    <t>ID_DQ31</t>
  </si>
  <si>
    <t>ID_DQ32</t>
  </si>
  <si>
    <t>ID_DQ33</t>
  </si>
  <si>
    <t>ID_DQ39</t>
  </si>
  <si>
    <t>ID_DQ40</t>
  </si>
  <si>
    <t>ID_DQ45</t>
  </si>
  <si>
    <t>ID_DQ51</t>
  </si>
  <si>
    <t>ID_DQ52</t>
  </si>
  <si>
    <t>ID_DQ55</t>
  </si>
  <si>
    <t>ID_DQ56</t>
  </si>
  <si>
    <t>ID_DQ57</t>
  </si>
  <si>
    <t>ID_DQ59</t>
  </si>
  <si>
    <t>ID_DR01</t>
  </si>
  <si>
    <t>ID_DR04</t>
  </si>
  <si>
    <t>ID_DR07</t>
  </si>
  <si>
    <t>ID_DR09</t>
  </si>
  <si>
    <t>ID_DR14</t>
  </si>
  <si>
    <t>ID_DR15</t>
  </si>
  <si>
    <t>ID_DR19</t>
  </si>
  <si>
    <t>ID_DR21</t>
  </si>
  <si>
    <t>ID_DR22</t>
  </si>
  <si>
    <t>ID_DR23</t>
  </si>
  <si>
    <t>ID_DR25</t>
  </si>
  <si>
    <t>ID_DR27</t>
  </si>
  <si>
    <t>ID_DR31</t>
  </si>
  <si>
    <t>ID_DR32</t>
  </si>
  <si>
    <t>ID_DR35</t>
  </si>
  <si>
    <t>ID_DR40</t>
  </si>
  <si>
    <t>ID_DR43</t>
  </si>
  <si>
    <t>ID_DR44</t>
  </si>
  <si>
    <t>ID_DR45</t>
  </si>
  <si>
    <t>ID_DR46</t>
  </si>
  <si>
    <t>ID_DR47</t>
  </si>
  <si>
    <t>ID_DR51</t>
  </si>
  <si>
    <t>ID_DR52</t>
  </si>
  <si>
    <t>ID_DR55</t>
  </si>
  <si>
    <t>ID_DR56</t>
  </si>
  <si>
    <t>ID_DR58</t>
  </si>
  <si>
    <t>ID_DR59</t>
  </si>
  <si>
    <t>ID_DS01</t>
  </si>
  <si>
    <t>ID_DS02</t>
  </si>
  <si>
    <t>ID_DS03</t>
  </si>
  <si>
    <t>ID_DS08</t>
  </si>
  <si>
    <t>ID_DS09</t>
  </si>
  <si>
    <t>ID_DS10</t>
  </si>
  <si>
    <t>ID_DS11</t>
  </si>
  <si>
    <t>ID_DS16</t>
  </si>
  <si>
    <t>ID_DS25</t>
  </si>
  <si>
    <t>ID_DS26</t>
  </si>
  <si>
    <t>ID_DS28</t>
  </si>
  <si>
    <t>ID_DS31</t>
  </si>
  <si>
    <t>ID_DS32</t>
  </si>
  <si>
    <t>ID_DS33</t>
  </si>
  <si>
    <t>ID_DS34</t>
  </si>
  <si>
    <t>ID_DS35</t>
  </si>
  <si>
    <t>ID_DS39</t>
  </si>
  <si>
    <t>ID_DS40</t>
  </si>
  <si>
    <t>ID_DS43</t>
  </si>
  <si>
    <t>ID_DS44</t>
  </si>
  <si>
    <t>ID_DS47</t>
  </si>
  <si>
    <t>ID_DS51</t>
  </si>
  <si>
    <t>ID_DS52</t>
  </si>
  <si>
    <t>ID_DS55</t>
  </si>
  <si>
    <t>ID_DS57</t>
  </si>
  <si>
    <t>ID_DS59</t>
  </si>
  <si>
    <t>ID_DT03</t>
  </si>
  <si>
    <t>ID_DT07</t>
  </si>
  <si>
    <t>ID_DT08</t>
  </si>
  <si>
    <t>ID_DT09</t>
  </si>
  <si>
    <t>ID_DT11</t>
  </si>
  <si>
    <t>ID_DT14</t>
  </si>
  <si>
    <t>ID_DT16</t>
  </si>
  <si>
    <t>ID_DT19</t>
  </si>
  <si>
    <t>ID_DT20</t>
  </si>
  <si>
    <t>ID_DT21</t>
  </si>
  <si>
    <t>ID_DT22</t>
  </si>
  <si>
    <t>ID_DT26</t>
  </si>
  <si>
    <t>ID_DT27</t>
  </si>
  <si>
    <t>ID_DT32</t>
  </si>
  <si>
    <t>ID_DT40</t>
  </si>
  <si>
    <t>ID_DT46</t>
  </si>
  <si>
    <t>ID_DT47</t>
  </si>
  <si>
    <t>ID_DT49</t>
  </si>
  <si>
    <t>ID_DT50</t>
  </si>
  <si>
    <t>ID_DT55</t>
  </si>
  <si>
    <t>ID_DT56</t>
  </si>
  <si>
    <t>ID_DT57</t>
  </si>
  <si>
    <t>ID_DT58</t>
  </si>
  <si>
    <t>ID_DT59</t>
  </si>
  <si>
    <t>ID_DU01</t>
  </si>
  <si>
    <t>ID_DU08</t>
  </si>
  <si>
    <t>ID_DU09</t>
  </si>
  <si>
    <t>ID_DU11</t>
  </si>
  <si>
    <t>ID_DU14</t>
  </si>
  <si>
    <t>ID_DU19</t>
  </si>
  <si>
    <t>ID_DU20</t>
  </si>
  <si>
    <t>ID_DU21</t>
  </si>
  <si>
    <t>ID_DU23</t>
  </si>
  <si>
    <t>ID_DU25</t>
  </si>
  <si>
    <t>ID_DU26</t>
  </si>
  <si>
    <t>ID_DU27</t>
  </si>
  <si>
    <t>ID_DU28</t>
  </si>
  <si>
    <t>ID_DU32</t>
  </si>
  <si>
    <t>ID_DU33</t>
  </si>
  <si>
    <t>ID_DU34</t>
  </si>
  <si>
    <t>ID_DU35</t>
  </si>
  <si>
    <t>ID_DU37</t>
  </si>
  <si>
    <t>ID_DU38</t>
  </si>
  <si>
    <t>ID_DU39</t>
  </si>
  <si>
    <t>ID_DU43</t>
  </si>
  <si>
    <t>ID_DU44</t>
  </si>
  <si>
    <t>ID_DU45</t>
  </si>
  <si>
    <t>ID_DU46</t>
  </si>
  <si>
    <t>ID_DU50</t>
  </si>
  <si>
    <t>ID_DU51</t>
  </si>
  <si>
    <t>ID_DU52</t>
  </si>
  <si>
    <t>ID_DU55</t>
  </si>
  <si>
    <t>ID_DU56</t>
  </si>
  <si>
    <t>ID_DU57</t>
  </si>
  <si>
    <t>ID_DU58</t>
  </si>
  <si>
    <t>ID_DU59</t>
  </si>
  <si>
    <t>ID_DV01</t>
  </si>
  <si>
    <t>ID_DV02</t>
  </si>
  <si>
    <t>ID_DV03</t>
  </si>
  <si>
    <t>ID_DV04</t>
  </si>
  <si>
    <t>ID_DV07</t>
  </si>
  <si>
    <t>ID_DV08</t>
  </si>
  <si>
    <t>ID_DV13</t>
  </si>
  <si>
    <t>ID_DV15</t>
  </si>
  <si>
    <t>ID_DV20</t>
  </si>
  <si>
    <t>ID_DV21</t>
  </si>
  <si>
    <t>ID_DV23</t>
  </si>
  <si>
    <t>ID_DV26</t>
  </si>
  <si>
    <t>ID_DV28</t>
  </si>
  <si>
    <t>ID_DV37</t>
  </si>
  <si>
    <t>ID_DV38</t>
  </si>
  <si>
    <t>ID_DV43</t>
  </si>
  <si>
    <t>ID_DV45</t>
  </si>
  <si>
    <t>ID_DV49</t>
  </si>
  <si>
    <t>ID_DV51</t>
  </si>
  <si>
    <t>ID_DV55</t>
  </si>
  <si>
    <t>ID_DV56</t>
  </si>
  <si>
    <t>ID_DV57</t>
  </si>
  <si>
    <t>ID_DW01</t>
  </si>
  <si>
    <t>ID_DW02</t>
  </si>
  <si>
    <t>ID_DW04</t>
  </si>
  <si>
    <t>ID_DW07</t>
  </si>
  <si>
    <t>ID_DW08</t>
  </si>
  <si>
    <t>ID_DW09</t>
  </si>
  <si>
    <t>ID_DW11</t>
  </si>
  <si>
    <t>ID_DW13</t>
  </si>
  <si>
    <t>ID_DW15</t>
  </si>
  <si>
    <t>ID_DW16</t>
  </si>
  <si>
    <t>ID_DW19</t>
  </si>
  <si>
    <t>ID_DW20</t>
  </si>
  <si>
    <t>ID_DW21</t>
  </si>
  <si>
    <t>ID_DW22</t>
  </si>
  <si>
    <t>ID_DW25</t>
  </si>
  <si>
    <t>ID_DW26</t>
  </si>
  <si>
    <t>ID_DW27</t>
  </si>
  <si>
    <t>ID_DW28</t>
  </si>
  <si>
    <t>ID_DW31</t>
  </si>
  <si>
    <t>ID_DW34</t>
  </si>
  <si>
    <t>ID_DW37</t>
  </si>
  <si>
    <t>ID_DW38</t>
  </si>
  <si>
    <t>ID_DW39</t>
  </si>
  <si>
    <t>ID_DW45</t>
  </si>
  <si>
    <t>ID_DW49</t>
  </si>
  <si>
    <t>ID_DW51</t>
  </si>
  <si>
    <t>ID_DW52</t>
  </si>
  <si>
    <t>ID_DW55</t>
  </si>
  <si>
    <t>ID_DW56</t>
  </si>
  <si>
    <t>ID_DX01</t>
  </si>
  <si>
    <t>ID_DX03</t>
  </si>
  <si>
    <t>ID_DX04</t>
  </si>
  <si>
    <t>ID_DX07</t>
  </si>
  <si>
    <t>ID_DX09</t>
  </si>
  <si>
    <t>ID_DX10</t>
  </si>
  <si>
    <t>ID_DX13</t>
  </si>
  <si>
    <t>ID_DX15</t>
  </si>
  <si>
    <t>ID_DX20</t>
  </si>
  <si>
    <t>ID_DX21</t>
  </si>
  <si>
    <t>ID_DX25</t>
  </si>
  <si>
    <t>ID_DX26</t>
  </si>
  <si>
    <t>ID_DX28</t>
  </si>
  <si>
    <t>ID_DX31</t>
  </si>
  <si>
    <t>ID_DX33</t>
  </si>
  <si>
    <t>ID_DX34</t>
  </si>
  <si>
    <t>ID_DX37</t>
  </si>
  <si>
    <t>ID_DX39</t>
  </si>
  <si>
    <t>ID_DX44</t>
  </si>
  <si>
    <t>ID_DX45</t>
  </si>
  <si>
    <t>ID_DX46</t>
  </si>
  <si>
    <t>ID_DX47</t>
  </si>
  <si>
    <t>ID_DX49</t>
  </si>
  <si>
    <t>ID_DX50</t>
  </si>
  <si>
    <t>ID_DX56</t>
  </si>
  <si>
    <t>ID_DX57</t>
  </si>
  <si>
    <t>ID_DX58</t>
  </si>
  <si>
    <t>ID_DX59</t>
  </si>
  <si>
    <t>ID_DY02</t>
  </si>
  <si>
    <t>ID_DY03</t>
  </si>
  <si>
    <t>ID_DY04</t>
  </si>
  <si>
    <t>ID_DY07</t>
  </si>
  <si>
    <t>ID_DY08</t>
  </si>
  <si>
    <t>ID_DY10</t>
  </si>
  <si>
    <t>ID_DY15</t>
  </si>
  <si>
    <t>ID_DY16</t>
  </si>
  <si>
    <t>ID_DY21</t>
  </si>
  <si>
    <t>ID_DY25</t>
  </si>
  <si>
    <t>ID_DY26</t>
  </si>
  <si>
    <t>ID_DY27</t>
  </si>
  <si>
    <t>ID_DY31</t>
  </si>
  <si>
    <t>ID_DY33</t>
  </si>
  <si>
    <t>ID_DY34</t>
  </si>
  <si>
    <t>ID_DY35</t>
  </si>
  <si>
    <t>ID_DY37</t>
  </si>
  <si>
    <t>ID_DY39</t>
  </si>
  <si>
    <t>ID_DY44</t>
  </si>
  <si>
    <t>ID_DY45</t>
  </si>
  <si>
    <t>ID_DY46</t>
  </si>
  <si>
    <t>ID_DY47</t>
  </si>
  <si>
    <t>ID_DY49</t>
  </si>
  <si>
    <t>ID_DY50</t>
  </si>
  <si>
    <t>ID_DY51</t>
  </si>
  <si>
    <t>ID_DY55</t>
  </si>
  <si>
    <t>ID_DY56</t>
  </si>
  <si>
    <t>ID_DZ01</t>
  </si>
  <si>
    <t>ID_DZ02</t>
  </si>
  <si>
    <t>ID_DZ07</t>
  </si>
  <si>
    <t>ID_DZ08</t>
  </si>
  <si>
    <t>ID_DZ10</t>
  </si>
  <si>
    <t>ID_DZ14</t>
  </si>
  <si>
    <t>ID_DZ15</t>
  </si>
  <si>
    <t>ID_DZ16</t>
  </si>
  <si>
    <t>ID_DZ19</t>
  </si>
  <si>
    <t>ID_DZ20</t>
  </si>
  <si>
    <t>ID_DZ21</t>
  </si>
  <si>
    <t>ID_DZ22</t>
  </si>
  <si>
    <t>ID_DZ25</t>
  </si>
  <si>
    <t>ID_DZ26</t>
  </si>
  <si>
    <t>ID_DZ31</t>
  </si>
  <si>
    <t>ID_DZ33</t>
  </si>
  <si>
    <t>ID_DZ35</t>
  </si>
  <si>
    <t>ID_DZ37</t>
  </si>
  <si>
    <t>ID_DZ38</t>
  </si>
  <si>
    <t>ID_DZ39</t>
  </si>
  <si>
    <t>ID_DZ40</t>
  </si>
  <si>
    <t>ID_DZ43</t>
  </si>
  <si>
    <t>ID_DZ49</t>
  </si>
  <si>
    <t>ID_DZ50</t>
  </si>
  <si>
    <t>ID_DZ51</t>
  </si>
  <si>
    <t>ID_DZ52</t>
  </si>
  <si>
    <t>ID_DZ55</t>
  </si>
  <si>
    <t>ID_DZ56</t>
  </si>
  <si>
    <t>ID_DZ58</t>
  </si>
  <si>
    <t>ID_RA24</t>
  </si>
  <si>
    <t>ソフトドリンク</t>
  </si>
  <si>
    <t>ID_RA59</t>
  </si>
  <si>
    <t>ID_RB01</t>
  </si>
  <si>
    <t>ID_RB25</t>
  </si>
  <si>
    <t>ID_RB48</t>
  </si>
  <si>
    <t>ID_RC01</t>
  </si>
  <si>
    <t>ID_RC25</t>
  </si>
  <si>
    <t>ID_RC36</t>
  </si>
  <si>
    <t>ID_RC49</t>
  </si>
  <si>
    <t>ID_RD12</t>
  </si>
  <si>
    <t>ID_RD13</t>
  </si>
  <si>
    <t>ID_RD24</t>
  </si>
  <si>
    <t>ID_RD25</t>
  </si>
  <si>
    <t>ID_RE12</t>
  </si>
  <si>
    <t>ID_RE13</t>
  </si>
  <si>
    <t>ID_RE15</t>
  </si>
  <si>
    <t>ID_RE25</t>
  </si>
  <si>
    <t>ID_RE48</t>
  </si>
  <si>
    <t>ID_RE49</t>
  </si>
  <si>
    <t>ID_RF01</t>
  </si>
  <si>
    <t>ID_RF03</t>
  </si>
  <si>
    <t>ID_RF23</t>
  </si>
  <si>
    <t>アルコール類</t>
    <rPh sb="5" eb="6">
      <t xml:space="preserve">ルイ </t>
    </rPh>
    <phoneticPr fontId="4"/>
  </si>
  <si>
    <t>ID_RF25</t>
  </si>
  <si>
    <t>ID_RF27</t>
  </si>
  <si>
    <t>ID_RF36</t>
  </si>
  <si>
    <t>ID_RG01</t>
  </si>
  <si>
    <t>ID_RG03</t>
  </si>
  <si>
    <t>ID_RG13</t>
  </si>
  <si>
    <t>ID_RG23</t>
  </si>
  <si>
    <t>ID_RG36</t>
  </si>
  <si>
    <t>ID_RG48</t>
  </si>
  <si>
    <t>ID_RG49</t>
  </si>
  <si>
    <t>ID_RH01</t>
  </si>
  <si>
    <t>ID_RH11</t>
  </si>
  <si>
    <t>ID_RH25</t>
  </si>
  <si>
    <t>ID_RH39</t>
  </si>
  <si>
    <t>ID_RH51</t>
  </si>
  <si>
    <t>ID_RI01</t>
  </si>
  <si>
    <t>ID_RI03</t>
  </si>
  <si>
    <t>ID_RI11</t>
  </si>
  <si>
    <t>ID_RI23</t>
  </si>
  <si>
    <t>ID_RI25</t>
  </si>
  <si>
    <t>ID_RI37</t>
  </si>
  <si>
    <t>ID_RI39</t>
  </si>
  <si>
    <t>ID_RI51</t>
  </si>
  <si>
    <t>ID_RI59</t>
  </si>
  <si>
    <t>ID_RJ01</t>
  </si>
  <si>
    <t>ID_RJ23</t>
  </si>
  <si>
    <t>ID_RJ37</t>
  </si>
  <si>
    <t>ID_RJ39</t>
  </si>
  <si>
    <t>ID_RJ47</t>
  </si>
  <si>
    <t>ID_RJ59</t>
  </si>
  <si>
    <t>ID_RK12</t>
  </si>
  <si>
    <t>ID_RK13</t>
  </si>
  <si>
    <t>ID_RK23</t>
  </si>
  <si>
    <t>ID_RK35</t>
  </si>
  <si>
    <t>ID_RK37</t>
  </si>
  <si>
    <t>ID_RK39</t>
  </si>
  <si>
    <t>ID_RK49</t>
  </si>
  <si>
    <t>ID_RK59</t>
  </si>
  <si>
    <t>ID_RL01</t>
  </si>
  <si>
    <t>ID_RL11</t>
  </si>
  <si>
    <t>ID_RL35</t>
  </si>
  <si>
    <t>ID_RL37</t>
  </si>
  <si>
    <t>ID_RL47</t>
  </si>
  <si>
    <t>ID_RM23</t>
  </si>
  <si>
    <t>ID_RM35</t>
  </si>
  <si>
    <t>ID_RM37</t>
  </si>
  <si>
    <t>ID_RM47</t>
  </si>
  <si>
    <t>ID_RM48</t>
  </si>
  <si>
    <t>ID_RM59</t>
  </si>
  <si>
    <t>ID_RN36</t>
  </si>
  <si>
    <t>ID_RN47</t>
  </si>
  <si>
    <t>ID_RN59</t>
  </si>
  <si>
    <t>ID_RP35</t>
  </si>
  <si>
    <t>ID_RQ35</t>
  </si>
  <si>
    <t>ID_RY23</t>
  </si>
  <si>
    <t>ID_RZ11</t>
  </si>
  <si>
    <t>ID_RZ24</t>
  </si>
  <si>
    <t>例1. 売上個数の平均値・中央値・最大値・最小値を求めてみよう</t>
    <rPh sb="0" eb="1">
      <t xml:space="preserve">レイダイ </t>
    </rPh>
    <rPh sb="4" eb="8">
      <t xml:space="preserve">ウリアゲコスウ </t>
    </rPh>
    <rPh sb="9" eb="12">
      <t xml:space="preserve">ヘイキンチ </t>
    </rPh>
    <rPh sb="13" eb="16">
      <t xml:space="preserve">チュウオウチ </t>
    </rPh>
    <rPh sb="17" eb="20">
      <t xml:space="preserve">サイダイチ </t>
    </rPh>
    <rPh sb="21" eb="24">
      <t xml:space="preserve">サイショウチ </t>
    </rPh>
    <rPh sb="25" eb="26">
      <t xml:space="preserve">モトメテミヨウ </t>
    </rPh>
    <phoneticPr fontId="4"/>
  </si>
  <si>
    <t xml:space="preserve">平均値 = </t>
    <rPh sb="0" eb="3">
      <t xml:space="preserve">ヘイキンチ </t>
    </rPh>
    <phoneticPr fontId="4"/>
  </si>
  <si>
    <t xml:space="preserve">中央値 = </t>
    <rPh sb="0" eb="3">
      <t xml:space="preserve">チュウオウチ </t>
    </rPh>
    <phoneticPr fontId="4"/>
  </si>
  <si>
    <t xml:space="preserve">分散 = </t>
    <rPh sb="0" eb="2">
      <t xml:space="preserve">ブンサン </t>
    </rPh>
    <phoneticPr fontId="4"/>
  </si>
  <si>
    <t xml:space="preserve">標準偏差 = </t>
    <rPh sb="0" eb="4">
      <t xml:space="preserve">ヒョウジュンヘンサ </t>
    </rPh>
    <phoneticPr fontId="4"/>
  </si>
  <si>
    <t xml:space="preserve">最大値 = </t>
    <rPh sb="0" eb="3">
      <t xml:space="preserve">サイダイチ </t>
    </rPh>
    <phoneticPr fontId="4"/>
  </si>
  <si>
    <t xml:space="preserve">最小値 = </t>
    <rPh sb="0" eb="1">
      <t xml:space="preserve">サイショウチ </t>
    </rPh>
    <phoneticPr fontId="4"/>
  </si>
  <si>
    <t>例2. 売上個数の基本統計量を「分析ツール」で出してみよう</t>
    <rPh sb="0" eb="1">
      <t xml:space="preserve">レイ </t>
    </rPh>
    <rPh sb="4" eb="8">
      <t>ウリア</t>
    </rPh>
    <rPh sb="9" eb="14">
      <t xml:space="preserve">キホントウケイリョウヲ </t>
    </rPh>
    <rPh sb="16" eb="18">
      <t xml:space="preserve">ブンセキ </t>
    </rPh>
    <rPh sb="23" eb="24">
      <t xml:space="preserve">ダシテミヨウ </t>
    </rPh>
    <phoneticPr fontId="4"/>
  </si>
  <si>
    <t>売上個数</t>
  </si>
  <si>
    <t>平均</t>
  </si>
  <si>
    <t>標準誤差</t>
  </si>
  <si>
    <t>中央値 （メジアン）</t>
  </si>
  <si>
    <t>最頻値 （モード）</t>
  </si>
  <si>
    <t>標準偏差</t>
  </si>
  <si>
    <t>分散</t>
  </si>
  <si>
    <t>尖度</t>
  </si>
  <si>
    <t>歪度</t>
  </si>
  <si>
    <t>範囲</t>
  </si>
  <si>
    <t>最小</t>
  </si>
  <si>
    <t>最大</t>
  </si>
  <si>
    <t>合計</t>
  </si>
  <si>
    <t>データの個数</t>
  </si>
  <si>
    <t>例1. タイプ毎の商品ID数と売上個数の平均値を求めてみよう</t>
    <rPh sb="0" eb="1">
      <t xml:space="preserve">レイダイ </t>
    </rPh>
    <rPh sb="5" eb="9">
      <t xml:space="preserve">ウリアゲコスウ </t>
    </rPh>
    <rPh sb="9" eb="11">
      <t xml:space="preserve">ショウヒｎ </t>
    </rPh>
    <rPh sb="13" eb="14">
      <t xml:space="preserve">スウ </t>
    </rPh>
    <rPh sb="20" eb="23">
      <t xml:space="preserve">ヘイキンチ </t>
    </rPh>
    <rPh sb="24" eb="25">
      <t xml:space="preserve">モトメテミヨウ </t>
    </rPh>
    <phoneticPr fontId="4"/>
  </si>
  <si>
    <t>例2. 価格表示毎の 商品ID数を求めてみよう</t>
    <rPh sb="0" eb="1">
      <t xml:space="preserve">レイ </t>
    </rPh>
    <rPh sb="4" eb="6">
      <t xml:space="preserve">カカク </t>
    </rPh>
    <rPh sb="6" eb="8">
      <t xml:space="preserve">ヒョウジ </t>
    </rPh>
    <rPh sb="8" eb="10">
      <t xml:space="preserve">ウリアゲコスウ </t>
    </rPh>
    <rPh sb="11" eb="13">
      <t xml:space="preserve">ショウヒン </t>
    </rPh>
    <rPh sb="15" eb="16">
      <t xml:space="preserve">スウト </t>
    </rPh>
    <rPh sb="17" eb="18">
      <t xml:space="preserve">モトメテミヨウ </t>
    </rPh>
    <phoneticPr fontId="4"/>
  </si>
  <si>
    <t>通常価格</t>
    <phoneticPr fontId="4"/>
  </si>
  <si>
    <t>行ラベル</t>
  </si>
  <si>
    <t>アルコール類</t>
  </si>
  <si>
    <t>その他</t>
  </si>
  <si>
    <t>パン類</t>
  </si>
  <si>
    <t>缶類</t>
  </si>
  <si>
    <t>魚介類</t>
  </si>
  <si>
    <t>肉類</t>
  </si>
  <si>
    <t>日用品</t>
  </si>
  <si>
    <t>(空白)</t>
  </si>
  <si>
    <t>総計</t>
  </si>
  <si>
    <t>個数 / 商品ID</t>
  </si>
  <si>
    <t>平均 / 売上個数</t>
  </si>
  <si>
    <t>ピボットテーブル</t>
    <phoneticPr fontId="2"/>
  </si>
  <si>
    <t>ピボットの対象となる列はカテゴリカルな列だけに適用する</t>
    <rPh sb="5" eb="7">
      <t>タイショウ</t>
    </rPh>
    <rPh sb="10" eb="11">
      <t>レツ</t>
    </rPh>
    <rPh sb="19" eb="20">
      <t>レツ</t>
    </rPh>
    <rPh sb="23" eb="25">
      <t>テキヨウ</t>
    </rPh>
    <phoneticPr fontId="2"/>
  </si>
  <si>
    <t>ピボットテーブル作成手順</t>
    <rPh sb="8" eb="12">
      <t>サクセイテジュン</t>
    </rPh>
    <phoneticPr fontId="2"/>
  </si>
  <si>
    <t>どのカテゴリごとに集計したいかを考え、それをピボットテーブルの行または列に指定する</t>
    <rPh sb="9" eb="11">
      <t>シュウケイ</t>
    </rPh>
    <rPh sb="16" eb="17">
      <t>カンガ</t>
    </rPh>
    <rPh sb="31" eb="32">
      <t>ギョウ</t>
    </rPh>
    <rPh sb="35" eb="36">
      <t>レツ</t>
    </rPh>
    <rPh sb="37" eb="39">
      <t>シテイ</t>
    </rPh>
    <phoneticPr fontId="2"/>
  </si>
  <si>
    <t>どの列を計算したいか、対象を決める</t>
    <rPh sb="2" eb="3">
      <t>レツ</t>
    </rPh>
    <rPh sb="4" eb="6">
      <t>ケイサン</t>
    </rPh>
    <rPh sb="11" eb="13">
      <t>タイショウ</t>
    </rPh>
    <rPh sb="14" eb="15">
      <t>キ</t>
    </rPh>
    <phoneticPr fontId="2"/>
  </si>
  <si>
    <t>カテゴリの列ごとに、対象の列をどう計算するかを決める</t>
    <rPh sb="5" eb="6">
      <t>レツ</t>
    </rPh>
    <rPh sb="10" eb="12">
      <t>タイショウ</t>
    </rPh>
    <rPh sb="13" eb="14">
      <t>レツ</t>
    </rPh>
    <rPh sb="17" eb="19">
      <t>ケイサン</t>
    </rPh>
    <rPh sb="23" eb="24">
      <t>キ</t>
    </rPh>
    <phoneticPr fontId="2"/>
  </si>
  <si>
    <t>ヒストグラムの見方</t>
    <rPh sb="7" eb="9">
      <t>ミカタ</t>
    </rPh>
    <phoneticPr fontId="2"/>
  </si>
  <si>
    <t>山がいくつあるか？</t>
    <rPh sb="0" eb="1">
      <t>ヤマ</t>
    </rPh>
    <phoneticPr fontId="2"/>
  </si>
  <si>
    <t>外れ値がないか？</t>
    <rPh sb="0" eb="1">
      <t>ハズ</t>
    </rPh>
    <rPh sb="2" eb="3">
      <t>チ</t>
    </rPh>
    <phoneticPr fontId="2"/>
  </si>
  <si>
    <t>データの中心はどのあたりか？</t>
    <rPh sb="4" eb="6">
      <t>チュウシン</t>
    </rPh>
    <phoneticPr fontId="2"/>
  </si>
  <si>
    <t>データのばらつきはどの程度か？</t>
    <rPh sb="11" eb="13">
      <t>テイド</t>
    </rPh>
    <phoneticPr fontId="2"/>
  </si>
  <si>
    <t>棒グラフと折れ線グラフの使い分け</t>
    <rPh sb="0" eb="1">
      <t>ボウ</t>
    </rPh>
    <rPh sb="5" eb="6">
      <t>オ</t>
    </rPh>
    <rPh sb="7" eb="8">
      <t>セン</t>
    </rPh>
    <rPh sb="12" eb="13">
      <t>ツカ</t>
    </rPh>
    <rPh sb="14" eb="15">
      <t>ワ</t>
    </rPh>
    <phoneticPr fontId="2"/>
  </si>
  <si>
    <t>折れ線グラフは時間的推移や変化を表したいときのみに使用する</t>
    <rPh sb="0" eb="1">
      <t>オ</t>
    </rPh>
    <rPh sb="2" eb="3">
      <t>セン</t>
    </rPh>
    <rPh sb="7" eb="12">
      <t>ジカンテキスイイ</t>
    </rPh>
    <rPh sb="13" eb="15">
      <t>ヘンカ</t>
    </rPh>
    <rPh sb="16" eb="17">
      <t>アラワ</t>
    </rPh>
    <rPh sb="25" eb="27">
      <t>シヨウ</t>
    </rPh>
    <phoneticPr fontId="2"/>
  </si>
  <si>
    <t>→</t>
    <phoneticPr fontId="2"/>
  </si>
  <si>
    <t>それぞれが独立した集団のデータの場合は棒グラフ</t>
    <rPh sb="5" eb="7">
      <t>ドクリツ</t>
    </rPh>
    <rPh sb="9" eb="11">
      <t>シュウダン</t>
    </rPh>
    <rPh sb="16" eb="18">
      <t>バアイ</t>
    </rPh>
    <rPh sb="19" eb="20">
      <t>ボウ</t>
    </rPh>
    <phoneticPr fontId="2"/>
  </si>
  <si>
    <t>一連の関係性がある集団のデータ折れ線グラフ</t>
    <rPh sb="0" eb="2">
      <t>イチレン</t>
    </rPh>
    <rPh sb="3" eb="6">
      <t>カンケイセイ</t>
    </rPh>
    <rPh sb="9" eb="11">
      <t>シュウダン</t>
    </rPh>
    <rPh sb="15" eb="16">
      <t>オ</t>
    </rPh>
    <rPh sb="17" eb="18">
      <t>セン</t>
    </rPh>
    <phoneticPr fontId="2"/>
  </si>
  <si>
    <t>例1. タイプ毎のID数と売上個数の平均値を求めてみよう</t>
    <rPh sb="0" eb="1">
      <t xml:space="preserve">レイダイ </t>
    </rPh>
    <rPh sb="5" eb="9">
      <t xml:space="preserve">ウリアゲコスウ </t>
    </rPh>
    <rPh sb="11" eb="12">
      <t xml:space="preserve">スウ </t>
    </rPh>
    <rPh sb="18" eb="21">
      <t xml:space="preserve">ヘイキンチ </t>
    </rPh>
    <rPh sb="22" eb="23">
      <t xml:space="preserve">モトメテミヨウ </t>
    </rPh>
    <phoneticPr fontId="4"/>
  </si>
  <si>
    <t>列ラベル</t>
  </si>
  <si>
    <t>ID_CL07</t>
    <phoneticPr fontId="4"/>
  </si>
  <si>
    <t>例1. タイプ毎・価格表示毎の売上個数のヒートマップを作成してみよう</t>
    <rPh sb="0" eb="1">
      <t xml:space="preserve">レイ </t>
    </rPh>
    <rPh sb="7" eb="8">
      <t xml:space="preserve">ゴト </t>
    </rPh>
    <rPh sb="9" eb="13">
      <t xml:space="preserve">カカクヒョウジ </t>
    </rPh>
    <rPh sb="15" eb="17">
      <t xml:space="preserve">ウリアゲ </t>
    </rPh>
    <rPh sb="17" eb="19">
      <t xml:space="preserve">コスウノ </t>
    </rPh>
    <rPh sb="27" eb="29">
      <t xml:space="preserve">サクセイ </t>
    </rPh>
    <phoneticPr fontId="4"/>
  </si>
  <si>
    <t>例1. 占有率と売上個数の散布図を描いてみよう</t>
    <rPh sb="0" eb="1">
      <t xml:space="preserve">レイ </t>
    </rPh>
    <rPh sb="4" eb="7">
      <t xml:space="preserve">センユウリツ </t>
    </rPh>
    <rPh sb="8" eb="12">
      <t>ウリアゲ</t>
    </rPh>
    <rPh sb="13" eb="16">
      <t xml:space="preserve">サンプズ </t>
    </rPh>
    <rPh sb="17" eb="18">
      <t xml:space="preserve">エガイテミヨウ </t>
    </rPh>
    <phoneticPr fontId="4"/>
  </si>
  <si>
    <t>相関係数</t>
    <rPh sb="0" eb="4">
      <t>ソウカンケイスウ</t>
    </rPh>
    <phoneticPr fontId="2"/>
  </si>
  <si>
    <t>統計学の世界で「相関」といった場合、通常はデータが直線状に並んでいることを指す</t>
    <rPh sb="0" eb="3">
      <t>トウケイガク</t>
    </rPh>
    <rPh sb="4" eb="6">
      <t>セカイ</t>
    </rPh>
    <rPh sb="8" eb="10">
      <t>ソウカン</t>
    </rPh>
    <rPh sb="15" eb="17">
      <t>バアイ</t>
    </rPh>
    <rPh sb="18" eb="20">
      <t>ツウジョウ</t>
    </rPh>
    <rPh sb="25" eb="28">
      <t>チョクセンジョウ</t>
    </rPh>
    <rPh sb="29" eb="30">
      <t>ナラ</t>
    </rPh>
    <rPh sb="37" eb="38">
      <t>サ</t>
    </rPh>
    <phoneticPr fontId="2"/>
  </si>
  <si>
    <t>相関係数が+1または-1に近づいていくほど、「相関が高い」といえる</t>
    <rPh sb="0" eb="4">
      <t>ソウカンケイスウ</t>
    </rPh>
    <rPh sb="13" eb="14">
      <t>チカ</t>
    </rPh>
    <rPh sb="23" eb="25">
      <t>ソウカン</t>
    </rPh>
    <rPh sb="26" eb="27">
      <t>タカ</t>
    </rPh>
    <phoneticPr fontId="2"/>
  </si>
  <si>
    <t>例1. 占有率と売上個数の相関係数を求めてみよう</t>
    <rPh sb="0" eb="1">
      <t xml:space="preserve">レイ </t>
    </rPh>
    <rPh sb="4" eb="7">
      <t xml:space="preserve">センユウリツ </t>
    </rPh>
    <rPh sb="8" eb="12">
      <t xml:space="preserve">ウリアゲコスウ </t>
    </rPh>
    <rPh sb="13" eb="17">
      <t xml:space="preserve">ソウカンケイスウヲ </t>
    </rPh>
    <rPh sb="18" eb="19">
      <t xml:space="preserve">モトメテミヨウ </t>
    </rPh>
    <phoneticPr fontId="4"/>
  </si>
  <si>
    <t xml:space="preserve">相関係数 = </t>
    <rPh sb="0" eb="4">
      <t xml:space="preserve">ソウカンケイスウ </t>
    </rPh>
    <phoneticPr fontId="4"/>
  </si>
  <si>
    <t>例2. 占有率・仕入単価・商品単価・売上個数の相関行列を作成してみよう</t>
    <rPh sb="0" eb="1">
      <t xml:space="preserve">レイ </t>
    </rPh>
    <rPh sb="4" eb="7">
      <t>センユウ</t>
    </rPh>
    <rPh sb="8" eb="12">
      <t xml:space="preserve">シイレタンカ </t>
    </rPh>
    <rPh sb="13" eb="17">
      <t xml:space="preserve">ショウヒンタンカ </t>
    </rPh>
    <rPh sb="18" eb="22">
      <t xml:space="preserve">ウリアゲコスウ </t>
    </rPh>
    <rPh sb="23" eb="27">
      <t xml:space="preserve">ソウカンギョウレツ </t>
    </rPh>
    <rPh sb="28" eb="30">
      <t xml:space="preserve">サクセイ </t>
    </rPh>
    <phoneticPr fontId="4"/>
  </si>
  <si>
    <t>相関行列</t>
    <rPh sb="0" eb="4">
      <t>ソウカンギョウレツ</t>
    </rPh>
    <phoneticPr fontId="2"/>
  </si>
  <si>
    <t>相関行列とは、対象とするすべての連続変数に対して、それら変数間のすべての組み合わせにて計算される相関係数を行列で表したもの</t>
    <rPh sb="0" eb="4">
      <t>ソウカンギョウレツ</t>
    </rPh>
    <rPh sb="7" eb="9">
      <t>タイショウ</t>
    </rPh>
    <rPh sb="16" eb="20">
      <t>レンゾクヘンスウ</t>
    </rPh>
    <rPh sb="21" eb="22">
      <t>タイ</t>
    </rPh>
    <rPh sb="48" eb="52">
      <t>ソウカンケイスウ</t>
    </rPh>
    <rPh sb="53" eb="55">
      <t>ギョウレツ</t>
    </rPh>
    <rPh sb="56" eb="57">
      <t>アラワ</t>
    </rPh>
    <phoneticPr fontId="2"/>
  </si>
  <si>
    <t>重量</t>
  </si>
  <si>
    <t>占有率</t>
  </si>
  <si>
    <t>仕入単価</t>
  </si>
  <si>
    <t>仮説検定とは</t>
    <rPh sb="0" eb="2">
      <t>カセツ</t>
    </rPh>
    <rPh sb="2" eb="4">
      <t>ケンテイ</t>
    </rPh>
    <phoneticPr fontId="2"/>
  </si>
  <si>
    <t>差異が偶然生じたものかどうかを結論付けるために使用される</t>
    <rPh sb="0" eb="2">
      <t>サイ</t>
    </rPh>
    <rPh sb="3" eb="6">
      <t>グウゼンショウ</t>
    </rPh>
    <rPh sb="15" eb="18">
      <t>ケツロンヅ</t>
    </rPh>
    <rPh sb="23" eb="25">
      <t>シヨウ</t>
    </rPh>
    <phoneticPr fontId="2"/>
  </si>
  <si>
    <t>仮説検定の「仮説」というのは、「帰無仮説」と「対立仮説」を指す</t>
    <rPh sb="0" eb="4">
      <t>カセツケンテイ</t>
    </rPh>
    <rPh sb="6" eb="8">
      <t>カセツ</t>
    </rPh>
    <rPh sb="16" eb="20">
      <t>キムカセツ</t>
    </rPh>
    <rPh sb="23" eb="25">
      <t>タイリツ</t>
    </rPh>
    <rPh sb="25" eb="27">
      <t>カセツ</t>
    </rPh>
    <rPh sb="29" eb="30">
      <t>サ</t>
    </rPh>
    <phoneticPr fontId="2"/>
  </si>
  <si>
    <t>例）現実のデータは76円を示していて、「目標値70円」という仮説は覆したい。</t>
    <rPh sb="0" eb="1">
      <t>レイ</t>
    </rPh>
    <rPh sb="2" eb="4">
      <t>ゲンジツ</t>
    </rPh>
    <rPh sb="11" eb="12">
      <t>エン</t>
    </rPh>
    <rPh sb="13" eb="14">
      <t>シメ</t>
    </rPh>
    <rPh sb="20" eb="23">
      <t>モクヒョウチ</t>
    </rPh>
    <rPh sb="25" eb="26">
      <t>エン</t>
    </rPh>
    <rPh sb="30" eb="32">
      <t>カセツ</t>
    </rPh>
    <rPh sb="33" eb="34">
      <t>クツガエ</t>
    </rPh>
    <phoneticPr fontId="2"/>
  </si>
  <si>
    <t>以上のような具体的に「a=b」といえるような覆される仮説が帰無仮説（平均仕入れ価格＝70円）</t>
    <rPh sb="0" eb="2">
      <t>イジョウ</t>
    </rPh>
    <rPh sb="6" eb="9">
      <t>グタイテキ</t>
    </rPh>
    <rPh sb="22" eb="23">
      <t>クツガエ</t>
    </rPh>
    <rPh sb="26" eb="28">
      <t>カセツ</t>
    </rPh>
    <rPh sb="29" eb="33">
      <t>キムカセツ</t>
    </rPh>
    <rPh sb="34" eb="38">
      <t>ヘイキンシイ</t>
    </rPh>
    <rPh sb="39" eb="41">
      <t>カカク</t>
    </rPh>
    <rPh sb="44" eb="45">
      <t>エン</t>
    </rPh>
    <phoneticPr fontId="2"/>
  </si>
  <si>
    <t>帰無仮説を覆すための仮説が「対立仮説」（平均仕入れ価格＞70円）</t>
    <rPh sb="0" eb="4">
      <t>キムカセツ</t>
    </rPh>
    <rPh sb="5" eb="6">
      <t>クツガエ</t>
    </rPh>
    <rPh sb="10" eb="12">
      <t>カセツ</t>
    </rPh>
    <rPh sb="14" eb="18">
      <t>タイリツカセツ</t>
    </rPh>
    <rPh sb="20" eb="24">
      <t>ヘイキンシイ</t>
    </rPh>
    <rPh sb="25" eb="27">
      <t>カカク</t>
    </rPh>
    <rPh sb="30" eb="31">
      <t>エン</t>
    </rPh>
    <phoneticPr fontId="2"/>
  </si>
  <si>
    <t>帰無仮説を棄却して対立仮説を採用する</t>
    <rPh sb="0" eb="4">
      <t>キムカセツ</t>
    </rPh>
    <rPh sb="5" eb="7">
      <t>キキャク</t>
    </rPh>
    <rPh sb="9" eb="13">
      <t>タイリツカセツ</t>
    </rPh>
    <rPh sb="14" eb="16">
      <t>サイヨウ</t>
    </rPh>
    <phoneticPr fontId="2"/>
  </si>
  <si>
    <t>帰無仮説を棄却できない</t>
    <rPh sb="0" eb="4">
      <t>キムカセツ</t>
    </rPh>
    <rPh sb="5" eb="7">
      <t>キキャク</t>
    </rPh>
    <phoneticPr fontId="2"/>
  </si>
  <si>
    <t>仮説検定の結論2パターン</t>
    <rPh sb="0" eb="4">
      <t>カセツケンテイ</t>
    </rPh>
    <rPh sb="5" eb="7">
      <t>ケツロン</t>
    </rPh>
    <phoneticPr fontId="2"/>
  </si>
  <si>
    <t>確率分布とは</t>
    <rPh sb="0" eb="4">
      <t>カクリツブンプ</t>
    </rPh>
    <phoneticPr fontId="2"/>
  </si>
  <si>
    <t>統計学では、「手元のデータはあくまで、真の母集団からランダムに選ばれ差サンプルのデータである」という前提を置く</t>
    <rPh sb="0" eb="3">
      <t>トウケイガク</t>
    </rPh>
    <rPh sb="7" eb="9">
      <t>テモト</t>
    </rPh>
    <rPh sb="19" eb="20">
      <t>シン</t>
    </rPh>
    <rPh sb="21" eb="24">
      <t>ボシュウダン</t>
    </rPh>
    <rPh sb="31" eb="32">
      <t>エラ</t>
    </rPh>
    <rPh sb="34" eb="35">
      <t>サ</t>
    </rPh>
    <rPh sb="50" eb="52">
      <t>ゼンテイ</t>
    </rPh>
    <rPh sb="53" eb="54">
      <t>オ</t>
    </rPh>
    <phoneticPr fontId="2"/>
  </si>
  <si>
    <t>確率分布は横軸に対象とする事象（確率変数）、縦軸にそれぞれの確率変数が生じる「確率」をプロットしてつなげたもの</t>
    <rPh sb="0" eb="4">
      <t>カクリツブンプ</t>
    </rPh>
    <rPh sb="5" eb="7">
      <t>ヨコジク</t>
    </rPh>
    <rPh sb="8" eb="10">
      <t>タイショウ</t>
    </rPh>
    <rPh sb="16" eb="20">
      <t>カクリツヘンスウ</t>
    </rPh>
    <rPh sb="22" eb="24">
      <t>タテジク</t>
    </rPh>
    <rPh sb="30" eb="34">
      <t>カクリツヘンスウ</t>
    </rPh>
    <rPh sb="35" eb="36">
      <t>ショウ</t>
    </rPh>
    <rPh sb="39" eb="41">
      <t>カクリツ</t>
    </rPh>
    <phoneticPr fontId="2"/>
  </si>
  <si>
    <t>例）横軸の確率変数が「平均仕入れ単価」を表し、縦軸が「それぞれの平均仕入れ価格がどのくらいの確率で生じるか」を表す</t>
    <rPh sb="0" eb="1">
      <t>レイ</t>
    </rPh>
    <rPh sb="2" eb="4">
      <t>ヨコジク</t>
    </rPh>
    <rPh sb="5" eb="9">
      <t>カクリツヘンスウ</t>
    </rPh>
    <rPh sb="11" eb="15">
      <t>ヘイキンシイ</t>
    </rPh>
    <rPh sb="16" eb="18">
      <t>タンカ</t>
    </rPh>
    <rPh sb="20" eb="21">
      <t>アラワ</t>
    </rPh>
    <rPh sb="23" eb="25">
      <t>タテジク</t>
    </rPh>
    <rPh sb="32" eb="36">
      <t>ヘイキンシイ</t>
    </rPh>
    <rPh sb="37" eb="39">
      <t>カカク</t>
    </rPh>
    <rPh sb="46" eb="48">
      <t>カクリツ</t>
    </rPh>
    <rPh sb="49" eb="50">
      <t>ショウ</t>
    </rPh>
    <rPh sb="55" eb="56">
      <t>アラワ</t>
    </rPh>
    <phoneticPr fontId="2"/>
  </si>
  <si>
    <t>確率分布の形</t>
    <rPh sb="0" eb="4">
      <t>カクリツブンプ</t>
    </rPh>
    <rPh sb="5" eb="6">
      <t>カタチ</t>
    </rPh>
    <phoneticPr fontId="2"/>
  </si>
  <si>
    <t>左右対称となるような連続変数の事象は「正規分布」</t>
    <rPh sb="0" eb="4">
      <t>サユウタイショウ</t>
    </rPh>
    <rPh sb="10" eb="14">
      <t>レンゾクヘンスウ</t>
    </rPh>
    <rPh sb="15" eb="17">
      <t>ジショウ</t>
    </rPh>
    <rPh sb="19" eb="23">
      <t>セイキブンプ</t>
    </rPh>
    <phoneticPr fontId="2"/>
  </si>
  <si>
    <t>YES or NOである2値の事象がN個分（今回の例ではユーザー数）あるような事象は「二項分布」</t>
    <rPh sb="13" eb="14">
      <t>アタイ</t>
    </rPh>
    <rPh sb="15" eb="17">
      <t>ジショウ</t>
    </rPh>
    <rPh sb="19" eb="21">
      <t>コブン</t>
    </rPh>
    <rPh sb="22" eb="24">
      <t>コンカイ</t>
    </rPh>
    <rPh sb="25" eb="26">
      <t>レイ</t>
    </rPh>
    <rPh sb="32" eb="33">
      <t>スウ</t>
    </rPh>
    <rPh sb="39" eb="41">
      <t>ジショウ</t>
    </rPh>
    <rPh sb="43" eb="47">
      <t>ニコウブンプ</t>
    </rPh>
    <phoneticPr fontId="2"/>
  </si>
  <si>
    <t>例）解約率が20%のサービスの確率分布は横軸に解約人数、縦軸に解約される確率を置くことで、横軸で20%のところで山頂が来る</t>
    <rPh sb="0" eb="1">
      <t>レイ</t>
    </rPh>
    <rPh sb="2" eb="5">
      <t>カイヤクリツ</t>
    </rPh>
    <rPh sb="15" eb="19">
      <t>カクリツブンプ</t>
    </rPh>
    <rPh sb="20" eb="22">
      <t>ヨコジク</t>
    </rPh>
    <rPh sb="23" eb="27">
      <t>カイヤクニンズウ</t>
    </rPh>
    <rPh sb="28" eb="30">
      <t>タテジク</t>
    </rPh>
    <rPh sb="31" eb="33">
      <t>カイヤク</t>
    </rPh>
    <rPh sb="36" eb="38">
      <t>カクリツ</t>
    </rPh>
    <rPh sb="39" eb="40">
      <t>オ</t>
    </rPh>
    <rPh sb="45" eb="47">
      <t>ヨコジク</t>
    </rPh>
    <rPh sb="56" eb="58">
      <t>サンチョウ</t>
    </rPh>
    <rPh sb="59" eb="60">
      <t>ク</t>
    </rPh>
    <phoneticPr fontId="2"/>
  </si>
  <si>
    <t>中心極限定理とは</t>
    <rPh sb="0" eb="6">
      <t>チュウシンキョクゲンテイリ</t>
    </rPh>
    <phoneticPr fontId="2"/>
  </si>
  <si>
    <t>「何かしらの事象の平均値そのものが正規分布に従う」ことを中心極限定理という</t>
    <rPh sb="1" eb="2">
      <t>ナニ</t>
    </rPh>
    <rPh sb="6" eb="8">
      <t>ジショウ</t>
    </rPh>
    <rPh sb="9" eb="12">
      <t>ヘイキンチ</t>
    </rPh>
    <rPh sb="17" eb="21">
      <t>セイキブンプ</t>
    </rPh>
    <rPh sb="22" eb="23">
      <t>シタガ</t>
    </rPh>
    <rPh sb="28" eb="34">
      <t>チュウシンキョクゲンテイリ</t>
    </rPh>
    <phoneticPr fontId="2"/>
  </si>
  <si>
    <t>今回は、仕入れ単価を事象（確率変数）とした際に、どのような仕入れ単価が縦軸（確率）においてどのような値になるかという確率分布は存在するが、</t>
    <rPh sb="0" eb="2">
      <t>コンカイ</t>
    </rPh>
    <rPh sb="4" eb="6">
      <t>シイ</t>
    </rPh>
    <rPh sb="7" eb="9">
      <t>タンカ</t>
    </rPh>
    <rPh sb="10" eb="12">
      <t>ジショウ</t>
    </rPh>
    <rPh sb="13" eb="17">
      <t>カクリツヘンスウ</t>
    </rPh>
    <rPh sb="21" eb="22">
      <t>サイ</t>
    </rPh>
    <rPh sb="29" eb="31">
      <t>シイ</t>
    </rPh>
    <rPh sb="32" eb="34">
      <t>タンカ</t>
    </rPh>
    <rPh sb="35" eb="37">
      <t>タテジク</t>
    </rPh>
    <rPh sb="38" eb="40">
      <t>カクリツ</t>
    </rPh>
    <rPh sb="50" eb="51">
      <t>アタイ</t>
    </rPh>
    <rPh sb="58" eb="62">
      <t>カクリツブンプ</t>
    </rPh>
    <rPh sb="63" eb="65">
      <t>ソンザイ</t>
    </rPh>
    <phoneticPr fontId="2"/>
  </si>
  <si>
    <t>以上のような確率分布は中心極限定理においてはどうでもよい、平均値のみが気になる</t>
    <rPh sb="0" eb="2">
      <t>イジョウ</t>
    </rPh>
    <rPh sb="6" eb="10">
      <t>カクリツブンプ</t>
    </rPh>
    <rPh sb="11" eb="17">
      <t>チュウシンキョクゲンテイリ</t>
    </rPh>
    <rPh sb="29" eb="32">
      <t>ヘイキンチ</t>
    </rPh>
    <rPh sb="35" eb="36">
      <t>キ</t>
    </rPh>
    <phoneticPr fontId="2"/>
  </si>
  <si>
    <t>仮に違うサンプルデータがいくつ手元に来たとしても、仕入れ単価データの平均値は「正規分布」になる</t>
    <rPh sb="0" eb="1">
      <t>カリ</t>
    </rPh>
    <rPh sb="2" eb="3">
      <t>チガ</t>
    </rPh>
    <rPh sb="15" eb="17">
      <t>テモト</t>
    </rPh>
    <rPh sb="18" eb="19">
      <t>キ</t>
    </rPh>
    <rPh sb="25" eb="27">
      <t>シイ</t>
    </rPh>
    <rPh sb="28" eb="30">
      <t>タンカ</t>
    </rPh>
    <rPh sb="34" eb="37">
      <t>ヘイキンチ</t>
    </rPh>
    <rPh sb="39" eb="43">
      <t>セイキブンプ</t>
    </rPh>
    <phoneticPr fontId="2"/>
  </si>
  <si>
    <t>中心極限定理：元となる事象の確率分布がどのような状態であっても、何回もサンプリングして得られた平均値の集合は必ず正規分布になる。</t>
    <rPh sb="0" eb="6">
      <t>チュウシンキョクゲンテイリ</t>
    </rPh>
    <rPh sb="7" eb="8">
      <t>モト</t>
    </rPh>
    <rPh sb="11" eb="13">
      <t>ジショウ</t>
    </rPh>
    <rPh sb="14" eb="18">
      <t>カクリツブンプ</t>
    </rPh>
    <rPh sb="24" eb="26">
      <t>ジョウタイ</t>
    </rPh>
    <rPh sb="32" eb="34">
      <t>ナンカイ</t>
    </rPh>
    <rPh sb="43" eb="44">
      <t>エ</t>
    </rPh>
    <rPh sb="47" eb="50">
      <t>ヘイキンチ</t>
    </rPh>
    <rPh sb="51" eb="53">
      <t>シュウゴウ</t>
    </rPh>
    <rPh sb="54" eb="55">
      <t>カナラ</t>
    </rPh>
    <rPh sb="56" eb="60">
      <t>セイキブンプ</t>
    </rPh>
    <phoneticPr fontId="2"/>
  </si>
  <si>
    <t>有意水準を設定する</t>
    <rPh sb="0" eb="2">
      <t>ユウイ</t>
    </rPh>
    <rPh sb="2" eb="4">
      <t>スイジュン</t>
    </rPh>
    <rPh sb="5" eb="7">
      <t>セッテイ</t>
    </rPh>
    <phoneticPr fontId="2"/>
  </si>
  <si>
    <t>「平均仕入れ単価は70円よりも大きいと統計的有意に言えるか？」という仮説検定を理解するために「中心極限定理により、仕入れ単価の平均値は正規分布に従う」が重要</t>
    <rPh sb="1" eb="5">
      <t>ヘイキンシイ</t>
    </rPh>
    <rPh sb="6" eb="8">
      <t>タンカ</t>
    </rPh>
    <rPh sb="11" eb="12">
      <t>エン</t>
    </rPh>
    <rPh sb="15" eb="16">
      <t>オオ</t>
    </rPh>
    <rPh sb="19" eb="24">
      <t>トウケイテキユウイ</t>
    </rPh>
    <rPh sb="25" eb="26">
      <t>イ</t>
    </rPh>
    <rPh sb="34" eb="38">
      <t>カセツケンテイ</t>
    </rPh>
    <rPh sb="39" eb="41">
      <t>リカイ</t>
    </rPh>
    <rPh sb="47" eb="53">
      <t>チュウシンキョクゲンテイリ</t>
    </rPh>
    <rPh sb="57" eb="59">
      <t>シイ</t>
    </rPh>
    <rPh sb="60" eb="62">
      <t>タンカ</t>
    </rPh>
    <rPh sb="63" eb="66">
      <t>ヘイキンチ</t>
    </rPh>
    <rPh sb="67" eb="71">
      <t>セイキブンプ</t>
    </rPh>
    <rPh sb="72" eb="73">
      <t>シタガ</t>
    </rPh>
    <rPh sb="76" eb="78">
      <t>ジュウヨウ</t>
    </rPh>
    <phoneticPr fontId="2"/>
  </si>
  <si>
    <t>逆に帰無仮説の世界で手元のデータの平均値が得られる確率が低ければ、手元のデータは帰無仮説の世界にはいないと考えられる。</t>
    <rPh sb="0" eb="1">
      <t>ギャク</t>
    </rPh>
    <rPh sb="2" eb="6">
      <t>キムカセツ</t>
    </rPh>
    <rPh sb="7" eb="9">
      <t>セカイ</t>
    </rPh>
    <rPh sb="10" eb="12">
      <t>テモト</t>
    </rPh>
    <rPh sb="17" eb="20">
      <t>ヘイキンチ</t>
    </rPh>
    <rPh sb="21" eb="22">
      <t>エ</t>
    </rPh>
    <rPh sb="25" eb="27">
      <t>カクリツ</t>
    </rPh>
    <rPh sb="28" eb="29">
      <t>ヒク</t>
    </rPh>
    <rPh sb="33" eb="35">
      <t>テモト</t>
    </rPh>
    <rPh sb="40" eb="44">
      <t>キムカセツ</t>
    </rPh>
    <rPh sb="45" eb="47">
      <t>セカイ</t>
    </rPh>
    <rPh sb="53" eb="54">
      <t>カンガ</t>
    </rPh>
    <phoneticPr fontId="2"/>
  </si>
  <si>
    <t>もし帰無仮説の世界（平均仕入れ単価=70円）で、手元のデータの平均値（=76円）が得られる確率が高ければ、やはり手元のデータは帰無仮説の世界にいると考えられる。</t>
    <rPh sb="2" eb="6">
      <t>キムカセツ</t>
    </rPh>
    <rPh sb="7" eb="9">
      <t>セカイ</t>
    </rPh>
    <rPh sb="10" eb="14">
      <t>ヘイキンシイ</t>
    </rPh>
    <rPh sb="15" eb="17">
      <t>タンカ</t>
    </rPh>
    <rPh sb="20" eb="21">
      <t>エン</t>
    </rPh>
    <rPh sb="24" eb="26">
      <t>テモト</t>
    </rPh>
    <rPh sb="31" eb="34">
      <t>ヘイキンチ</t>
    </rPh>
    <rPh sb="38" eb="39">
      <t>エン</t>
    </rPh>
    <rPh sb="41" eb="42">
      <t>エ</t>
    </rPh>
    <rPh sb="45" eb="47">
      <t>カクリツ</t>
    </rPh>
    <rPh sb="48" eb="49">
      <t>タカ</t>
    </rPh>
    <rPh sb="56" eb="58">
      <t>テモト</t>
    </rPh>
    <rPh sb="63" eb="67">
      <t>キムカセツ</t>
    </rPh>
    <rPh sb="68" eb="70">
      <t>セカイ</t>
    </rPh>
    <rPh sb="74" eb="75">
      <t>カンガ</t>
    </rPh>
    <phoneticPr fontId="2"/>
  </si>
  <si>
    <t>仮説検定を考えるためのロジック</t>
    <rPh sb="0" eb="4">
      <t>カセツケンテイ</t>
    </rPh>
    <rPh sb="5" eb="6">
      <t>カンガ</t>
    </rPh>
    <phoneticPr fontId="2"/>
  </si>
  <si>
    <t>有意水準：何を基準にして帰無仮説の世界にいるかどうかを判断するか？</t>
    <rPh sb="0" eb="4">
      <t>ユウイスイジュン</t>
    </rPh>
    <rPh sb="5" eb="6">
      <t>ナニ</t>
    </rPh>
    <rPh sb="7" eb="9">
      <t>キジュン</t>
    </rPh>
    <rPh sb="12" eb="16">
      <t>キムカセツ</t>
    </rPh>
    <rPh sb="17" eb="19">
      <t>セカイ</t>
    </rPh>
    <rPh sb="27" eb="29">
      <t>ハンダン</t>
    </rPh>
    <phoneticPr fontId="2"/>
  </si>
  <si>
    <t>帰無仮説 vs 対立仮説 を結論付けるためのロジック</t>
    <rPh sb="0" eb="4">
      <t>キムカセツ</t>
    </rPh>
    <rPh sb="8" eb="12">
      <t>タイリツカセツ</t>
    </rPh>
    <rPh sb="14" eb="17">
      <t>ケツロンヅ</t>
    </rPh>
    <phoneticPr fontId="2"/>
  </si>
  <si>
    <t>帰無仮説の世界（平均値の確率分布）で基準となる有意水準を設定する</t>
    <rPh sb="0" eb="4">
      <t>キムカセツ</t>
    </rPh>
    <rPh sb="5" eb="7">
      <t>セカイ</t>
    </rPh>
    <rPh sb="8" eb="11">
      <t>ヘイキンチ</t>
    </rPh>
    <rPh sb="12" eb="16">
      <t>カクリツブンプ</t>
    </rPh>
    <rPh sb="18" eb="20">
      <t>キジュン</t>
    </rPh>
    <rPh sb="23" eb="27">
      <t>ユウイスイジュン</t>
    </rPh>
    <rPh sb="28" eb="30">
      <t>セッテイ</t>
    </rPh>
    <phoneticPr fontId="2"/>
  </si>
  <si>
    <t>手元のサンプルデータから統計量であるt値・p値を取得する</t>
    <rPh sb="0" eb="2">
      <t>テモト</t>
    </rPh>
    <rPh sb="12" eb="15">
      <t>トウケイリョウ</t>
    </rPh>
    <rPh sb="19" eb="20">
      <t>アタイ</t>
    </rPh>
    <rPh sb="22" eb="23">
      <t>アタイ</t>
    </rPh>
    <rPh sb="24" eb="26">
      <t>シュトク</t>
    </rPh>
    <phoneticPr fontId="2"/>
  </si>
  <si>
    <t>手元のサンプルから得られたp値が有意水準を下回っていたら、手元のデータは帰無仮説の世界にはいないと判断して対立仮説を採用する、上回っていたら帰無仮説を棄却しない</t>
    <rPh sb="0" eb="2">
      <t>テモト</t>
    </rPh>
    <rPh sb="9" eb="10">
      <t>エ</t>
    </rPh>
    <rPh sb="14" eb="15">
      <t>アタイ</t>
    </rPh>
    <rPh sb="16" eb="20">
      <t>ユウイスイジュン</t>
    </rPh>
    <rPh sb="21" eb="23">
      <t>シタマワ</t>
    </rPh>
    <rPh sb="29" eb="31">
      <t>テモト</t>
    </rPh>
    <rPh sb="36" eb="40">
      <t>キムカセツ</t>
    </rPh>
    <rPh sb="41" eb="43">
      <t>セカイ</t>
    </rPh>
    <rPh sb="49" eb="51">
      <t>ハンダン</t>
    </rPh>
    <rPh sb="53" eb="57">
      <t>タイリツカセツ</t>
    </rPh>
    <rPh sb="58" eb="60">
      <t>サイヨウ</t>
    </rPh>
    <rPh sb="63" eb="65">
      <t>ウワマワ</t>
    </rPh>
    <rPh sb="70" eb="74">
      <t>キムカセツ</t>
    </rPh>
    <rPh sb="75" eb="77">
      <t>キキャク</t>
    </rPh>
    <phoneticPr fontId="2"/>
  </si>
  <si>
    <t>有意水準として5%を設定した場合</t>
    <rPh sb="0" eb="4">
      <t>ユウイスイジュン</t>
    </rPh>
    <rPh sb="10" eb="12">
      <t>セッテイ</t>
    </rPh>
    <rPh sb="14" eb="16">
      <t>バアイ</t>
    </rPh>
    <phoneticPr fontId="2"/>
  </si>
  <si>
    <t>→手元のデータから計算された平均値が帰無仮説の世界において観測される確率が、5%よりも下回っている場合に手元のデータは帰無仮説の世界には存在しえないと判断する</t>
    <rPh sb="1" eb="3">
      <t>テモト</t>
    </rPh>
    <rPh sb="9" eb="11">
      <t>ケイサン</t>
    </rPh>
    <rPh sb="14" eb="17">
      <t>ヘイキンチ</t>
    </rPh>
    <rPh sb="18" eb="22">
      <t>キムカセツ</t>
    </rPh>
    <rPh sb="23" eb="25">
      <t>セカイ</t>
    </rPh>
    <rPh sb="29" eb="31">
      <t>カンソク</t>
    </rPh>
    <rPh sb="34" eb="36">
      <t>カクリツ</t>
    </rPh>
    <rPh sb="43" eb="45">
      <t>シタマワ</t>
    </rPh>
    <rPh sb="49" eb="51">
      <t>バアイ</t>
    </rPh>
    <rPh sb="52" eb="54">
      <t>テモト</t>
    </rPh>
    <rPh sb="59" eb="63">
      <t>キムカセツ</t>
    </rPh>
    <rPh sb="64" eb="66">
      <t>セカイ</t>
    </rPh>
    <rPh sb="68" eb="70">
      <t>ソンザイ</t>
    </rPh>
    <rPh sb="75" eb="77">
      <t>ハンダン</t>
    </rPh>
    <phoneticPr fontId="2"/>
  </si>
  <si>
    <t>t値とは、手元のサンプルデータから計算される統計量（平均値・標準偏差・データ数）から計算される値であり、帰無仮説における確率分布の確率変数（横軸）の値に相当</t>
    <rPh sb="1" eb="2">
      <t>アタイ</t>
    </rPh>
    <rPh sb="5" eb="7">
      <t>テモト</t>
    </rPh>
    <rPh sb="17" eb="19">
      <t>ケイサン</t>
    </rPh>
    <rPh sb="22" eb="25">
      <t>トウケイリョウ</t>
    </rPh>
    <rPh sb="26" eb="29">
      <t>ヘイキンチ</t>
    </rPh>
    <rPh sb="30" eb="34">
      <t>ヒョウジュンヘンサ</t>
    </rPh>
    <rPh sb="38" eb="39">
      <t>スウ</t>
    </rPh>
    <rPh sb="42" eb="44">
      <t>ケイサン</t>
    </rPh>
    <rPh sb="47" eb="48">
      <t>アタイ</t>
    </rPh>
    <rPh sb="52" eb="56">
      <t>キムカセツ</t>
    </rPh>
    <rPh sb="60" eb="64">
      <t>カクリツブンプ</t>
    </rPh>
    <rPh sb="65" eb="69">
      <t>カクリツヘンスウ</t>
    </rPh>
    <rPh sb="70" eb="72">
      <t>ヨコジク</t>
    </rPh>
    <rPh sb="74" eb="75">
      <t>アタイ</t>
    </rPh>
    <rPh sb="76" eb="78">
      <t>ソウトウ</t>
    </rPh>
    <phoneticPr fontId="2"/>
  </si>
  <si>
    <t>t値以上の値をとるような確率（確率分布におけるt値以上の平均値である確率の総和、面積）がp値に相当</t>
    <rPh sb="1" eb="4">
      <t>アタイイジョウ</t>
    </rPh>
    <rPh sb="5" eb="6">
      <t>アタイ</t>
    </rPh>
    <rPh sb="12" eb="14">
      <t>カクリツ</t>
    </rPh>
    <rPh sb="15" eb="19">
      <t>カクリツブンプ</t>
    </rPh>
    <rPh sb="24" eb="25">
      <t>アタイ</t>
    </rPh>
    <rPh sb="25" eb="27">
      <t>イジョウ</t>
    </rPh>
    <rPh sb="28" eb="31">
      <t>ヘイキンチ</t>
    </rPh>
    <rPh sb="34" eb="36">
      <t>カクリツ</t>
    </rPh>
    <rPh sb="37" eb="39">
      <t>ソウワ</t>
    </rPh>
    <rPh sb="40" eb="42">
      <t>メンセキ</t>
    </rPh>
    <rPh sb="45" eb="46">
      <t>アタイ</t>
    </rPh>
    <rPh sb="47" eb="49">
      <t>ソウトウ</t>
    </rPh>
    <phoneticPr fontId="2"/>
  </si>
  <si>
    <t>t値 vs p値</t>
    <rPh sb="1" eb="2">
      <t>アタイ</t>
    </rPh>
    <rPh sb="7" eb="8">
      <t>アタイ</t>
    </rPh>
    <phoneticPr fontId="2"/>
  </si>
  <si>
    <t>→帰無仮説の世界（平均値の確率分布）を前提とした際に、手元のサンプルデータ以上に極端な値が得られる確率</t>
    <rPh sb="1" eb="5">
      <t>キムカセツ</t>
    </rPh>
    <rPh sb="6" eb="8">
      <t>セカイ</t>
    </rPh>
    <rPh sb="9" eb="12">
      <t>ヘイキンチ</t>
    </rPh>
    <rPh sb="13" eb="17">
      <t>カクリツブンプ</t>
    </rPh>
    <rPh sb="19" eb="21">
      <t>ゼンテイ</t>
    </rPh>
    <rPh sb="24" eb="25">
      <t>サイ</t>
    </rPh>
    <rPh sb="27" eb="29">
      <t>テモト</t>
    </rPh>
    <rPh sb="37" eb="39">
      <t>イジョウ</t>
    </rPh>
    <rPh sb="40" eb="42">
      <t>キョクタン</t>
    </rPh>
    <rPh sb="43" eb="44">
      <t>アタイ</t>
    </rPh>
    <rPh sb="45" eb="46">
      <t>エ</t>
    </rPh>
    <rPh sb="49" eb="51">
      <t>カクリツ</t>
    </rPh>
    <phoneticPr fontId="2"/>
  </si>
  <si>
    <t>→p値が非常に小さかった場合、「帰無仮説世界上で、手元のサンプルデータ以上に極端な値が得られる確率はとても低い」すなわち、手元のデータで得られた結果そのものも帰無仮説にいないであろう</t>
    <rPh sb="2" eb="3">
      <t>アタイ</t>
    </rPh>
    <rPh sb="4" eb="6">
      <t>ヒジョウ</t>
    </rPh>
    <rPh sb="7" eb="8">
      <t>チイ</t>
    </rPh>
    <rPh sb="12" eb="14">
      <t>バアイ</t>
    </rPh>
    <rPh sb="16" eb="22">
      <t>キムカセツセカイ</t>
    </rPh>
    <rPh sb="22" eb="23">
      <t>ジョウ</t>
    </rPh>
    <rPh sb="25" eb="27">
      <t>テモト</t>
    </rPh>
    <rPh sb="35" eb="37">
      <t>イジョウ</t>
    </rPh>
    <rPh sb="38" eb="40">
      <t>キョクタン</t>
    </rPh>
    <rPh sb="41" eb="42">
      <t>アタイ</t>
    </rPh>
    <rPh sb="43" eb="44">
      <t>エ</t>
    </rPh>
    <rPh sb="47" eb="49">
      <t>カクリツ</t>
    </rPh>
    <rPh sb="53" eb="54">
      <t>ヒク</t>
    </rPh>
    <rPh sb="61" eb="63">
      <t>テモト</t>
    </rPh>
    <rPh sb="68" eb="69">
      <t>エ</t>
    </rPh>
    <rPh sb="72" eb="74">
      <t>ケッカ</t>
    </rPh>
    <rPh sb="79" eb="83">
      <t>キムカセツ</t>
    </rPh>
    <phoneticPr fontId="2"/>
  </si>
  <si>
    <t>t値とp値を計算で導く</t>
    <rPh sb="1" eb="2">
      <t>アタイ</t>
    </rPh>
    <rPh sb="4" eb="5">
      <t>アタイ</t>
    </rPh>
    <rPh sb="6" eb="8">
      <t>ケイサン</t>
    </rPh>
    <rPh sb="9" eb="10">
      <t>ミチビ</t>
    </rPh>
    <phoneticPr fontId="2"/>
  </si>
  <si>
    <t>中心極限定理では、以下の2つのことが言える</t>
    <rPh sb="0" eb="6">
      <t>チュウシンキョクゲンテイリ</t>
    </rPh>
    <rPh sb="9" eb="11">
      <t>イカ</t>
    </rPh>
    <rPh sb="18" eb="19">
      <t>イ</t>
    </rPh>
    <phoneticPr fontId="2"/>
  </si>
  <si>
    <t>すべての事象が起きる確率の平均値は正規分布に従う</t>
    <rPh sb="4" eb="6">
      <t>ジショウ</t>
    </rPh>
    <rPh sb="7" eb="8">
      <t>オ</t>
    </rPh>
    <rPh sb="10" eb="12">
      <t>カクリツ</t>
    </rPh>
    <rPh sb="13" eb="16">
      <t>ヘイキンチ</t>
    </rPh>
    <rPh sb="17" eb="21">
      <t>セイキブンプ</t>
    </rPh>
    <rPh sb="22" eb="23">
      <t>シタガ</t>
    </rPh>
    <phoneticPr fontId="2"/>
  </si>
  <si>
    <t>平均値の正規分布に関して「平均=母集団の平均値」、「標準偏差=母集団の標準偏差/√データ数」になる</t>
    <rPh sb="0" eb="3">
      <t>ヘイキンチ</t>
    </rPh>
    <rPh sb="4" eb="8">
      <t>セイキブンプ</t>
    </rPh>
    <rPh sb="9" eb="10">
      <t>カン</t>
    </rPh>
    <rPh sb="13" eb="15">
      <t>ヘイキン</t>
    </rPh>
    <rPh sb="16" eb="19">
      <t>ボシュウダン</t>
    </rPh>
    <rPh sb="20" eb="22">
      <t>ヘイキン</t>
    </rPh>
    <rPh sb="22" eb="23">
      <t>アタイ</t>
    </rPh>
    <rPh sb="26" eb="30">
      <t>ヒョウジュンヘンサ</t>
    </rPh>
    <rPh sb="31" eb="34">
      <t>ボシュウダン</t>
    </rPh>
    <rPh sb="35" eb="39">
      <t>ヒョウジュンヘンサ</t>
    </rPh>
    <rPh sb="44" eb="45">
      <t>スウ</t>
    </rPh>
    <phoneticPr fontId="2"/>
  </si>
  <si>
    <t>→母集団の平均値、母集団の標準偏差、データ数が分かれば平均値の確率分布の形状が分かる</t>
    <rPh sb="1" eb="4">
      <t>ボシュウダン</t>
    </rPh>
    <rPh sb="5" eb="8">
      <t>ヘイキンチ</t>
    </rPh>
    <rPh sb="9" eb="12">
      <t>ボシュウダン</t>
    </rPh>
    <rPh sb="13" eb="17">
      <t>ヒョウジュンヘンサ</t>
    </rPh>
    <rPh sb="21" eb="22">
      <t>スウ</t>
    </rPh>
    <rPh sb="23" eb="24">
      <t>ワ</t>
    </rPh>
    <rPh sb="27" eb="30">
      <t>ヘイキンチ</t>
    </rPh>
    <rPh sb="31" eb="35">
      <t>カクリツブンプ</t>
    </rPh>
    <rPh sb="36" eb="38">
      <t>ケイジョウ</t>
    </rPh>
    <rPh sb="39" eb="40">
      <t>ワ</t>
    </rPh>
    <phoneticPr fontId="2"/>
  </si>
  <si>
    <t>確率変数=（平均値-母集団の平均値）/（母集団の標準偏差/√データ数）</t>
    <rPh sb="0" eb="4">
      <t>カクリツヘンスウ</t>
    </rPh>
    <rPh sb="6" eb="9">
      <t>ヘイキンチ</t>
    </rPh>
    <rPh sb="10" eb="13">
      <t>ボシュウダン</t>
    </rPh>
    <rPh sb="14" eb="17">
      <t>ヘイキンチ</t>
    </rPh>
    <rPh sb="20" eb="23">
      <t>ボシュウダン</t>
    </rPh>
    <rPh sb="24" eb="28">
      <t>ヒョウジュンヘンサ</t>
    </rPh>
    <rPh sb="33" eb="34">
      <t>スウ</t>
    </rPh>
    <phoneticPr fontId="2"/>
  </si>
  <si>
    <t>「母集団の平均値」は、帰無仮説（平均仕入れ単価=70円）より70円</t>
    <rPh sb="1" eb="4">
      <t>ボシュウダン</t>
    </rPh>
    <rPh sb="5" eb="8">
      <t>ヘイキンチ</t>
    </rPh>
    <rPh sb="11" eb="15">
      <t>キムカセツ</t>
    </rPh>
    <rPh sb="16" eb="20">
      <t>ヘイキンシイ</t>
    </rPh>
    <rPh sb="21" eb="23">
      <t>タンカ</t>
    </rPh>
    <rPh sb="26" eb="27">
      <t>エン</t>
    </rPh>
    <rPh sb="32" eb="33">
      <t>エン</t>
    </rPh>
    <phoneticPr fontId="2"/>
  </si>
  <si>
    <t>平均値およびデータ数、手元のデータから計算する</t>
    <rPh sb="0" eb="3">
      <t>ヘイキンチ</t>
    </rPh>
    <rPh sb="9" eb="10">
      <t>スウ</t>
    </rPh>
    <rPh sb="11" eb="13">
      <t>テモト</t>
    </rPh>
    <rPh sb="19" eb="21">
      <t>ケイサン</t>
    </rPh>
    <phoneticPr fontId="2"/>
  </si>
  <si>
    <t>母集団の標準偏差は不明であるため、手元のデータから計算される標準偏差で代替する</t>
    <rPh sb="0" eb="3">
      <t>ボシュウダン</t>
    </rPh>
    <rPh sb="4" eb="8">
      <t>ヒョウジュンヘンサ</t>
    </rPh>
    <rPh sb="9" eb="11">
      <t>フメイ</t>
    </rPh>
    <rPh sb="17" eb="19">
      <t>テモト</t>
    </rPh>
    <rPh sb="25" eb="27">
      <t>ケイサン</t>
    </rPh>
    <rPh sb="30" eb="34">
      <t>ヒョウジュンヘンサ</t>
    </rPh>
    <rPh sb="35" eb="37">
      <t>ダイタイ</t>
    </rPh>
    <phoneticPr fontId="2"/>
  </si>
  <si>
    <t>確率変数が平均値である正規分布を正規化（平均=0、標準偏差=1の標準正規分布へ）するためには、確率変数を以下のように変形すればよい</t>
    <rPh sb="0" eb="4">
      <t>カクリツヘンスウ</t>
    </rPh>
    <rPh sb="5" eb="8">
      <t>ヘイキンチ</t>
    </rPh>
    <rPh sb="11" eb="15">
      <t>セイキブンプ</t>
    </rPh>
    <rPh sb="16" eb="19">
      <t>セイキカ</t>
    </rPh>
    <rPh sb="20" eb="22">
      <t>ヘイキン</t>
    </rPh>
    <rPh sb="25" eb="27">
      <t>ヒョウジュン</t>
    </rPh>
    <rPh sb="27" eb="29">
      <t>ヘンサ</t>
    </rPh>
    <rPh sb="32" eb="38">
      <t>ヒョウジュンセイキブンプ</t>
    </rPh>
    <rPh sb="47" eb="51">
      <t>カクリツヘンスウ</t>
    </rPh>
    <rPh sb="52" eb="54">
      <t>イカ</t>
    </rPh>
    <rPh sb="58" eb="60">
      <t>ヘンケイ</t>
    </rPh>
    <phoneticPr fontId="2"/>
  </si>
  <si>
    <t>t分布に変換するための手順</t>
    <rPh sb="1" eb="3">
      <t>ブンプ</t>
    </rPh>
    <rPh sb="4" eb="6">
      <t>ヘンカン</t>
    </rPh>
    <rPh sb="11" eb="13">
      <t>テジュン</t>
    </rPh>
    <phoneticPr fontId="2"/>
  </si>
  <si>
    <t>手元のサンプルの標準偏差で代替する場合、正規分布は使えないため標準偏差からt分布へ帰る必要がある</t>
    <rPh sb="0" eb="2">
      <t>テモト</t>
    </rPh>
    <rPh sb="8" eb="12">
      <t>ヒョウジュンヘンサ</t>
    </rPh>
    <rPh sb="13" eb="15">
      <t>ダイタイ</t>
    </rPh>
    <rPh sb="17" eb="19">
      <t>バアイ</t>
    </rPh>
    <rPh sb="20" eb="24">
      <t>セイキブンプ</t>
    </rPh>
    <rPh sb="25" eb="26">
      <t>ツカ</t>
    </rPh>
    <rPh sb="31" eb="35">
      <t>ヒョウジュンヘンサ</t>
    </rPh>
    <rPh sb="38" eb="40">
      <t>ブンプ</t>
    </rPh>
    <rPh sb="41" eb="42">
      <t>カエ</t>
    </rPh>
    <rPh sb="43" eb="45">
      <t>ヒツヨウ</t>
    </rPh>
    <phoneticPr fontId="2"/>
  </si>
  <si>
    <t>→確率変数の計算式の「母集団の標準偏差」から「サンプルの標準偏差」に置き換える</t>
    <rPh sb="1" eb="5">
      <t>カクリツヘンスウ</t>
    </rPh>
    <rPh sb="6" eb="9">
      <t>ケイサンシキ</t>
    </rPh>
    <rPh sb="11" eb="14">
      <t>ボシュウダン</t>
    </rPh>
    <rPh sb="15" eb="19">
      <t>ヒョウジュンヘンサ</t>
    </rPh>
    <rPh sb="28" eb="32">
      <t>ヒョウジュンヘンサ</t>
    </rPh>
    <rPh sb="34" eb="35">
      <t>オ</t>
    </rPh>
    <rPh sb="36" eb="37">
      <t>カ</t>
    </rPh>
    <phoneticPr fontId="2"/>
  </si>
  <si>
    <t>t分布 vs 標準正規分布</t>
    <rPh sb="1" eb="3">
      <t>ブンプ</t>
    </rPh>
    <rPh sb="7" eb="13">
      <t>ヒョウジュンセイキブンプ</t>
    </rPh>
    <phoneticPr fontId="2"/>
  </si>
  <si>
    <t>ほぼ同じだが、データ数が少ない場合に二つの分布が乖離する</t>
    <rPh sb="2" eb="3">
      <t>オナ</t>
    </rPh>
    <rPh sb="10" eb="11">
      <t>スウ</t>
    </rPh>
    <rPh sb="12" eb="13">
      <t>スク</t>
    </rPh>
    <rPh sb="15" eb="17">
      <t>バアイ</t>
    </rPh>
    <rPh sb="18" eb="19">
      <t>フタ</t>
    </rPh>
    <rPh sb="21" eb="23">
      <t>ブンプ</t>
    </rPh>
    <rPh sb="24" eb="26">
      <t>カイリ</t>
    </rPh>
    <phoneticPr fontId="2"/>
  </si>
  <si>
    <t>t値=（平均値 - 母集団の平均値）/（サンプルの標準偏差 / √データ数）</t>
    <rPh sb="1" eb="2">
      <t>アタイ</t>
    </rPh>
    <rPh sb="4" eb="7">
      <t>ヘイキンチ</t>
    </rPh>
    <rPh sb="10" eb="13">
      <t>ボシュウダン</t>
    </rPh>
    <rPh sb="14" eb="17">
      <t>ヘイキンチ</t>
    </rPh>
    <rPh sb="25" eb="29">
      <t>ヒョウジュンヘンサ</t>
    </rPh>
    <rPh sb="36" eb="37">
      <t>スウ</t>
    </rPh>
    <phoneticPr fontId="2"/>
  </si>
  <si>
    <t>t値が分かれば、p値はt値以上の極端な値をとる確率として定義されるため、1からt値までの累積面積を引いた値になる</t>
    <rPh sb="1" eb="2">
      <t>アタイ</t>
    </rPh>
    <rPh sb="3" eb="4">
      <t>ワ</t>
    </rPh>
    <rPh sb="9" eb="10">
      <t>アタイ</t>
    </rPh>
    <rPh sb="12" eb="15">
      <t>アタイイジョウ</t>
    </rPh>
    <rPh sb="16" eb="18">
      <t>キョクタン</t>
    </rPh>
    <rPh sb="19" eb="20">
      <t>アタイ</t>
    </rPh>
    <rPh sb="23" eb="25">
      <t>カクリツ</t>
    </rPh>
    <rPh sb="28" eb="30">
      <t>テイギ</t>
    </rPh>
    <rPh sb="40" eb="41">
      <t>アタイ</t>
    </rPh>
    <rPh sb="44" eb="48">
      <t>ルイセキメンセキ</t>
    </rPh>
    <phoneticPr fontId="2"/>
  </si>
  <si>
    <t>タイプ</t>
    <phoneticPr fontId="4"/>
  </si>
  <si>
    <t>例1. 1標本によるt検定を計算してみよう</t>
    <rPh sb="0" eb="1">
      <t xml:space="preserve">レイ </t>
    </rPh>
    <rPh sb="5" eb="7">
      <t xml:space="preserve">ヒョウホン </t>
    </rPh>
    <rPh sb="11" eb="13">
      <t xml:space="preserve">ケンテイ </t>
    </rPh>
    <rPh sb="14" eb="16">
      <t xml:space="preserve">ケイサン </t>
    </rPh>
    <phoneticPr fontId="4"/>
  </si>
  <si>
    <t>STEP1 : 「平均 仕入単価は70円である」という仮説を立てます</t>
    <rPh sb="0" eb="3">
      <t>シュウエキリツ</t>
    </rPh>
    <rPh sb="12" eb="14">
      <t xml:space="preserve">シイレ </t>
    </rPh>
    <rPh sb="14" eb="16">
      <t xml:space="preserve">タンカ </t>
    </rPh>
    <rPh sb="19" eb="20">
      <t xml:space="preserve">エン </t>
    </rPh>
    <phoneticPr fontId="4"/>
  </si>
  <si>
    <t>（この意味は、真の平均が70ということになります。）</t>
    <rPh sb="1" eb="3">
      <t>イミ</t>
    </rPh>
    <phoneticPr fontId="4"/>
  </si>
  <si>
    <t>STEP2 : サンプル平均を求めます</t>
    <rPh sb="0" eb="3">
      <t>シュウエキリツ</t>
    </rPh>
    <phoneticPr fontId="4"/>
  </si>
  <si>
    <t>サンプル平均=</t>
    <rPh sb="0" eb="2">
      <t>ヘイキｎ</t>
    </rPh>
    <phoneticPr fontId="4"/>
  </si>
  <si>
    <t>STEP3 : サンプルの標準偏差を求めます</t>
    <rPh sb="0" eb="3">
      <t>シュウエキリツ</t>
    </rPh>
    <phoneticPr fontId="4"/>
  </si>
  <si>
    <t>サンプル標準偏差=</t>
    <rPh sb="0" eb="2">
      <t>ヘイキｎ</t>
    </rPh>
    <phoneticPr fontId="4"/>
  </si>
  <si>
    <t>STEP4 : サンプル数を確認します。</t>
    <rPh sb="0" eb="3">
      <t>シュウエキリツ</t>
    </rPh>
    <phoneticPr fontId="4"/>
  </si>
  <si>
    <t>サンプル数</t>
    <rPh sb="0" eb="2">
      <t>ヘイキｎ</t>
    </rPh>
    <phoneticPr fontId="4"/>
  </si>
  <si>
    <t>STEP5 : 中心極限定理の式に当てはめます。</t>
    <rPh sb="0" eb="3">
      <t>シュウエキリツ</t>
    </rPh>
    <phoneticPr fontId="4"/>
  </si>
  <si>
    <t>ただし、母集団の標準偏差はわからないので、代わりにサンプルの標準偏差を使います。</t>
    <phoneticPr fontId="4"/>
  </si>
  <si>
    <t>（母集団の平均 =）</t>
    <rPh sb="1" eb="4">
      <t xml:space="preserve">ボシュウダンノ </t>
    </rPh>
    <rPh sb="5" eb="7">
      <t xml:space="preserve">ヘイキン </t>
    </rPh>
    <phoneticPr fontId="4"/>
  </si>
  <si>
    <t>分子</t>
    <rPh sb="0" eb="1">
      <t>ブンシ</t>
    </rPh>
    <phoneticPr fontId="4"/>
  </si>
  <si>
    <t xml:space="preserve">サンプル平均 - 母集団の平均 = </t>
    <rPh sb="0" eb="2">
      <t>ヘイキｎ</t>
    </rPh>
    <phoneticPr fontId="4"/>
  </si>
  <si>
    <t>分母</t>
    <rPh sb="0" eb="2">
      <t>ブンボ</t>
    </rPh>
    <phoneticPr fontId="4"/>
  </si>
  <si>
    <t>サンプルの標準偏差/sqrt(サンプル数）=</t>
    <rPh sb="0" eb="2">
      <t>ヘイキｎ</t>
    </rPh>
    <phoneticPr fontId="4"/>
  </si>
  <si>
    <t>t値 = 分子/分母</t>
    <rPh sb="1" eb="2">
      <t xml:space="preserve">チ </t>
    </rPh>
    <phoneticPr fontId="4"/>
  </si>
  <si>
    <t>STEP6 : T値の累積確率を計算しましょう。</t>
    <rPh sb="0" eb="3">
      <t>シュウエキリツ</t>
    </rPh>
    <phoneticPr fontId="4"/>
  </si>
  <si>
    <t>自由度（サンプル数-1) =</t>
    <rPh sb="0" eb="2">
      <t>ジユウド</t>
    </rPh>
    <phoneticPr fontId="4"/>
  </si>
  <si>
    <t>累積確率</t>
    <rPh sb="0" eb="2">
      <t>ルイセキ</t>
    </rPh>
    <phoneticPr fontId="4"/>
  </si>
  <si>
    <t>STEP7 : 今のT値よりもより大きい値が出る確率を計算しましょう</t>
    <rPh sb="0" eb="3">
      <t>シュウエキリツ</t>
    </rPh>
    <phoneticPr fontId="4"/>
  </si>
  <si>
    <t>ポイント: この確率をP値と言います。</t>
    <rPh sb="0" eb="2">
      <t>カクリツ</t>
    </rPh>
    <phoneticPr fontId="4"/>
  </si>
  <si>
    <t xml:space="preserve">p値 = </t>
    <phoneticPr fontId="4"/>
  </si>
  <si>
    <t>STEP8 : STEP1で設定した仮説についてどう思いますか？</t>
    <rPh sb="0" eb="3">
      <t>シュウエキリツ</t>
    </rPh>
    <phoneticPr fontId="4"/>
  </si>
  <si>
    <t>p値は設定した有意水準を下回ったため、仕入れ単価=70円という帰無仮説を棄却し、仕入れ単価は70円を上回るという対立仮説を採用する</t>
    <rPh sb="1" eb="2">
      <t>アタイ</t>
    </rPh>
    <rPh sb="3" eb="5">
      <t>セッテイ</t>
    </rPh>
    <rPh sb="7" eb="9">
      <t>ユウイ</t>
    </rPh>
    <rPh sb="9" eb="11">
      <t>スイジュン</t>
    </rPh>
    <rPh sb="12" eb="14">
      <t>シタマワ</t>
    </rPh>
    <rPh sb="19" eb="21">
      <t>シイ</t>
    </rPh>
    <rPh sb="22" eb="24">
      <t>タンカ</t>
    </rPh>
    <rPh sb="27" eb="28">
      <t>エン</t>
    </rPh>
    <rPh sb="31" eb="35">
      <t>キムカセツ</t>
    </rPh>
    <rPh sb="36" eb="38">
      <t>キキャク</t>
    </rPh>
    <rPh sb="40" eb="42">
      <t>シイ</t>
    </rPh>
    <rPh sb="43" eb="45">
      <t>タンカ</t>
    </rPh>
    <rPh sb="48" eb="49">
      <t>エン</t>
    </rPh>
    <rPh sb="50" eb="52">
      <t>ウワマワ</t>
    </rPh>
    <rPh sb="56" eb="60">
      <t>タイリツカセツ</t>
    </rPh>
    <rPh sb="61" eb="63">
      <t>サイヨウ</t>
    </rPh>
    <phoneticPr fontId="2"/>
  </si>
  <si>
    <t>Q. 平均値が帰無仮説で設定した平均値と離れていないのに、帰無仮説を棄却できる理由はなぜか？</t>
    <rPh sb="3" eb="6">
      <t>ヘイキンチ</t>
    </rPh>
    <rPh sb="7" eb="11">
      <t>キムカセツ</t>
    </rPh>
    <rPh sb="12" eb="14">
      <t>セッテイ</t>
    </rPh>
    <rPh sb="16" eb="19">
      <t>ヘイキンチ</t>
    </rPh>
    <rPh sb="20" eb="21">
      <t>ハナ</t>
    </rPh>
    <rPh sb="29" eb="33">
      <t>キムカセツ</t>
    </rPh>
    <rPh sb="34" eb="36">
      <t>キキャク</t>
    </rPh>
    <rPh sb="39" eb="41">
      <t>リユウ</t>
    </rPh>
    <phoneticPr fontId="2"/>
  </si>
  <si>
    <t>A. 仮説検定がばらつきを示す標準偏差やデータ数も一緒に考えているから</t>
    <rPh sb="3" eb="7">
      <t>カセツケンテイ</t>
    </rPh>
    <rPh sb="13" eb="14">
      <t>シメ</t>
    </rPh>
    <rPh sb="15" eb="19">
      <t>ヒョウジュンヘンサ</t>
    </rPh>
    <rPh sb="23" eb="24">
      <t>スウ</t>
    </rPh>
    <rPh sb="25" eb="27">
      <t>イッショ</t>
    </rPh>
    <rPh sb="28" eb="29">
      <t>カンガ</t>
    </rPh>
    <phoneticPr fontId="2"/>
  </si>
  <si>
    <t>A社</t>
    <rPh sb="1" eb="2">
      <t xml:space="preserve">シャ </t>
    </rPh>
    <phoneticPr fontId="4"/>
  </si>
  <si>
    <t>B社</t>
    <rPh sb="1" eb="2">
      <t xml:space="preserve">シャ </t>
    </rPh>
    <phoneticPr fontId="4"/>
  </si>
  <si>
    <t>例2. 2標本によるt検定を「データ分析ツール」を使って計算してみよう（2社の仕入れ単価の平均値に差があるか）</t>
    <rPh sb="0" eb="1">
      <t xml:space="preserve">レイ </t>
    </rPh>
    <rPh sb="5" eb="7">
      <t xml:space="preserve">ヒョウホン </t>
    </rPh>
    <rPh sb="11" eb="13">
      <t xml:space="preserve">ケンテイ </t>
    </rPh>
    <rPh sb="25" eb="26">
      <t xml:space="preserve">ツカッテ </t>
    </rPh>
    <rPh sb="28" eb="30">
      <t xml:space="preserve">ケイサン </t>
    </rPh>
    <rPh sb="37" eb="38">
      <t>シャ</t>
    </rPh>
    <rPh sb="39" eb="41">
      <t>シイ</t>
    </rPh>
    <rPh sb="42" eb="44">
      <t>タンカ</t>
    </rPh>
    <rPh sb="45" eb="48">
      <t>ヘイキンチ</t>
    </rPh>
    <rPh sb="49" eb="50">
      <t>サ</t>
    </rPh>
    <phoneticPr fontId="4"/>
  </si>
  <si>
    <t>t-検定: 分散が等しくないと仮定した２標本による検定</t>
  </si>
  <si>
    <t>A社</t>
  </si>
  <si>
    <t>B社</t>
  </si>
  <si>
    <t>観測数</t>
  </si>
  <si>
    <t>仮説平均との差異</t>
  </si>
  <si>
    <t>自由度</t>
  </si>
  <si>
    <t xml:space="preserve">t </t>
  </si>
  <si>
    <t>P(T&lt;=t) 片側</t>
  </si>
  <si>
    <t>t 境界値 片側</t>
  </si>
  <si>
    <t>P(T&lt;=t) 両側</t>
  </si>
  <si>
    <t>t 境界値 両側</t>
  </si>
  <si>
    <t>←p値</t>
    <rPh sb="2" eb="3">
      <t>アタイ</t>
    </rPh>
    <phoneticPr fontId="2"/>
  </si>
  <si>
    <t>p値&lt;有意水準だから、AとBで仕入れ単価の平均に差がないという帰無仮説を棄却できる。</t>
    <rPh sb="1" eb="2">
      <t>アタイ</t>
    </rPh>
    <rPh sb="3" eb="7">
      <t>ユウイスイジュン</t>
    </rPh>
    <rPh sb="15" eb="17">
      <t>シイ</t>
    </rPh>
    <rPh sb="18" eb="20">
      <t>タンカ</t>
    </rPh>
    <rPh sb="21" eb="23">
      <t>ヘイキン</t>
    </rPh>
    <rPh sb="24" eb="25">
      <t>サ</t>
    </rPh>
    <rPh sb="31" eb="35">
      <t>キムカセツ</t>
    </rPh>
    <rPh sb="36" eb="38">
      <t>キキャク</t>
    </rPh>
    <phoneticPr fontId="2"/>
  </si>
  <si>
    <t>例1. ネットスーパー（ECサイト)のA/Bテストの効果をカイ二乗検定により結論づけよう</t>
    <rPh sb="0" eb="1">
      <t xml:space="preserve">レイ </t>
    </rPh>
    <rPh sb="26" eb="28">
      <t xml:space="preserve">コウカ </t>
    </rPh>
    <rPh sb="31" eb="33">
      <t xml:space="preserve">ニジョウ </t>
    </rPh>
    <rPh sb="33" eb="35">
      <t xml:space="preserve">ケンテイニ </t>
    </rPh>
    <rPh sb="38" eb="40">
      <t xml:space="preserve">ケツロンヅケヨウ </t>
    </rPh>
    <phoneticPr fontId="4"/>
  </si>
  <si>
    <t>ABテストの例</t>
    <rPh sb="0" eb="1">
      <t>レイ</t>
    </rPh>
    <phoneticPr fontId="4"/>
  </si>
  <si>
    <t>ページ訪問数</t>
    <rPh sb="0" eb="1">
      <t>ホウｍンスウ</t>
    </rPh>
    <phoneticPr fontId="4"/>
  </si>
  <si>
    <t>離脱数</t>
    <rPh sb="0" eb="2">
      <t>リダツ</t>
    </rPh>
    <phoneticPr fontId="4"/>
  </si>
  <si>
    <t>登録数</t>
    <rPh sb="0" eb="2">
      <t xml:space="preserve">トウロク </t>
    </rPh>
    <phoneticPr fontId="4"/>
  </si>
  <si>
    <t>CV率</t>
    <rPh sb="0" eb="1">
      <t>リツ</t>
    </rPh>
    <phoneticPr fontId="4"/>
  </si>
  <si>
    <t>旧デザイン</t>
    <rPh sb="0" eb="1">
      <t>キュウ</t>
    </rPh>
    <phoneticPr fontId="4"/>
  </si>
  <si>
    <t>新デザイン</t>
    <rPh sb="0" eb="1">
      <t>シｎ</t>
    </rPh>
    <phoneticPr fontId="4"/>
  </si>
  <si>
    <t>実績</t>
    <rPh sb="0" eb="2">
      <t>ジッセキ</t>
    </rPh>
    <phoneticPr fontId="4"/>
  </si>
  <si>
    <t>合計</t>
    <rPh sb="0" eb="2">
      <t>ゴウケイ</t>
    </rPh>
    <phoneticPr fontId="4"/>
  </si>
  <si>
    <t>比率</t>
    <rPh sb="0" eb="2">
      <t>ヒリツ</t>
    </rPh>
    <phoneticPr fontId="4"/>
  </si>
  <si>
    <t>期待度数</t>
    <rPh sb="0" eb="2">
      <t>キタイ</t>
    </rPh>
    <rPh sb="2" eb="4">
      <t xml:space="preserve">ドスウ </t>
    </rPh>
    <phoneticPr fontId="4"/>
  </si>
  <si>
    <t>カイ二乗検定</t>
    <rPh sb="0" eb="1">
      <t>カイ</t>
    </rPh>
    <phoneticPr fontId="4"/>
  </si>
  <si>
    <t xml:space="preserve">p値 = </t>
    <rPh sb="0" eb="1">
      <t>アタイ</t>
    </rPh>
    <phoneticPr fontId="4"/>
  </si>
  <si>
    <t>（有意水準= ）</t>
    <rPh sb="1" eb="3">
      <t>ユウイ</t>
    </rPh>
    <rPh sb="3" eb="5">
      <t>スイジュン</t>
    </rPh>
    <phoneticPr fontId="4"/>
  </si>
  <si>
    <t xml:space="preserve">結論 = </t>
    <rPh sb="0" eb="2">
      <t>ケツロｎ</t>
    </rPh>
    <phoneticPr fontId="4"/>
  </si>
  <si>
    <t>仮に2つの事象に関係がなかった場合の表（二つのデザインにおいて離脱数と登録数が同じ比率だった場合）</t>
    <rPh sb="15" eb="17">
      <t>バアイ</t>
    </rPh>
    <rPh sb="18" eb="19">
      <t>ヒョウ</t>
    </rPh>
    <rPh sb="20" eb="21">
      <t>フタ</t>
    </rPh>
    <rPh sb="31" eb="34">
      <t>リダツスウ</t>
    </rPh>
    <rPh sb="35" eb="38">
      <t>トウロクスウ</t>
    </rPh>
    <rPh sb="39" eb="40">
      <t>オナ</t>
    </rPh>
    <rPh sb="41" eb="43">
      <t>ヒリツ</t>
    </rPh>
    <rPh sb="46" eb="48">
      <t>バアイ</t>
    </rPh>
    <phoneticPr fontId="2"/>
  </si>
  <si>
    <t>デザインとCVRは無関係という帰無仮説（期待度数表由来）は、p値&lt;有意水準だったため棄却できる</t>
    <rPh sb="9" eb="12">
      <t>ムカンケイ</t>
    </rPh>
    <rPh sb="15" eb="19">
      <t>キムカセツ</t>
    </rPh>
    <rPh sb="20" eb="27">
      <t>キタイドスウヒョウユライ</t>
    </rPh>
    <rPh sb="31" eb="32">
      <t>アタイ</t>
    </rPh>
    <rPh sb="33" eb="37">
      <t>ユウイスイジュン</t>
    </rPh>
    <rPh sb="42" eb="44">
      <t>キキャク</t>
    </rPh>
    <phoneticPr fontId="2"/>
  </si>
  <si>
    <t>対立仮説であるデザインはCVRに関係がある</t>
    <rPh sb="0" eb="4">
      <t>タイリツカセツ</t>
    </rPh>
    <rPh sb="16" eb="18">
      <t>カンケイ</t>
    </rPh>
    <phoneticPr fontId="2"/>
  </si>
  <si>
    <t>商品ID</t>
    <phoneticPr fontId="4"/>
  </si>
  <si>
    <t>タイプ_修正後</t>
    <rPh sb="4" eb="7">
      <t xml:space="preserve">シュウセイゴ </t>
    </rPh>
    <phoneticPr fontId="4"/>
  </si>
  <si>
    <t>例1. タイプの欠損値を補完しよう</t>
    <rPh sb="0" eb="1">
      <t xml:space="preserve">レイ </t>
    </rPh>
    <rPh sb="8" eb="10">
      <t xml:space="preserve">ケッソン </t>
    </rPh>
    <rPh sb="10" eb="11">
      <t xml:space="preserve">アタイヲ </t>
    </rPh>
    <rPh sb="12" eb="14">
      <t xml:space="preserve">ホカン </t>
    </rPh>
    <phoneticPr fontId="4"/>
  </si>
  <si>
    <t xml:space="preserve">全行数 = </t>
    <rPh sb="0" eb="3">
      <t xml:space="preserve">ゼンギョウスウ </t>
    </rPh>
    <phoneticPr fontId="4"/>
  </si>
  <si>
    <t xml:space="preserve">非欠損行数 = </t>
    <rPh sb="0" eb="1">
      <t xml:space="preserve">ヒ </t>
    </rPh>
    <rPh sb="1" eb="3">
      <t xml:space="preserve">ケッソン </t>
    </rPh>
    <rPh sb="3" eb="5">
      <t xml:space="preserve">ギョウスウ </t>
    </rPh>
    <phoneticPr fontId="4"/>
  </si>
  <si>
    <t xml:space="preserve">欠損行数 = </t>
    <rPh sb="0" eb="2">
      <t xml:space="preserve">ケッソン </t>
    </rPh>
    <rPh sb="2" eb="4">
      <t xml:space="preserve">ギョウスウ </t>
    </rPh>
    <phoneticPr fontId="4"/>
  </si>
  <si>
    <t>個数 / タイプ</t>
  </si>
  <si>
    <t>重量_修正後</t>
    <rPh sb="0" eb="2">
      <t xml:space="preserve">ジュウリョウ </t>
    </rPh>
    <phoneticPr fontId="4"/>
  </si>
  <si>
    <t>例2. 重量の欠損値を補完しよう</t>
    <rPh sb="0" eb="1">
      <t xml:space="preserve">レイ </t>
    </rPh>
    <rPh sb="4" eb="6">
      <t xml:space="preserve">ジュウリョウ </t>
    </rPh>
    <rPh sb="7" eb="9">
      <t xml:space="preserve">ケッソン </t>
    </rPh>
    <rPh sb="9" eb="10">
      <t xml:space="preserve">アタイヲ </t>
    </rPh>
    <rPh sb="11" eb="13">
      <t xml:space="preserve">ホカン </t>
    </rPh>
    <phoneticPr fontId="4"/>
  </si>
  <si>
    <t>標本数</t>
  </si>
  <si>
    <t>価格表示_修正後</t>
    <rPh sb="0" eb="2">
      <t xml:space="preserve">カカクヒョウジ </t>
    </rPh>
    <rPh sb="5" eb="8">
      <t xml:space="preserve">シュウセイゴ </t>
    </rPh>
    <phoneticPr fontId="4"/>
  </si>
  <si>
    <t>例1. 価格表示の表記揺れを修正しよう</t>
    <rPh sb="0" eb="1">
      <t xml:space="preserve">レイ </t>
    </rPh>
    <rPh sb="4" eb="8">
      <t xml:space="preserve">カカクヒョウジ </t>
    </rPh>
    <rPh sb="9" eb="12">
      <t xml:space="preserve">ヒョウキユレ </t>
    </rPh>
    <rPh sb="14" eb="16">
      <t xml:space="preserve">シュウセイ </t>
    </rPh>
    <phoneticPr fontId="4"/>
  </si>
  <si>
    <t>（修正前の価格表示のピボットテーブル）</t>
    <rPh sb="0" eb="1">
      <t>（</t>
    </rPh>
    <rPh sb="1" eb="3">
      <t xml:space="preserve">シュウセイ </t>
    </rPh>
    <rPh sb="3" eb="4">
      <t xml:space="preserve">マエ </t>
    </rPh>
    <rPh sb="5" eb="9">
      <t>カカク</t>
    </rPh>
    <phoneticPr fontId="4"/>
  </si>
  <si>
    <t>（修正後の価格表示のピボットテーブル）</t>
    <rPh sb="0" eb="1">
      <t>（</t>
    </rPh>
    <rPh sb="1" eb="3">
      <t xml:space="preserve">シュウセイ </t>
    </rPh>
    <rPh sb="3" eb="4">
      <t xml:space="preserve">アト </t>
    </rPh>
    <rPh sb="5" eb="9">
      <t>カカク</t>
    </rPh>
    <phoneticPr fontId="4"/>
  </si>
  <si>
    <t>個数 / 価格表示</t>
  </si>
  <si>
    <t>例1. 仕入価格と商品単価の外れ値を探してみよう</t>
    <rPh sb="0" eb="1">
      <t xml:space="preserve">レイ </t>
    </rPh>
    <rPh sb="4" eb="6">
      <t xml:space="preserve">シイレカカク </t>
    </rPh>
    <rPh sb="9" eb="13">
      <t xml:space="preserve">ショウヒンタンカ </t>
    </rPh>
    <rPh sb="14" eb="15">
      <t xml:space="preserve">ハズレチ </t>
    </rPh>
    <phoneticPr fontId="4"/>
  </si>
  <si>
    <t>例1. タイプと価格表示それぞれに関して、ダミー変数を作成しよう</t>
    <rPh sb="0" eb="1">
      <t xml:space="preserve">レイ </t>
    </rPh>
    <rPh sb="8" eb="12">
      <t xml:space="preserve">カカクヒョウジ </t>
    </rPh>
    <rPh sb="17" eb="18">
      <t xml:space="preserve">カンシテ </t>
    </rPh>
    <rPh sb="27" eb="29">
      <t xml:space="preserve">サクセイ </t>
    </rPh>
    <phoneticPr fontId="4"/>
  </si>
  <si>
    <t>定価</t>
    <rPh sb="0" eb="2">
      <t>テイカ</t>
    </rPh>
    <phoneticPr fontId="2"/>
  </si>
  <si>
    <t>線形回帰分析での注意点</t>
    <rPh sb="0" eb="6">
      <t>センケイカイキブンセキ</t>
    </rPh>
    <rPh sb="8" eb="11">
      <t>チュウイテン</t>
    </rPh>
    <phoneticPr fontId="2"/>
  </si>
  <si>
    <t>手元のサンプルだけでなく、母集団レベルでもその説明変数は被説明変数に対して説明力があるかどうかを知りたい</t>
    <rPh sb="0" eb="2">
      <t>テモト</t>
    </rPh>
    <rPh sb="13" eb="16">
      <t>ボシュウダン</t>
    </rPh>
    <rPh sb="23" eb="27">
      <t>セツメイヘンスウ</t>
    </rPh>
    <rPh sb="28" eb="33">
      <t>ヒセツメイヘンスウ</t>
    </rPh>
    <rPh sb="34" eb="35">
      <t>タイ</t>
    </rPh>
    <rPh sb="37" eb="40">
      <t>セツメイリョク</t>
    </rPh>
    <rPh sb="48" eb="49">
      <t>シ</t>
    </rPh>
    <phoneticPr fontId="2"/>
  </si>
  <si>
    <t>帰無仮説として、「説明変数の傾き（回帰係数）=0」</t>
    <rPh sb="0" eb="4">
      <t>キムカセツ</t>
    </rPh>
    <rPh sb="9" eb="13">
      <t>セツメイヘンスウ</t>
    </rPh>
    <rPh sb="14" eb="15">
      <t>カタム</t>
    </rPh>
    <rPh sb="17" eb="19">
      <t>カイキ</t>
    </rPh>
    <rPh sb="19" eb="21">
      <t>ケイスウ</t>
    </rPh>
    <phoneticPr fontId="2"/>
  </si>
  <si>
    <t>対立仮説として、「説明変数の傾きが0」</t>
    <rPh sb="0" eb="4">
      <t>タイリツカセツ</t>
    </rPh>
    <rPh sb="9" eb="13">
      <t>セツメイヘンスウ</t>
    </rPh>
    <rPh sb="14" eb="15">
      <t>カタム</t>
    </rPh>
    <phoneticPr fontId="2"/>
  </si>
  <si>
    <t>仮説検定を用いて検証する</t>
    <rPh sb="0" eb="4">
      <t>カセツケンテイ</t>
    </rPh>
    <rPh sb="5" eb="6">
      <t>モチ</t>
    </rPh>
    <rPh sb="8" eb="10">
      <t>ケンショウ</t>
    </rPh>
    <phoneticPr fontId="2"/>
  </si>
  <si>
    <t>統計学の考えに基づくと母集団から抽出したサンプルでの傾きは固定ではない、すなわち傾きを確率変数とみなすことで、</t>
    <rPh sb="0" eb="3">
      <t>トウケイガク</t>
    </rPh>
    <rPh sb="4" eb="5">
      <t>カンガ</t>
    </rPh>
    <rPh sb="7" eb="8">
      <t>モト</t>
    </rPh>
    <rPh sb="11" eb="14">
      <t>ボシュウダン</t>
    </rPh>
    <rPh sb="16" eb="18">
      <t>チュウシュツ</t>
    </rPh>
    <rPh sb="26" eb="27">
      <t>カタム</t>
    </rPh>
    <rPh sb="29" eb="31">
      <t>コテイ</t>
    </rPh>
    <rPh sb="40" eb="41">
      <t>カタム</t>
    </rPh>
    <rPh sb="43" eb="47">
      <t>カクリツヘンスウ</t>
    </rPh>
    <phoneticPr fontId="2"/>
  </si>
  <si>
    <t>手元のデータから得られた傾きの値が「統計的有意に傾き=0」という帰無仮説を棄却できるほどの値となっているかを検証できる</t>
    <rPh sb="0" eb="2">
      <t>テモト</t>
    </rPh>
    <rPh sb="8" eb="9">
      <t>エ</t>
    </rPh>
    <rPh sb="12" eb="13">
      <t>カタム</t>
    </rPh>
    <rPh sb="15" eb="16">
      <t>アタイ</t>
    </rPh>
    <rPh sb="18" eb="23">
      <t>トウケイテキユウイ</t>
    </rPh>
    <rPh sb="24" eb="25">
      <t>カタム</t>
    </rPh>
    <rPh sb="32" eb="36">
      <t>キムカセツ</t>
    </rPh>
    <rPh sb="37" eb="39">
      <t>キキャク</t>
    </rPh>
    <rPh sb="45" eb="46">
      <t>アタイ</t>
    </rPh>
    <rPh sb="54" eb="56">
      <t>ケンショウ</t>
    </rPh>
    <phoneticPr fontId="2"/>
  </si>
  <si>
    <t>概要</t>
  </si>
  <si>
    <t>回帰統計</t>
  </si>
  <si>
    <t>重相関 R</t>
  </si>
  <si>
    <t>重決定 R2</t>
  </si>
  <si>
    <t>補正 R2</t>
  </si>
  <si>
    <t>分散分析表</t>
  </si>
  <si>
    <t>回帰</t>
  </si>
  <si>
    <t>残差</t>
  </si>
  <si>
    <t>切片</t>
  </si>
  <si>
    <t>変動</t>
  </si>
  <si>
    <t>観測された分散比</t>
  </si>
  <si>
    <t>有意 F</t>
  </si>
  <si>
    <t>係数</t>
  </si>
  <si>
    <t>P-値</t>
  </si>
  <si>
    <t>下限 95%</t>
  </si>
  <si>
    <t>上限 95%</t>
  </si>
  <si>
    <t>下限 95.0%</t>
  </si>
  <si>
    <t>上限 95.0%</t>
  </si>
  <si>
    <t>今回は切片の傾きが55.47・p値が4であり商品単価の傾きが-0.18・p値が2.3である</t>
    <rPh sb="0" eb="2">
      <t>コンカイ</t>
    </rPh>
    <rPh sb="3" eb="5">
      <t>セッペン</t>
    </rPh>
    <rPh sb="6" eb="7">
      <t>カタム</t>
    </rPh>
    <rPh sb="16" eb="17">
      <t>アタイ</t>
    </rPh>
    <rPh sb="22" eb="26">
      <t>ショウヒンタンカ</t>
    </rPh>
    <rPh sb="27" eb="28">
      <t>カタム</t>
    </rPh>
    <rPh sb="37" eb="38">
      <t>アタイ</t>
    </rPh>
    <phoneticPr fontId="2"/>
  </si>
  <si>
    <t>有意水準を5%としたとき、これをp値が下回っているため帰無仮説である傾き=0を棄却し、傾きが0でない対立仮説を採用できる</t>
    <rPh sb="0" eb="4">
      <t>ユウイスイジュン</t>
    </rPh>
    <rPh sb="17" eb="18">
      <t>アタイ</t>
    </rPh>
    <rPh sb="19" eb="21">
      <t>シタマワ</t>
    </rPh>
    <rPh sb="27" eb="31">
      <t>キムカセツ</t>
    </rPh>
    <rPh sb="34" eb="35">
      <t>カタム</t>
    </rPh>
    <rPh sb="39" eb="41">
      <t>キキャク</t>
    </rPh>
    <rPh sb="43" eb="44">
      <t>カタム</t>
    </rPh>
    <rPh sb="50" eb="54">
      <t>タイリツカセツ</t>
    </rPh>
    <rPh sb="55" eb="57">
      <t>サイヨウ</t>
    </rPh>
    <phoneticPr fontId="2"/>
  </si>
  <si>
    <t>※傾きは平均値の検定の時と同様にt分布（平均0）に従っているため、仮説の際に傾き=0を基準にできる</t>
    <rPh sb="1" eb="2">
      <t>カタム</t>
    </rPh>
    <rPh sb="4" eb="7">
      <t>ヘイキンチ</t>
    </rPh>
    <rPh sb="8" eb="10">
      <t>ケンテイ</t>
    </rPh>
    <rPh sb="11" eb="12">
      <t>トキ</t>
    </rPh>
    <rPh sb="13" eb="15">
      <t>ドウヨウ</t>
    </rPh>
    <rPh sb="17" eb="19">
      <t>ブンプ</t>
    </rPh>
    <rPh sb="20" eb="22">
      <t>ヘイキン</t>
    </rPh>
    <rPh sb="25" eb="26">
      <t>シタガ</t>
    </rPh>
    <rPh sb="33" eb="35">
      <t>カセツ</t>
    </rPh>
    <rPh sb="36" eb="37">
      <t>サイ</t>
    </rPh>
    <rPh sb="38" eb="39">
      <t>カタム</t>
    </rPh>
    <rPh sb="43" eb="45">
      <t>キジュン</t>
    </rPh>
    <phoneticPr fontId="2"/>
  </si>
  <si>
    <t>決定係数</t>
    <rPh sb="0" eb="4">
      <t>ケッテイケイスウ</t>
    </rPh>
    <phoneticPr fontId="2"/>
  </si>
  <si>
    <t>決定係数は、「回帰分析でできた直線が、データをどれだけ説明できるか」を表す指標</t>
    <rPh sb="0" eb="4">
      <t>ケッテイケイスウ</t>
    </rPh>
    <rPh sb="7" eb="11">
      <t>カイキブンセキ</t>
    </rPh>
    <rPh sb="15" eb="17">
      <t>チョクセン</t>
    </rPh>
    <rPh sb="27" eb="29">
      <t>セツメイ</t>
    </rPh>
    <rPh sb="35" eb="36">
      <t>アラワ</t>
    </rPh>
    <rPh sb="37" eb="39">
      <t>シヒョウ</t>
    </rPh>
    <phoneticPr fontId="2"/>
  </si>
  <si>
    <t>決定定数の定義は、Y=定数の直線と比較して、回帰直線とデータ点の「残差の二乗の合計」がどれだけ減少しているか</t>
    <rPh sb="0" eb="4">
      <t>ケッテイテイスウ</t>
    </rPh>
    <rPh sb="5" eb="7">
      <t>テイギ</t>
    </rPh>
    <rPh sb="11" eb="13">
      <t>テイスウ</t>
    </rPh>
    <rPh sb="14" eb="16">
      <t>チョクセン</t>
    </rPh>
    <rPh sb="17" eb="19">
      <t>ヒカク</t>
    </rPh>
    <rPh sb="22" eb="26">
      <t>カイキチョクセン</t>
    </rPh>
    <rPh sb="30" eb="31">
      <t>テン</t>
    </rPh>
    <rPh sb="33" eb="35">
      <t>ザンサ</t>
    </rPh>
    <rPh sb="36" eb="38">
      <t>ジジョウ</t>
    </rPh>
    <rPh sb="39" eb="41">
      <t>ゴウケイ</t>
    </rPh>
    <rPh sb="47" eb="49">
      <t>ゲンショウ</t>
    </rPh>
    <phoneticPr fontId="2"/>
  </si>
  <si>
    <t>決定係数は0.5を超えてくると悪くない</t>
    <rPh sb="0" eb="4">
      <t>ケッテイケイスウ</t>
    </rPh>
    <rPh sb="9" eb="10">
      <t>コ</t>
    </rPh>
    <rPh sb="15" eb="16">
      <t>ワル</t>
    </rPh>
    <phoneticPr fontId="2"/>
  </si>
  <si>
    <t>タイプ_スナック食品</t>
  </si>
  <si>
    <t>タイプ_冷凍食品</t>
  </si>
  <si>
    <t>タイプ_缶類</t>
  </si>
  <si>
    <t>タイプ_日用品</t>
  </si>
  <si>
    <t>タイプ_肉類</t>
  </si>
  <si>
    <t>タイプ_ソフトドリンク</t>
  </si>
  <si>
    <t>タイプ_パン類</t>
  </si>
  <si>
    <t>タイプ_アルコール類</t>
  </si>
  <si>
    <t>タイプ_その他</t>
    <phoneticPr fontId="4"/>
  </si>
  <si>
    <t>タイプ_魚介類</t>
  </si>
  <si>
    <t>価格表示_割引</t>
  </si>
  <si>
    <t>タイプ_その他</t>
  </si>
  <si>
    <t>ダミー変数の傾きを見るときの注意点</t>
    <rPh sb="3" eb="5">
      <t>ヘンスウ</t>
    </rPh>
    <rPh sb="6" eb="7">
      <t>カタム</t>
    </rPh>
    <rPh sb="9" eb="10">
      <t>ミ</t>
    </rPh>
    <rPh sb="14" eb="17">
      <t>チュウイテン</t>
    </rPh>
    <phoneticPr fontId="2"/>
  </si>
  <si>
    <t>基準カテゴリの値をとる行は、他すべてのダミー変数が0の場合になるから、切片が該当する</t>
    <rPh sb="0" eb="2">
      <t>キジュン</t>
    </rPh>
    <rPh sb="7" eb="8">
      <t>アタイ</t>
    </rPh>
    <rPh sb="11" eb="12">
      <t>ギョウ</t>
    </rPh>
    <rPh sb="14" eb="15">
      <t>ホカ</t>
    </rPh>
    <rPh sb="22" eb="24">
      <t>ヘンスウ</t>
    </rPh>
    <rPh sb="27" eb="29">
      <t>バアイ</t>
    </rPh>
    <rPh sb="35" eb="37">
      <t>セッペン</t>
    </rPh>
    <rPh sb="38" eb="40">
      <t>ガイトウ</t>
    </rPh>
    <phoneticPr fontId="2"/>
  </si>
  <si>
    <t>基準カテゴリ以外のカテゴリの値をとる行は、対応するダミー変数だけが1になるため、そのダミー変数の傾き分だけ被説明変数が切片から増加する</t>
    <rPh sb="0" eb="2">
      <t>キジュン</t>
    </rPh>
    <rPh sb="6" eb="8">
      <t>イガイ</t>
    </rPh>
    <rPh sb="14" eb="15">
      <t>アタイ</t>
    </rPh>
    <rPh sb="18" eb="19">
      <t>ギョウ</t>
    </rPh>
    <rPh sb="21" eb="23">
      <t>タイオウ</t>
    </rPh>
    <rPh sb="28" eb="30">
      <t>ヘンスウ</t>
    </rPh>
    <rPh sb="45" eb="47">
      <t>ヘンスウ</t>
    </rPh>
    <rPh sb="48" eb="49">
      <t>カタム</t>
    </rPh>
    <rPh sb="50" eb="51">
      <t>ブン</t>
    </rPh>
    <rPh sb="53" eb="58">
      <t>ヒセツメイヘンスウ</t>
    </rPh>
    <rPh sb="59" eb="61">
      <t>セッペン</t>
    </rPh>
    <rPh sb="63" eb="65">
      <t>ゾウカ</t>
    </rPh>
    <phoneticPr fontId="2"/>
  </si>
  <si>
    <t>ダミー変数を用いるときは、カテゴリを一つ削除する必要があり、削除したカテゴリを「基準カテゴリ」とする</t>
    <rPh sb="3" eb="5">
      <t>ヘンスウ</t>
    </rPh>
    <rPh sb="6" eb="7">
      <t>モチ</t>
    </rPh>
    <rPh sb="18" eb="19">
      <t>ヒト</t>
    </rPh>
    <rPh sb="20" eb="22">
      <t>サクジョ</t>
    </rPh>
    <rPh sb="24" eb="26">
      <t>ヒツヨウ</t>
    </rPh>
    <rPh sb="30" eb="32">
      <t>サクジョ</t>
    </rPh>
    <rPh sb="40" eb="42">
      <t>キジュン</t>
    </rPh>
    <phoneticPr fontId="2"/>
  </si>
  <si>
    <t>以上より、それぞれのダミー変数の傾きとは、基準カテゴリに比べて、被説明変数の平均値がどの程度高く・低くなるかを表している</t>
    <rPh sb="0" eb="2">
      <t>イジョウ</t>
    </rPh>
    <rPh sb="13" eb="15">
      <t>ヘンスウ</t>
    </rPh>
    <rPh sb="16" eb="17">
      <t>カタム</t>
    </rPh>
    <rPh sb="21" eb="23">
      <t>キジュン</t>
    </rPh>
    <rPh sb="28" eb="29">
      <t>クラ</t>
    </rPh>
    <rPh sb="32" eb="37">
      <t>ヒセツメイヘンスウ</t>
    </rPh>
    <rPh sb="38" eb="41">
      <t>ヘイキンチ</t>
    </rPh>
    <rPh sb="44" eb="47">
      <t>テイドタカ</t>
    </rPh>
    <rPh sb="49" eb="50">
      <t>ヒク</t>
    </rPh>
    <rPh sb="55" eb="56">
      <t>アラワ</t>
    </rPh>
    <phoneticPr fontId="2"/>
  </si>
  <si>
    <t>多重共線性</t>
    <rPh sb="0" eb="5">
      <t>タジュウキョウセンセイ</t>
    </rPh>
    <phoneticPr fontId="2"/>
  </si>
  <si>
    <t>仕入単価と商品単価の相関係数=</t>
    <rPh sb="0" eb="4">
      <t xml:space="preserve">シイレタンカ </t>
    </rPh>
    <rPh sb="5" eb="9">
      <t>ショウヒ</t>
    </rPh>
    <rPh sb="10" eb="14">
      <t xml:space="preserve">ソウカンケイスウ </t>
    </rPh>
    <phoneticPr fontId="4"/>
  </si>
  <si>
    <t>売上個数 = α + β*仕入単価</t>
    <rPh sb="0" eb="2">
      <t xml:space="preserve">ウリアゲ </t>
    </rPh>
    <rPh sb="2" eb="4">
      <t xml:space="preserve">コスウ </t>
    </rPh>
    <rPh sb="13" eb="17">
      <t xml:space="preserve">シイレタンカ </t>
    </rPh>
    <phoneticPr fontId="4"/>
  </si>
  <si>
    <t>売上個数 = α + β*商品単価</t>
    <rPh sb="0" eb="2">
      <t xml:space="preserve">ウリアゲ </t>
    </rPh>
    <rPh sb="2" eb="4">
      <t xml:space="preserve">コスウ </t>
    </rPh>
    <rPh sb="13" eb="15">
      <t xml:space="preserve">ショウヒｎ </t>
    </rPh>
    <rPh sb="15" eb="17">
      <t xml:space="preserve">シイレタンカ </t>
    </rPh>
    <phoneticPr fontId="4"/>
  </si>
  <si>
    <t>売上個数 = α + β1*仕入単価 + β2*商品単価</t>
    <rPh sb="0" eb="2">
      <t xml:space="preserve">ウリアゲ </t>
    </rPh>
    <rPh sb="2" eb="4">
      <t xml:space="preserve">コスウ </t>
    </rPh>
    <rPh sb="14" eb="16">
      <t xml:space="preserve">シイレ </t>
    </rPh>
    <rPh sb="16" eb="18">
      <t xml:space="preserve">シイレタンカ </t>
    </rPh>
    <phoneticPr fontId="4"/>
  </si>
  <si>
    <t>多重共線性とは、「回帰分析に含まれている変数の中で、変数同士で強い相関が起こっている際に、その変数それぞれの傾きが不安定になる」こと</t>
    <rPh sb="0" eb="5">
      <t>タジュウキョウセンセイ</t>
    </rPh>
    <rPh sb="9" eb="13">
      <t>カイキブンセキ</t>
    </rPh>
    <rPh sb="14" eb="15">
      <t>フク</t>
    </rPh>
    <rPh sb="20" eb="22">
      <t>ヘンスウ</t>
    </rPh>
    <rPh sb="23" eb="24">
      <t>ナカ</t>
    </rPh>
    <rPh sb="26" eb="30">
      <t>ヘンスウドウシ</t>
    </rPh>
    <rPh sb="31" eb="32">
      <t>ツヨ</t>
    </rPh>
    <rPh sb="33" eb="35">
      <t>ソウカン</t>
    </rPh>
    <rPh sb="36" eb="37">
      <t>オ</t>
    </rPh>
    <rPh sb="42" eb="43">
      <t>サイ</t>
    </rPh>
    <rPh sb="47" eb="49">
      <t>ヘンスウ</t>
    </rPh>
    <rPh sb="54" eb="55">
      <t>カタム</t>
    </rPh>
    <rPh sb="57" eb="60">
      <t>フアンテイ</t>
    </rPh>
    <phoneticPr fontId="2"/>
  </si>
  <si>
    <t>最適化</t>
    <rPh sb="0" eb="3">
      <t>サイテキカ</t>
    </rPh>
    <phoneticPr fontId="2"/>
  </si>
  <si>
    <t>数理最適化とは、「ある対象となる変数を動かしていく中で、変数によって動く決められた数式（目的変数）を最大化していく行い</t>
    <rPh sb="0" eb="5">
      <t>スウリサイテキカ</t>
    </rPh>
    <rPh sb="11" eb="13">
      <t>タイショウ</t>
    </rPh>
    <rPh sb="16" eb="18">
      <t>ヘンスウ</t>
    </rPh>
    <rPh sb="19" eb="20">
      <t>ウゴ</t>
    </rPh>
    <rPh sb="25" eb="26">
      <t>ナカ</t>
    </rPh>
    <rPh sb="28" eb="30">
      <t>ヘンスウ</t>
    </rPh>
    <rPh sb="34" eb="35">
      <t>ウゴ</t>
    </rPh>
    <rPh sb="36" eb="37">
      <t>キ</t>
    </rPh>
    <rPh sb="41" eb="43">
      <t>スウシキ</t>
    </rPh>
    <rPh sb="44" eb="48">
      <t>モクテキヘンスウ</t>
    </rPh>
    <rPh sb="50" eb="53">
      <t>サイダイカ</t>
    </rPh>
    <rPh sb="57" eb="58">
      <t>オコナ</t>
    </rPh>
    <phoneticPr fontId="2"/>
  </si>
  <si>
    <t>商品単価 - 仕入単価</t>
    <phoneticPr fontId="4"/>
  </si>
  <si>
    <t>総売上額</t>
    <rPh sb="0" eb="3">
      <t xml:space="preserve">ソウウリアゲ </t>
    </rPh>
    <rPh sb="3" eb="4">
      <t xml:space="preserve">ガク </t>
    </rPh>
    <phoneticPr fontId="4"/>
  </si>
  <si>
    <t>総仕入額</t>
    <rPh sb="0" eb="1">
      <t xml:space="preserve">ソウ </t>
    </rPh>
    <rPh sb="1" eb="4">
      <t xml:space="preserve">シイレガク </t>
    </rPh>
    <phoneticPr fontId="4"/>
  </si>
  <si>
    <t>総粗利益額</t>
    <rPh sb="0" eb="1">
      <t xml:space="preserve">ソウ </t>
    </rPh>
    <rPh sb="1" eb="4">
      <t xml:space="preserve">アラリエキ </t>
    </rPh>
    <rPh sb="4" eb="5">
      <t xml:space="preserve">ガク </t>
    </rPh>
    <phoneticPr fontId="4"/>
  </si>
  <si>
    <t>商品単価</t>
    <rPh sb="0" eb="4">
      <t xml:space="preserve">ショウヒンタンカ </t>
    </rPh>
    <phoneticPr fontId="4"/>
  </si>
  <si>
    <t>最小値</t>
    <rPh sb="0" eb="3">
      <t xml:space="preserve">サイショウチ </t>
    </rPh>
    <phoneticPr fontId="4"/>
  </si>
  <si>
    <t>最大値</t>
    <rPh sb="0" eb="1">
      <t xml:space="preserve">サイダイチ </t>
    </rPh>
    <phoneticPr fontId="4"/>
  </si>
  <si>
    <t>仕入単価</t>
    <rPh sb="0" eb="2">
      <t xml:space="preserve">シイレタンカ </t>
    </rPh>
    <phoneticPr fontId="4"/>
  </si>
  <si>
    <t>（制約なし）</t>
    <rPh sb="1" eb="3">
      <t xml:space="preserve">セイヤク </t>
    </rPh>
    <phoneticPr fontId="4"/>
  </si>
  <si>
    <t>【参考情報】</t>
    <rPh sb="1" eb="5">
      <t xml:space="preserve">サンコウジョウホウ </t>
    </rPh>
    <phoneticPr fontId="4"/>
  </si>
  <si>
    <t>商品単価_前</t>
    <rPh sb="5" eb="6">
      <t xml:space="preserve">マエ </t>
    </rPh>
    <phoneticPr fontId="4"/>
  </si>
  <si>
    <t>商品単価_後</t>
    <rPh sb="5" eb="6">
      <t xml:space="preserve">アト </t>
    </rPh>
    <phoneticPr fontId="4"/>
  </si>
  <si>
    <t>売上個数_前</t>
    <rPh sb="0" eb="1">
      <t xml:space="preserve">ウリアゲ </t>
    </rPh>
    <rPh sb="2" eb="4">
      <t xml:space="preserve">コスウ </t>
    </rPh>
    <rPh sb="5" eb="6">
      <t xml:space="preserve">マエ </t>
    </rPh>
    <phoneticPr fontId="4"/>
  </si>
  <si>
    <t>売上個数_後</t>
    <rPh sb="0" eb="1">
      <t xml:space="preserve">ウリアゲ </t>
    </rPh>
    <rPh sb="2" eb="4">
      <t xml:space="preserve">コスウ </t>
    </rPh>
    <rPh sb="5" eb="6">
      <t xml:space="preserve">アト </t>
    </rPh>
    <phoneticPr fontId="4"/>
  </si>
  <si>
    <t>前</t>
    <rPh sb="0" eb="1">
      <t xml:space="preserve">マエ </t>
    </rPh>
    <phoneticPr fontId="4"/>
  </si>
  <si>
    <t>後</t>
    <rPh sb="0" eb="1">
      <t xml:space="preserve">アト </t>
    </rPh>
    <phoneticPr fontId="4"/>
  </si>
  <si>
    <t>平均商品単価</t>
    <rPh sb="0" eb="2">
      <t xml:space="preserve">ヘイキン </t>
    </rPh>
    <rPh sb="2" eb="6">
      <t xml:space="preserve">ショウヒンタンカ </t>
    </rPh>
    <phoneticPr fontId="4"/>
  </si>
  <si>
    <t>平均売上個数</t>
    <rPh sb="0" eb="1">
      <t xml:space="preserve">ヘイキン </t>
    </rPh>
    <rPh sb="2" eb="3">
      <t xml:space="preserve">ウリアゲコスウ </t>
    </rPh>
    <phoneticPr fontId="4"/>
  </si>
  <si>
    <r>
      <rPr>
        <sz val="11"/>
        <color theme="1"/>
        <rFont val="Yu Gothic"/>
        <family val="2"/>
      </rPr>
      <t>最小値</t>
    </r>
    <rPh sb="0" eb="3">
      <t xml:space="preserve">サイショウチ </t>
    </rPh>
    <phoneticPr fontId="4"/>
  </si>
  <si>
    <r>
      <rPr>
        <sz val="11"/>
        <color theme="1"/>
        <rFont val="Yu Gothic"/>
        <family val="2"/>
      </rPr>
      <t>（制約あり）</t>
    </r>
    <rPh sb="1" eb="3">
      <t xml:space="preserve">セイヤク </t>
    </rPh>
    <phoneticPr fontId="4"/>
  </si>
  <si>
    <r>
      <rPr>
        <sz val="11"/>
        <color theme="1"/>
        <rFont val="Yu Gothic"/>
        <family val="2"/>
      </rPr>
      <t>商品</t>
    </r>
    <r>
      <rPr>
        <sz val="11"/>
        <color theme="1"/>
        <rFont val="Arial"/>
        <family val="2"/>
      </rPr>
      <t>ID</t>
    </r>
    <rPh sb="0" eb="2">
      <t xml:space="preserve">ショウヒン </t>
    </rPh>
    <phoneticPr fontId="4"/>
  </si>
  <si>
    <r>
      <rPr>
        <sz val="11"/>
        <color theme="1"/>
        <rFont val="Yu Gothic"/>
        <family val="2"/>
      </rPr>
      <t>仕入単価</t>
    </r>
    <rPh sb="0" eb="2">
      <t xml:space="preserve">シイレ </t>
    </rPh>
    <rPh sb="2" eb="4">
      <t xml:space="preserve">タンカ </t>
    </rPh>
    <phoneticPr fontId="4"/>
  </si>
  <si>
    <r>
      <rPr>
        <sz val="11"/>
        <color theme="1"/>
        <rFont val="Yu Gothic"/>
        <family val="2"/>
      </rPr>
      <t>商品単価</t>
    </r>
  </si>
  <si>
    <r>
      <rPr>
        <sz val="11"/>
        <color theme="1"/>
        <rFont val="Yu Gothic"/>
        <family val="2"/>
      </rPr>
      <t>売上個数</t>
    </r>
    <rPh sb="0" eb="1">
      <t xml:space="preserve">ウリアゲ </t>
    </rPh>
    <rPh sb="2" eb="4">
      <t xml:space="preserve">コスウ </t>
    </rPh>
    <phoneticPr fontId="4"/>
  </si>
  <si>
    <r>
      <rPr>
        <sz val="11"/>
        <color theme="1"/>
        <rFont val="Yu Gothic"/>
        <family val="2"/>
      </rPr>
      <t>最大商品単価</t>
    </r>
    <rPh sb="0" eb="2">
      <t xml:space="preserve">サイダイ </t>
    </rPh>
    <rPh sb="2" eb="6">
      <t xml:space="preserve">ショウヒンタンカ </t>
    </rPh>
    <phoneticPr fontId="4"/>
  </si>
  <si>
    <r>
      <rPr>
        <sz val="11"/>
        <color theme="1"/>
        <rFont val="Yu Gothic"/>
        <family val="2"/>
      </rPr>
      <t>【参考情報】</t>
    </r>
    <rPh sb="1" eb="5">
      <t xml:space="preserve">サンコウジョウホウ </t>
    </rPh>
    <phoneticPr fontId="4"/>
  </si>
  <si>
    <r>
      <rPr>
        <sz val="11"/>
        <color theme="1"/>
        <rFont val="Yu Gothic"/>
        <family val="2"/>
      </rPr>
      <t>商品単価</t>
    </r>
    <r>
      <rPr>
        <sz val="11"/>
        <color theme="1"/>
        <rFont val="Arial"/>
        <family val="2"/>
      </rPr>
      <t>_</t>
    </r>
    <r>
      <rPr>
        <sz val="11"/>
        <color theme="1"/>
        <rFont val="Yu Gothic"/>
        <family val="2"/>
      </rPr>
      <t>前</t>
    </r>
    <rPh sb="5" eb="6">
      <t xml:space="preserve">マエ </t>
    </rPh>
    <phoneticPr fontId="4"/>
  </si>
  <si>
    <r>
      <rPr>
        <sz val="11"/>
        <color theme="1"/>
        <rFont val="Yu Gothic"/>
        <family val="2"/>
      </rPr>
      <t>商品単価</t>
    </r>
    <r>
      <rPr>
        <sz val="11"/>
        <color theme="1"/>
        <rFont val="Arial"/>
        <family val="2"/>
      </rPr>
      <t>_</t>
    </r>
    <r>
      <rPr>
        <sz val="11"/>
        <color theme="1"/>
        <rFont val="Yu Gothic"/>
        <family val="2"/>
      </rPr>
      <t>後</t>
    </r>
    <rPh sb="5" eb="6">
      <t xml:space="preserve">アト </t>
    </rPh>
    <phoneticPr fontId="4"/>
  </si>
  <si>
    <r>
      <rPr>
        <sz val="11"/>
        <color theme="1"/>
        <rFont val="Yu Gothic"/>
        <family val="2"/>
      </rPr>
      <t>売上個数</t>
    </r>
    <r>
      <rPr>
        <sz val="11"/>
        <color theme="1"/>
        <rFont val="Arial"/>
        <family val="2"/>
      </rPr>
      <t>_</t>
    </r>
    <r>
      <rPr>
        <sz val="11"/>
        <color theme="1"/>
        <rFont val="Yu Gothic"/>
        <family val="2"/>
      </rPr>
      <t>前</t>
    </r>
    <rPh sb="0" eb="1">
      <t xml:space="preserve">ウリアゲ </t>
    </rPh>
    <rPh sb="2" eb="4">
      <t xml:space="preserve">コスウ </t>
    </rPh>
    <rPh sb="5" eb="6">
      <t xml:space="preserve">マエ </t>
    </rPh>
    <phoneticPr fontId="4"/>
  </si>
  <si>
    <r>
      <rPr>
        <sz val="12"/>
        <color theme="1"/>
        <rFont val="Yu Gothic"/>
        <family val="3"/>
        <charset val="128"/>
      </rPr>
      <t>売上個数</t>
    </r>
    <r>
      <rPr>
        <sz val="12"/>
        <color theme="1"/>
        <rFont val="Arial"/>
        <family val="2"/>
      </rPr>
      <t>_</t>
    </r>
    <r>
      <rPr>
        <sz val="12"/>
        <color theme="1"/>
        <rFont val="Yu Gothic"/>
        <family val="3"/>
        <charset val="128"/>
      </rPr>
      <t>後</t>
    </r>
    <rPh sb="0" eb="1">
      <t xml:space="preserve">ウリアゲ </t>
    </rPh>
    <rPh sb="2" eb="4">
      <t xml:space="preserve">コスウ </t>
    </rPh>
    <rPh sb="5" eb="6">
      <t xml:space="preserve">アト </t>
    </rPh>
    <phoneticPr fontId="4"/>
  </si>
  <si>
    <r>
      <rPr>
        <sz val="11"/>
        <color theme="1"/>
        <rFont val="Yu Gothic"/>
        <family val="2"/>
      </rPr>
      <t>総売上額</t>
    </r>
    <rPh sb="0" eb="3">
      <t xml:space="preserve">ソウウリアゲ </t>
    </rPh>
    <rPh sb="3" eb="4">
      <t xml:space="preserve">ガク </t>
    </rPh>
    <phoneticPr fontId="4"/>
  </si>
  <si>
    <r>
      <rPr>
        <sz val="11"/>
        <color theme="1"/>
        <rFont val="Yu Gothic"/>
        <family val="2"/>
      </rPr>
      <t>前</t>
    </r>
    <rPh sb="0" eb="1">
      <t xml:space="preserve">マエ </t>
    </rPh>
    <phoneticPr fontId="4"/>
  </si>
  <si>
    <r>
      <rPr>
        <sz val="11"/>
        <color theme="1"/>
        <rFont val="Yu Gothic"/>
        <family val="2"/>
      </rPr>
      <t>後</t>
    </r>
    <rPh sb="0" eb="1">
      <t xml:space="preserve">アト </t>
    </rPh>
    <phoneticPr fontId="4"/>
  </si>
  <si>
    <r>
      <rPr>
        <sz val="11"/>
        <color theme="1"/>
        <rFont val="Yu Gothic"/>
        <family val="2"/>
      </rPr>
      <t>総仕入額</t>
    </r>
    <rPh sb="0" eb="1">
      <t xml:space="preserve">ソウ </t>
    </rPh>
    <rPh sb="1" eb="4">
      <t xml:space="preserve">シイレガク </t>
    </rPh>
    <phoneticPr fontId="4"/>
  </si>
  <si>
    <r>
      <rPr>
        <sz val="11"/>
        <color theme="1"/>
        <rFont val="Yu Gothic"/>
        <family val="2"/>
      </rPr>
      <t>平均商品単価</t>
    </r>
    <rPh sb="0" eb="2">
      <t xml:space="preserve">ヘイキン </t>
    </rPh>
    <rPh sb="2" eb="6">
      <t xml:space="preserve">ショウヒンタンカ </t>
    </rPh>
    <phoneticPr fontId="4"/>
  </si>
  <si>
    <r>
      <rPr>
        <sz val="11"/>
        <color theme="1"/>
        <rFont val="Yu Gothic"/>
        <family val="2"/>
      </rPr>
      <t>総粗利益額</t>
    </r>
    <rPh sb="0" eb="1">
      <t xml:space="preserve">ソウ </t>
    </rPh>
    <rPh sb="1" eb="4">
      <t xml:space="preserve">アラリエキ </t>
    </rPh>
    <rPh sb="4" eb="5">
      <t xml:space="preserve">ガク </t>
    </rPh>
    <phoneticPr fontId="4"/>
  </si>
  <si>
    <r>
      <rPr>
        <sz val="11"/>
        <color theme="1"/>
        <rFont val="Yu Gothic"/>
        <family val="2"/>
      </rPr>
      <t>平均売上個数</t>
    </r>
    <rPh sb="0" eb="1">
      <t xml:space="preserve">ヘイキン </t>
    </rPh>
    <rPh sb="2" eb="3">
      <t xml:space="preserve">ウリアゲコスウ </t>
    </rPh>
    <phoneticPr fontId="4"/>
  </si>
  <si>
    <r>
      <rPr>
        <sz val="11"/>
        <color theme="1"/>
        <rFont val="Yu Gothic"/>
        <family val="2"/>
      </rPr>
      <t>商品単価</t>
    </r>
    <rPh sb="0" eb="4">
      <t xml:space="preserve">ショウヒンタンカ </t>
    </rPh>
    <phoneticPr fontId="4"/>
  </si>
  <si>
    <r>
      <rPr>
        <sz val="11"/>
        <color theme="1"/>
        <rFont val="Yu Gothic"/>
        <family val="2"/>
      </rPr>
      <t>最大値</t>
    </r>
    <rPh sb="0" eb="1">
      <t xml:space="preserve">サイダイチ </t>
    </rPh>
    <phoneticPr fontId="4"/>
  </si>
  <si>
    <r>
      <rPr>
        <sz val="11"/>
        <color theme="1"/>
        <rFont val="Yu Gothic"/>
        <family val="2"/>
      </rPr>
      <t>仕入単価</t>
    </r>
    <rPh sb="0" eb="2">
      <t xml:space="preserve">シイレタンカ </t>
    </rPh>
    <phoneticPr fontId="4"/>
  </si>
  <si>
    <r>
      <rPr>
        <sz val="12"/>
        <color rgb="FF000000"/>
        <rFont val="Yu Gothic"/>
        <family val="3"/>
        <charset val="128"/>
      </rPr>
      <t>商品単価</t>
    </r>
    <r>
      <rPr>
        <sz val="12"/>
        <color rgb="FF000000"/>
        <rFont val="Arial"/>
        <family val="2"/>
      </rPr>
      <t xml:space="preserve"> - </t>
    </r>
    <r>
      <rPr>
        <sz val="12"/>
        <color rgb="FF000000"/>
        <rFont val="Yu Gothic"/>
        <family val="3"/>
        <charset val="128"/>
      </rPr>
      <t>仕入単価</t>
    </r>
    <phoneticPr fontId="4"/>
  </si>
  <si>
    <r>
      <rPr>
        <sz val="10"/>
        <color theme="4"/>
        <rFont val="Yu Gothic"/>
        <family val="3"/>
        <charset val="128"/>
      </rPr>
      <t>売上個数</t>
    </r>
    <r>
      <rPr>
        <sz val="10"/>
        <color theme="4"/>
        <rFont val="Arial"/>
        <family val="2"/>
      </rPr>
      <t xml:space="preserve"> = α + β*</t>
    </r>
    <r>
      <rPr>
        <sz val="10"/>
        <color theme="4"/>
        <rFont val="Yu Gothic"/>
        <family val="3"/>
        <charset val="128"/>
      </rPr>
      <t>商品単価</t>
    </r>
    <rPh sb="0" eb="2">
      <t xml:space="preserve">ウリアゲ </t>
    </rPh>
    <rPh sb="2" eb="4">
      <t xml:space="preserve">コスウ </t>
    </rPh>
    <rPh sb="13" eb="15">
      <t xml:space="preserve">ショウヒｎ </t>
    </rPh>
    <rPh sb="15" eb="17">
      <t xml:space="preserve">シイレタンカ </t>
    </rPh>
    <phoneticPr fontId="4"/>
  </si>
  <si>
    <r>
      <rPr>
        <sz val="11"/>
        <color theme="1"/>
        <rFont val="Yu Gothic"/>
        <family val="2"/>
      </rPr>
      <t>概要</t>
    </r>
  </si>
  <si>
    <r>
      <rPr>
        <sz val="11"/>
        <color theme="1"/>
        <rFont val="Yu Gothic"/>
        <family val="2"/>
      </rPr>
      <t>回帰統計</t>
    </r>
  </si>
  <si>
    <r>
      <rPr>
        <sz val="11"/>
        <color theme="1"/>
        <rFont val="Yu Gothic"/>
        <family val="2"/>
      </rPr>
      <t>重相関</t>
    </r>
    <r>
      <rPr>
        <sz val="11"/>
        <color theme="1"/>
        <rFont val="Arial"/>
        <family val="2"/>
      </rPr>
      <t xml:space="preserve"> R</t>
    </r>
  </si>
  <si>
    <r>
      <rPr>
        <sz val="11"/>
        <color theme="1"/>
        <rFont val="Yu Gothic"/>
        <family val="2"/>
      </rPr>
      <t>重決定</t>
    </r>
    <r>
      <rPr>
        <sz val="11"/>
        <color theme="1"/>
        <rFont val="Arial"/>
        <family val="2"/>
      </rPr>
      <t xml:space="preserve"> R2</t>
    </r>
  </si>
  <si>
    <r>
      <rPr>
        <sz val="11"/>
        <color theme="1"/>
        <rFont val="Yu Gothic"/>
        <family val="2"/>
      </rPr>
      <t>補正</t>
    </r>
    <r>
      <rPr>
        <sz val="11"/>
        <color theme="1"/>
        <rFont val="Arial"/>
        <family val="2"/>
      </rPr>
      <t xml:space="preserve"> R2</t>
    </r>
  </si>
  <si>
    <r>
      <rPr>
        <sz val="11"/>
        <color theme="1"/>
        <rFont val="Yu Gothic"/>
        <family val="2"/>
      </rPr>
      <t>標準誤差</t>
    </r>
  </si>
  <si>
    <r>
      <rPr>
        <sz val="11"/>
        <color theme="1"/>
        <rFont val="Yu Gothic"/>
        <family val="2"/>
      </rPr>
      <t>観測数</t>
    </r>
  </si>
  <si>
    <r>
      <rPr>
        <sz val="11"/>
        <color theme="1"/>
        <rFont val="Yu Gothic"/>
        <family val="2"/>
      </rPr>
      <t>分散分析表</t>
    </r>
  </si>
  <si>
    <r>
      <rPr>
        <sz val="11"/>
        <color theme="1"/>
        <rFont val="Yu Gothic"/>
        <family val="2"/>
      </rPr>
      <t>自由度</t>
    </r>
  </si>
  <si>
    <r>
      <rPr>
        <sz val="11"/>
        <color theme="1"/>
        <rFont val="Yu Gothic"/>
        <family val="2"/>
      </rPr>
      <t>変動</t>
    </r>
  </si>
  <si>
    <r>
      <rPr>
        <sz val="11"/>
        <color theme="1"/>
        <rFont val="Yu Gothic"/>
        <family val="2"/>
      </rPr>
      <t>分散</t>
    </r>
  </si>
  <si>
    <r>
      <rPr>
        <sz val="11"/>
        <color theme="1"/>
        <rFont val="Yu Gothic"/>
        <family val="2"/>
      </rPr>
      <t>観測された分散比</t>
    </r>
  </si>
  <si>
    <r>
      <rPr>
        <sz val="11"/>
        <color theme="1"/>
        <rFont val="Yu Gothic"/>
        <family val="2"/>
      </rPr>
      <t>有意</t>
    </r>
    <r>
      <rPr>
        <sz val="11"/>
        <color theme="1"/>
        <rFont val="Arial"/>
        <family val="2"/>
      </rPr>
      <t xml:space="preserve"> F</t>
    </r>
  </si>
  <si>
    <r>
      <rPr>
        <sz val="11"/>
        <color theme="1"/>
        <rFont val="Yu Gothic"/>
        <family val="2"/>
      </rPr>
      <t>回帰</t>
    </r>
  </si>
  <si>
    <r>
      <rPr>
        <sz val="11"/>
        <color theme="1"/>
        <rFont val="Yu Gothic"/>
        <family val="2"/>
      </rPr>
      <t>残差</t>
    </r>
  </si>
  <si>
    <r>
      <rPr>
        <sz val="11"/>
        <color theme="1"/>
        <rFont val="Yu Gothic"/>
        <family val="2"/>
      </rPr>
      <t>合計</t>
    </r>
  </si>
  <si>
    <r>
      <rPr>
        <sz val="11"/>
        <color theme="1"/>
        <rFont val="Yu Gothic"/>
        <family val="2"/>
      </rPr>
      <t>係数</t>
    </r>
  </si>
  <si>
    <r>
      <t>P-</t>
    </r>
    <r>
      <rPr>
        <sz val="11"/>
        <color theme="1"/>
        <rFont val="Yu Gothic"/>
        <family val="2"/>
      </rPr>
      <t>値</t>
    </r>
  </si>
  <si>
    <r>
      <rPr>
        <sz val="11"/>
        <color theme="1"/>
        <rFont val="Yu Gothic"/>
        <family val="2"/>
      </rPr>
      <t>下限</t>
    </r>
    <r>
      <rPr>
        <sz val="11"/>
        <color theme="1"/>
        <rFont val="Arial"/>
        <family val="2"/>
      </rPr>
      <t xml:space="preserve"> 95%</t>
    </r>
  </si>
  <si>
    <r>
      <rPr>
        <sz val="11"/>
        <color theme="1"/>
        <rFont val="Yu Gothic"/>
        <family val="2"/>
      </rPr>
      <t>上限</t>
    </r>
    <r>
      <rPr>
        <sz val="11"/>
        <color theme="1"/>
        <rFont val="Arial"/>
        <family val="2"/>
      </rPr>
      <t xml:space="preserve"> 95%</t>
    </r>
  </si>
  <si>
    <r>
      <rPr>
        <sz val="11"/>
        <color theme="1"/>
        <rFont val="Yu Gothic"/>
        <family val="2"/>
      </rPr>
      <t>下限</t>
    </r>
    <r>
      <rPr>
        <sz val="11"/>
        <color theme="1"/>
        <rFont val="Arial"/>
        <family val="2"/>
      </rPr>
      <t xml:space="preserve"> 95.0%</t>
    </r>
  </si>
  <si>
    <r>
      <rPr>
        <sz val="11"/>
        <color theme="1"/>
        <rFont val="Yu Gothic"/>
        <family val="2"/>
      </rPr>
      <t>上限</t>
    </r>
    <r>
      <rPr>
        <sz val="11"/>
        <color theme="1"/>
        <rFont val="Arial"/>
        <family val="2"/>
      </rPr>
      <t xml:space="preserve"> 95.0%</t>
    </r>
  </si>
  <si>
    <r>
      <rPr>
        <sz val="11"/>
        <color theme="1"/>
        <rFont val="Yu Gothic"/>
        <family val="2"/>
      </rPr>
      <t>切片</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</si>
</sst>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
    <numFmt numFmtId="177" formatCode="0.000"/>
    <numFmt numFmtId="178" formatCode="0.00_);[Red]\(0.00\)"/>
    <numFmt numFmtId="179" formatCode="0_);[Red]\(0\)"/>
    <numFmt numFmtId="180" formatCode="0.0%"/>
    <numFmt numFmtId="181" formatCode="&quot;¥&quot;#,##0_);[Red]\(&quot;¥&quot;#,##0\)"/>
  </numFmts>
  <fonts count="38">
    <font>
      <sz val="11"/>
      <color theme="1"/>
      <name val="Yu Gothic"/>
      <family val="2"/>
      <scheme val="minor"/>
    </font>
    <font>
      <sz val="11"/>
      <color theme="1"/>
      <name val="Yu Gothic"/>
      <family val="2"/>
      <scheme val="minor"/>
    </font>
    <font>
      <sz val="6"/>
      <name val="Yu Gothic"/>
      <family val="3"/>
      <charset val="128"/>
      <scheme val="minor"/>
    </font>
    <font>
      <sz val="12"/>
      <color theme="1"/>
      <name val="Yu Gothic"/>
      <family val="2"/>
      <charset val="128"/>
      <scheme val="minor"/>
    </font>
    <font>
      <sz val="6"/>
      <name val="Yu Gothic"/>
      <family val="2"/>
      <charset val="128"/>
      <scheme val="minor"/>
    </font>
    <font>
      <sz val="12"/>
      <color rgb="FF000000"/>
      <name val="Yu Gothic"/>
      <family val="3"/>
      <charset val="128"/>
      <scheme val="minor"/>
    </font>
    <font>
      <sz val="12"/>
      <color rgb="FFFF0000"/>
      <name val="Yu Gothic"/>
      <family val="2"/>
      <charset val="128"/>
      <scheme val="minor"/>
    </font>
    <font>
      <sz val="12"/>
      <name val="Yu Gothic"/>
      <family val="2"/>
      <charset val="128"/>
      <scheme val="minor"/>
    </font>
    <font>
      <sz val="12"/>
      <color rgb="FFFF0000"/>
      <name val="Yu Gothic"/>
      <family val="3"/>
      <charset val="128"/>
      <scheme val="minor"/>
    </font>
    <font>
      <b/>
      <sz val="12"/>
      <color theme="1"/>
      <name val="Yu Gothic"/>
      <family val="2"/>
      <charset val="128"/>
      <scheme val="minor"/>
    </font>
    <font>
      <b/>
      <sz val="11"/>
      <color theme="1"/>
      <name val="Yu Gothic"/>
      <family val="3"/>
      <charset val="128"/>
      <scheme val="minor"/>
    </font>
    <font>
      <sz val="12"/>
      <color theme="1"/>
      <name val="游ゴシック Regular"/>
      <charset val="128"/>
    </font>
    <font>
      <b/>
      <sz val="12"/>
      <color rgb="FF333333"/>
      <name val="游ゴシック Regular"/>
      <charset val="128"/>
    </font>
    <font>
      <b/>
      <sz val="12"/>
      <color theme="1"/>
      <name val="游ゴシック Regular"/>
      <charset val="128"/>
    </font>
    <font>
      <b/>
      <sz val="12"/>
      <color rgb="FFFF0000"/>
      <name val="游ゴシック Regular"/>
      <charset val="128"/>
    </font>
    <font>
      <sz val="12"/>
      <color theme="1"/>
      <name val="Yu Gothic"/>
      <family val="3"/>
      <charset val="128"/>
      <scheme val="minor"/>
    </font>
    <font>
      <sz val="12"/>
      <color theme="0"/>
      <name val="Yu Gothic"/>
      <family val="2"/>
      <charset val="128"/>
      <scheme val="minor"/>
    </font>
    <font>
      <sz val="12"/>
      <color theme="0"/>
      <name val="Yu Gothic"/>
      <family val="3"/>
      <charset val="128"/>
      <scheme val="minor"/>
    </font>
    <font>
      <sz val="12"/>
      <color theme="1"/>
      <name val="Arial"/>
      <family val="2"/>
    </font>
    <font>
      <b/>
      <sz val="12"/>
      <color rgb="FFFF0000"/>
      <name val="Yu Gothic"/>
      <family val="3"/>
      <charset val="128"/>
      <scheme val="minor"/>
    </font>
    <font>
      <sz val="12"/>
      <color theme="4"/>
      <name val="Yu Gothic"/>
      <family val="2"/>
      <charset val="128"/>
      <scheme val="minor"/>
    </font>
    <font>
      <b/>
      <sz val="12"/>
      <color theme="1"/>
      <name val="Yu Gothic"/>
      <family val="3"/>
      <charset val="128"/>
      <scheme val="minor"/>
    </font>
    <font>
      <sz val="12"/>
      <name val="Yu Gothic"/>
      <family val="3"/>
      <charset val="128"/>
      <scheme val="minor"/>
    </font>
    <font>
      <sz val="12"/>
      <color theme="2" tint="-0.499984740745262"/>
      <name val="Yu Gothic"/>
      <family val="2"/>
      <charset val="128"/>
      <scheme val="minor"/>
    </font>
    <font>
      <sz val="12"/>
      <color theme="2" tint="-0.499984740745262"/>
      <name val="Yu Gothic"/>
      <family val="3"/>
      <charset val="128"/>
      <scheme val="minor"/>
    </font>
    <font>
      <sz val="10"/>
      <color theme="4"/>
      <name val="Yu Gothic"/>
      <family val="3"/>
      <charset val="128"/>
      <scheme val="minor"/>
    </font>
    <font>
      <sz val="11"/>
      <color theme="1"/>
      <name val="Arial"/>
      <family val="2"/>
    </font>
    <font>
      <sz val="11"/>
      <color theme="1"/>
      <name val="Yu Gothic"/>
      <family val="2"/>
    </font>
    <font>
      <sz val="12"/>
      <color rgb="FFFF0000"/>
      <name val="Arial"/>
      <family val="2"/>
    </font>
    <font>
      <sz val="12"/>
      <color theme="1"/>
      <name val="Yu Gothic"/>
      <family val="3"/>
      <charset val="128"/>
    </font>
    <font>
      <b/>
      <sz val="12"/>
      <color theme="1"/>
      <name val="Arial"/>
      <family val="2"/>
    </font>
    <font>
      <b/>
      <sz val="12"/>
      <color rgb="FFFF0000"/>
      <name val="Arial"/>
      <family val="2"/>
    </font>
    <font>
      <sz val="12"/>
      <color theme="2" tint="-0.499984740745262"/>
      <name val="Arial"/>
      <family val="2"/>
    </font>
    <font>
      <sz val="12"/>
      <color rgb="FF000000"/>
      <name val="Arial"/>
      <family val="2"/>
    </font>
    <font>
      <sz val="12"/>
      <color rgb="FF000000"/>
      <name val="Yu Gothic"/>
      <family val="3"/>
      <charset val="128"/>
    </font>
    <font>
      <sz val="10"/>
      <color theme="4"/>
      <name val="Arial"/>
      <family val="2"/>
    </font>
    <font>
      <sz val="10"/>
      <color theme="4"/>
      <name val="Yu Gothic"/>
      <family val="3"/>
      <charset val="128"/>
    </font>
    <font>
      <sz val="1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theme="5" tint="0.79998168889431442"/>
        <bgColor indexed="64"/>
      </patternFill>
    </fill>
  </fills>
  <borders count="11">
    <border>
      <left/>
      <right/>
      <top/>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s>
  <cellStyleXfs count="4">
    <xf numFmtId="0" fontId="0" fillId="0" borderId="0"/>
    <xf numFmtId="38" fontId="1"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cellStyleXfs>
  <cellXfs count="135">
    <xf numFmtId="0" fontId="0" fillId="0" borderId="0" xfId="0"/>
    <xf numFmtId="0" fontId="3" fillId="0" borderId="0" xfId="2">
      <alignment vertical="center"/>
    </xf>
    <xf numFmtId="176" fontId="3" fillId="0" borderId="0" xfId="3" applyNumberFormat="1" applyFont="1">
      <alignment vertical="center"/>
    </xf>
    <xf numFmtId="0" fontId="5" fillId="0" borderId="0" xfId="2" applyFont="1">
      <alignment vertical="center"/>
    </xf>
    <xf numFmtId="0" fontId="3" fillId="0" borderId="0" xfId="2" applyAlignment="1">
      <alignment horizontal="centerContinuous" vertical="center"/>
    </xf>
    <xf numFmtId="0" fontId="6" fillId="0" borderId="0" xfId="2" applyFont="1">
      <alignment vertical="center"/>
    </xf>
    <xf numFmtId="0" fontId="7" fillId="0" borderId="0" xfId="2" applyFont="1">
      <alignment vertical="center"/>
    </xf>
    <xf numFmtId="0" fontId="0" fillId="0" borderId="2" xfId="0" applyBorder="1"/>
    <xf numFmtId="0" fontId="0" fillId="0" borderId="1" xfId="0" applyBorder="1" applyAlignment="1">
      <alignment horizontal="center"/>
    </xf>
    <xf numFmtId="0" fontId="0" fillId="0" borderId="1" xfId="0" applyBorder="1" applyAlignment="1">
      <alignment horizontal="centerContinuous"/>
    </xf>
    <xf numFmtId="0" fontId="0" fillId="0" borderId="0" xfId="0" applyAlignment="1">
      <alignment vertical="center"/>
    </xf>
    <xf numFmtId="0" fontId="5" fillId="0" borderId="0" xfId="0" applyFont="1" applyAlignment="1">
      <alignment vertical="center"/>
    </xf>
    <xf numFmtId="0" fontId="0" fillId="0" borderId="0" xfId="0" pivotButton="1"/>
    <xf numFmtId="0" fontId="0" fillId="0" borderId="0" xfId="0" applyAlignment="1">
      <alignment horizontal="left"/>
    </xf>
    <xf numFmtId="2" fontId="0" fillId="0" borderId="0" xfId="0" applyNumberFormat="1" applyAlignment="1">
      <alignment vertical="center"/>
    </xf>
    <xf numFmtId="0" fontId="0" fillId="0" borderId="0" xfId="0" applyAlignment="1">
      <alignment horizontal="left" vertical="center"/>
    </xf>
    <xf numFmtId="177" fontId="0" fillId="0" borderId="0" xfId="0" applyNumberFormat="1" applyAlignment="1">
      <alignment vertical="center"/>
    </xf>
    <xf numFmtId="0" fontId="9" fillId="0" borderId="3" xfId="0" applyFont="1" applyBorder="1" applyAlignment="1">
      <alignment vertical="center"/>
    </xf>
    <xf numFmtId="0" fontId="0" fillId="0" borderId="3" xfId="0" applyBorder="1" applyAlignment="1">
      <alignment horizontal="left" vertical="center"/>
    </xf>
    <xf numFmtId="177" fontId="0" fillId="0" borderId="3" xfId="0" applyNumberFormat="1" applyBorder="1" applyAlignment="1">
      <alignment vertical="center"/>
    </xf>
    <xf numFmtId="0" fontId="0" fillId="0" borderId="0" xfId="0" pivotButton="1" applyAlignment="1">
      <alignment vertical="center"/>
    </xf>
    <xf numFmtId="176" fontId="0" fillId="0" borderId="0" xfId="3" applyNumberFormat="1" applyFont="1">
      <alignment vertical="center"/>
    </xf>
    <xf numFmtId="0" fontId="0" fillId="0" borderId="0" xfId="0" applyAlignment="1">
      <alignment horizontal="center" vertical="center"/>
    </xf>
    <xf numFmtId="0" fontId="10" fillId="0" borderId="0" xfId="0" applyFont="1"/>
    <xf numFmtId="0" fontId="11" fillId="0" borderId="0" xfId="0" applyFont="1" applyAlignment="1">
      <alignment vertical="center"/>
    </xf>
    <xf numFmtId="178" fontId="11" fillId="0" borderId="0" xfId="0" applyNumberFormat="1" applyFont="1" applyAlignment="1">
      <alignment vertical="center"/>
    </xf>
    <xf numFmtId="0" fontId="12" fillId="0" borderId="0" xfId="0" applyFont="1" applyAlignment="1">
      <alignment vertical="center"/>
    </xf>
    <xf numFmtId="0" fontId="11" fillId="0" borderId="3" xfId="0" applyFont="1" applyBorder="1" applyAlignment="1">
      <alignment vertical="center"/>
    </xf>
    <xf numFmtId="178" fontId="11" fillId="0" borderId="3" xfId="0" applyNumberFormat="1" applyFont="1" applyBorder="1" applyAlignment="1">
      <alignment vertical="center"/>
    </xf>
    <xf numFmtId="179" fontId="11" fillId="0" borderId="3" xfId="0" applyNumberFormat="1" applyFont="1" applyBorder="1" applyAlignment="1">
      <alignment vertical="center"/>
    </xf>
    <xf numFmtId="0" fontId="13" fillId="0" borderId="0" xfId="0" applyFont="1" applyAlignment="1">
      <alignment vertical="center"/>
    </xf>
    <xf numFmtId="10" fontId="11" fillId="0" borderId="3" xfId="3" applyNumberFormat="1" applyFont="1" applyBorder="1">
      <alignment vertical="center"/>
    </xf>
    <xf numFmtId="10" fontId="14" fillId="0" borderId="3" xfId="3" applyNumberFormat="1" applyFont="1" applyBorder="1">
      <alignment vertical="center"/>
    </xf>
    <xf numFmtId="0" fontId="0" fillId="3" borderId="3" xfId="0" applyFill="1" applyBorder="1" applyAlignment="1">
      <alignment vertical="center"/>
    </xf>
    <xf numFmtId="0" fontId="5" fillId="4" borderId="3" xfId="0" applyFont="1" applyFill="1" applyBorder="1" applyAlignment="1">
      <alignment vertical="center"/>
    </xf>
    <xf numFmtId="0" fontId="5" fillId="3" borderId="3" xfId="0" applyFont="1" applyFill="1" applyBorder="1" applyAlignment="1">
      <alignment horizontal="center" vertical="center"/>
    </xf>
    <xf numFmtId="0" fontId="5" fillId="0" borderId="3" xfId="0" applyFont="1" applyBorder="1" applyAlignment="1">
      <alignment vertical="center"/>
    </xf>
    <xf numFmtId="0" fontId="0" fillId="0" borderId="3" xfId="0" applyBorder="1" applyAlignment="1">
      <alignment vertical="center"/>
    </xf>
    <xf numFmtId="0" fontId="15" fillId="0" borderId="3" xfId="0" applyFont="1" applyBorder="1" applyAlignment="1">
      <alignment vertical="center"/>
    </xf>
    <xf numFmtId="0" fontId="16" fillId="4" borderId="0" xfId="0" applyFont="1" applyFill="1" applyAlignment="1">
      <alignment vertical="center"/>
    </xf>
    <xf numFmtId="0" fontId="17" fillId="4" borderId="0" xfId="0" applyFont="1" applyFill="1" applyAlignment="1">
      <alignment vertical="center"/>
    </xf>
    <xf numFmtId="0" fontId="18" fillId="0" borderId="3" xfId="0" applyFont="1" applyBorder="1" applyAlignment="1">
      <alignment vertical="center"/>
    </xf>
    <xf numFmtId="180" fontId="0" fillId="0" borderId="3" xfId="3" applyNumberFormat="1" applyFont="1" applyBorder="1">
      <alignment vertical="center"/>
    </xf>
    <xf numFmtId="180" fontId="0" fillId="0" borderId="0" xfId="3" applyNumberFormat="1" applyFont="1">
      <alignment vertical="center"/>
    </xf>
    <xf numFmtId="10" fontId="0" fillId="0" borderId="3" xfId="3" applyNumberFormat="1" applyFont="1" applyBorder="1">
      <alignment vertical="center"/>
    </xf>
    <xf numFmtId="9" fontId="0" fillId="0" borderId="3" xfId="0" applyNumberFormat="1" applyBorder="1" applyAlignment="1">
      <alignment vertical="center"/>
    </xf>
    <xf numFmtId="9" fontId="0" fillId="0" borderId="0" xfId="3" applyFont="1">
      <alignment vertical="center"/>
    </xf>
    <xf numFmtId="9" fontId="0" fillId="0" borderId="0" xfId="0" applyNumberFormat="1" applyAlignment="1">
      <alignment vertical="center"/>
    </xf>
    <xf numFmtId="0" fontId="0" fillId="5" borderId="3" xfId="0" applyFill="1" applyBorder="1" applyAlignment="1">
      <alignment vertical="center"/>
    </xf>
    <xf numFmtId="38" fontId="1" fillId="0" borderId="3" xfId="1" applyBorder="1">
      <alignment vertical="center"/>
    </xf>
    <xf numFmtId="38" fontId="3" fillId="0" borderId="3" xfId="0" applyNumberFormat="1" applyFont="1" applyBorder="1" applyAlignment="1">
      <alignment vertical="center"/>
    </xf>
    <xf numFmtId="0" fontId="3" fillId="0" borderId="3" xfId="0" applyFont="1" applyBorder="1" applyAlignment="1">
      <alignment vertical="center"/>
    </xf>
    <xf numFmtId="10" fontId="3" fillId="0" borderId="3" xfId="3" applyNumberFormat="1" applyBorder="1">
      <alignment vertical="center"/>
    </xf>
    <xf numFmtId="9" fontId="3" fillId="0" borderId="3" xfId="0" applyNumberFormat="1" applyFont="1" applyBorder="1" applyAlignment="1">
      <alignment vertical="center"/>
    </xf>
    <xf numFmtId="9" fontId="0" fillId="0" borderId="3" xfId="3" applyFont="1" applyBorder="1">
      <alignment vertical="center"/>
    </xf>
    <xf numFmtId="179" fontId="0" fillId="0" borderId="0" xfId="3" applyNumberFormat="1" applyFont="1">
      <alignment vertical="center"/>
    </xf>
    <xf numFmtId="179" fontId="0" fillId="0" borderId="0" xfId="0" applyNumberFormat="1" applyAlignment="1">
      <alignment vertical="center"/>
    </xf>
    <xf numFmtId="0" fontId="0" fillId="0" borderId="1" xfId="0" applyBorder="1" applyAlignment="1">
      <alignment horizontal="centerContinuous" vertical="center"/>
    </xf>
    <xf numFmtId="0" fontId="0" fillId="0" borderId="2" xfId="0" applyBorder="1" applyAlignment="1">
      <alignment vertical="center"/>
    </xf>
    <xf numFmtId="0" fontId="6" fillId="0" borderId="0" xfId="0" applyFont="1" applyAlignment="1">
      <alignment vertical="center"/>
    </xf>
    <xf numFmtId="0" fontId="19" fillId="0" borderId="0" xfId="0" applyFont="1" applyAlignment="1">
      <alignment vertical="center"/>
    </xf>
    <xf numFmtId="0" fontId="0" fillId="0" borderId="0" xfId="0" applyAlignment="1">
      <alignment vertical="center" shrinkToFit="1"/>
    </xf>
    <xf numFmtId="0" fontId="15" fillId="0" borderId="0" xfId="0" applyFont="1" applyAlignment="1">
      <alignment vertical="center"/>
    </xf>
    <xf numFmtId="0" fontId="0" fillId="0" borderId="0" xfId="0" applyAlignment="1">
      <alignment horizontal="centerContinuous" vertical="center"/>
    </xf>
    <xf numFmtId="0" fontId="0" fillId="0" borderId="6" xfId="0" applyBorder="1" applyAlignment="1">
      <alignment vertical="center"/>
    </xf>
    <xf numFmtId="0" fontId="0" fillId="0" borderId="7" xfId="0" applyBorder="1" applyAlignment="1">
      <alignment vertical="center"/>
    </xf>
    <xf numFmtId="0" fontId="0" fillId="0" borderId="4" xfId="0" applyBorder="1" applyAlignment="1">
      <alignment horizontal="centerContinuous" vertical="center"/>
    </xf>
    <xf numFmtId="0" fontId="0" fillId="0" borderId="8" xfId="0" applyBorder="1" applyAlignment="1">
      <alignmen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8" fillId="0" borderId="8" xfId="0" applyFont="1" applyBorder="1" applyAlignment="1">
      <alignment vertical="center"/>
    </xf>
    <xf numFmtId="0" fontId="8" fillId="0" borderId="2" xfId="0" applyFont="1" applyBorder="1" applyAlignment="1">
      <alignment vertical="center"/>
    </xf>
    <xf numFmtId="0" fontId="0" fillId="0" borderId="9" xfId="0" applyBorder="1" applyAlignment="1">
      <alignment vertical="center"/>
    </xf>
    <xf numFmtId="0" fontId="6" fillId="0" borderId="8" xfId="0" applyFont="1" applyBorder="1" applyAlignment="1">
      <alignment vertical="center"/>
    </xf>
    <xf numFmtId="0" fontId="6" fillId="0" borderId="2" xfId="0" applyFont="1" applyBorder="1" applyAlignment="1">
      <alignment vertical="center"/>
    </xf>
    <xf numFmtId="0" fontId="6" fillId="0" borderId="6" xfId="0" applyFont="1" applyBorder="1" applyAlignment="1">
      <alignment vertical="center"/>
    </xf>
    <xf numFmtId="0" fontId="8" fillId="0" borderId="0" xfId="0" applyFont="1" applyAlignment="1">
      <alignment vertical="center"/>
    </xf>
    <xf numFmtId="181" fontId="0" fillId="0" borderId="3" xfId="0" applyNumberFormat="1" applyBorder="1" applyAlignment="1">
      <alignment horizontal="right" vertical="center"/>
    </xf>
    <xf numFmtId="181" fontId="21" fillId="0" borderId="3" xfId="0" applyNumberFormat="1" applyFont="1" applyBorder="1" applyAlignment="1">
      <alignment horizontal="right" vertical="center"/>
    </xf>
    <xf numFmtId="0" fontId="0" fillId="0" borderId="3" xfId="0" applyBorder="1" applyAlignment="1">
      <alignment horizontal="center" vertical="center"/>
    </xf>
    <xf numFmtId="0" fontId="22" fillId="0" borderId="0" xfId="0" applyFont="1" applyAlignment="1">
      <alignment vertical="center"/>
    </xf>
    <xf numFmtId="0" fontId="0" fillId="0" borderId="10" xfId="0" applyBorder="1" applyAlignment="1">
      <alignment vertical="center"/>
    </xf>
    <xf numFmtId="0" fontId="6" fillId="2" borderId="0" xfId="0" applyFont="1" applyFill="1" applyAlignment="1">
      <alignment vertical="center"/>
    </xf>
    <xf numFmtId="181" fontId="8" fillId="0" borderId="3" xfId="0" applyNumberFormat="1" applyFont="1" applyBorder="1" applyAlignment="1">
      <alignment horizontal="right" vertical="center"/>
    </xf>
    <xf numFmtId="0" fontId="6" fillId="0" borderId="3" xfId="0" applyFont="1" applyBorder="1" applyAlignment="1">
      <alignment vertical="center"/>
    </xf>
    <xf numFmtId="181" fontId="19" fillId="0" borderId="3" xfId="0" applyNumberFormat="1" applyFont="1" applyBorder="1" applyAlignment="1">
      <alignment horizontal="right" vertical="center"/>
    </xf>
    <xf numFmtId="0" fontId="23" fillId="0" borderId="0" xfId="0" applyFont="1" applyAlignment="1">
      <alignment vertical="center"/>
    </xf>
    <xf numFmtId="0" fontId="24" fillId="0" borderId="0" xfId="0" applyFont="1" applyAlignment="1">
      <alignment vertical="center"/>
    </xf>
    <xf numFmtId="0" fontId="25" fillId="0" borderId="1" xfId="0" applyFont="1" applyBorder="1" applyAlignment="1">
      <alignment vertical="center" shrinkToFit="1"/>
    </xf>
    <xf numFmtId="0" fontId="25" fillId="0" borderId="5" xfId="0" applyFont="1" applyBorder="1" applyAlignment="1">
      <alignment vertical="center" shrinkToFit="1"/>
    </xf>
    <xf numFmtId="0" fontId="0" fillId="0" borderId="5" xfId="0" applyBorder="1" applyAlignment="1">
      <alignment horizontal="centerContinuous" vertical="center"/>
    </xf>
    <xf numFmtId="0" fontId="0" fillId="0" borderId="10" xfId="0" applyBorder="1" applyAlignment="1">
      <alignment horizontal="center" vertical="center"/>
    </xf>
    <xf numFmtId="0" fontId="6" fillId="0" borderId="7" xfId="0" applyFont="1" applyBorder="1" applyAlignment="1">
      <alignment vertical="center"/>
    </xf>
    <xf numFmtId="0" fontId="6" fillId="0" borderId="9" xfId="0" applyFont="1" applyBorder="1" applyAlignment="1">
      <alignment vertical="center"/>
    </xf>
    <xf numFmtId="0" fontId="20" fillId="0" borderId="4" xfId="0" applyFont="1" applyBorder="1" applyAlignment="1">
      <alignment horizontal="center" vertical="center"/>
    </xf>
    <xf numFmtId="0" fontId="20" fillId="0" borderId="1" xfId="0" applyFont="1" applyBorder="1" applyAlignment="1">
      <alignment horizontal="center" vertical="center"/>
    </xf>
    <xf numFmtId="0" fontId="20" fillId="0" borderId="5" xfId="0" applyFont="1" applyBorder="1" applyAlignment="1">
      <alignment horizontal="center" vertical="center"/>
    </xf>
    <xf numFmtId="0" fontId="0" fillId="0" borderId="3" xfId="0" applyBorder="1" applyAlignment="1">
      <alignment horizontal="center" vertical="center"/>
    </xf>
    <xf numFmtId="0" fontId="5" fillId="0" borderId="3" xfId="0" applyFont="1" applyBorder="1" applyAlignment="1">
      <alignment horizontal="center" vertical="center"/>
    </xf>
    <xf numFmtId="0" fontId="25" fillId="0" borderId="4" xfId="0" applyFont="1" applyBorder="1" applyAlignment="1">
      <alignment horizontal="center" vertical="center" shrinkToFit="1"/>
    </xf>
    <xf numFmtId="0" fontId="25" fillId="0" borderId="5" xfId="0" applyFont="1" applyBorder="1" applyAlignment="1">
      <alignment horizontal="center" vertical="center" shrinkToFit="1"/>
    </xf>
    <xf numFmtId="0" fontId="26" fillId="0" borderId="3" xfId="0" applyFont="1" applyBorder="1" applyAlignment="1">
      <alignment vertical="center"/>
    </xf>
    <xf numFmtId="0" fontId="28" fillId="0" borderId="0" xfId="0" applyFont="1" applyAlignment="1">
      <alignment vertical="center"/>
    </xf>
    <xf numFmtId="0" fontId="26" fillId="0" borderId="0" xfId="0" applyFont="1" applyAlignment="1">
      <alignment vertical="center"/>
    </xf>
    <xf numFmtId="0" fontId="26" fillId="0" borderId="10" xfId="0" applyFont="1" applyBorder="1" applyAlignment="1">
      <alignment vertical="center"/>
    </xf>
    <xf numFmtId="0" fontId="18" fillId="0" borderId="0" xfId="0" applyFont="1" applyAlignment="1">
      <alignment vertical="center"/>
    </xf>
    <xf numFmtId="0" fontId="28" fillId="2" borderId="0" xfId="0" applyFont="1" applyFill="1" applyAlignment="1">
      <alignment vertical="center"/>
    </xf>
    <xf numFmtId="181" fontId="26" fillId="0" borderId="3" xfId="0" applyNumberFormat="1" applyFont="1" applyBorder="1" applyAlignment="1">
      <alignment horizontal="right" vertical="center"/>
    </xf>
    <xf numFmtId="181" fontId="28" fillId="0" borderId="3" xfId="0" applyNumberFormat="1" applyFont="1" applyBorder="1" applyAlignment="1">
      <alignment horizontal="right" vertical="center"/>
    </xf>
    <xf numFmtId="0" fontId="26" fillId="0" borderId="3" xfId="0" applyFont="1" applyBorder="1" applyAlignment="1">
      <alignment horizontal="center" vertical="center"/>
    </xf>
    <xf numFmtId="0" fontId="28" fillId="0" borderId="3" xfId="0" applyFont="1" applyBorder="1" applyAlignment="1">
      <alignment vertical="center"/>
    </xf>
    <xf numFmtId="181" fontId="30" fillId="0" borderId="3" xfId="0" applyNumberFormat="1" applyFont="1" applyBorder="1" applyAlignment="1">
      <alignment horizontal="right" vertical="center"/>
    </xf>
    <xf numFmtId="181" fontId="31" fillId="0" borderId="3" xfId="0" applyNumberFormat="1" applyFont="1" applyBorder="1" applyAlignment="1">
      <alignment horizontal="right" vertical="center"/>
    </xf>
    <xf numFmtId="0" fontId="32" fillId="0" borderId="0" xfId="0" applyFont="1" applyAlignment="1">
      <alignment vertical="center"/>
    </xf>
    <xf numFmtId="0" fontId="26" fillId="0" borderId="3" xfId="0" applyFont="1" applyBorder="1" applyAlignment="1">
      <alignment horizontal="center" vertical="center"/>
    </xf>
    <xf numFmtId="0" fontId="33" fillId="0" borderId="3" xfId="0" applyFont="1" applyBorder="1" applyAlignment="1">
      <alignment horizontal="center" vertical="center"/>
    </xf>
    <xf numFmtId="0" fontId="35" fillId="0" borderId="4" xfId="0" applyFont="1" applyBorder="1" applyAlignment="1">
      <alignment horizontal="center" vertical="center" shrinkToFit="1"/>
    </xf>
    <xf numFmtId="0" fontId="35" fillId="0" borderId="5" xfId="0" applyFont="1" applyBorder="1" applyAlignment="1">
      <alignment horizontal="center" vertical="center" shrinkToFit="1"/>
    </xf>
    <xf numFmtId="0" fontId="35" fillId="0" borderId="1" xfId="0" applyFont="1" applyBorder="1" applyAlignment="1">
      <alignment vertical="center" shrinkToFit="1"/>
    </xf>
    <xf numFmtId="0" fontId="35" fillId="0" borderId="5" xfId="0" applyFont="1" applyBorder="1" applyAlignment="1">
      <alignment vertical="center" shrinkToFit="1"/>
    </xf>
    <xf numFmtId="0" fontId="26" fillId="0" borderId="6" xfId="0" applyFont="1" applyBorder="1" applyAlignment="1">
      <alignment vertical="center"/>
    </xf>
    <xf numFmtId="0" fontId="26" fillId="0" borderId="7" xfId="0" applyFont="1" applyBorder="1" applyAlignment="1">
      <alignment vertical="center"/>
    </xf>
    <xf numFmtId="0" fontId="26" fillId="0" borderId="4" xfId="0" applyFont="1" applyBorder="1" applyAlignment="1">
      <alignment horizontal="centerContinuous" vertical="center"/>
    </xf>
    <xf numFmtId="0" fontId="26" fillId="0" borderId="5" xfId="0" applyFont="1" applyBorder="1" applyAlignment="1">
      <alignment horizontal="centerContinuous" vertical="center"/>
    </xf>
    <xf numFmtId="0" fontId="26" fillId="0" borderId="8" xfId="0" applyFont="1" applyBorder="1" applyAlignment="1">
      <alignment vertical="center"/>
    </xf>
    <xf numFmtId="0" fontId="26" fillId="0" borderId="9" xfId="0" applyFont="1" applyBorder="1" applyAlignment="1">
      <alignment vertical="center"/>
    </xf>
    <xf numFmtId="0" fontId="26" fillId="0" borderId="4" xfId="0" applyFont="1" applyBorder="1" applyAlignment="1">
      <alignment horizontal="center" vertical="center"/>
    </xf>
    <xf numFmtId="0" fontId="26" fillId="0" borderId="5" xfId="0" applyFont="1" applyBorder="1" applyAlignment="1">
      <alignment horizontal="center" vertical="center"/>
    </xf>
    <xf numFmtId="0" fontId="26" fillId="0" borderId="1" xfId="0" applyFont="1" applyBorder="1" applyAlignment="1">
      <alignment horizontal="center" vertical="center"/>
    </xf>
    <xf numFmtId="0" fontId="26" fillId="0" borderId="2" xfId="0" applyFont="1" applyBorder="1" applyAlignment="1">
      <alignment vertical="center"/>
    </xf>
    <xf numFmtId="0" fontId="26" fillId="0" borderId="10" xfId="0" applyFont="1" applyBorder="1" applyAlignment="1">
      <alignment horizontal="center" vertical="center"/>
    </xf>
    <xf numFmtId="0" fontId="28" fillId="0" borderId="7" xfId="0" applyFont="1" applyBorder="1" applyAlignment="1">
      <alignment vertical="center"/>
    </xf>
    <xf numFmtId="0" fontId="28" fillId="0" borderId="9" xfId="0" applyFont="1" applyBorder="1" applyAlignment="1">
      <alignment vertical="center"/>
    </xf>
    <xf numFmtId="0" fontId="37" fillId="0" borderId="0" xfId="0" applyFont="1" applyAlignment="1">
      <alignment vertical="center"/>
    </xf>
  </cellXfs>
  <cellStyles count="4">
    <cellStyle name="パーセント 2" xfId="3" xr:uid="{064BEEE0-D333-4099-919C-8D6464CD834C}"/>
    <cellStyle name="桁区切り" xfId="1" builtinId="6"/>
    <cellStyle name="標準" xfId="0" builtinId="0"/>
    <cellStyle name="標準 2" xfId="2" xr:uid="{3200ED9D-0686-4CE4-B637-B7FA1FE7BDAA}"/>
  </cellStyles>
  <dxfs count="1">
    <dxf>
      <numFmt numFmtId="177"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7.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pivotCacheDefinition" Target="pivotCache/pivotCacheDefinition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pivotCacheDefinition" Target="pivotCache/pivotCacheDefinition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tx>
            <c:strRef>
              <c:f>CP3_3!$F$4</c:f>
              <c:strCache>
                <c:ptCount val="1"/>
                <c:pt idx="0">
                  <c:v>平均 / 売上個数</c:v>
                </c:pt>
              </c:strCache>
            </c:strRef>
          </c:tx>
          <c:spPr>
            <a:solidFill>
              <a:schemeClr val="accent1"/>
            </a:solidFill>
            <a:ln>
              <a:noFill/>
            </a:ln>
            <a:effectLst/>
          </c:spPr>
          <c:invertIfNegative val="0"/>
          <c:cat>
            <c:strRef>
              <c:f>CP3_3!$E$5:$E$15</c:f>
              <c:strCache>
                <c:ptCount val="11"/>
                <c:pt idx="0">
                  <c:v>アルコール類</c:v>
                </c:pt>
                <c:pt idx="1">
                  <c:v>スナック食品</c:v>
                </c:pt>
                <c:pt idx="2">
                  <c:v>青果物</c:v>
                </c:pt>
                <c:pt idx="3">
                  <c:v>缶類</c:v>
                </c:pt>
                <c:pt idx="4">
                  <c:v>肉類</c:v>
                </c:pt>
                <c:pt idx="5">
                  <c:v>その他</c:v>
                </c:pt>
                <c:pt idx="6">
                  <c:v>日用品</c:v>
                </c:pt>
                <c:pt idx="7">
                  <c:v>ソフトドリンク</c:v>
                </c:pt>
                <c:pt idx="8">
                  <c:v>冷凍食品</c:v>
                </c:pt>
                <c:pt idx="9">
                  <c:v>パン類</c:v>
                </c:pt>
                <c:pt idx="10">
                  <c:v>魚介類</c:v>
                </c:pt>
              </c:strCache>
            </c:strRef>
          </c:cat>
          <c:val>
            <c:numRef>
              <c:f>CP3_3!$F$5:$F$15</c:f>
              <c:numCache>
                <c:formatCode>0.00</c:formatCode>
                <c:ptCount val="11"/>
                <c:pt idx="0">
                  <c:v>33.130434782608695</c:v>
                </c:pt>
                <c:pt idx="1">
                  <c:v>30.829629629629629</c:v>
                </c:pt>
                <c:pt idx="2">
                  <c:v>28.073529411764707</c:v>
                </c:pt>
                <c:pt idx="3">
                  <c:v>27.277777777777779</c:v>
                </c:pt>
                <c:pt idx="4">
                  <c:v>27.267857142857142</c:v>
                </c:pt>
                <c:pt idx="5">
                  <c:v>26.266666666666666</c:v>
                </c:pt>
                <c:pt idx="6">
                  <c:v>26.238805970149254</c:v>
                </c:pt>
                <c:pt idx="7">
                  <c:v>25.777777777777779</c:v>
                </c:pt>
                <c:pt idx="8">
                  <c:v>25.359550561797754</c:v>
                </c:pt>
                <c:pt idx="9">
                  <c:v>25.258064516129032</c:v>
                </c:pt>
                <c:pt idx="10">
                  <c:v>23.142857142857142</c:v>
                </c:pt>
              </c:numCache>
            </c:numRef>
          </c:val>
          <c:extLst>
            <c:ext xmlns:c16="http://schemas.microsoft.com/office/drawing/2014/chart" uri="{C3380CC4-5D6E-409C-BE32-E72D297353CC}">
              <c16:uniqueId val="{00000000-6840-471A-9FAA-52D319F4A1A1}"/>
            </c:ext>
          </c:extLst>
        </c:ser>
        <c:dLbls>
          <c:showLegendKey val="0"/>
          <c:showVal val="0"/>
          <c:showCatName val="0"/>
          <c:showSerName val="0"/>
          <c:showPercent val="0"/>
          <c:showBubbleSize val="0"/>
        </c:dLbls>
        <c:gapWidth val="219"/>
        <c:overlap val="-27"/>
        <c:axId val="15583311"/>
        <c:axId val="15580911"/>
      </c:barChart>
      <c:catAx>
        <c:axId val="1558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580911"/>
        <c:crosses val="autoZero"/>
        <c:auto val="1"/>
        <c:lblAlgn val="ctr"/>
        <c:lblOffset val="100"/>
        <c:noMultiLvlLbl val="0"/>
      </c:catAx>
      <c:valAx>
        <c:axId val="15580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58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CP3_5!$C$1</c:f>
              <c:strCache>
                <c:ptCount val="1"/>
                <c:pt idx="0">
                  <c:v>売上個数</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CP3_5!$B$2:$B$683</c:f>
              <c:numCache>
                <c:formatCode>0.000%</c:formatCode>
                <c:ptCount val="682"/>
                <c:pt idx="0">
                  <c:v>4.2692590691069485E-4</c:v>
                </c:pt>
                <c:pt idx="1">
                  <c:v>2.9505530959696036E-3</c:v>
                </c:pt>
                <c:pt idx="2">
                  <c:v>4.2201445360469389E-3</c:v>
                </c:pt>
                <c:pt idx="3">
                  <c:v>3.5404367313607386E-4</c:v>
                </c:pt>
                <c:pt idx="4">
                  <c:v>1.3707360375521227E-3</c:v>
                </c:pt>
                <c:pt idx="5">
                  <c:v>2.3751749290849417E-3</c:v>
                </c:pt>
                <c:pt idx="6">
                  <c:v>1.1394207070318301E-3</c:v>
                </c:pt>
                <c:pt idx="7">
                  <c:v>2.4748315353126807E-3</c:v>
                </c:pt>
                <c:pt idx="8">
                  <c:v>2.0862080444302299E-3</c:v>
                </c:pt>
                <c:pt idx="9">
                  <c:v>1.0456175653593323E-3</c:v>
                </c:pt>
                <c:pt idx="10">
                  <c:v>1.2934086414905417E-3</c:v>
                </c:pt>
                <c:pt idx="11">
                  <c:v>2.2437389010099575E-3</c:v>
                </c:pt>
                <c:pt idx="12">
                  <c:v>1.65056134154929E-3</c:v>
                </c:pt>
                <c:pt idx="13">
                  <c:v>1.268554239632496E-3</c:v>
                </c:pt>
                <c:pt idx="14">
                  <c:v>1.6889598223240776E-3</c:v>
                </c:pt>
                <c:pt idx="15">
                  <c:v>1.0730189986418192E-3</c:v>
                </c:pt>
                <c:pt idx="16">
                  <c:v>1.4299549953371517E-3</c:v>
                </c:pt>
                <c:pt idx="17">
                  <c:v>1.695018637021452E-3</c:v>
                </c:pt>
                <c:pt idx="18">
                  <c:v>5.000370927470835E-4</c:v>
                </c:pt>
                <c:pt idx="19">
                  <c:v>1.75568843201344E-3</c:v>
                </c:pt>
                <c:pt idx="20">
                  <c:v>1.080098476381605E-3</c:v>
                </c:pt>
                <c:pt idx="21">
                  <c:v>7.7436330778253939E-4</c:v>
                </c:pt>
                <c:pt idx="22">
                  <c:v>3.6543728024486489E-4</c:v>
                </c:pt>
                <c:pt idx="23">
                  <c:v>1.139370416200489E-3</c:v>
                </c:pt>
                <c:pt idx="24">
                  <c:v>1.90589103227635E-3</c:v>
                </c:pt>
                <c:pt idx="25">
                  <c:v>2.4503253327124806E-3</c:v>
                </c:pt>
                <c:pt idx="26">
                  <c:v>5.061177044290774E-4</c:v>
                </c:pt>
                <c:pt idx="27">
                  <c:v>5.896401655375239E-4</c:v>
                </c:pt>
                <c:pt idx="28">
                  <c:v>1.4506981799446105E-3</c:v>
                </c:pt>
                <c:pt idx="29">
                  <c:v>1.9150063838989024E-3</c:v>
                </c:pt>
                <c:pt idx="30">
                  <c:v>2.3475377967311201E-3</c:v>
                </c:pt>
                <c:pt idx="31">
                  <c:v>6.0939843889785148E-4</c:v>
                </c:pt>
                <c:pt idx="32">
                  <c:v>2.0265383765274815E-3</c:v>
                </c:pt>
                <c:pt idx="33">
                  <c:v>1.471275994124218E-3</c:v>
                </c:pt>
                <c:pt idx="34">
                  <c:v>1.5046305561373834E-3</c:v>
                </c:pt>
                <c:pt idx="35">
                  <c:v>4.2651296564895601E-3</c:v>
                </c:pt>
                <c:pt idx="36">
                  <c:v>6.4309585632189945E-4</c:v>
                </c:pt>
                <c:pt idx="37">
                  <c:v>2.1115205364997647E-3</c:v>
                </c:pt>
                <c:pt idx="38">
                  <c:v>1.8760993935935653E-3</c:v>
                </c:pt>
                <c:pt idx="39">
                  <c:v>1.8907215483519439E-3</c:v>
                </c:pt>
                <c:pt idx="40">
                  <c:v>2.1217121063032327E-3</c:v>
                </c:pt>
                <c:pt idx="41">
                  <c:v>2.8521345769411295E-3</c:v>
                </c:pt>
                <c:pt idx="42">
                  <c:v>1.1009773674835353E-3</c:v>
                </c:pt>
                <c:pt idx="43">
                  <c:v>1.6483681236811897E-3</c:v>
                </c:pt>
                <c:pt idx="44">
                  <c:v>1.884697102983731E-3</c:v>
                </c:pt>
                <c:pt idx="45">
                  <c:v>2.1782385037017651E-3</c:v>
                </c:pt>
                <c:pt idx="46">
                  <c:v>1.4524864152080492E-3</c:v>
                </c:pt>
                <c:pt idx="47">
                  <c:v>3.4610937137621541E-4</c:v>
                </c:pt>
                <c:pt idx="48">
                  <c:v>8.9222664097469637E-4</c:v>
                </c:pt>
                <c:pt idx="49">
                  <c:v>1.8152784945139448E-3</c:v>
                </c:pt>
                <c:pt idx="50">
                  <c:v>2.2563940247787742E-3</c:v>
                </c:pt>
                <c:pt idx="51">
                  <c:v>1.0598640824486158E-3</c:v>
                </c:pt>
                <c:pt idx="52">
                  <c:v>1.4219316729648444E-3</c:v>
                </c:pt>
                <c:pt idx="53">
                  <c:v>1.6459847324278068E-3</c:v>
                </c:pt>
                <c:pt idx="54">
                  <c:v>1.8075703049277509E-3</c:v>
                </c:pt>
                <c:pt idx="55">
                  <c:v>6.2278300003531118E-4</c:v>
                </c:pt>
                <c:pt idx="56">
                  <c:v>2.9855096039994302E-3</c:v>
                </c:pt>
                <c:pt idx="57">
                  <c:v>1.2910990357404882E-3</c:v>
                </c:pt>
                <c:pt idx="58">
                  <c:v>1.8401442762877706E-3</c:v>
                </c:pt>
                <c:pt idx="59">
                  <c:v>1.9427476304190968E-3</c:v>
                </c:pt>
                <c:pt idx="60">
                  <c:v>1.1709065184826036E-3</c:v>
                </c:pt>
                <c:pt idx="61">
                  <c:v>9.8859371177487977E-4</c:v>
                </c:pt>
                <c:pt idx="62">
                  <c:v>1.0349331516544486E-3</c:v>
                </c:pt>
                <c:pt idx="63">
                  <c:v>1.9346922064213145E-3</c:v>
                </c:pt>
                <c:pt idx="64">
                  <c:v>1.4234438063633569E-3</c:v>
                </c:pt>
                <c:pt idx="65">
                  <c:v>9.3981656517807459E-4</c:v>
                </c:pt>
                <c:pt idx="66">
                  <c:v>1.4557219738284097E-3</c:v>
                </c:pt>
                <c:pt idx="67">
                  <c:v>2.6993255337543496E-3</c:v>
                </c:pt>
                <c:pt idx="68">
                  <c:v>1.151243488960453E-3</c:v>
                </c:pt>
                <c:pt idx="69">
                  <c:v>3.5951551190253049E-4</c:v>
                </c:pt>
                <c:pt idx="70">
                  <c:v>2.2414281809721306E-4</c:v>
                </c:pt>
                <c:pt idx="71">
                  <c:v>1.8884167134048657E-3</c:v>
                </c:pt>
                <c:pt idx="72">
                  <c:v>1.1284479740524009E-3</c:v>
                </c:pt>
                <c:pt idx="73">
                  <c:v>1.7132106167596364E-3</c:v>
                </c:pt>
                <c:pt idx="74">
                  <c:v>2.9265900039130127E-4</c:v>
                </c:pt>
                <c:pt idx="75">
                  <c:v>1.4607629280686642E-3</c:v>
                </c:pt>
                <c:pt idx="76">
                  <c:v>1.9317007556083406E-4</c:v>
                </c:pt>
                <c:pt idx="77">
                  <c:v>1.6017775407853412E-3</c:v>
                </c:pt>
                <c:pt idx="78">
                  <c:v>6.9934531102609776E-4</c:v>
                </c:pt>
                <c:pt idx="79">
                  <c:v>9.6469355869245371E-4</c:v>
                </c:pt>
                <c:pt idx="80">
                  <c:v>3.4990045853267401E-4</c:v>
                </c:pt>
                <c:pt idx="81">
                  <c:v>2.1805598363222509E-3</c:v>
                </c:pt>
                <c:pt idx="82">
                  <c:v>3.1637849816631645E-5</c:v>
                </c:pt>
                <c:pt idx="83">
                  <c:v>2.1554105081547318E-3</c:v>
                </c:pt>
                <c:pt idx="84">
                  <c:v>1.1360561773400694E-3</c:v>
                </c:pt>
                <c:pt idx="85">
                  <c:v>1.7974422909534718E-3</c:v>
                </c:pt>
                <c:pt idx="86">
                  <c:v>1.2817722431836917E-3</c:v>
                </c:pt>
                <c:pt idx="87">
                  <c:v>1.6138737946756101E-3</c:v>
                </c:pt>
                <c:pt idx="88">
                  <c:v>9.6832427680536607E-4</c:v>
                </c:pt>
                <c:pt idx="89">
                  <c:v>2.4246517841870229E-3</c:v>
                </c:pt>
                <c:pt idx="90">
                  <c:v>8.5151540160047787E-4</c:v>
                </c:pt>
                <c:pt idx="91">
                  <c:v>2.0700476752190679E-3</c:v>
                </c:pt>
                <c:pt idx="92">
                  <c:v>8.9976056235005345E-4</c:v>
                </c:pt>
                <c:pt idx="93">
                  <c:v>7.3044533476093434E-5</c:v>
                </c:pt>
                <c:pt idx="94">
                  <c:v>4.1827968917177854E-4</c:v>
                </c:pt>
                <c:pt idx="95">
                  <c:v>1.2168857172278607E-3</c:v>
                </c:pt>
                <c:pt idx="96">
                  <c:v>6.0195177066665797E-4</c:v>
                </c:pt>
                <c:pt idx="97">
                  <c:v>1.7956007324524416E-3</c:v>
                </c:pt>
                <c:pt idx="98">
                  <c:v>1.6508306826683776E-3</c:v>
                </c:pt>
                <c:pt idx="99">
                  <c:v>2.0822461568619837E-3</c:v>
                </c:pt>
                <c:pt idx="100">
                  <c:v>1.9397613293176807E-3</c:v>
                </c:pt>
                <c:pt idx="101">
                  <c:v>1.0288350759240404E-3</c:v>
                </c:pt>
                <c:pt idx="102">
                  <c:v>6.0359803963039521E-4</c:v>
                </c:pt>
                <c:pt idx="103">
                  <c:v>1.3058085694423688E-3</c:v>
                </c:pt>
                <c:pt idx="104">
                  <c:v>1.7752611741431712E-3</c:v>
                </c:pt>
                <c:pt idx="105">
                  <c:v>1.726233175473687E-5</c:v>
                </c:pt>
                <c:pt idx="106">
                  <c:v>1.2149359774641778E-3</c:v>
                </c:pt>
                <c:pt idx="107">
                  <c:v>1.3752687591461925E-3</c:v>
                </c:pt>
                <c:pt idx="108">
                  <c:v>1.5384416578740198E-3</c:v>
                </c:pt>
                <c:pt idx="109">
                  <c:v>3.5043090281708131E-3</c:v>
                </c:pt>
                <c:pt idx="110">
                  <c:v>5.5939919082352194E-4</c:v>
                </c:pt>
                <c:pt idx="111">
                  <c:v>5.6056227225888917E-4</c:v>
                </c:pt>
                <c:pt idx="112">
                  <c:v>1.1738697741306139E-3</c:v>
                </c:pt>
                <c:pt idx="113">
                  <c:v>1.4199989795998236E-3</c:v>
                </c:pt>
                <c:pt idx="114">
                  <c:v>1.3980157387597099E-3</c:v>
                </c:pt>
                <c:pt idx="115">
                  <c:v>1.3843186111607169E-3</c:v>
                </c:pt>
                <c:pt idx="116">
                  <c:v>2.4408145598149031E-3</c:v>
                </c:pt>
                <c:pt idx="117">
                  <c:v>6.9934531102609776E-4</c:v>
                </c:pt>
                <c:pt idx="118">
                  <c:v>1.0694937802934181E-3</c:v>
                </c:pt>
                <c:pt idx="119">
                  <c:v>7.8202804054170339E-4</c:v>
                </c:pt>
                <c:pt idx="120">
                  <c:v>1.1111139440227377E-3</c:v>
                </c:pt>
                <c:pt idx="121">
                  <c:v>2.3271164127271911E-3</c:v>
                </c:pt>
                <c:pt idx="122">
                  <c:v>6.6468292393004401E-4</c:v>
                </c:pt>
                <c:pt idx="123">
                  <c:v>1.3049739770765653E-3</c:v>
                </c:pt>
                <c:pt idx="124">
                  <c:v>1.1383366508754384E-3</c:v>
                </c:pt>
                <c:pt idx="125">
                  <c:v>4.5431831788881206E-4</c:v>
                </c:pt>
                <c:pt idx="126">
                  <c:v>8.6073269049365879E-4</c:v>
                </c:pt>
                <c:pt idx="127">
                  <c:v>1.7046086681320625E-3</c:v>
                </c:pt>
                <c:pt idx="128">
                  <c:v>1.5280480207957995E-3</c:v>
                </c:pt>
                <c:pt idx="129">
                  <c:v>1.2140523811084299E-4</c:v>
                </c:pt>
                <c:pt idx="130">
                  <c:v>1.680106095879548E-3</c:v>
                </c:pt>
                <c:pt idx="131">
                  <c:v>8.9523597722120725E-4</c:v>
                </c:pt>
                <c:pt idx="132">
                  <c:v>1.9887495992869713E-3</c:v>
                </c:pt>
                <c:pt idx="133">
                  <c:v>1.7434486106339799E-3</c:v>
                </c:pt>
                <c:pt idx="134">
                  <c:v>2.5496038288709672E-3</c:v>
                </c:pt>
                <c:pt idx="135">
                  <c:v>9.5030675693243052E-4</c:v>
                </c:pt>
                <c:pt idx="136">
                  <c:v>7.9108048010407953E-4</c:v>
                </c:pt>
                <c:pt idx="137">
                  <c:v>9.4309990590535733E-4</c:v>
                </c:pt>
                <c:pt idx="138">
                  <c:v>6.5718742606757244E-4</c:v>
                </c:pt>
                <c:pt idx="139">
                  <c:v>1.1291694187913811E-3</c:v>
                </c:pt>
                <c:pt idx="140">
                  <c:v>5.5849895844890861E-4</c:v>
                </c:pt>
                <c:pt idx="141">
                  <c:v>1.1131606727540996E-3</c:v>
                </c:pt>
                <c:pt idx="142">
                  <c:v>7.7639477694082843E-4</c:v>
                </c:pt>
                <c:pt idx="143">
                  <c:v>6.5410322568673206E-4</c:v>
                </c:pt>
                <c:pt idx="144">
                  <c:v>1.1094345358432253E-3</c:v>
                </c:pt>
                <c:pt idx="145">
                  <c:v>6.029925448822268E-4</c:v>
                </c:pt>
                <c:pt idx="146">
                  <c:v>2.6615175942868614E-3</c:v>
                </c:pt>
                <c:pt idx="147">
                  <c:v>4.3894216085486179E-3</c:v>
                </c:pt>
                <c:pt idx="148">
                  <c:v>1.2100232602440327E-3</c:v>
                </c:pt>
                <c:pt idx="149">
                  <c:v>1.0518671806877863E-3</c:v>
                </c:pt>
                <c:pt idx="150">
                  <c:v>1.8722030553948823E-3</c:v>
                </c:pt>
                <c:pt idx="151">
                  <c:v>1.5687920659409377E-3</c:v>
                </c:pt>
                <c:pt idx="152">
                  <c:v>2.6897896577926838E-3</c:v>
                </c:pt>
                <c:pt idx="153">
                  <c:v>2.2669060074283556E-3</c:v>
                </c:pt>
                <c:pt idx="154">
                  <c:v>1.2613570553457083E-3</c:v>
                </c:pt>
                <c:pt idx="155">
                  <c:v>9.1047632360431122E-4</c:v>
                </c:pt>
                <c:pt idx="156">
                  <c:v>1.5600780015197564E-3</c:v>
                </c:pt>
                <c:pt idx="157">
                  <c:v>1.3573867103870031E-3</c:v>
                </c:pt>
                <c:pt idx="158">
                  <c:v>1.2259151222698138E-3</c:v>
                </c:pt>
                <c:pt idx="159">
                  <c:v>1.7521691012104188E-3</c:v>
                </c:pt>
                <c:pt idx="160">
                  <c:v>2.8098144910986265E-3</c:v>
                </c:pt>
                <c:pt idx="161">
                  <c:v>5.7510006836440262E-4</c:v>
                </c:pt>
                <c:pt idx="162">
                  <c:v>1.949578872566918E-3</c:v>
                </c:pt>
                <c:pt idx="163">
                  <c:v>1.5127848724946942E-3</c:v>
                </c:pt>
                <c:pt idx="164">
                  <c:v>9.5366080222933141E-4</c:v>
                </c:pt>
                <c:pt idx="165">
                  <c:v>1.3986906220521955E-3</c:v>
                </c:pt>
                <c:pt idx="166">
                  <c:v>1.1278385558911805E-3</c:v>
                </c:pt>
                <c:pt idx="167">
                  <c:v>9.3975429933507485E-4</c:v>
                </c:pt>
                <c:pt idx="168">
                  <c:v>1.6138737946756101E-3</c:v>
                </c:pt>
                <c:pt idx="169">
                  <c:v>1.0737157765157684E-3</c:v>
                </c:pt>
                <c:pt idx="170">
                  <c:v>7.5788330905871525E-4</c:v>
                </c:pt>
                <c:pt idx="171">
                  <c:v>3.1557662680345793E-3</c:v>
                </c:pt>
                <c:pt idx="172">
                  <c:v>1.5499482857005424E-3</c:v>
                </c:pt>
                <c:pt idx="173">
                  <c:v>1.2884322588682128E-3</c:v>
                </c:pt>
                <c:pt idx="174">
                  <c:v>2.083003798488782E-3</c:v>
                </c:pt>
                <c:pt idx="175">
                  <c:v>1.9448441041120492E-4</c:v>
                </c:pt>
                <c:pt idx="176">
                  <c:v>1.2004501867415708E-4</c:v>
                </c:pt>
                <c:pt idx="177">
                  <c:v>2.0709324868360694E-3</c:v>
                </c:pt>
                <c:pt idx="178">
                  <c:v>1.4387964782513198E-3</c:v>
                </c:pt>
                <c:pt idx="179">
                  <c:v>4.6450959101216691E-3</c:v>
                </c:pt>
                <c:pt idx="180">
                  <c:v>1.7580627766745987E-3</c:v>
                </c:pt>
                <c:pt idx="181">
                  <c:v>1.0790156139933635E-3</c:v>
                </c:pt>
                <c:pt idx="182">
                  <c:v>1.8832833535923081E-3</c:v>
                </c:pt>
                <c:pt idx="183">
                  <c:v>2.4508734929749873E-3</c:v>
                </c:pt>
                <c:pt idx="184">
                  <c:v>1.852410654735677E-3</c:v>
                </c:pt>
                <c:pt idx="185">
                  <c:v>1.5641647108579348E-3</c:v>
                </c:pt>
                <c:pt idx="186">
                  <c:v>1.5594884259148849E-3</c:v>
                </c:pt>
                <c:pt idx="187">
                  <c:v>2.1838970382424597E-3</c:v>
                </c:pt>
                <c:pt idx="188">
                  <c:v>2.25019564038593E-3</c:v>
                </c:pt>
                <c:pt idx="189">
                  <c:v>2.2118839965426097E-3</c:v>
                </c:pt>
                <c:pt idx="190">
                  <c:v>9.5150174980528676E-4</c:v>
                </c:pt>
                <c:pt idx="191">
                  <c:v>1.7516389250097819E-3</c:v>
                </c:pt>
                <c:pt idx="192">
                  <c:v>2.067497539937548E-3</c:v>
                </c:pt>
                <c:pt idx="193">
                  <c:v>6.8243865316366774E-4</c:v>
                </c:pt>
                <c:pt idx="194">
                  <c:v>1.5242691465290717E-4</c:v>
                </c:pt>
                <c:pt idx="195">
                  <c:v>7.2164448242339823E-4</c:v>
                </c:pt>
                <c:pt idx="196">
                  <c:v>6.2297718886552937E-4</c:v>
                </c:pt>
                <c:pt idx="197">
                  <c:v>1.7844965475914329E-3</c:v>
                </c:pt>
                <c:pt idx="198">
                  <c:v>1.9776348056350711E-3</c:v>
                </c:pt>
                <c:pt idx="199">
                  <c:v>1.8665161937309822E-4</c:v>
                </c:pt>
                <c:pt idx="200">
                  <c:v>2.561622483062664E-3</c:v>
                </c:pt>
                <c:pt idx="201">
                  <c:v>1.6138737946756101E-3</c:v>
                </c:pt>
                <c:pt idx="202">
                  <c:v>2.1632499454531679E-3</c:v>
                </c:pt>
                <c:pt idx="203">
                  <c:v>2.0197360023128095E-3</c:v>
                </c:pt>
                <c:pt idx="204">
                  <c:v>4.5952355367580842E-4</c:v>
                </c:pt>
                <c:pt idx="205">
                  <c:v>7.2638925262109258E-4</c:v>
                </c:pt>
                <c:pt idx="206">
                  <c:v>8.216832532706381E-4</c:v>
                </c:pt>
                <c:pt idx="207">
                  <c:v>1.999354783838433E-3</c:v>
                </c:pt>
                <c:pt idx="208">
                  <c:v>1.4522715281592958E-3</c:v>
                </c:pt>
                <c:pt idx="209">
                  <c:v>9.0274492797195744E-4</c:v>
                </c:pt>
                <c:pt idx="210">
                  <c:v>1.8836654335521678E-3</c:v>
                </c:pt>
                <c:pt idx="211">
                  <c:v>1.818269875903051E-3</c:v>
                </c:pt>
                <c:pt idx="212">
                  <c:v>1.5921973486305173E-3</c:v>
                </c:pt>
                <c:pt idx="213">
                  <c:v>1.4836846830432572E-3</c:v>
                </c:pt>
                <c:pt idx="214">
                  <c:v>6.9229145159335542E-4</c:v>
                </c:pt>
                <c:pt idx="215">
                  <c:v>1.0673773326953555E-4</c:v>
                </c:pt>
                <c:pt idx="216">
                  <c:v>2.7040098084492796E-3</c:v>
                </c:pt>
                <c:pt idx="217">
                  <c:v>1.2344613319645191E-3</c:v>
                </c:pt>
                <c:pt idx="218">
                  <c:v>2.5557299484320469E-3</c:v>
                </c:pt>
                <c:pt idx="219">
                  <c:v>3.3589306225470998E-3</c:v>
                </c:pt>
                <c:pt idx="220">
                  <c:v>1.1835074494287807E-3</c:v>
                </c:pt>
                <c:pt idx="221">
                  <c:v>1.3919422450956913E-3</c:v>
                </c:pt>
                <c:pt idx="222">
                  <c:v>1.2393269112990798E-3</c:v>
                </c:pt>
                <c:pt idx="223">
                  <c:v>7.9729091459112254E-4</c:v>
                </c:pt>
                <c:pt idx="224">
                  <c:v>1.3895015189099135E-3</c:v>
                </c:pt>
                <c:pt idx="225">
                  <c:v>9.9986080460104593E-4</c:v>
                </c:pt>
                <c:pt idx="226">
                  <c:v>2.1936594703552189E-3</c:v>
                </c:pt>
                <c:pt idx="227">
                  <c:v>1.6708719754918925E-3</c:v>
                </c:pt>
                <c:pt idx="228">
                  <c:v>1.1874019206731575E-3</c:v>
                </c:pt>
                <c:pt idx="229">
                  <c:v>1.8319020993178242E-3</c:v>
                </c:pt>
                <c:pt idx="230">
                  <c:v>1.2281218789836712E-3</c:v>
                </c:pt>
                <c:pt idx="231">
                  <c:v>6.2834236679307307E-4</c:v>
                </c:pt>
                <c:pt idx="232">
                  <c:v>1.0221200699612198E-3</c:v>
                </c:pt>
                <c:pt idx="233">
                  <c:v>3.099075172735272E-3</c:v>
                </c:pt>
                <c:pt idx="234">
                  <c:v>1.3817803685745589E-3</c:v>
                </c:pt>
                <c:pt idx="235">
                  <c:v>1.037236917298537E-3</c:v>
                </c:pt>
                <c:pt idx="236">
                  <c:v>8.6326496900001844E-5</c:v>
                </c:pt>
                <c:pt idx="237">
                  <c:v>5.1781137687210033E-6</c:v>
                </c:pt>
                <c:pt idx="238">
                  <c:v>7.5311222231446557E-4</c:v>
                </c:pt>
                <c:pt idx="239">
                  <c:v>6.7710850279055794E-4</c:v>
                </c:pt>
                <c:pt idx="240">
                  <c:v>1.4691691810269805E-3</c:v>
                </c:pt>
                <c:pt idx="241">
                  <c:v>1.3835602758528623E-3</c:v>
                </c:pt>
                <c:pt idx="242">
                  <c:v>1.0043013511214544E-3</c:v>
                </c:pt>
                <c:pt idx="243">
                  <c:v>2.6381788332383916E-3</c:v>
                </c:pt>
                <c:pt idx="244">
                  <c:v>9.8098446884274204E-4</c:v>
                </c:pt>
                <c:pt idx="245">
                  <c:v>1.5980863920487184E-3</c:v>
                </c:pt>
                <c:pt idx="246">
                  <c:v>2.522712679662735E-4</c:v>
                </c:pt>
                <c:pt idx="247">
                  <c:v>9.9420984426932049E-4</c:v>
                </c:pt>
                <c:pt idx="248">
                  <c:v>2.2738871905572632E-3</c:v>
                </c:pt>
                <c:pt idx="249">
                  <c:v>1.8944575676726352E-3</c:v>
                </c:pt>
                <c:pt idx="250">
                  <c:v>1.4953040118157396E-3</c:v>
                </c:pt>
                <c:pt idx="251">
                  <c:v>2.0625154636130167E-4</c:v>
                </c:pt>
                <c:pt idx="252">
                  <c:v>1.3546862604011361E-3</c:v>
                </c:pt>
                <c:pt idx="253">
                  <c:v>1.9587091492391769E-3</c:v>
                </c:pt>
                <c:pt idx="254">
                  <c:v>9.6832427680536607E-4</c:v>
                </c:pt>
                <c:pt idx="255">
                  <c:v>2.0970703073550034E-3</c:v>
                </c:pt>
                <c:pt idx="256">
                  <c:v>1.2500511828245273E-3</c:v>
                </c:pt>
                <c:pt idx="257">
                  <c:v>1.9772567614680004E-3</c:v>
                </c:pt>
                <c:pt idx="258">
                  <c:v>6.9934531102609776E-4</c:v>
                </c:pt>
                <c:pt idx="259">
                  <c:v>1.1859692359259403E-3</c:v>
                </c:pt>
                <c:pt idx="260">
                  <c:v>1.8472262326121522E-3</c:v>
                </c:pt>
                <c:pt idx="261">
                  <c:v>6.8848066609009074E-4</c:v>
                </c:pt>
                <c:pt idx="262">
                  <c:v>6.3968859784196855E-4</c:v>
                </c:pt>
                <c:pt idx="263">
                  <c:v>2.4591274243240041E-3</c:v>
                </c:pt>
                <c:pt idx="264">
                  <c:v>1.4828961197880604E-3</c:v>
                </c:pt>
                <c:pt idx="265">
                  <c:v>1.7918565468494436E-3</c:v>
                </c:pt>
                <c:pt idx="266">
                  <c:v>1.1159814969785564E-3</c:v>
                </c:pt>
                <c:pt idx="267">
                  <c:v>1.8290569672990249E-3</c:v>
                </c:pt>
                <c:pt idx="268">
                  <c:v>9.663967705406041E-4</c:v>
                </c:pt>
                <c:pt idx="269">
                  <c:v>1.3088980216537384E-3</c:v>
                </c:pt>
                <c:pt idx="270">
                  <c:v>1.4166054929246996E-3</c:v>
                </c:pt>
                <c:pt idx="271">
                  <c:v>2.6710847021442366E-3</c:v>
                </c:pt>
                <c:pt idx="272">
                  <c:v>3.7601343725443412E-4</c:v>
                </c:pt>
                <c:pt idx="273">
                  <c:v>9.9372360858146058E-4</c:v>
                </c:pt>
                <c:pt idx="274">
                  <c:v>1.1440204612378434E-3</c:v>
                </c:pt>
                <c:pt idx="275">
                  <c:v>1.5792880447673995E-3</c:v>
                </c:pt>
                <c:pt idx="276">
                  <c:v>9.2204490047231803E-4</c:v>
                </c:pt>
                <c:pt idx="277">
                  <c:v>9.7997539028166431E-4</c:v>
                </c:pt>
                <c:pt idx="278">
                  <c:v>1.0880984919179959E-3</c:v>
                </c:pt>
                <c:pt idx="279">
                  <c:v>1.5141865360317015E-3</c:v>
                </c:pt>
                <c:pt idx="280">
                  <c:v>9.8530286636117612E-4</c:v>
                </c:pt>
                <c:pt idx="281">
                  <c:v>2.6069082269779306E-3</c:v>
                </c:pt>
                <c:pt idx="282">
                  <c:v>1.0763681993544162E-4</c:v>
                </c:pt>
                <c:pt idx="283">
                  <c:v>1.266811493691208E-3</c:v>
                </c:pt>
                <c:pt idx="284">
                  <c:v>7.6265252519299473E-4</c:v>
                </c:pt>
                <c:pt idx="285">
                  <c:v>1.1526767208558941E-3</c:v>
                </c:pt>
                <c:pt idx="286">
                  <c:v>1.0627838653481333E-3</c:v>
                </c:pt>
                <c:pt idx="287">
                  <c:v>2.3315391031799031E-3</c:v>
                </c:pt>
                <c:pt idx="288">
                  <c:v>2.0831387916006735E-3</c:v>
                </c:pt>
                <c:pt idx="289">
                  <c:v>1.9907764745034527E-3</c:v>
                </c:pt>
                <c:pt idx="290">
                  <c:v>2.2924989115060486E-3</c:v>
                </c:pt>
                <c:pt idx="291">
                  <c:v>1.2321540393020746E-4</c:v>
                </c:pt>
                <c:pt idx="292">
                  <c:v>3.1347548894547217E-3</c:v>
                </c:pt>
                <c:pt idx="293">
                  <c:v>9.3057977745856937E-4</c:v>
                </c:pt>
                <c:pt idx="294">
                  <c:v>5.1834398942490962E-4</c:v>
                </c:pt>
                <c:pt idx="295">
                  <c:v>1.9489402081661188E-3</c:v>
                </c:pt>
                <c:pt idx="296">
                  <c:v>2.4800906936066516E-3</c:v>
                </c:pt>
                <c:pt idx="297">
                  <c:v>4.1269937566282408E-3</c:v>
                </c:pt>
                <c:pt idx="298">
                  <c:v>1.2503056261122085E-3</c:v>
                </c:pt>
                <c:pt idx="299">
                  <c:v>2.5281662179402991E-3</c:v>
                </c:pt>
                <c:pt idx="300">
                  <c:v>4.531345768970785E-4</c:v>
                </c:pt>
                <c:pt idx="301">
                  <c:v>7.8068902985388075E-4</c:v>
                </c:pt>
                <c:pt idx="302">
                  <c:v>2.9716577767143696E-4</c:v>
                </c:pt>
                <c:pt idx="303">
                  <c:v>1.9363681728729537E-3</c:v>
                </c:pt>
                <c:pt idx="304">
                  <c:v>1.5672836166011484E-3</c:v>
                </c:pt>
                <c:pt idx="305">
                  <c:v>5.0910932630460872E-3</c:v>
                </c:pt>
                <c:pt idx="306">
                  <c:v>1.6226056133674877E-3</c:v>
                </c:pt>
                <c:pt idx="307">
                  <c:v>1.6031839732063165E-3</c:v>
                </c:pt>
                <c:pt idx="308">
                  <c:v>8.4260991376833446E-4</c:v>
                </c:pt>
                <c:pt idx="309">
                  <c:v>6.2344505507785409E-4</c:v>
                </c:pt>
                <c:pt idx="310">
                  <c:v>2.3906956462812099E-3</c:v>
                </c:pt>
                <c:pt idx="311">
                  <c:v>1.1287042926698646E-3</c:v>
                </c:pt>
                <c:pt idx="312">
                  <c:v>1.6497064703795675E-3</c:v>
                </c:pt>
                <c:pt idx="313">
                  <c:v>6.8130075569470877E-4</c:v>
                </c:pt>
                <c:pt idx="314">
                  <c:v>1.4503102324051253E-3</c:v>
                </c:pt>
                <c:pt idx="315">
                  <c:v>8.2231251289834582E-4</c:v>
                </c:pt>
                <c:pt idx="316">
                  <c:v>1.8095931850302084E-3</c:v>
                </c:pt>
                <c:pt idx="317">
                  <c:v>8.6676333050504119E-4</c:v>
                </c:pt>
                <c:pt idx="318">
                  <c:v>1.7860386637608969E-3</c:v>
                </c:pt>
                <c:pt idx="319">
                  <c:v>3.3142651151229553E-3</c:v>
                </c:pt>
                <c:pt idx="320">
                  <c:v>1.8367512133188894E-3</c:v>
                </c:pt>
                <c:pt idx="321">
                  <c:v>6.9934531102609776E-4</c:v>
                </c:pt>
                <c:pt idx="322">
                  <c:v>1.4548092577724421E-3</c:v>
                </c:pt>
                <c:pt idx="323">
                  <c:v>1.4308007204383308E-3</c:v>
                </c:pt>
                <c:pt idx="324">
                  <c:v>3.066401753745441E-4</c:v>
                </c:pt>
                <c:pt idx="325">
                  <c:v>1.8108346330725741E-3</c:v>
                </c:pt>
                <c:pt idx="326">
                  <c:v>1.8453189822675356E-3</c:v>
                </c:pt>
                <c:pt idx="327">
                  <c:v>2.0274706889447411E-3</c:v>
                </c:pt>
                <c:pt idx="328">
                  <c:v>5.6022475756117884E-4</c:v>
                </c:pt>
                <c:pt idx="329">
                  <c:v>1.4493063893046265E-3</c:v>
                </c:pt>
                <c:pt idx="330">
                  <c:v>4.32431687531054E-4</c:v>
                </c:pt>
                <c:pt idx="331">
                  <c:v>2.3805731127188143E-3</c:v>
                </c:pt>
                <c:pt idx="332">
                  <c:v>8.00922142835682E-4</c:v>
                </c:pt>
                <c:pt idx="333">
                  <c:v>7.0566107695104417E-4</c:v>
                </c:pt>
                <c:pt idx="334">
                  <c:v>1.7032488247577689E-3</c:v>
                </c:pt>
                <c:pt idx="335">
                  <c:v>2.0896862746392643E-3</c:v>
                </c:pt>
                <c:pt idx="336">
                  <c:v>1.266246876788878E-3</c:v>
                </c:pt>
                <c:pt idx="337">
                  <c:v>1.0765561108893112E-3</c:v>
                </c:pt>
                <c:pt idx="338">
                  <c:v>2.456361491204804E-3</c:v>
                </c:pt>
                <c:pt idx="339">
                  <c:v>1.2330406826546484E-3</c:v>
                </c:pt>
                <c:pt idx="340">
                  <c:v>2.5833272860504553E-3</c:v>
                </c:pt>
                <c:pt idx="341">
                  <c:v>2.0586567072589414E-3</c:v>
                </c:pt>
                <c:pt idx="342">
                  <c:v>1.0221561867521261E-3</c:v>
                </c:pt>
                <c:pt idx="343">
                  <c:v>1.4307805427420687E-3</c:v>
                </c:pt>
                <c:pt idx="344">
                  <c:v>9.2728194721971603E-4</c:v>
                </c:pt>
                <c:pt idx="345">
                  <c:v>2.4556763634013233E-3</c:v>
                </c:pt>
                <c:pt idx="346">
                  <c:v>2.4150486219842488E-3</c:v>
                </c:pt>
                <c:pt idx="347">
                  <c:v>7.1693505712553264E-4</c:v>
                </c:pt>
                <c:pt idx="348">
                  <c:v>1.4877412654913289E-3</c:v>
                </c:pt>
                <c:pt idx="349">
                  <c:v>1.6676695878314639E-3</c:v>
                </c:pt>
                <c:pt idx="350">
                  <c:v>1.4882092433911344E-3</c:v>
                </c:pt>
                <c:pt idx="351">
                  <c:v>1.1929652163971622E-3</c:v>
                </c:pt>
                <c:pt idx="352">
                  <c:v>1.4466001543210645E-3</c:v>
                </c:pt>
                <c:pt idx="353">
                  <c:v>1.7133549928059822E-3</c:v>
                </c:pt>
                <c:pt idx="354">
                  <c:v>2.5553148510806872E-3</c:v>
                </c:pt>
                <c:pt idx="355">
                  <c:v>1.2056736275955547E-3</c:v>
                </c:pt>
                <c:pt idx="356">
                  <c:v>3.1565835153885358E-3</c:v>
                </c:pt>
                <c:pt idx="357">
                  <c:v>1.1676669897209132E-3</c:v>
                </c:pt>
                <c:pt idx="358">
                  <c:v>1.8828527604548785E-3</c:v>
                </c:pt>
                <c:pt idx="359">
                  <c:v>7.4760124070403524E-4</c:v>
                </c:pt>
                <c:pt idx="360">
                  <c:v>9.4919217394983063E-4</c:v>
                </c:pt>
                <c:pt idx="361">
                  <c:v>1.178711330848125E-3</c:v>
                </c:pt>
                <c:pt idx="362">
                  <c:v>1.9209084415026329E-3</c:v>
                </c:pt>
                <c:pt idx="363">
                  <c:v>3.5098568623427961E-3</c:v>
                </c:pt>
                <c:pt idx="364">
                  <c:v>1.0344733382422944E-3</c:v>
                </c:pt>
                <c:pt idx="365">
                  <c:v>4.3014904886000266E-3</c:v>
                </c:pt>
                <c:pt idx="366">
                  <c:v>6.5832418461601741E-4</c:v>
                </c:pt>
                <c:pt idx="367">
                  <c:v>2.3623244039936934E-3</c:v>
                </c:pt>
                <c:pt idx="368">
                  <c:v>3.5361966837615483E-4</c:v>
                </c:pt>
                <c:pt idx="369">
                  <c:v>3.4172823831332779E-3</c:v>
                </c:pt>
                <c:pt idx="370">
                  <c:v>5.0450977828482568E-4</c:v>
                </c:pt>
                <c:pt idx="371">
                  <c:v>1.0490183493181279E-3</c:v>
                </c:pt>
                <c:pt idx="372">
                  <c:v>1.1408915706667862E-3</c:v>
                </c:pt>
                <c:pt idx="373">
                  <c:v>2.4576076790735124E-3</c:v>
                </c:pt>
                <c:pt idx="374">
                  <c:v>1.364345053434598E-3</c:v>
                </c:pt>
                <c:pt idx="375">
                  <c:v>2.2129294682610616E-3</c:v>
                </c:pt>
                <c:pt idx="376">
                  <c:v>7.5032292628956858E-4</c:v>
                </c:pt>
                <c:pt idx="377">
                  <c:v>9.1452848364951243E-4</c:v>
                </c:pt>
                <c:pt idx="378">
                  <c:v>2.7867945591535199E-3</c:v>
                </c:pt>
                <c:pt idx="379">
                  <c:v>2.7256218319409828E-3</c:v>
                </c:pt>
                <c:pt idx="380">
                  <c:v>8.0038092415786488E-4</c:v>
                </c:pt>
                <c:pt idx="381">
                  <c:v>1.3663664453849498E-3</c:v>
                </c:pt>
                <c:pt idx="382">
                  <c:v>8.441008478131171E-4</c:v>
                </c:pt>
                <c:pt idx="383">
                  <c:v>1.5040704162111041E-6</c:v>
                </c:pt>
                <c:pt idx="384">
                  <c:v>7.8773821771288533E-4</c:v>
                </c:pt>
                <c:pt idx="385">
                  <c:v>3.7896251863727678E-4</c:v>
                </c:pt>
                <c:pt idx="386">
                  <c:v>1.7593402879669722E-3</c:v>
                </c:pt>
                <c:pt idx="387">
                  <c:v>1.5600780015197564E-3</c:v>
                </c:pt>
                <c:pt idx="388">
                  <c:v>4.5769892181829223E-3</c:v>
                </c:pt>
                <c:pt idx="389">
                  <c:v>1.3512162074714377E-3</c:v>
                </c:pt>
                <c:pt idx="390">
                  <c:v>2.0045140528866101E-4</c:v>
                </c:pt>
                <c:pt idx="391">
                  <c:v>1.5172864742822904E-3</c:v>
                </c:pt>
                <c:pt idx="392">
                  <c:v>5.7392662011016612E-4</c:v>
                </c:pt>
                <c:pt idx="393">
                  <c:v>1.9366485536107321E-3</c:v>
                </c:pt>
                <c:pt idx="394">
                  <c:v>2.8451240220922274E-3</c:v>
                </c:pt>
                <c:pt idx="395">
                  <c:v>2.9878169044149669E-3</c:v>
                </c:pt>
                <c:pt idx="396">
                  <c:v>1.0371880030629517E-3</c:v>
                </c:pt>
                <c:pt idx="397">
                  <c:v>8.4163114564572933E-4</c:v>
                </c:pt>
                <c:pt idx="398">
                  <c:v>2.2223082751876852E-3</c:v>
                </c:pt>
                <c:pt idx="399">
                  <c:v>1.6758914147299972E-3</c:v>
                </c:pt>
                <c:pt idx="400">
                  <c:v>2.2289394978461095E-3</c:v>
                </c:pt>
                <c:pt idx="401">
                  <c:v>1.7467039445429548E-3</c:v>
                </c:pt>
                <c:pt idx="402">
                  <c:v>1.6997121108903279E-3</c:v>
                </c:pt>
                <c:pt idx="403">
                  <c:v>7.4420717741803316E-4</c:v>
                </c:pt>
                <c:pt idx="404">
                  <c:v>1.6453190302720502E-3</c:v>
                </c:pt>
                <c:pt idx="405">
                  <c:v>1.2330011428138235E-3</c:v>
                </c:pt>
                <c:pt idx="406">
                  <c:v>1.1297116562729271E-3</c:v>
                </c:pt>
                <c:pt idx="407">
                  <c:v>1.5448430437995774E-3</c:v>
                </c:pt>
                <c:pt idx="408">
                  <c:v>1.8104583050983728E-3</c:v>
                </c:pt>
                <c:pt idx="409">
                  <c:v>2.6494252838710061E-3</c:v>
                </c:pt>
                <c:pt idx="410">
                  <c:v>2.0375283062955551E-3</c:v>
                </c:pt>
                <c:pt idx="411">
                  <c:v>1.0413940648475442E-3</c:v>
                </c:pt>
                <c:pt idx="412">
                  <c:v>7.9769503253432925E-4</c:v>
                </c:pt>
                <c:pt idx="413">
                  <c:v>1.4620791265190648E-3</c:v>
                </c:pt>
                <c:pt idx="414">
                  <c:v>4.3520774532817522E-4</c:v>
                </c:pt>
                <c:pt idx="415">
                  <c:v>1.33787639415248E-3</c:v>
                </c:pt>
                <c:pt idx="416">
                  <c:v>8.8712029306550961E-4</c:v>
                </c:pt>
                <c:pt idx="417">
                  <c:v>1.5372152911969432E-4</c:v>
                </c:pt>
                <c:pt idx="418">
                  <c:v>1.6557376276132246E-3</c:v>
                </c:pt>
                <c:pt idx="419">
                  <c:v>5.1743853124063661E-4</c:v>
                </c:pt>
                <c:pt idx="420">
                  <c:v>2.057800133678029E-3</c:v>
                </c:pt>
                <c:pt idx="421">
                  <c:v>1.3986906220521955E-3</c:v>
                </c:pt>
                <c:pt idx="422">
                  <c:v>1.08609967048553E-3</c:v>
                </c:pt>
                <c:pt idx="423">
                  <c:v>1.2627240376432175E-4</c:v>
                </c:pt>
                <c:pt idx="424">
                  <c:v>1.534375510860249E-3</c:v>
                </c:pt>
                <c:pt idx="425">
                  <c:v>1.6267525668120964E-3</c:v>
                </c:pt>
                <c:pt idx="426">
                  <c:v>1.5520491345140186E-3</c:v>
                </c:pt>
                <c:pt idx="427">
                  <c:v>9.1794531304502478E-4</c:v>
                </c:pt>
                <c:pt idx="428">
                  <c:v>1.6055971486838862E-3</c:v>
                </c:pt>
                <c:pt idx="429">
                  <c:v>1.2631941101209183E-3</c:v>
                </c:pt>
                <c:pt idx="430">
                  <c:v>1.5816097122218504E-3</c:v>
                </c:pt>
                <c:pt idx="431">
                  <c:v>2.6291486538712553E-3</c:v>
                </c:pt>
                <c:pt idx="432">
                  <c:v>3.1336712002945966E-3</c:v>
                </c:pt>
                <c:pt idx="433">
                  <c:v>1.3453046986003688E-3</c:v>
                </c:pt>
                <c:pt idx="434">
                  <c:v>9.4712567010745525E-4</c:v>
                </c:pt>
                <c:pt idx="435">
                  <c:v>7.7014042980161151E-4</c:v>
                </c:pt>
                <c:pt idx="436">
                  <c:v>1.2982790044099659E-3</c:v>
                </c:pt>
                <c:pt idx="437">
                  <c:v>1.6236902315022244E-3</c:v>
                </c:pt>
                <c:pt idx="438">
                  <c:v>1.7989339493120126E-3</c:v>
                </c:pt>
                <c:pt idx="439">
                  <c:v>2.9460793245449858E-3</c:v>
                </c:pt>
                <c:pt idx="440">
                  <c:v>1.2861779444426711E-3</c:v>
                </c:pt>
                <c:pt idx="441">
                  <c:v>1.5453752914323584E-3</c:v>
                </c:pt>
                <c:pt idx="442">
                  <c:v>1.0940291466712414E-3</c:v>
                </c:pt>
                <c:pt idx="443">
                  <c:v>2.6552074914936189E-3</c:v>
                </c:pt>
                <c:pt idx="444">
                  <c:v>6.0165222139853508E-4</c:v>
                </c:pt>
                <c:pt idx="445">
                  <c:v>1.3770818956090299E-3</c:v>
                </c:pt>
                <c:pt idx="446">
                  <c:v>1.2629078204108425E-3</c:v>
                </c:pt>
                <c:pt idx="447">
                  <c:v>7.2679011003973096E-4</c:v>
                </c:pt>
                <c:pt idx="448">
                  <c:v>1.2716322659779139E-3</c:v>
                </c:pt>
                <c:pt idx="449">
                  <c:v>2.1130992759316796E-3</c:v>
                </c:pt>
                <c:pt idx="450">
                  <c:v>5.0526754631870315E-5</c:v>
                </c:pt>
                <c:pt idx="451">
                  <c:v>2.452452891464708E-3</c:v>
                </c:pt>
                <c:pt idx="452">
                  <c:v>4.8180072219132752E-4</c:v>
                </c:pt>
                <c:pt idx="453">
                  <c:v>2.9303987591541222E-3</c:v>
                </c:pt>
                <c:pt idx="454">
                  <c:v>1.5158102827036669E-3</c:v>
                </c:pt>
                <c:pt idx="455">
                  <c:v>1.0975336164482739E-3</c:v>
                </c:pt>
                <c:pt idx="456">
                  <c:v>1.1665421647025977E-3</c:v>
                </c:pt>
                <c:pt idx="457">
                  <c:v>3.9222864888453562E-4</c:v>
                </c:pt>
                <c:pt idx="458">
                  <c:v>7.2253342293772469E-4</c:v>
                </c:pt>
                <c:pt idx="459">
                  <c:v>1.2417317094581084E-3</c:v>
                </c:pt>
                <c:pt idx="460">
                  <c:v>3.4658317582169604E-4</c:v>
                </c:pt>
                <c:pt idx="461">
                  <c:v>8.2548058192567363E-4</c:v>
                </c:pt>
                <c:pt idx="462">
                  <c:v>4.1370908715067487E-4</c:v>
                </c:pt>
                <c:pt idx="463">
                  <c:v>1.4566385932371128E-3</c:v>
                </c:pt>
                <c:pt idx="464">
                  <c:v>2.3132191057017078E-3</c:v>
                </c:pt>
                <c:pt idx="465">
                  <c:v>1.4317558513957497E-4</c:v>
                </c:pt>
                <c:pt idx="466">
                  <c:v>6.7915136875968296E-4</c:v>
                </c:pt>
                <c:pt idx="467">
                  <c:v>1.366898609417252E-3</c:v>
                </c:pt>
                <c:pt idx="468">
                  <c:v>2.2594233125458542E-3</c:v>
                </c:pt>
                <c:pt idx="469">
                  <c:v>1.0366360920322549E-3</c:v>
                </c:pt>
                <c:pt idx="470">
                  <c:v>5.9731351653085653E-4</c:v>
                </c:pt>
                <c:pt idx="471">
                  <c:v>4.409629758166273E-4</c:v>
                </c:pt>
                <c:pt idx="472">
                  <c:v>1.0183700202399161E-3</c:v>
                </c:pt>
                <c:pt idx="473">
                  <c:v>4.9697144120999174E-4</c:v>
                </c:pt>
                <c:pt idx="474">
                  <c:v>1.5676548917442853E-3</c:v>
                </c:pt>
                <c:pt idx="475">
                  <c:v>1.7613632518899513E-3</c:v>
                </c:pt>
                <c:pt idx="476">
                  <c:v>2.2019660152202917E-3</c:v>
                </c:pt>
                <c:pt idx="477">
                  <c:v>1.7736518381051745E-3</c:v>
                </c:pt>
                <c:pt idx="478">
                  <c:v>1.2066367727129957E-3</c:v>
                </c:pt>
                <c:pt idx="479">
                  <c:v>2.6097036362009232E-3</c:v>
                </c:pt>
                <c:pt idx="480">
                  <c:v>1.5924123813612402E-3</c:v>
                </c:pt>
                <c:pt idx="481">
                  <c:v>1.412290843103558E-3</c:v>
                </c:pt>
                <c:pt idx="482">
                  <c:v>4.99844529871639E-5</c:v>
                </c:pt>
                <c:pt idx="483">
                  <c:v>1.9391484435501453E-5</c:v>
                </c:pt>
                <c:pt idx="484">
                  <c:v>2.0151855483134017E-3</c:v>
                </c:pt>
                <c:pt idx="485">
                  <c:v>1.0584939568117808E-3</c:v>
                </c:pt>
                <c:pt idx="486">
                  <c:v>1.9125741147187072E-3</c:v>
                </c:pt>
                <c:pt idx="487">
                  <c:v>1.143114642126142E-3</c:v>
                </c:pt>
                <c:pt idx="488">
                  <c:v>6.4250769911445996E-4</c:v>
                </c:pt>
                <c:pt idx="489">
                  <c:v>2.1517265188980609E-3</c:v>
                </c:pt>
                <c:pt idx="490">
                  <c:v>2.1928257200041117E-3</c:v>
                </c:pt>
                <c:pt idx="491">
                  <c:v>1.1954786555576191E-3</c:v>
                </c:pt>
                <c:pt idx="492">
                  <c:v>2.2594233125458542E-3</c:v>
                </c:pt>
                <c:pt idx="493">
                  <c:v>8.6254428308314492E-5</c:v>
                </c:pt>
                <c:pt idx="494">
                  <c:v>1.1124533664373468E-3</c:v>
                </c:pt>
                <c:pt idx="495">
                  <c:v>1.2787492045871955E-3</c:v>
                </c:pt>
                <c:pt idx="496">
                  <c:v>1.4350045645014373E-4</c:v>
                </c:pt>
                <c:pt idx="497">
                  <c:v>2.6759780983936585E-3</c:v>
                </c:pt>
                <c:pt idx="498">
                  <c:v>6.3980452260375725E-4</c:v>
                </c:pt>
                <c:pt idx="499">
                  <c:v>1.9801372720380192E-3</c:v>
                </c:pt>
                <c:pt idx="500">
                  <c:v>1.7798186393856534E-3</c:v>
                </c:pt>
                <c:pt idx="501">
                  <c:v>1.0940003444260455E-3</c:v>
                </c:pt>
                <c:pt idx="502">
                  <c:v>1.11603491676765E-3</c:v>
                </c:pt>
                <c:pt idx="503">
                  <c:v>1.1629921571647622E-3</c:v>
                </c:pt>
                <c:pt idx="504">
                  <c:v>8.0454520793031103E-4</c:v>
                </c:pt>
                <c:pt idx="505">
                  <c:v>5.1430246113888739E-4</c:v>
                </c:pt>
                <c:pt idx="506">
                  <c:v>3.4176233496554008E-3</c:v>
                </c:pt>
                <c:pt idx="507">
                  <c:v>3.0083082587812507E-3</c:v>
                </c:pt>
                <c:pt idx="508">
                  <c:v>8.9301258450014587E-4</c:v>
                </c:pt>
                <c:pt idx="509">
                  <c:v>1.9049248596662834E-3</c:v>
                </c:pt>
                <c:pt idx="510">
                  <c:v>2.0408050604642626E-3</c:v>
                </c:pt>
                <c:pt idx="511">
                  <c:v>7.8418707025182605E-4</c:v>
                </c:pt>
                <c:pt idx="512">
                  <c:v>1.3960415944455349E-3</c:v>
                </c:pt>
                <c:pt idx="513">
                  <c:v>1.5158744201015459E-4</c:v>
                </c:pt>
                <c:pt idx="514">
                  <c:v>1.758389878806019E-3</c:v>
                </c:pt>
                <c:pt idx="515">
                  <c:v>1.1995693568212047E-3</c:v>
                </c:pt>
                <c:pt idx="516">
                  <c:v>1.1336917901301133E-3</c:v>
                </c:pt>
                <c:pt idx="517">
                  <c:v>1.2898041113461347E-3</c:v>
                </c:pt>
                <c:pt idx="518">
                  <c:v>1.6737136217756358E-3</c:v>
                </c:pt>
                <c:pt idx="519">
                  <c:v>7.0495734871097663E-4</c:v>
                </c:pt>
                <c:pt idx="520">
                  <c:v>9.0506449139425983E-4</c:v>
                </c:pt>
                <c:pt idx="521">
                  <c:v>1.7147361984993701E-4</c:v>
                </c:pt>
                <c:pt idx="522">
                  <c:v>1.1986091678556185E-3</c:v>
                </c:pt>
                <c:pt idx="523">
                  <c:v>1.5881418004151265E-3</c:v>
                </c:pt>
                <c:pt idx="524">
                  <c:v>2.2263032287186577E-4</c:v>
                </c:pt>
                <c:pt idx="525">
                  <c:v>1.8988229763858549E-3</c:v>
                </c:pt>
                <c:pt idx="526">
                  <c:v>1.1207255226062369E-3</c:v>
                </c:pt>
                <c:pt idx="527">
                  <c:v>2.0431225745847618E-3</c:v>
                </c:pt>
                <c:pt idx="528">
                  <c:v>1.8417522753570383E-3</c:v>
                </c:pt>
                <c:pt idx="529">
                  <c:v>2.543452193132126E-3</c:v>
                </c:pt>
                <c:pt idx="530">
                  <c:v>8.0337430708301454E-4</c:v>
                </c:pt>
                <c:pt idx="531">
                  <c:v>1.6676695878314639E-3</c:v>
                </c:pt>
                <c:pt idx="532">
                  <c:v>1.187953628111285E-3</c:v>
                </c:pt>
                <c:pt idx="533">
                  <c:v>4.3294353184578482E-3</c:v>
                </c:pt>
                <c:pt idx="534">
                  <c:v>3.8982871030393447E-3</c:v>
                </c:pt>
                <c:pt idx="535">
                  <c:v>3.140714044512547E-3</c:v>
                </c:pt>
                <c:pt idx="536">
                  <c:v>1.4729551543504562E-3</c:v>
                </c:pt>
                <c:pt idx="537">
                  <c:v>9.2901974948471073E-4</c:v>
                </c:pt>
                <c:pt idx="538">
                  <c:v>1.5553272924701848E-3</c:v>
                </c:pt>
                <c:pt idx="539">
                  <c:v>2.0817306126104727E-3</c:v>
                </c:pt>
                <c:pt idx="540">
                  <c:v>1.9838516806935454E-3</c:v>
                </c:pt>
                <c:pt idx="541">
                  <c:v>3.0581307819163867E-3</c:v>
                </c:pt>
                <c:pt idx="542">
                  <c:v>2.2833161990234519E-3</c:v>
                </c:pt>
                <c:pt idx="543">
                  <c:v>1.2149982201569074E-3</c:v>
                </c:pt>
                <c:pt idx="544">
                  <c:v>1.8173104510061744E-3</c:v>
                </c:pt>
                <c:pt idx="545">
                  <c:v>2.3729319839809718E-3</c:v>
                </c:pt>
                <c:pt idx="546">
                  <c:v>1.0468887201323933E-3</c:v>
                </c:pt>
                <c:pt idx="547">
                  <c:v>4.947163182912785E-4</c:v>
                </c:pt>
                <c:pt idx="548">
                  <c:v>9.3014183735731424E-4</c:v>
                </c:pt>
                <c:pt idx="549">
                  <c:v>1.8414856295507832E-3</c:v>
                </c:pt>
                <c:pt idx="550">
                  <c:v>1.0221200699612198E-3</c:v>
                </c:pt>
                <c:pt idx="551">
                  <c:v>9.7659907042466857E-4</c:v>
                </c:pt>
                <c:pt idx="552">
                  <c:v>1.0075541514560228E-3</c:v>
                </c:pt>
                <c:pt idx="553">
                  <c:v>1.5789745625351145E-3</c:v>
                </c:pt>
                <c:pt idx="554">
                  <c:v>2.3856496052785106E-3</c:v>
                </c:pt>
                <c:pt idx="555">
                  <c:v>3.0746699872019156E-3</c:v>
                </c:pt>
                <c:pt idx="556">
                  <c:v>2.7688064798372957E-3</c:v>
                </c:pt>
                <c:pt idx="557">
                  <c:v>1.6720620844230827E-3</c:v>
                </c:pt>
                <c:pt idx="558">
                  <c:v>6.2525235177803441E-4</c:v>
                </c:pt>
                <c:pt idx="559">
                  <c:v>1.920359226579823E-3</c:v>
                </c:pt>
                <c:pt idx="560">
                  <c:v>2.5711306692622173E-3</c:v>
                </c:pt>
                <c:pt idx="561">
                  <c:v>1.9072651390531555E-3</c:v>
                </c:pt>
                <c:pt idx="562">
                  <c:v>2.6272966663581135E-3</c:v>
                </c:pt>
                <c:pt idx="563">
                  <c:v>8.4414757447350333E-4</c:v>
                </c:pt>
                <c:pt idx="564">
                  <c:v>2.2594233125458542E-3</c:v>
                </c:pt>
                <c:pt idx="565">
                  <c:v>8.961612504037067E-4</c:v>
                </c:pt>
                <c:pt idx="566">
                  <c:v>2.263224003553536E-4</c:v>
                </c:pt>
                <c:pt idx="567">
                  <c:v>1.188792614600634E-3</c:v>
                </c:pt>
                <c:pt idx="568">
                  <c:v>3.052730371448412E-3</c:v>
                </c:pt>
                <c:pt idx="569">
                  <c:v>1.0850048989338502E-3</c:v>
                </c:pt>
                <c:pt idx="570">
                  <c:v>2.917371841535159E-3</c:v>
                </c:pt>
                <c:pt idx="571">
                  <c:v>1.6698627894121754E-3</c:v>
                </c:pt>
                <c:pt idx="572">
                  <c:v>1.9366485536107321E-3</c:v>
                </c:pt>
                <c:pt idx="573">
                  <c:v>1.9640303746596881E-3</c:v>
                </c:pt>
                <c:pt idx="574">
                  <c:v>1.6397802860435196E-3</c:v>
                </c:pt>
                <c:pt idx="575">
                  <c:v>3.7968061123726719E-5</c:v>
                </c:pt>
                <c:pt idx="576">
                  <c:v>1.5062822083639028E-3</c:v>
                </c:pt>
                <c:pt idx="577">
                  <c:v>7.8656153387764768E-4</c:v>
                </c:pt>
                <c:pt idx="578">
                  <c:v>2.3754834705071652E-3</c:v>
                </c:pt>
                <c:pt idx="579">
                  <c:v>2.8476924892382135E-3</c:v>
                </c:pt>
                <c:pt idx="580">
                  <c:v>9.9849734149906741E-4</c:v>
                </c:pt>
                <c:pt idx="581">
                  <c:v>9.3881852935500949E-4</c:v>
                </c:pt>
                <c:pt idx="582">
                  <c:v>1.0691862806893044E-3</c:v>
                </c:pt>
                <c:pt idx="583">
                  <c:v>2.4208106920134151E-3</c:v>
                </c:pt>
                <c:pt idx="584">
                  <c:v>1.7115216846821995E-3</c:v>
                </c:pt>
                <c:pt idx="585">
                  <c:v>1.1406515128995181E-3</c:v>
                </c:pt>
                <c:pt idx="586">
                  <c:v>1.3547201511424263E-3</c:v>
                </c:pt>
                <c:pt idx="587">
                  <c:v>2.607579695086861E-3</c:v>
                </c:pt>
                <c:pt idx="588">
                  <c:v>1.5147723799035721E-3</c:v>
                </c:pt>
                <c:pt idx="589">
                  <c:v>8.3489867134745792E-4</c:v>
                </c:pt>
                <c:pt idx="590">
                  <c:v>1.5511539697444223E-3</c:v>
                </c:pt>
                <c:pt idx="591">
                  <c:v>1.1536629123639378E-3</c:v>
                </c:pt>
                <c:pt idx="592">
                  <c:v>1.4416965798596075E-3</c:v>
                </c:pt>
                <c:pt idx="593">
                  <c:v>9.2288028607156027E-4</c:v>
                </c:pt>
                <c:pt idx="594">
                  <c:v>5.6180428397912771E-4</c:v>
                </c:pt>
                <c:pt idx="595">
                  <c:v>1.9643054755370047E-3</c:v>
                </c:pt>
                <c:pt idx="596">
                  <c:v>1.7793120119596656E-3</c:v>
                </c:pt>
                <c:pt idx="597">
                  <c:v>1.7214653809873176E-3</c:v>
                </c:pt>
                <c:pt idx="598">
                  <c:v>1.0583445581276349E-3</c:v>
                </c:pt>
                <c:pt idx="599">
                  <c:v>1.9244327709396342E-3</c:v>
                </c:pt>
                <c:pt idx="600">
                  <c:v>1.8839650646760204E-3</c:v>
                </c:pt>
                <c:pt idx="601">
                  <c:v>1.2568173220802073E-3</c:v>
                </c:pt>
                <c:pt idx="602">
                  <c:v>1.3496970485346832E-3</c:v>
                </c:pt>
                <c:pt idx="603">
                  <c:v>1.7835145898871738E-3</c:v>
                </c:pt>
                <c:pt idx="604">
                  <c:v>5.1070402355257892E-3</c:v>
                </c:pt>
                <c:pt idx="605">
                  <c:v>1.3777217048856824E-5</c:v>
                </c:pt>
                <c:pt idx="606">
                  <c:v>1.3913311901432436E-3</c:v>
                </c:pt>
                <c:pt idx="607">
                  <c:v>1.9233226179038593E-3</c:v>
                </c:pt>
                <c:pt idx="608">
                  <c:v>1.3013304101209665E-3</c:v>
                </c:pt>
                <c:pt idx="609">
                  <c:v>8.0693689733780504E-4</c:v>
                </c:pt>
                <c:pt idx="610">
                  <c:v>1.7188008872500893E-3</c:v>
                </c:pt>
                <c:pt idx="611">
                  <c:v>2.0133549035410529E-3</c:v>
                </c:pt>
                <c:pt idx="612">
                  <c:v>1.5600780015197564E-3</c:v>
                </c:pt>
                <c:pt idx="613">
                  <c:v>3.0169166803655279E-3</c:v>
                </c:pt>
                <c:pt idx="614">
                  <c:v>1.3339493144649858E-3</c:v>
                </c:pt>
                <c:pt idx="615">
                  <c:v>6.7168223840495371E-4</c:v>
                </c:pt>
                <c:pt idx="616">
                  <c:v>1.4214120544219862E-3</c:v>
                </c:pt>
                <c:pt idx="617">
                  <c:v>1.543723827899442E-3</c:v>
                </c:pt>
                <c:pt idx="618">
                  <c:v>8.8765317915685262E-4</c:v>
                </c:pt>
                <c:pt idx="619">
                  <c:v>1.3569854922031235E-3</c:v>
                </c:pt>
                <c:pt idx="620">
                  <c:v>2.4943552268314796E-3</c:v>
                </c:pt>
                <c:pt idx="621">
                  <c:v>2.6897896577926838E-3</c:v>
                </c:pt>
                <c:pt idx="622">
                  <c:v>5.0810894198339196E-4</c:v>
                </c:pt>
                <c:pt idx="623">
                  <c:v>7.2092874289690439E-4</c:v>
                </c:pt>
                <c:pt idx="624">
                  <c:v>1.9661390309548854E-3</c:v>
                </c:pt>
                <c:pt idx="625">
                  <c:v>2.373009776526019E-3</c:v>
                </c:pt>
                <c:pt idx="626">
                  <c:v>5.1965596296481581E-5</c:v>
                </c:pt>
                <c:pt idx="627">
                  <c:v>2.7221242926362388E-3</c:v>
                </c:pt>
                <c:pt idx="628">
                  <c:v>2.0142103799001732E-3</c:v>
                </c:pt>
                <c:pt idx="629">
                  <c:v>2.2587317923246147E-3</c:v>
                </c:pt>
                <c:pt idx="630">
                  <c:v>1.3084648166145425E-3</c:v>
                </c:pt>
                <c:pt idx="631">
                  <c:v>6.8158685435039173E-4</c:v>
                </c:pt>
                <c:pt idx="632">
                  <c:v>1.3716215018994343E-3</c:v>
                </c:pt>
                <c:pt idx="633">
                  <c:v>1.0180375759588193E-3</c:v>
                </c:pt>
                <c:pt idx="634">
                  <c:v>2.7257415691996079E-4</c:v>
                </c:pt>
                <c:pt idx="635">
                  <c:v>2.9019112780128958E-3</c:v>
                </c:pt>
                <c:pt idx="636">
                  <c:v>1.9123614890860761E-3</c:v>
                </c:pt>
                <c:pt idx="637">
                  <c:v>1.4198806480747598E-3</c:v>
                </c:pt>
                <c:pt idx="638">
                  <c:v>1.4235788888124525E-3</c:v>
                </c:pt>
                <c:pt idx="639">
                  <c:v>1.2373032425846344E-3</c:v>
                </c:pt>
                <c:pt idx="640">
                  <c:v>1.1426898254894753E-3</c:v>
                </c:pt>
                <c:pt idx="641">
                  <c:v>1.1297116562729271E-3</c:v>
                </c:pt>
                <c:pt idx="642">
                  <c:v>1.6629633433017975E-3</c:v>
                </c:pt>
                <c:pt idx="643">
                  <c:v>1.6849419614151314E-3</c:v>
                </c:pt>
                <c:pt idx="644">
                  <c:v>5.8927935206429954E-4</c:v>
                </c:pt>
                <c:pt idx="645">
                  <c:v>1.5102163140849971E-3</c:v>
                </c:pt>
                <c:pt idx="646">
                  <c:v>2.003214586291113E-3</c:v>
                </c:pt>
                <c:pt idx="647">
                  <c:v>1.8699847393746805E-3</c:v>
                </c:pt>
                <c:pt idx="648">
                  <c:v>1.1140493975313795E-3</c:v>
                </c:pt>
                <c:pt idx="649">
                  <c:v>9.235927332861178E-4</c:v>
                </c:pt>
                <c:pt idx="650">
                  <c:v>9.1452848364951243E-4</c:v>
                </c:pt>
                <c:pt idx="651">
                  <c:v>7.9524527268505236E-4</c:v>
                </c:pt>
                <c:pt idx="652">
                  <c:v>6.1338297487642263E-4</c:v>
                </c:pt>
                <c:pt idx="653">
                  <c:v>1.8941122618604588E-3</c:v>
                </c:pt>
                <c:pt idx="654">
                  <c:v>1.3986906220521955E-3</c:v>
                </c:pt>
                <c:pt idx="655">
                  <c:v>1.7651255227039862E-3</c:v>
                </c:pt>
                <c:pt idx="656">
                  <c:v>9.5327513530995739E-5</c:v>
                </c:pt>
                <c:pt idx="657">
                  <c:v>4.8145100249820258E-4</c:v>
                </c:pt>
                <c:pt idx="658">
                  <c:v>7.6744666331988337E-4</c:v>
                </c:pt>
                <c:pt idx="659">
                  <c:v>1.9668115049834758E-3</c:v>
                </c:pt>
                <c:pt idx="660">
                  <c:v>2.3092915220357139E-3</c:v>
                </c:pt>
                <c:pt idx="661">
                  <c:v>1.4454814719909673E-3</c:v>
                </c:pt>
                <c:pt idx="662">
                  <c:v>8.3860147491108964E-4</c:v>
                </c:pt>
                <c:pt idx="663">
                  <c:v>1.0111311626965444E-3</c:v>
                </c:pt>
                <c:pt idx="664">
                  <c:v>1.0690427444627483E-3</c:v>
                </c:pt>
                <c:pt idx="665">
                  <c:v>9.4381244674807564E-4</c:v>
                </c:pt>
                <c:pt idx="666">
                  <c:v>2.6786639616444654E-3</c:v>
                </c:pt>
                <c:pt idx="667">
                  <c:v>4.5165284057089244E-5</c:v>
                </c:pt>
                <c:pt idx="668">
                  <c:v>1.9366485536107321E-3</c:v>
                </c:pt>
                <c:pt idx="669">
                  <c:v>8.7796873972812686E-4</c:v>
                </c:pt>
                <c:pt idx="670">
                  <c:v>1.4252914288792992E-3</c:v>
                </c:pt>
                <c:pt idx="671">
                  <c:v>1.2479773904986093E-3</c:v>
                </c:pt>
                <c:pt idx="672">
                  <c:v>2.5893057931747712E-3</c:v>
                </c:pt>
                <c:pt idx="673">
                  <c:v>1.056842027736018E-3</c:v>
                </c:pt>
                <c:pt idx="674">
                  <c:v>1.8186504109473851E-3</c:v>
                </c:pt>
                <c:pt idx="675">
                  <c:v>8.833030129086789E-4</c:v>
                </c:pt>
                <c:pt idx="676">
                  <c:v>1.2269376151985776E-3</c:v>
                </c:pt>
                <c:pt idx="677">
                  <c:v>2.5233127493796823E-4</c:v>
                </c:pt>
                <c:pt idx="678">
                  <c:v>3.8625191213990571E-3</c:v>
                </c:pt>
                <c:pt idx="679">
                  <c:v>4.9504093667417733E-4</c:v>
                </c:pt>
                <c:pt idx="680">
                  <c:v>8.3996249918305175E-4</c:v>
                </c:pt>
                <c:pt idx="681">
                  <c:v>1.0221200699612198E-3</c:v>
                </c:pt>
              </c:numCache>
            </c:numRef>
          </c:xVal>
          <c:yVal>
            <c:numRef>
              <c:f>CP3_5!$C$2:$C$683</c:f>
              <c:numCache>
                <c:formatCode>General</c:formatCode>
                <c:ptCount val="682"/>
                <c:pt idx="0">
                  <c:v>22</c:v>
                </c:pt>
                <c:pt idx="1">
                  <c:v>49</c:v>
                </c:pt>
                <c:pt idx="2">
                  <c:v>19</c:v>
                </c:pt>
                <c:pt idx="3">
                  <c:v>14</c:v>
                </c:pt>
                <c:pt idx="4">
                  <c:v>19</c:v>
                </c:pt>
                <c:pt idx="5">
                  <c:v>25</c:v>
                </c:pt>
                <c:pt idx="6">
                  <c:v>27</c:v>
                </c:pt>
                <c:pt idx="7">
                  <c:v>51</c:v>
                </c:pt>
                <c:pt idx="8">
                  <c:v>33</c:v>
                </c:pt>
                <c:pt idx="9">
                  <c:v>14</c:v>
                </c:pt>
                <c:pt idx="10">
                  <c:v>25</c:v>
                </c:pt>
                <c:pt idx="11">
                  <c:v>34</c:v>
                </c:pt>
                <c:pt idx="12">
                  <c:v>21</c:v>
                </c:pt>
                <c:pt idx="13">
                  <c:v>26</c:v>
                </c:pt>
                <c:pt idx="14">
                  <c:v>15</c:v>
                </c:pt>
                <c:pt idx="15">
                  <c:v>18</c:v>
                </c:pt>
                <c:pt idx="16">
                  <c:v>26</c:v>
                </c:pt>
                <c:pt idx="17">
                  <c:v>23</c:v>
                </c:pt>
                <c:pt idx="18">
                  <c:v>21</c:v>
                </c:pt>
                <c:pt idx="19">
                  <c:v>36</c:v>
                </c:pt>
                <c:pt idx="20">
                  <c:v>24</c:v>
                </c:pt>
                <c:pt idx="21">
                  <c:v>35</c:v>
                </c:pt>
                <c:pt idx="22">
                  <c:v>18</c:v>
                </c:pt>
                <c:pt idx="23">
                  <c:v>25</c:v>
                </c:pt>
                <c:pt idx="24">
                  <c:v>31</c:v>
                </c:pt>
                <c:pt idx="25">
                  <c:v>33</c:v>
                </c:pt>
                <c:pt idx="26">
                  <c:v>15</c:v>
                </c:pt>
                <c:pt idx="27">
                  <c:v>24</c:v>
                </c:pt>
                <c:pt idx="28">
                  <c:v>26</c:v>
                </c:pt>
                <c:pt idx="29">
                  <c:v>25</c:v>
                </c:pt>
                <c:pt idx="30">
                  <c:v>30</c:v>
                </c:pt>
                <c:pt idx="31">
                  <c:v>37</c:v>
                </c:pt>
                <c:pt idx="32">
                  <c:v>38</c:v>
                </c:pt>
                <c:pt idx="33">
                  <c:v>25</c:v>
                </c:pt>
                <c:pt idx="34">
                  <c:v>17</c:v>
                </c:pt>
                <c:pt idx="35">
                  <c:v>30</c:v>
                </c:pt>
                <c:pt idx="36">
                  <c:v>25</c:v>
                </c:pt>
                <c:pt idx="37">
                  <c:v>24</c:v>
                </c:pt>
                <c:pt idx="38">
                  <c:v>36</c:v>
                </c:pt>
                <c:pt idx="39">
                  <c:v>40</c:v>
                </c:pt>
                <c:pt idx="40">
                  <c:v>37</c:v>
                </c:pt>
                <c:pt idx="41">
                  <c:v>39</c:v>
                </c:pt>
                <c:pt idx="42">
                  <c:v>19</c:v>
                </c:pt>
                <c:pt idx="43">
                  <c:v>19</c:v>
                </c:pt>
                <c:pt idx="44">
                  <c:v>33</c:v>
                </c:pt>
                <c:pt idx="45">
                  <c:v>33</c:v>
                </c:pt>
                <c:pt idx="46">
                  <c:v>27</c:v>
                </c:pt>
                <c:pt idx="47">
                  <c:v>23</c:v>
                </c:pt>
                <c:pt idx="48">
                  <c:v>27</c:v>
                </c:pt>
                <c:pt idx="49">
                  <c:v>30</c:v>
                </c:pt>
                <c:pt idx="50">
                  <c:v>42</c:v>
                </c:pt>
                <c:pt idx="51">
                  <c:v>28</c:v>
                </c:pt>
                <c:pt idx="52">
                  <c:v>22</c:v>
                </c:pt>
                <c:pt idx="53">
                  <c:v>29</c:v>
                </c:pt>
                <c:pt idx="54">
                  <c:v>33</c:v>
                </c:pt>
                <c:pt idx="55">
                  <c:v>16</c:v>
                </c:pt>
                <c:pt idx="56">
                  <c:v>35</c:v>
                </c:pt>
                <c:pt idx="57">
                  <c:v>24</c:v>
                </c:pt>
                <c:pt idx="58">
                  <c:v>31</c:v>
                </c:pt>
                <c:pt idx="59">
                  <c:v>38</c:v>
                </c:pt>
                <c:pt idx="60">
                  <c:v>26</c:v>
                </c:pt>
                <c:pt idx="61">
                  <c:v>16</c:v>
                </c:pt>
                <c:pt idx="62">
                  <c:v>18</c:v>
                </c:pt>
                <c:pt idx="63">
                  <c:v>21</c:v>
                </c:pt>
                <c:pt idx="64">
                  <c:v>19</c:v>
                </c:pt>
                <c:pt idx="65">
                  <c:v>32</c:v>
                </c:pt>
                <c:pt idx="66">
                  <c:v>28</c:v>
                </c:pt>
                <c:pt idx="67">
                  <c:v>46</c:v>
                </c:pt>
                <c:pt idx="68">
                  <c:v>22</c:v>
                </c:pt>
                <c:pt idx="69">
                  <c:v>16</c:v>
                </c:pt>
                <c:pt idx="70">
                  <c:v>26</c:v>
                </c:pt>
                <c:pt idx="71">
                  <c:v>37</c:v>
                </c:pt>
                <c:pt idx="72">
                  <c:v>32</c:v>
                </c:pt>
                <c:pt idx="73">
                  <c:v>46</c:v>
                </c:pt>
                <c:pt idx="74">
                  <c:v>20</c:v>
                </c:pt>
                <c:pt idx="75">
                  <c:v>45</c:v>
                </c:pt>
                <c:pt idx="76">
                  <c:v>34</c:v>
                </c:pt>
                <c:pt idx="77">
                  <c:v>30</c:v>
                </c:pt>
                <c:pt idx="78">
                  <c:v>19</c:v>
                </c:pt>
                <c:pt idx="79">
                  <c:v>24</c:v>
                </c:pt>
                <c:pt idx="80">
                  <c:v>11</c:v>
                </c:pt>
                <c:pt idx="81">
                  <c:v>33</c:v>
                </c:pt>
                <c:pt idx="82">
                  <c:v>21</c:v>
                </c:pt>
                <c:pt idx="83">
                  <c:v>42</c:v>
                </c:pt>
                <c:pt idx="84">
                  <c:v>27</c:v>
                </c:pt>
                <c:pt idx="85">
                  <c:v>27</c:v>
                </c:pt>
                <c:pt idx="86">
                  <c:v>18</c:v>
                </c:pt>
                <c:pt idx="87">
                  <c:v>30</c:v>
                </c:pt>
                <c:pt idx="88">
                  <c:v>18</c:v>
                </c:pt>
                <c:pt idx="89">
                  <c:v>20</c:v>
                </c:pt>
                <c:pt idx="90">
                  <c:v>26</c:v>
                </c:pt>
                <c:pt idx="91">
                  <c:v>19</c:v>
                </c:pt>
                <c:pt idx="92">
                  <c:v>26</c:v>
                </c:pt>
                <c:pt idx="93">
                  <c:v>23</c:v>
                </c:pt>
                <c:pt idx="94">
                  <c:v>20</c:v>
                </c:pt>
                <c:pt idx="95">
                  <c:v>17</c:v>
                </c:pt>
                <c:pt idx="96">
                  <c:v>15</c:v>
                </c:pt>
                <c:pt idx="97">
                  <c:v>39</c:v>
                </c:pt>
                <c:pt idx="98">
                  <c:v>30</c:v>
                </c:pt>
                <c:pt idx="99">
                  <c:v>37</c:v>
                </c:pt>
                <c:pt idx="100">
                  <c:v>31</c:v>
                </c:pt>
                <c:pt idx="101">
                  <c:v>15</c:v>
                </c:pt>
                <c:pt idx="102">
                  <c:v>33</c:v>
                </c:pt>
                <c:pt idx="103">
                  <c:v>32</c:v>
                </c:pt>
                <c:pt idx="104">
                  <c:v>33</c:v>
                </c:pt>
                <c:pt idx="105">
                  <c:v>24</c:v>
                </c:pt>
                <c:pt idx="106">
                  <c:v>25</c:v>
                </c:pt>
                <c:pt idx="107">
                  <c:v>23</c:v>
                </c:pt>
                <c:pt idx="108">
                  <c:v>27</c:v>
                </c:pt>
                <c:pt idx="109">
                  <c:v>33</c:v>
                </c:pt>
                <c:pt idx="110">
                  <c:v>11</c:v>
                </c:pt>
                <c:pt idx="111">
                  <c:v>11</c:v>
                </c:pt>
                <c:pt idx="112">
                  <c:v>29</c:v>
                </c:pt>
                <c:pt idx="113">
                  <c:v>38</c:v>
                </c:pt>
                <c:pt idx="114">
                  <c:v>26</c:v>
                </c:pt>
                <c:pt idx="115">
                  <c:v>36</c:v>
                </c:pt>
                <c:pt idx="116">
                  <c:v>32</c:v>
                </c:pt>
                <c:pt idx="117">
                  <c:v>18</c:v>
                </c:pt>
                <c:pt idx="118">
                  <c:v>21</c:v>
                </c:pt>
                <c:pt idx="119">
                  <c:v>12</c:v>
                </c:pt>
                <c:pt idx="120">
                  <c:v>12</c:v>
                </c:pt>
                <c:pt idx="121">
                  <c:v>32</c:v>
                </c:pt>
                <c:pt idx="122">
                  <c:v>23</c:v>
                </c:pt>
                <c:pt idx="123">
                  <c:v>26</c:v>
                </c:pt>
                <c:pt idx="124">
                  <c:v>30</c:v>
                </c:pt>
                <c:pt idx="125">
                  <c:v>13</c:v>
                </c:pt>
                <c:pt idx="126">
                  <c:v>16</c:v>
                </c:pt>
                <c:pt idx="127">
                  <c:v>34</c:v>
                </c:pt>
                <c:pt idx="128">
                  <c:v>32</c:v>
                </c:pt>
                <c:pt idx="129">
                  <c:v>31</c:v>
                </c:pt>
                <c:pt idx="130">
                  <c:v>36</c:v>
                </c:pt>
                <c:pt idx="131">
                  <c:v>48</c:v>
                </c:pt>
                <c:pt idx="132">
                  <c:v>23</c:v>
                </c:pt>
                <c:pt idx="133">
                  <c:v>24</c:v>
                </c:pt>
                <c:pt idx="134">
                  <c:v>41</c:v>
                </c:pt>
                <c:pt idx="135">
                  <c:v>20</c:v>
                </c:pt>
                <c:pt idx="136">
                  <c:v>24</c:v>
                </c:pt>
                <c:pt idx="137">
                  <c:v>20</c:v>
                </c:pt>
                <c:pt idx="138">
                  <c:v>19</c:v>
                </c:pt>
                <c:pt idx="139">
                  <c:v>24</c:v>
                </c:pt>
                <c:pt idx="140">
                  <c:v>20</c:v>
                </c:pt>
                <c:pt idx="141">
                  <c:v>32</c:v>
                </c:pt>
                <c:pt idx="142">
                  <c:v>32</c:v>
                </c:pt>
                <c:pt idx="143">
                  <c:v>12</c:v>
                </c:pt>
                <c:pt idx="144">
                  <c:v>25</c:v>
                </c:pt>
                <c:pt idx="145">
                  <c:v>10</c:v>
                </c:pt>
                <c:pt idx="146">
                  <c:v>39</c:v>
                </c:pt>
                <c:pt idx="147">
                  <c:v>43</c:v>
                </c:pt>
                <c:pt idx="148">
                  <c:v>20</c:v>
                </c:pt>
                <c:pt idx="149">
                  <c:v>16</c:v>
                </c:pt>
                <c:pt idx="150">
                  <c:v>41</c:v>
                </c:pt>
                <c:pt idx="151">
                  <c:v>30</c:v>
                </c:pt>
                <c:pt idx="152">
                  <c:v>50</c:v>
                </c:pt>
                <c:pt idx="153">
                  <c:v>53</c:v>
                </c:pt>
                <c:pt idx="154">
                  <c:v>32</c:v>
                </c:pt>
                <c:pt idx="155">
                  <c:v>35</c:v>
                </c:pt>
                <c:pt idx="156">
                  <c:v>29</c:v>
                </c:pt>
                <c:pt idx="157">
                  <c:v>26</c:v>
                </c:pt>
                <c:pt idx="158">
                  <c:v>22</c:v>
                </c:pt>
                <c:pt idx="159">
                  <c:v>23</c:v>
                </c:pt>
                <c:pt idx="160">
                  <c:v>52</c:v>
                </c:pt>
                <c:pt idx="161">
                  <c:v>24</c:v>
                </c:pt>
                <c:pt idx="162">
                  <c:v>42</c:v>
                </c:pt>
                <c:pt idx="163">
                  <c:v>36</c:v>
                </c:pt>
                <c:pt idx="164">
                  <c:v>16</c:v>
                </c:pt>
                <c:pt idx="165">
                  <c:v>26</c:v>
                </c:pt>
                <c:pt idx="166">
                  <c:v>28</c:v>
                </c:pt>
                <c:pt idx="167">
                  <c:v>22</c:v>
                </c:pt>
                <c:pt idx="168">
                  <c:v>36</c:v>
                </c:pt>
                <c:pt idx="169">
                  <c:v>25</c:v>
                </c:pt>
                <c:pt idx="170">
                  <c:v>17</c:v>
                </c:pt>
                <c:pt idx="171">
                  <c:v>27</c:v>
                </c:pt>
                <c:pt idx="172">
                  <c:v>31</c:v>
                </c:pt>
                <c:pt idx="173">
                  <c:v>28</c:v>
                </c:pt>
                <c:pt idx="174">
                  <c:v>41</c:v>
                </c:pt>
                <c:pt idx="175">
                  <c:v>18</c:v>
                </c:pt>
                <c:pt idx="176">
                  <c:v>16</c:v>
                </c:pt>
                <c:pt idx="177">
                  <c:v>26</c:v>
                </c:pt>
                <c:pt idx="178">
                  <c:v>14</c:v>
                </c:pt>
                <c:pt idx="179">
                  <c:v>43</c:v>
                </c:pt>
                <c:pt idx="180">
                  <c:v>23</c:v>
                </c:pt>
                <c:pt idx="181">
                  <c:v>20</c:v>
                </c:pt>
                <c:pt idx="182">
                  <c:v>31</c:v>
                </c:pt>
                <c:pt idx="183">
                  <c:v>38</c:v>
                </c:pt>
                <c:pt idx="184">
                  <c:v>33</c:v>
                </c:pt>
                <c:pt idx="185">
                  <c:v>27</c:v>
                </c:pt>
                <c:pt idx="186">
                  <c:v>24</c:v>
                </c:pt>
                <c:pt idx="187">
                  <c:v>38</c:v>
                </c:pt>
                <c:pt idx="188">
                  <c:v>47</c:v>
                </c:pt>
                <c:pt idx="189">
                  <c:v>31</c:v>
                </c:pt>
                <c:pt idx="190">
                  <c:v>20</c:v>
                </c:pt>
                <c:pt idx="191">
                  <c:v>19</c:v>
                </c:pt>
                <c:pt idx="192">
                  <c:v>45</c:v>
                </c:pt>
                <c:pt idx="193">
                  <c:v>38</c:v>
                </c:pt>
                <c:pt idx="194">
                  <c:v>18</c:v>
                </c:pt>
                <c:pt idx="195">
                  <c:v>14</c:v>
                </c:pt>
                <c:pt idx="196">
                  <c:v>42</c:v>
                </c:pt>
                <c:pt idx="197">
                  <c:v>33</c:v>
                </c:pt>
                <c:pt idx="198">
                  <c:v>34</c:v>
                </c:pt>
                <c:pt idx="199">
                  <c:v>15</c:v>
                </c:pt>
                <c:pt idx="200">
                  <c:v>22</c:v>
                </c:pt>
                <c:pt idx="201">
                  <c:v>30</c:v>
                </c:pt>
                <c:pt idx="202">
                  <c:v>25</c:v>
                </c:pt>
                <c:pt idx="203">
                  <c:v>26</c:v>
                </c:pt>
                <c:pt idx="204">
                  <c:v>11</c:v>
                </c:pt>
                <c:pt idx="205">
                  <c:v>28</c:v>
                </c:pt>
                <c:pt idx="206">
                  <c:v>22</c:v>
                </c:pt>
                <c:pt idx="207">
                  <c:v>37</c:v>
                </c:pt>
                <c:pt idx="208">
                  <c:v>31</c:v>
                </c:pt>
                <c:pt idx="209">
                  <c:v>19</c:v>
                </c:pt>
                <c:pt idx="210">
                  <c:v>32</c:v>
                </c:pt>
                <c:pt idx="211">
                  <c:v>27</c:v>
                </c:pt>
                <c:pt idx="212">
                  <c:v>13</c:v>
                </c:pt>
                <c:pt idx="213">
                  <c:v>31</c:v>
                </c:pt>
                <c:pt idx="214">
                  <c:v>20</c:v>
                </c:pt>
                <c:pt idx="215">
                  <c:v>26</c:v>
                </c:pt>
                <c:pt idx="216">
                  <c:v>42</c:v>
                </c:pt>
                <c:pt idx="217">
                  <c:v>24</c:v>
                </c:pt>
                <c:pt idx="218">
                  <c:v>50</c:v>
                </c:pt>
                <c:pt idx="219">
                  <c:v>41</c:v>
                </c:pt>
                <c:pt idx="220">
                  <c:v>22</c:v>
                </c:pt>
                <c:pt idx="221">
                  <c:v>29</c:v>
                </c:pt>
                <c:pt idx="222">
                  <c:v>23</c:v>
                </c:pt>
                <c:pt idx="223">
                  <c:v>13</c:v>
                </c:pt>
                <c:pt idx="224">
                  <c:v>32</c:v>
                </c:pt>
                <c:pt idx="225">
                  <c:v>24</c:v>
                </c:pt>
                <c:pt idx="226">
                  <c:v>33</c:v>
                </c:pt>
                <c:pt idx="227">
                  <c:v>29</c:v>
                </c:pt>
                <c:pt idx="228">
                  <c:v>24</c:v>
                </c:pt>
                <c:pt idx="229">
                  <c:v>40</c:v>
                </c:pt>
                <c:pt idx="230">
                  <c:v>16</c:v>
                </c:pt>
                <c:pt idx="231">
                  <c:v>11</c:v>
                </c:pt>
                <c:pt idx="232">
                  <c:v>19</c:v>
                </c:pt>
                <c:pt idx="233">
                  <c:v>42</c:v>
                </c:pt>
                <c:pt idx="234">
                  <c:v>27</c:v>
                </c:pt>
                <c:pt idx="235">
                  <c:v>24</c:v>
                </c:pt>
                <c:pt idx="236">
                  <c:v>27</c:v>
                </c:pt>
                <c:pt idx="237">
                  <c:v>14</c:v>
                </c:pt>
                <c:pt idx="238">
                  <c:v>12</c:v>
                </c:pt>
                <c:pt idx="239">
                  <c:v>23</c:v>
                </c:pt>
                <c:pt idx="240">
                  <c:v>40</c:v>
                </c:pt>
                <c:pt idx="241">
                  <c:v>33</c:v>
                </c:pt>
                <c:pt idx="242">
                  <c:v>33</c:v>
                </c:pt>
                <c:pt idx="243">
                  <c:v>30</c:v>
                </c:pt>
                <c:pt idx="244">
                  <c:v>35</c:v>
                </c:pt>
                <c:pt idx="245">
                  <c:v>26</c:v>
                </c:pt>
                <c:pt idx="246">
                  <c:v>6</c:v>
                </c:pt>
                <c:pt idx="247">
                  <c:v>17</c:v>
                </c:pt>
                <c:pt idx="248">
                  <c:v>41</c:v>
                </c:pt>
                <c:pt idx="249">
                  <c:v>33</c:v>
                </c:pt>
                <c:pt idx="250">
                  <c:v>39</c:v>
                </c:pt>
                <c:pt idx="251">
                  <c:v>17</c:v>
                </c:pt>
                <c:pt idx="252">
                  <c:v>24</c:v>
                </c:pt>
                <c:pt idx="253">
                  <c:v>35</c:v>
                </c:pt>
                <c:pt idx="254">
                  <c:v>18</c:v>
                </c:pt>
                <c:pt idx="255">
                  <c:v>20</c:v>
                </c:pt>
                <c:pt idx="256">
                  <c:v>24</c:v>
                </c:pt>
                <c:pt idx="257">
                  <c:v>40</c:v>
                </c:pt>
                <c:pt idx="258">
                  <c:v>13</c:v>
                </c:pt>
                <c:pt idx="259">
                  <c:v>32</c:v>
                </c:pt>
                <c:pt idx="260">
                  <c:v>34</c:v>
                </c:pt>
                <c:pt idx="261">
                  <c:v>34</c:v>
                </c:pt>
                <c:pt idx="262">
                  <c:v>31</c:v>
                </c:pt>
                <c:pt idx="263">
                  <c:v>47</c:v>
                </c:pt>
                <c:pt idx="264">
                  <c:v>43</c:v>
                </c:pt>
                <c:pt idx="265">
                  <c:v>27</c:v>
                </c:pt>
                <c:pt idx="266">
                  <c:v>11</c:v>
                </c:pt>
                <c:pt idx="267">
                  <c:v>37</c:v>
                </c:pt>
                <c:pt idx="268">
                  <c:v>26</c:v>
                </c:pt>
                <c:pt idx="269">
                  <c:v>27</c:v>
                </c:pt>
                <c:pt idx="270">
                  <c:v>21</c:v>
                </c:pt>
                <c:pt idx="271">
                  <c:v>35</c:v>
                </c:pt>
                <c:pt idx="272">
                  <c:v>25</c:v>
                </c:pt>
                <c:pt idx="273">
                  <c:v>28</c:v>
                </c:pt>
                <c:pt idx="274">
                  <c:v>21</c:v>
                </c:pt>
                <c:pt idx="275">
                  <c:v>24</c:v>
                </c:pt>
                <c:pt idx="276">
                  <c:v>19</c:v>
                </c:pt>
                <c:pt idx="277">
                  <c:v>25</c:v>
                </c:pt>
                <c:pt idx="278">
                  <c:v>33</c:v>
                </c:pt>
                <c:pt idx="279">
                  <c:v>26</c:v>
                </c:pt>
                <c:pt idx="280">
                  <c:v>31</c:v>
                </c:pt>
                <c:pt idx="281">
                  <c:v>33</c:v>
                </c:pt>
                <c:pt idx="282">
                  <c:v>30</c:v>
                </c:pt>
                <c:pt idx="283">
                  <c:v>26</c:v>
                </c:pt>
                <c:pt idx="284">
                  <c:v>23</c:v>
                </c:pt>
                <c:pt idx="285">
                  <c:v>28</c:v>
                </c:pt>
                <c:pt idx="286">
                  <c:v>18</c:v>
                </c:pt>
                <c:pt idx="287">
                  <c:v>39</c:v>
                </c:pt>
                <c:pt idx="288">
                  <c:v>28</c:v>
                </c:pt>
                <c:pt idx="289">
                  <c:v>47</c:v>
                </c:pt>
                <c:pt idx="290">
                  <c:v>41</c:v>
                </c:pt>
                <c:pt idx="291">
                  <c:v>11</c:v>
                </c:pt>
                <c:pt idx="292">
                  <c:v>26</c:v>
                </c:pt>
                <c:pt idx="293">
                  <c:v>24</c:v>
                </c:pt>
                <c:pt idx="294">
                  <c:v>14</c:v>
                </c:pt>
                <c:pt idx="295">
                  <c:v>34</c:v>
                </c:pt>
                <c:pt idx="296">
                  <c:v>46</c:v>
                </c:pt>
                <c:pt idx="297">
                  <c:v>24</c:v>
                </c:pt>
                <c:pt idx="298">
                  <c:v>22</c:v>
                </c:pt>
                <c:pt idx="299">
                  <c:v>41</c:v>
                </c:pt>
                <c:pt idx="300">
                  <c:v>3</c:v>
                </c:pt>
                <c:pt idx="301">
                  <c:v>24</c:v>
                </c:pt>
                <c:pt idx="302">
                  <c:v>19</c:v>
                </c:pt>
                <c:pt idx="303">
                  <c:v>39</c:v>
                </c:pt>
                <c:pt idx="304">
                  <c:v>28</c:v>
                </c:pt>
                <c:pt idx="305">
                  <c:v>32</c:v>
                </c:pt>
                <c:pt idx="306">
                  <c:v>25</c:v>
                </c:pt>
                <c:pt idx="307">
                  <c:v>29</c:v>
                </c:pt>
                <c:pt idx="308">
                  <c:v>25</c:v>
                </c:pt>
                <c:pt idx="309">
                  <c:v>21</c:v>
                </c:pt>
                <c:pt idx="310">
                  <c:v>31</c:v>
                </c:pt>
                <c:pt idx="311">
                  <c:v>25</c:v>
                </c:pt>
                <c:pt idx="312">
                  <c:v>14</c:v>
                </c:pt>
                <c:pt idx="313">
                  <c:v>21</c:v>
                </c:pt>
                <c:pt idx="314">
                  <c:v>24</c:v>
                </c:pt>
                <c:pt idx="315">
                  <c:v>25</c:v>
                </c:pt>
                <c:pt idx="316">
                  <c:v>42</c:v>
                </c:pt>
                <c:pt idx="317">
                  <c:v>20</c:v>
                </c:pt>
                <c:pt idx="318">
                  <c:v>22</c:v>
                </c:pt>
                <c:pt idx="319">
                  <c:v>36</c:v>
                </c:pt>
                <c:pt idx="320">
                  <c:v>38</c:v>
                </c:pt>
                <c:pt idx="321">
                  <c:v>18</c:v>
                </c:pt>
                <c:pt idx="322">
                  <c:v>16</c:v>
                </c:pt>
                <c:pt idx="323">
                  <c:v>31</c:v>
                </c:pt>
                <c:pt idx="324">
                  <c:v>28</c:v>
                </c:pt>
                <c:pt idx="325">
                  <c:v>34</c:v>
                </c:pt>
                <c:pt idx="326">
                  <c:v>48</c:v>
                </c:pt>
                <c:pt idx="327">
                  <c:v>35</c:v>
                </c:pt>
                <c:pt idx="328">
                  <c:v>24</c:v>
                </c:pt>
                <c:pt idx="329">
                  <c:v>25</c:v>
                </c:pt>
                <c:pt idx="330">
                  <c:v>32</c:v>
                </c:pt>
                <c:pt idx="331">
                  <c:v>33</c:v>
                </c:pt>
                <c:pt idx="332">
                  <c:v>19</c:v>
                </c:pt>
                <c:pt idx="333">
                  <c:v>7</c:v>
                </c:pt>
                <c:pt idx="334">
                  <c:v>36</c:v>
                </c:pt>
                <c:pt idx="335">
                  <c:v>44</c:v>
                </c:pt>
                <c:pt idx="336">
                  <c:v>35</c:v>
                </c:pt>
                <c:pt idx="337">
                  <c:v>11</c:v>
                </c:pt>
                <c:pt idx="338">
                  <c:v>43</c:v>
                </c:pt>
                <c:pt idx="339">
                  <c:v>22</c:v>
                </c:pt>
                <c:pt idx="340">
                  <c:v>49</c:v>
                </c:pt>
                <c:pt idx="341">
                  <c:v>37</c:v>
                </c:pt>
                <c:pt idx="342">
                  <c:v>26</c:v>
                </c:pt>
                <c:pt idx="343">
                  <c:v>19</c:v>
                </c:pt>
                <c:pt idx="344">
                  <c:v>20</c:v>
                </c:pt>
                <c:pt idx="345">
                  <c:v>36</c:v>
                </c:pt>
                <c:pt idx="346">
                  <c:v>39</c:v>
                </c:pt>
                <c:pt idx="347">
                  <c:v>10</c:v>
                </c:pt>
                <c:pt idx="348">
                  <c:v>24</c:v>
                </c:pt>
                <c:pt idx="349">
                  <c:v>35</c:v>
                </c:pt>
                <c:pt idx="350">
                  <c:v>32</c:v>
                </c:pt>
                <c:pt idx="351">
                  <c:v>20</c:v>
                </c:pt>
                <c:pt idx="352">
                  <c:v>34</c:v>
                </c:pt>
                <c:pt idx="353">
                  <c:v>29</c:v>
                </c:pt>
                <c:pt idx="354">
                  <c:v>26</c:v>
                </c:pt>
                <c:pt idx="355">
                  <c:v>25</c:v>
                </c:pt>
                <c:pt idx="356">
                  <c:v>44</c:v>
                </c:pt>
                <c:pt idx="357">
                  <c:v>28</c:v>
                </c:pt>
                <c:pt idx="358">
                  <c:v>35</c:v>
                </c:pt>
                <c:pt idx="359">
                  <c:v>30</c:v>
                </c:pt>
                <c:pt idx="360">
                  <c:v>24</c:v>
                </c:pt>
                <c:pt idx="361">
                  <c:v>18</c:v>
                </c:pt>
                <c:pt idx="362">
                  <c:v>34</c:v>
                </c:pt>
                <c:pt idx="363">
                  <c:v>20</c:v>
                </c:pt>
                <c:pt idx="364">
                  <c:v>24</c:v>
                </c:pt>
                <c:pt idx="365">
                  <c:v>41</c:v>
                </c:pt>
                <c:pt idx="366">
                  <c:v>26</c:v>
                </c:pt>
                <c:pt idx="367">
                  <c:v>53</c:v>
                </c:pt>
                <c:pt idx="368">
                  <c:v>35</c:v>
                </c:pt>
                <c:pt idx="369">
                  <c:v>5</c:v>
                </c:pt>
                <c:pt idx="370">
                  <c:v>23</c:v>
                </c:pt>
                <c:pt idx="371">
                  <c:v>21</c:v>
                </c:pt>
                <c:pt idx="372">
                  <c:v>27</c:v>
                </c:pt>
                <c:pt idx="373">
                  <c:v>44</c:v>
                </c:pt>
                <c:pt idx="374">
                  <c:v>28</c:v>
                </c:pt>
                <c:pt idx="375">
                  <c:v>34</c:v>
                </c:pt>
                <c:pt idx="376">
                  <c:v>11</c:v>
                </c:pt>
                <c:pt idx="377">
                  <c:v>22</c:v>
                </c:pt>
                <c:pt idx="378">
                  <c:v>29</c:v>
                </c:pt>
                <c:pt idx="379">
                  <c:v>31</c:v>
                </c:pt>
                <c:pt idx="380">
                  <c:v>25</c:v>
                </c:pt>
                <c:pt idx="381">
                  <c:v>46</c:v>
                </c:pt>
                <c:pt idx="382">
                  <c:v>27</c:v>
                </c:pt>
                <c:pt idx="383">
                  <c:v>36</c:v>
                </c:pt>
                <c:pt idx="384">
                  <c:v>36</c:v>
                </c:pt>
                <c:pt idx="385">
                  <c:v>12</c:v>
                </c:pt>
                <c:pt idx="386">
                  <c:v>33</c:v>
                </c:pt>
                <c:pt idx="387">
                  <c:v>29</c:v>
                </c:pt>
                <c:pt idx="388">
                  <c:v>24</c:v>
                </c:pt>
                <c:pt idx="389">
                  <c:v>17</c:v>
                </c:pt>
                <c:pt idx="390">
                  <c:v>18</c:v>
                </c:pt>
                <c:pt idx="391">
                  <c:v>37</c:v>
                </c:pt>
                <c:pt idx="392">
                  <c:v>32</c:v>
                </c:pt>
                <c:pt idx="393">
                  <c:v>36</c:v>
                </c:pt>
                <c:pt idx="394">
                  <c:v>31</c:v>
                </c:pt>
                <c:pt idx="395">
                  <c:v>35</c:v>
                </c:pt>
                <c:pt idx="396">
                  <c:v>23</c:v>
                </c:pt>
                <c:pt idx="397">
                  <c:v>14</c:v>
                </c:pt>
                <c:pt idx="398">
                  <c:v>30</c:v>
                </c:pt>
                <c:pt idx="399">
                  <c:v>43</c:v>
                </c:pt>
                <c:pt idx="400">
                  <c:v>39</c:v>
                </c:pt>
                <c:pt idx="401">
                  <c:v>16</c:v>
                </c:pt>
                <c:pt idx="402">
                  <c:v>34</c:v>
                </c:pt>
                <c:pt idx="403">
                  <c:v>16</c:v>
                </c:pt>
                <c:pt idx="404">
                  <c:v>27</c:v>
                </c:pt>
                <c:pt idx="405">
                  <c:v>37</c:v>
                </c:pt>
                <c:pt idx="406">
                  <c:v>21</c:v>
                </c:pt>
                <c:pt idx="407">
                  <c:v>29</c:v>
                </c:pt>
                <c:pt idx="408">
                  <c:v>34</c:v>
                </c:pt>
                <c:pt idx="409">
                  <c:v>28</c:v>
                </c:pt>
                <c:pt idx="410">
                  <c:v>24</c:v>
                </c:pt>
                <c:pt idx="411">
                  <c:v>20</c:v>
                </c:pt>
                <c:pt idx="412">
                  <c:v>17</c:v>
                </c:pt>
                <c:pt idx="413">
                  <c:v>28</c:v>
                </c:pt>
                <c:pt idx="414">
                  <c:v>20</c:v>
                </c:pt>
                <c:pt idx="415">
                  <c:v>38</c:v>
                </c:pt>
                <c:pt idx="416">
                  <c:v>18</c:v>
                </c:pt>
                <c:pt idx="417">
                  <c:v>22</c:v>
                </c:pt>
                <c:pt idx="418">
                  <c:v>21</c:v>
                </c:pt>
                <c:pt idx="419">
                  <c:v>25</c:v>
                </c:pt>
                <c:pt idx="420">
                  <c:v>31</c:v>
                </c:pt>
                <c:pt idx="421">
                  <c:v>32</c:v>
                </c:pt>
                <c:pt idx="422">
                  <c:v>33</c:v>
                </c:pt>
                <c:pt idx="423">
                  <c:v>8</c:v>
                </c:pt>
                <c:pt idx="424">
                  <c:v>15</c:v>
                </c:pt>
                <c:pt idx="425">
                  <c:v>26</c:v>
                </c:pt>
                <c:pt idx="426">
                  <c:v>20</c:v>
                </c:pt>
                <c:pt idx="427">
                  <c:v>26</c:v>
                </c:pt>
                <c:pt idx="428">
                  <c:v>33</c:v>
                </c:pt>
                <c:pt idx="429">
                  <c:v>23</c:v>
                </c:pt>
                <c:pt idx="430">
                  <c:v>21</c:v>
                </c:pt>
                <c:pt idx="431">
                  <c:v>43</c:v>
                </c:pt>
                <c:pt idx="432">
                  <c:v>36</c:v>
                </c:pt>
                <c:pt idx="433">
                  <c:v>34</c:v>
                </c:pt>
                <c:pt idx="434">
                  <c:v>25</c:v>
                </c:pt>
                <c:pt idx="435">
                  <c:v>14</c:v>
                </c:pt>
                <c:pt idx="436">
                  <c:v>24</c:v>
                </c:pt>
                <c:pt idx="437">
                  <c:v>38</c:v>
                </c:pt>
                <c:pt idx="438">
                  <c:v>61</c:v>
                </c:pt>
                <c:pt idx="439">
                  <c:v>30</c:v>
                </c:pt>
                <c:pt idx="440">
                  <c:v>41</c:v>
                </c:pt>
                <c:pt idx="441">
                  <c:v>28</c:v>
                </c:pt>
                <c:pt idx="442">
                  <c:v>27</c:v>
                </c:pt>
                <c:pt idx="443">
                  <c:v>28</c:v>
                </c:pt>
                <c:pt idx="444">
                  <c:v>14</c:v>
                </c:pt>
                <c:pt idx="445">
                  <c:v>30</c:v>
                </c:pt>
                <c:pt idx="446">
                  <c:v>13</c:v>
                </c:pt>
                <c:pt idx="447">
                  <c:v>45</c:v>
                </c:pt>
                <c:pt idx="448">
                  <c:v>11</c:v>
                </c:pt>
                <c:pt idx="449">
                  <c:v>36</c:v>
                </c:pt>
                <c:pt idx="450">
                  <c:v>27</c:v>
                </c:pt>
                <c:pt idx="451">
                  <c:v>41</c:v>
                </c:pt>
                <c:pt idx="452">
                  <c:v>34</c:v>
                </c:pt>
                <c:pt idx="453">
                  <c:v>51</c:v>
                </c:pt>
                <c:pt idx="454">
                  <c:v>38</c:v>
                </c:pt>
                <c:pt idx="455">
                  <c:v>19</c:v>
                </c:pt>
                <c:pt idx="456">
                  <c:v>9</c:v>
                </c:pt>
                <c:pt idx="457">
                  <c:v>19</c:v>
                </c:pt>
                <c:pt idx="458">
                  <c:v>24</c:v>
                </c:pt>
                <c:pt idx="459">
                  <c:v>29</c:v>
                </c:pt>
                <c:pt idx="460">
                  <c:v>30</c:v>
                </c:pt>
                <c:pt idx="461">
                  <c:v>25</c:v>
                </c:pt>
                <c:pt idx="462">
                  <c:v>10</c:v>
                </c:pt>
                <c:pt idx="463">
                  <c:v>35</c:v>
                </c:pt>
                <c:pt idx="464">
                  <c:v>43</c:v>
                </c:pt>
                <c:pt idx="465">
                  <c:v>30</c:v>
                </c:pt>
                <c:pt idx="466">
                  <c:v>13</c:v>
                </c:pt>
                <c:pt idx="467">
                  <c:v>34</c:v>
                </c:pt>
                <c:pt idx="468">
                  <c:v>42</c:v>
                </c:pt>
                <c:pt idx="469">
                  <c:v>18</c:v>
                </c:pt>
                <c:pt idx="470">
                  <c:v>18</c:v>
                </c:pt>
                <c:pt idx="471">
                  <c:v>18</c:v>
                </c:pt>
                <c:pt idx="472">
                  <c:v>28</c:v>
                </c:pt>
                <c:pt idx="473">
                  <c:v>17</c:v>
                </c:pt>
                <c:pt idx="474">
                  <c:v>36</c:v>
                </c:pt>
                <c:pt idx="475">
                  <c:v>24</c:v>
                </c:pt>
                <c:pt idx="476">
                  <c:v>21</c:v>
                </c:pt>
                <c:pt idx="477">
                  <c:v>24</c:v>
                </c:pt>
                <c:pt idx="478">
                  <c:v>25</c:v>
                </c:pt>
                <c:pt idx="479">
                  <c:v>43</c:v>
                </c:pt>
                <c:pt idx="480">
                  <c:v>32</c:v>
                </c:pt>
                <c:pt idx="481">
                  <c:v>29</c:v>
                </c:pt>
                <c:pt idx="482">
                  <c:v>36</c:v>
                </c:pt>
                <c:pt idx="483">
                  <c:v>19</c:v>
                </c:pt>
                <c:pt idx="484">
                  <c:v>46</c:v>
                </c:pt>
                <c:pt idx="485">
                  <c:v>27</c:v>
                </c:pt>
                <c:pt idx="486">
                  <c:v>32</c:v>
                </c:pt>
                <c:pt idx="487">
                  <c:v>27</c:v>
                </c:pt>
                <c:pt idx="488">
                  <c:v>13</c:v>
                </c:pt>
                <c:pt idx="489">
                  <c:v>45</c:v>
                </c:pt>
                <c:pt idx="490">
                  <c:v>14</c:v>
                </c:pt>
                <c:pt idx="491">
                  <c:v>24</c:v>
                </c:pt>
                <c:pt idx="492">
                  <c:v>42</c:v>
                </c:pt>
                <c:pt idx="493">
                  <c:v>22</c:v>
                </c:pt>
                <c:pt idx="494">
                  <c:v>17</c:v>
                </c:pt>
                <c:pt idx="495">
                  <c:v>33</c:v>
                </c:pt>
                <c:pt idx="496">
                  <c:v>18</c:v>
                </c:pt>
                <c:pt idx="497">
                  <c:v>47</c:v>
                </c:pt>
                <c:pt idx="498">
                  <c:v>22</c:v>
                </c:pt>
                <c:pt idx="499">
                  <c:v>42</c:v>
                </c:pt>
                <c:pt idx="500">
                  <c:v>40</c:v>
                </c:pt>
                <c:pt idx="501">
                  <c:v>19</c:v>
                </c:pt>
                <c:pt idx="502">
                  <c:v>25</c:v>
                </c:pt>
                <c:pt idx="503">
                  <c:v>33</c:v>
                </c:pt>
                <c:pt idx="504">
                  <c:v>16</c:v>
                </c:pt>
                <c:pt idx="505">
                  <c:v>7</c:v>
                </c:pt>
                <c:pt idx="506">
                  <c:v>9</c:v>
                </c:pt>
                <c:pt idx="507">
                  <c:v>30</c:v>
                </c:pt>
                <c:pt idx="508">
                  <c:v>19</c:v>
                </c:pt>
                <c:pt idx="509">
                  <c:v>37</c:v>
                </c:pt>
                <c:pt idx="510">
                  <c:v>21</c:v>
                </c:pt>
                <c:pt idx="511">
                  <c:v>24</c:v>
                </c:pt>
                <c:pt idx="512">
                  <c:v>26</c:v>
                </c:pt>
                <c:pt idx="513">
                  <c:v>15</c:v>
                </c:pt>
                <c:pt idx="514">
                  <c:v>22</c:v>
                </c:pt>
                <c:pt idx="515">
                  <c:v>31</c:v>
                </c:pt>
                <c:pt idx="516">
                  <c:v>24</c:v>
                </c:pt>
                <c:pt idx="517">
                  <c:v>22</c:v>
                </c:pt>
                <c:pt idx="518">
                  <c:v>39</c:v>
                </c:pt>
                <c:pt idx="519">
                  <c:v>17</c:v>
                </c:pt>
                <c:pt idx="520">
                  <c:v>17</c:v>
                </c:pt>
                <c:pt idx="521">
                  <c:v>17</c:v>
                </c:pt>
                <c:pt idx="522">
                  <c:v>24</c:v>
                </c:pt>
                <c:pt idx="523">
                  <c:v>33</c:v>
                </c:pt>
                <c:pt idx="524">
                  <c:v>16</c:v>
                </c:pt>
                <c:pt idx="525">
                  <c:v>32</c:v>
                </c:pt>
                <c:pt idx="526">
                  <c:v>4</c:v>
                </c:pt>
                <c:pt idx="527">
                  <c:v>30</c:v>
                </c:pt>
                <c:pt idx="528">
                  <c:v>24</c:v>
                </c:pt>
                <c:pt idx="529">
                  <c:v>17</c:v>
                </c:pt>
                <c:pt idx="530">
                  <c:v>22</c:v>
                </c:pt>
                <c:pt idx="531">
                  <c:v>31</c:v>
                </c:pt>
                <c:pt idx="532">
                  <c:v>23</c:v>
                </c:pt>
                <c:pt idx="533">
                  <c:v>35</c:v>
                </c:pt>
                <c:pt idx="534">
                  <c:v>39</c:v>
                </c:pt>
                <c:pt idx="535">
                  <c:v>50</c:v>
                </c:pt>
                <c:pt idx="536">
                  <c:v>26</c:v>
                </c:pt>
                <c:pt idx="537">
                  <c:v>23</c:v>
                </c:pt>
                <c:pt idx="538">
                  <c:v>37</c:v>
                </c:pt>
                <c:pt idx="539">
                  <c:v>50</c:v>
                </c:pt>
                <c:pt idx="540">
                  <c:v>31</c:v>
                </c:pt>
                <c:pt idx="541">
                  <c:v>23</c:v>
                </c:pt>
                <c:pt idx="542">
                  <c:v>34</c:v>
                </c:pt>
                <c:pt idx="543">
                  <c:v>34</c:v>
                </c:pt>
                <c:pt idx="544">
                  <c:v>33</c:v>
                </c:pt>
                <c:pt idx="545">
                  <c:v>48</c:v>
                </c:pt>
                <c:pt idx="546">
                  <c:v>29</c:v>
                </c:pt>
                <c:pt idx="547">
                  <c:v>35</c:v>
                </c:pt>
                <c:pt idx="548">
                  <c:v>28</c:v>
                </c:pt>
                <c:pt idx="549">
                  <c:v>28</c:v>
                </c:pt>
                <c:pt idx="550">
                  <c:v>19</c:v>
                </c:pt>
                <c:pt idx="551">
                  <c:v>22</c:v>
                </c:pt>
                <c:pt idx="552">
                  <c:v>26</c:v>
                </c:pt>
                <c:pt idx="553">
                  <c:v>29</c:v>
                </c:pt>
                <c:pt idx="554">
                  <c:v>35</c:v>
                </c:pt>
                <c:pt idx="555">
                  <c:v>32</c:v>
                </c:pt>
                <c:pt idx="556">
                  <c:v>44</c:v>
                </c:pt>
                <c:pt idx="557">
                  <c:v>32</c:v>
                </c:pt>
                <c:pt idx="558">
                  <c:v>8</c:v>
                </c:pt>
                <c:pt idx="559">
                  <c:v>30</c:v>
                </c:pt>
                <c:pt idx="560">
                  <c:v>42</c:v>
                </c:pt>
                <c:pt idx="561">
                  <c:v>44</c:v>
                </c:pt>
                <c:pt idx="562">
                  <c:v>41</c:v>
                </c:pt>
                <c:pt idx="563">
                  <c:v>19</c:v>
                </c:pt>
                <c:pt idx="564">
                  <c:v>42</c:v>
                </c:pt>
                <c:pt idx="565">
                  <c:v>30</c:v>
                </c:pt>
                <c:pt idx="566">
                  <c:v>13</c:v>
                </c:pt>
                <c:pt idx="567">
                  <c:v>34</c:v>
                </c:pt>
                <c:pt idx="568">
                  <c:v>38</c:v>
                </c:pt>
                <c:pt idx="569">
                  <c:v>17</c:v>
                </c:pt>
                <c:pt idx="570">
                  <c:v>37</c:v>
                </c:pt>
                <c:pt idx="571">
                  <c:v>27</c:v>
                </c:pt>
                <c:pt idx="572">
                  <c:v>36</c:v>
                </c:pt>
                <c:pt idx="573">
                  <c:v>22</c:v>
                </c:pt>
                <c:pt idx="574">
                  <c:v>30</c:v>
                </c:pt>
                <c:pt idx="575">
                  <c:v>10</c:v>
                </c:pt>
                <c:pt idx="576">
                  <c:v>28</c:v>
                </c:pt>
                <c:pt idx="577">
                  <c:v>15</c:v>
                </c:pt>
                <c:pt idx="578">
                  <c:v>35</c:v>
                </c:pt>
                <c:pt idx="579">
                  <c:v>32</c:v>
                </c:pt>
                <c:pt idx="580">
                  <c:v>23</c:v>
                </c:pt>
                <c:pt idx="581">
                  <c:v>24</c:v>
                </c:pt>
                <c:pt idx="582">
                  <c:v>27</c:v>
                </c:pt>
                <c:pt idx="583">
                  <c:v>45</c:v>
                </c:pt>
                <c:pt idx="584">
                  <c:v>25</c:v>
                </c:pt>
                <c:pt idx="585">
                  <c:v>25</c:v>
                </c:pt>
                <c:pt idx="586">
                  <c:v>33</c:v>
                </c:pt>
                <c:pt idx="587">
                  <c:v>30</c:v>
                </c:pt>
                <c:pt idx="588">
                  <c:v>30</c:v>
                </c:pt>
                <c:pt idx="589">
                  <c:v>32</c:v>
                </c:pt>
                <c:pt idx="590">
                  <c:v>30</c:v>
                </c:pt>
                <c:pt idx="591">
                  <c:v>22</c:v>
                </c:pt>
                <c:pt idx="592">
                  <c:v>29</c:v>
                </c:pt>
                <c:pt idx="593">
                  <c:v>14</c:v>
                </c:pt>
                <c:pt idx="594">
                  <c:v>18</c:v>
                </c:pt>
                <c:pt idx="595">
                  <c:v>34</c:v>
                </c:pt>
                <c:pt idx="596">
                  <c:v>24</c:v>
                </c:pt>
                <c:pt idx="597">
                  <c:v>32</c:v>
                </c:pt>
                <c:pt idx="598">
                  <c:v>22</c:v>
                </c:pt>
                <c:pt idx="599">
                  <c:v>38</c:v>
                </c:pt>
                <c:pt idx="600">
                  <c:v>28</c:v>
                </c:pt>
                <c:pt idx="601">
                  <c:v>19</c:v>
                </c:pt>
                <c:pt idx="602">
                  <c:v>29</c:v>
                </c:pt>
                <c:pt idx="603">
                  <c:v>29</c:v>
                </c:pt>
                <c:pt idx="604">
                  <c:v>37</c:v>
                </c:pt>
                <c:pt idx="605">
                  <c:v>2</c:v>
                </c:pt>
                <c:pt idx="606">
                  <c:v>26</c:v>
                </c:pt>
                <c:pt idx="607">
                  <c:v>32</c:v>
                </c:pt>
                <c:pt idx="608">
                  <c:v>21</c:v>
                </c:pt>
                <c:pt idx="609">
                  <c:v>15</c:v>
                </c:pt>
                <c:pt idx="610">
                  <c:v>33</c:v>
                </c:pt>
                <c:pt idx="611">
                  <c:v>27</c:v>
                </c:pt>
                <c:pt idx="612">
                  <c:v>29</c:v>
                </c:pt>
                <c:pt idx="613">
                  <c:v>47</c:v>
                </c:pt>
                <c:pt idx="614">
                  <c:v>19</c:v>
                </c:pt>
                <c:pt idx="615">
                  <c:v>23</c:v>
                </c:pt>
                <c:pt idx="616">
                  <c:v>26</c:v>
                </c:pt>
                <c:pt idx="617">
                  <c:v>29</c:v>
                </c:pt>
                <c:pt idx="618">
                  <c:v>17</c:v>
                </c:pt>
                <c:pt idx="619">
                  <c:v>13</c:v>
                </c:pt>
                <c:pt idx="620">
                  <c:v>45</c:v>
                </c:pt>
                <c:pt idx="621">
                  <c:v>50</c:v>
                </c:pt>
                <c:pt idx="622">
                  <c:v>12</c:v>
                </c:pt>
                <c:pt idx="623">
                  <c:v>27</c:v>
                </c:pt>
                <c:pt idx="624">
                  <c:v>50</c:v>
                </c:pt>
                <c:pt idx="625">
                  <c:v>34</c:v>
                </c:pt>
                <c:pt idx="626">
                  <c:v>7</c:v>
                </c:pt>
                <c:pt idx="627">
                  <c:v>50</c:v>
                </c:pt>
                <c:pt idx="628">
                  <c:v>35</c:v>
                </c:pt>
                <c:pt idx="629">
                  <c:v>33</c:v>
                </c:pt>
                <c:pt idx="630">
                  <c:v>24</c:v>
                </c:pt>
                <c:pt idx="631">
                  <c:v>24</c:v>
                </c:pt>
                <c:pt idx="632">
                  <c:v>24</c:v>
                </c:pt>
                <c:pt idx="633">
                  <c:v>21</c:v>
                </c:pt>
                <c:pt idx="634">
                  <c:v>14</c:v>
                </c:pt>
                <c:pt idx="635">
                  <c:v>21</c:v>
                </c:pt>
                <c:pt idx="636">
                  <c:v>57</c:v>
                </c:pt>
                <c:pt idx="637">
                  <c:v>25</c:v>
                </c:pt>
                <c:pt idx="638">
                  <c:v>32</c:v>
                </c:pt>
                <c:pt idx="639">
                  <c:v>23</c:v>
                </c:pt>
                <c:pt idx="640">
                  <c:v>28</c:v>
                </c:pt>
                <c:pt idx="641">
                  <c:v>21</c:v>
                </c:pt>
                <c:pt idx="642">
                  <c:v>26</c:v>
                </c:pt>
                <c:pt idx="643">
                  <c:v>28</c:v>
                </c:pt>
                <c:pt idx="644">
                  <c:v>10</c:v>
                </c:pt>
                <c:pt idx="645">
                  <c:v>21</c:v>
                </c:pt>
                <c:pt idx="646">
                  <c:v>56</c:v>
                </c:pt>
                <c:pt idx="647">
                  <c:v>35</c:v>
                </c:pt>
                <c:pt idx="648">
                  <c:v>23</c:v>
                </c:pt>
                <c:pt idx="649">
                  <c:v>14</c:v>
                </c:pt>
                <c:pt idx="650">
                  <c:v>29</c:v>
                </c:pt>
                <c:pt idx="651">
                  <c:v>22</c:v>
                </c:pt>
                <c:pt idx="652">
                  <c:v>25</c:v>
                </c:pt>
                <c:pt idx="653">
                  <c:v>44</c:v>
                </c:pt>
                <c:pt idx="654">
                  <c:v>32</c:v>
                </c:pt>
                <c:pt idx="655">
                  <c:v>28</c:v>
                </c:pt>
                <c:pt idx="656">
                  <c:v>17</c:v>
                </c:pt>
                <c:pt idx="657">
                  <c:v>22</c:v>
                </c:pt>
                <c:pt idx="658">
                  <c:v>32</c:v>
                </c:pt>
                <c:pt idx="659">
                  <c:v>33</c:v>
                </c:pt>
                <c:pt idx="660">
                  <c:v>18</c:v>
                </c:pt>
                <c:pt idx="661">
                  <c:v>33</c:v>
                </c:pt>
                <c:pt idx="662">
                  <c:v>29</c:v>
                </c:pt>
                <c:pt idx="663">
                  <c:v>36</c:v>
                </c:pt>
                <c:pt idx="664">
                  <c:v>33</c:v>
                </c:pt>
                <c:pt idx="665">
                  <c:v>35</c:v>
                </c:pt>
                <c:pt idx="666">
                  <c:v>27</c:v>
                </c:pt>
                <c:pt idx="667">
                  <c:v>14</c:v>
                </c:pt>
                <c:pt idx="668">
                  <c:v>43</c:v>
                </c:pt>
                <c:pt idx="669">
                  <c:v>42</c:v>
                </c:pt>
                <c:pt idx="670">
                  <c:v>34</c:v>
                </c:pt>
                <c:pt idx="671">
                  <c:v>21</c:v>
                </c:pt>
                <c:pt idx="672">
                  <c:v>14</c:v>
                </c:pt>
                <c:pt idx="673">
                  <c:v>30</c:v>
                </c:pt>
                <c:pt idx="674">
                  <c:v>27</c:v>
                </c:pt>
                <c:pt idx="675">
                  <c:v>25</c:v>
                </c:pt>
                <c:pt idx="676">
                  <c:v>34</c:v>
                </c:pt>
                <c:pt idx="677">
                  <c:v>34</c:v>
                </c:pt>
                <c:pt idx="678">
                  <c:v>55</c:v>
                </c:pt>
                <c:pt idx="679">
                  <c:v>18</c:v>
                </c:pt>
                <c:pt idx="680">
                  <c:v>16</c:v>
                </c:pt>
                <c:pt idx="681">
                  <c:v>19</c:v>
                </c:pt>
              </c:numCache>
            </c:numRef>
          </c:yVal>
          <c:smooth val="0"/>
          <c:extLst>
            <c:ext xmlns:c16="http://schemas.microsoft.com/office/drawing/2014/chart" uri="{C3380CC4-5D6E-409C-BE32-E72D297353CC}">
              <c16:uniqueId val="{00000000-EA9C-4387-9EF1-38AA2031164C}"/>
            </c:ext>
          </c:extLst>
        </c:ser>
        <c:dLbls>
          <c:showLegendKey val="0"/>
          <c:showVal val="0"/>
          <c:showCatName val="0"/>
          <c:showSerName val="0"/>
          <c:showPercent val="0"/>
          <c:showBubbleSize val="0"/>
        </c:dLbls>
        <c:axId val="519952431"/>
        <c:axId val="912321071"/>
      </c:scatterChart>
      <c:valAx>
        <c:axId val="51995243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12321071"/>
        <c:crosses val="autoZero"/>
        <c:crossBetween val="midCat"/>
      </c:valAx>
      <c:valAx>
        <c:axId val="91232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19952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商品単価</a:t>
            </a:r>
            <a:r>
              <a:rPr lang="en-US" altLang="ja-JP"/>
              <a:t> - </a:t>
            </a:r>
            <a:r>
              <a:rPr lang="ja-JP" altLang="en-US"/>
              <a:t>売上個数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'[2]chap6-3'!$C$1</c:f>
              <c:strCache>
                <c:ptCount val="1"/>
                <c:pt idx="0">
                  <c:v>売上個数</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2"/>
            <c:dispRSqr val="1"/>
            <c:dispEq val="1"/>
            <c:trendlineLbl>
              <c:layout>
                <c:manualLayout>
                  <c:x val="0.17784580052493437"/>
                  <c:y val="-0.157453339165937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'[2]chap6-3'!$B$2:$B$678</c:f>
              <c:numCache>
                <c:formatCode>General</c:formatCode>
                <c:ptCount val="677"/>
                <c:pt idx="0">
                  <c:v>120</c:v>
                </c:pt>
                <c:pt idx="1">
                  <c:v>208</c:v>
                </c:pt>
                <c:pt idx="2">
                  <c:v>142</c:v>
                </c:pt>
                <c:pt idx="3">
                  <c:v>127</c:v>
                </c:pt>
                <c:pt idx="4">
                  <c:v>157</c:v>
                </c:pt>
                <c:pt idx="5">
                  <c:v>129</c:v>
                </c:pt>
                <c:pt idx="6">
                  <c:v>149</c:v>
                </c:pt>
                <c:pt idx="7">
                  <c:v>195</c:v>
                </c:pt>
                <c:pt idx="8">
                  <c:v>150</c:v>
                </c:pt>
                <c:pt idx="9">
                  <c:v>108</c:v>
                </c:pt>
                <c:pt idx="10">
                  <c:v>150</c:v>
                </c:pt>
                <c:pt idx="11">
                  <c:v>130</c:v>
                </c:pt>
                <c:pt idx="12">
                  <c:v>163</c:v>
                </c:pt>
                <c:pt idx="13">
                  <c:v>137</c:v>
                </c:pt>
                <c:pt idx="14">
                  <c:v>155</c:v>
                </c:pt>
                <c:pt idx="15">
                  <c:v>162</c:v>
                </c:pt>
                <c:pt idx="16">
                  <c:v>211</c:v>
                </c:pt>
                <c:pt idx="17">
                  <c:v>126</c:v>
                </c:pt>
                <c:pt idx="18">
                  <c:v>167</c:v>
                </c:pt>
                <c:pt idx="19">
                  <c:v>142</c:v>
                </c:pt>
                <c:pt idx="20">
                  <c:v>129</c:v>
                </c:pt>
                <c:pt idx="21">
                  <c:v>199</c:v>
                </c:pt>
                <c:pt idx="22">
                  <c:v>176</c:v>
                </c:pt>
                <c:pt idx="23">
                  <c:v>158</c:v>
                </c:pt>
                <c:pt idx="24">
                  <c:v>206</c:v>
                </c:pt>
                <c:pt idx="25">
                  <c:v>152</c:v>
                </c:pt>
                <c:pt idx="26">
                  <c:v>112</c:v>
                </c:pt>
                <c:pt idx="27">
                  <c:v>177</c:v>
                </c:pt>
                <c:pt idx="28">
                  <c:v>112</c:v>
                </c:pt>
                <c:pt idx="29">
                  <c:v>160</c:v>
                </c:pt>
                <c:pt idx="30">
                  <c:v>168</c:v>
                </c:pt>
                <c:pt idx="31">
                  <c:v>134</c:v>
                </c:pt>
                <c:pt idx="32">
                  <c:v>155</c:v>
                </c:pt>
                <c:pt idx="33">
                  <c:v>135</c:v>
                </c:pt>
                <c:pt idx="34">
                  <c:v>170</c:v>
                </c:pt>
                <c:pt idx="35">
                  <c:v>191</c:v>
                </c:pt>
                <c:pt idx="36">
                  <c:v>127</c:v>
                </c:pt>
                <c:pt idx="37">
                  <c:v>97</c:v>
                </c:pt>
                <c:pt idx="38">
                  <c:v>146</c:v>
                </c:pt>
                <c:pt idx="39">
                  <c:v>107</c:v>
                </c:pt>
                <c:pt idx="40">
                  <c:v>210</c:v>
                </c:pt>
                <c:pt idx="41">
                  <c:v>176</c:v>
                </c:pt>
                <c:pt idx="42">
                  <c:v>120</c:v>
                </c:pt>
                <c:pt idx="43">
                  <c:v>155</c:v>
                </c:pt>
                <c:pt idx="44">
                  <c:v>192</c:v>
                </c:pt>
                <c:pt idx="45">
                  <c:v>178</c:v>
                </c:pt>
                <c:pt idx="46">
                  <c:v>118</c:v>
                </c:pt>
                <c:pt idx="47">
                  <c:v>168</c:v>
                </c:pt>
                <c:pt idx="48">
                  <c:v>103</c:v>
                </c:pt>
                <c:pt idx="49">
                  <c:v>136</c:v>
                </c:pt>
                <c:pt idx="50">
                  <c:v>169</c:v>
                </c:pt>
                <c:pt idx="51">
                  <c:v>150</c:v>
                </c:pt>
                <c:pt idx="52">
                  <c:v>168</c:v>
                </c:pt>
                <c:pt idx="53">
                  <c:v>220</c:v>
                </c:pt>
                <c:pt idx="54">
                  <c:v>138</c:v>
                </c:pt>
                <c:pt idx="55">
                  <c:v>177</c:v>
                </c:pt>
                <c:pt idx="56">
                  <c:v>177</c:v>
                </c:pt>
                <c:pt idx="57">
                  <c:v>141</c:v>
                </c:pt>
                <c:pt idx="58">
                  <c:v>186</c:v>
                </c:pt>
                <c:pt idx="59">
                  <c:v>221</c:v>
                </c:pt>
                <c:pt idx="60">
                  <c:v>210</c:v>
                </c:pt>
                <c:pt idx="61">
                  <c:v>198</c:v>
                </c:pt>
                <c:pt idx="62">
                  <c:v>170</c:v>
                </c:pt>
                <c:pt idx="63">
                  <c:v>102</c:v>
                </c:pt>
                <c:pt idx="64">
                  <c:v>129</c:v>
                </c:pt>
                <c:pt idx="65">
                  <c:v>141</c:v>
                </c:pt>
                <c:pt idx="66">
                  <c:v>148</c:v>
                </c:pt>
                <c:pt idx="67">
                  <c:v>162</c:v>
                </c:pt>
                <c:pt idx="68">
                  <c:v>134</c:v>
                </c:pt>
                <c:pt idx="69">
                  <c:v>154</c:v>
                </c:pt>
                <c:pt idx="70">
                  <c:v>116</c:v>
                </c:pt>
                <c:pt idx="71">
                  <c:v>104</c:v>
                </c:pt>
                <c:pt idx="72">
                  <c:v>178</c:v>
                </c:pt>
                <c:pt idx="73">
                  <c:v>145</c:v>
                </c:pt>
                <c:pt idx="74">
                  <c:v>119</c:v>
                </c:pt>
                <c:pt idx="75">
                  <c:v>128</c:v>
                </c:pt>
                <c:pt idx="76">
                  <c:v>142</c:v>
                </c:pt>
                <c:pt idx="77">
                  <c:v>150</c:v>
                </c:pt>
                <c:pt idx="78">
                  <c:v>142</c:v>
                </c:pt>
                <c:pt idx="79">
                  <c:v>156</c:v>
                </c:pt>
                <c:pt idx="80">
                  <c:v>191</c:v>
                </c:pt>
                <c:pt idx="81">
                  <c:v>116</c:v>
                </c:pt>
                <c:pt idx="82">
                  <c:v>170</c:v>
                </c:pt>
                <c:pt idx="83">
                  <c:v>119</c:v>
                </c:pt>
                <c:pt idx="84">
                  <c:v>216</c:v>
                </c:pt>
                <c:pt idx="85">
                  <c:v>182</c:v>
                </c:pt>
                <c:pt idx="86">
                  <c:v>154</c:v>
                </c:pt>
                <c:pt idx="87">
                  <c:v>195</c:v>
                </c:pt>
                <c:pt idx="88">
                  <c:v>175</c:v>
                </c:pt>
                <c:pt idx="89">
                  <c:v>154</c:v>
                </c:pt>
                <c:pt idx="90">
                  <c:v>169</c:v>
                </c:pt>
                <c:pt idx="91">
                  <c:v>170</c:v>
                </c:pt>
                <c:pt idx="92">
                  <c:v>128</c:v>
                </c:pt>
                <c:pt idx="93">
                  <c:v>159</c:v>
                </c:pt>
                <c:pt idx="94">
                  <c:v>137</c:v>
                </c:pt>
                <c:pt idx="95">
                  <c:v>109</c:v>
                </c:pt>
                <c:pt idx="96">
                  <c:v>128</c:v>
                </c:pt>
                <c:pt idx="97">
                  <c:v>133</c:v>
                </c:pt>
                <c:pt idx="98">
                  <c:v>146</c:v>
                </c:pt>
                <c:pt idx="99">
                  <c:v>164</c:v>
                </c:pt>
                <c:pt idx="100">
                  <c:v>149</c:v>
                </c:pt>
                <c:pt idx="101">
                  <c:v>168</c:v>
                </c:pt>
                <c:pt idx="102">
                  <c:v>130</c:v>
                </c:pt>
                <c:pt idx="103">
                  <c:v>126</c:v>
                </c:pt>
                <c:pt idx="104">
                  <c:v>115</c:v>
                </c:pt>
                <c:pt idx="105">
                  <c:v>136</c:v>
                </c:pt>
                <c:pt idx="106">
                  <c:v>161</c:v>
                </c:pt>
                <c:pt idx="107">
                  <c:v>108</c:v>
                </c:pt>
                <c:pt idx="108">
                  <c:v>198</c:v>
                </c:pt>
                <c:pt idx="109">
                  <c:v>203</c:v>
                </c:pt>
                <c:pt idx="110">
                  <c:v>109</c:v>
                </c:pt>
                <c:pt idx="111">
                  <c:v>109</c:v>
                </c:pt>
                <c:pt idx="112">
                  <c:v>140</c:v>
                </c:pt>
                <c:pt idx="113">
                  <c:v>102</c:v>
                </c:pt>
                <c:pt idx="114">
                  <c:v>142</c:v>
                </c:pt>
                <c:pt idx="115">
                  <c:v>171</c:v>
                </c:pt>
                <c:pt idx="116">
                  <c:v>212</c:v>
                </c:pt>
                <c:pt idx="117">
                  <c:v>141</c:v>
                </c:pt>
                <c:pt idx="118">
                  <c:v>184</c:v>
                </c:pt>
                <c:pt idx="119">
                  <c:v>164</c:v>
                </c:pt>
                <c:pt idx="120">
                  <c:v>179</c:v>
                </c:pt>
                <c:pt idx="121">
                  <c:v>159</c:v>
                </c:pt>
                <c:pt idx="122">
                  <c:v>140</c:v>
                </c:pt>
                <c:pt idx="123">
                  <c:v>175</c:v>
                </c:pt>
                <c:pt idx="124">
                  <c:v>161</c:v>
                </c:pt>
                <c:pt idx="125">
                  <c:v>173</c:v>
                </c:pt>
                <c:pt idx="126">
                  <c:v>186</c:v>
                </c:pt>
                <c:pt idx="127">
                  <c:v>187</c:v>
                </c:pt>
                <c:pt idx="128">
                  <c:v>130</c:v>
                </c:pt>
                <c:pt idx="129">
                  <c:v>112</c:v>
                </c:pt>
                <c:pt idx="130">
                  <c:v>183</c:v>
                </c:pt>
                <c:pt idx="131">
                  <c:v>175</c:v>
                </c:pt>
                <c:pt idx="132">
                  <c:v>140</c:v>
                </c:pt>
                <c:pt idx="133">
                  <c:v>177</c:v>
                </c:pt>
                <c:pt idx="134">
                  <c:v>139</c:v>
                </c:pt>
                <c:pt idx="135">
                  <c:v>186</c:v>
                </c:pt>
                <c:pt idx="136">
                  <c:v>173</c:v>
                </c:pt>
                <c:pt idx="137">
                  <c:v>176</c:v>
                </c:pt>
                <c:pt idx="138">
                  <c:v>144</c:v>
                </c:pt>
                <c:pt idx="139">
                  <c:v>146</c:v>
                </c:pt>
                <c:pt idx="140">
                  <c:v>184</c:v>
                </c:pt>
                <c:pt idx="141">
                  <c:v>185</c:v>
                </c:pt>
                <c:pt idx="142">
                  <c:v>124</c:v>
                </c:pt>
                <c:pt idx="143">
                  <c:v>146</c:v>
                </c:pt>
                <c:pt idx="144">
                  <c:v>97</c:v>
                </c:pt>
                <c:pt idx="145">
                  <c:v>152</c:v>
                </c:pt>
                <c:pt idx="146">
                  <c:v>178</c:v>
                </c:pt>
                <c:pt idx="147">
                  <c:v>166</c:v>
                </c:pt>
                <c:pt idx="148">
                  <c:v>101</c:v>
                </c:pt>
                <c:pt idx="149">
                  <c:v>102</c:v>
                </c:pt>
                <c:pt idx="150">
                  <c:v>72</c:v>
                </c:pt>
                <c:pt idx="151">
                  <c:v>100</c:v>
                </c:pt>
                <c:pt idx="152">
                  <c:v>104</c:v>
                </c:pt>
                <c:pt idx="153">
                  <c:v>104</c:v>
                </c:pt>
                <c:pt idx="154">
                  <c:v>128</c:v>
                </c:pt>
                <c:pt idx="155">
                  <c:v>189</c:v>
                </c:pt>
                <c:pt idx="156">
                  <c:v>198</c:v>
                </c:pt>
                <c:pt idx="157">
                  <c:v>124</c:v>
                </c:pt>
                <c:pt idx="158">
                  <c:v>134</c:v>
                </c:pt>
                <c:pt idx="159">
                  <c:v>137</c:v>
                </c:pt>
                <c:pt idx="160">
                  <c:v>135</c:v>
                </c:pt>
                <c:pt idx="161">
                  <c:v>140</c:v>
                </c:pt>
                <c:pt idx="162">
                  <c:v>174</c:v>
                </c:pt>
                <c:pt idx="163">
                  <c:v>112</c:v>
                </c:pt>
                <c:pt idx="164">
                  <c:v>133</c:v>
                </c:pt>
                <c:pt idx="165">
                  <c:v>145</c:v>
                </c:pt>
                <c:pt idx="166">
                  <c:v>107</c:v>
                </c:pt>
                <c:pt idx="167">
                  <c:v>186</c:v>
                </c:pt>
                <c:pt idx="168">
                  <c:v>147</c:v>
                </c:pt>
                <c:pt idx="169">
                  <c:v>181</c:v>
                </c:pt>
                <c:pt idx="170">
                  <c:v>162</c:v>
                </c:pt>
                <c:pt idx="171">
                  <c:v>118</c:v>
                </c:pt>
                <c:pt idx="172">
                  <c:v>120</c:v>
                </c:pt>
                <c:pt idx="173">
                  <c:v>193</c:v>
                </c:pt>
                <c:pt idx="174">
                  <c:v>196</c:v>
                </c:pt>
                <c:pt idx="175">
                  <c:v>178</c:v>
                </c:pt>
                <c:pt idx="176">
                  <c:v>177</c:v>
                </c:pt>
                <c:pt idx="177">
                  <c:v>84</c:v>
                </c:pt>
                <c:pt idx="178">
                  <c:v>200</c:v>
                </c:pt>
                <c:pt idx="179">
                  <c:v>194</c:v>
                </c:pt>
                <c:pt idx="180">
                  <c:v>125</c:v>
                </c:pt>
                <c:pt idx="181">
                  <c:v>163</c:v>
                </c:pt>
                <c:pt idx="182">
                  <c:v>155</c:v>
                </c:pt>
                <c:pt idx="183">
                  <c:v>113</c:v>
                </c:pt>
                <c:pt idx="184">
                  <c:v>133</c:v>
                </c:pt>
                <c:pt idx="185">
                  <c:v>119</c:v>
                </c:pt>
                <c:pt idx="186">
                  <c:v>106</c:v>
                </c:pt>
                <c:pt idx="187">
                  <c:v>146</c:v>
                </c:pt>
                <c:pt idx="188">
                  <c:v>140</c:v>
                </c:pt>
                <c:pt idx="189">
                  <c:v>226</c:v>
                </c:pt>
                <c:pt idx="190">
                  <c:v>151</c:v>
                </c:pt>
                <c:pt idx="191">
                  <c:v>110</c:v>
                </c:pt>
                <c:pt idx="192">
                  <c:v>192</c:v>
                </c:pt>
                <c:pt idx="193">
                  <c:v>168</c:v>
                </c:pt>
                <c:pt idx="194">
                  <c:v>135</c:v>
                </c:pt>
                <c:pt idx="195">
                  <c:v>157</c:v>
                </c:pt>
                <c:pt idx="196">
                  <c:v>152</c:v>
                </c:pt>
                <c:pt idx="197">
                  <c:v>206</c:v>
                </c:pt>
                <c:pt idx="198">
                  <c:v>192</c:v>
                </c:pt>
                <c:pt idx="199">
                  <c:v>166</c:v>
                </c:pt>
                <c:pt idx="200">
                  <c:v>124</c:v>
                </c:pt>
                <c:pt idx="201">
                  <c:v>156</c:v>
                </c:pt>
                <c:pt idx="202">
                  <c:v>186</c:v>
                </c:pt>
                <c:pt idx="203">
                  <c:v>137</c:v>
                </c:pt>
                <c:pt idx="204">
                  <c:v>176</c:v>
                </c:pt>
                <c:pt idx="205">
                  <c:v>89</c:v>
                </c:pt>
                <c:pt idx="206">
                  <c:v>169</c:v>
                </c:pt>
                <c:pt idx="207">
                  <c:v>160</c:v>
                </c:pt>
                <c:pt idx="208">
                  <c:v>175</c:v>
                </c:pt>
                <c:pt idx="209">
                  <c:v>135</c:v>
                </c:pt>
                <c:pt idx="210">
                  <c:v>202</c:v>
                </c:pt>
                <c:pt idx="211">
                  <c:v>189</c:v>
                </c:pt>
                <c:pt idx="212">
                  <c:v>132</c:v>
                </c:pt>
                <c:pt idx="213">
                  <c:v>138</c:v>
                </c:pt>
                <c:pt idx="214">
                  <c:v>170</c:v>
                </c:pt>
                <c:pt idx="215">
                  <c:v>186</c:v>
                </c:pt>
                <c:pt idx="216">
                  <c:v>89</c:v>
                </c:pt>
                <c:pt idx="217">
                  <c:v>105</c:v>
                </c:pt>
                <c:pt idx="218">
                  <c:v>189</c:v>
                </c:pt>
                <c:pt idx="219">
                  <c:v>152</c:v>
                </c:pt>
                <c:pt idx="220">
                  <c:v>226</c:v>
                </c:pt>
                <c:pt idx="221">
                  <c:v>146</c:v>
                </c:pt>
                <c:pt idx="222">
                  <c:v>197</c:v>
                </c:pt>
                <c:pt idx="223">
                  <c:v>188</c:v>
                </c:pt>
                <c:pt idx="224">
                  <c:v>151</c:v>
                </c:pt>
                <c:pt idx="225">
                  <c:v>207</c:v>
                </c:pt>
                <c:pt idx="226">
                  <c:v>104</c:v>
                </c:pt>
                <c:pt idx="227">
                  <c:v>188</c:v>
                </c:pt>
                <c:pt idx="228">
                  <c:v>234</c:v>
                </c:pt>
                <c:pt idx="229">
                  <c:v>202</c:v>
                </c:pt>
                <c:pt idx="230">
                  <c:v>126</c:v>
                </c:pt>
                <c:pt idx="231">
                  <c:v>144</c:v>
                </c:pt>
                <c:pt idx="232">
                  <c:v>180</c:v>
                </c:pt>
                <c:pt idx="233">
                  <c:v>138</c:v>
                </c:pt>
                <c:pt idx="234">
                  <c:v>220</c:v>
                </c:pt>
                <c:pt idx="235">
                  <c:v>204</c:v>
                </c:pt>
                <c:pt idx="236">
                  <c:v>153</c:v>
                </c:pt>
                <c:pt idx="237">
                  <c:v>114</c:v>
                </c:pt>
                <c:pt idx="238">
                  <c:v>130</c:v>
                </c:pt>
                <c:pt idx="239">
                  <c:v>146</c:v>
                </c:pt>
                <c:pt idx="240">
                  <c:v>179</c:v>
                </c:pt>
                <c:pt idx="241">
                  <c:v>148</c:v>
                </c:pt>
                <c:pt idx="242">
                  <c:v>133</c:v>
                </c:pt>
                <c:pt idx="243">
                  <c:v>210</c:v>
                </c:pt>
                <c:pt idx="244">
                  <c:v>153</c:v>
                </c:pt>
                <c:pt idx="245">
                  <c:v>99</c:v>
                </c:pt>
                <c:pt idx="246">
                  <c:v>148</c:v>
                </c:pt>
                <c:pt idx="247">
                  <c:v>134</c:v>
                </c:pt>
                <c:pt idx="248">
                  <c:v>172</c:v>
                </c:pt>
                <c:pt idx="249">
                  <c:v>116</c:v>
                </c:pt>
                <c:pt idx="250">
                  <c:v>115</c:v>
                </c:pt>
                <c:pt idx="251">
                  <c:v>157</c:v>
                </c:pt>
                <c:pt idx="252">
                  <c:v>208</c:v>
                </c:pt>
                <c:pt idx="253">
                  <c:v>145</c:v>
                </c:pt>
                <c:pt idx="254">
                  <c:v>130</c:v>
                </c:pt>
                <c:pt idx="255">
                  <c:v>222</c:v>
                </c:pt>
                <c:pt idx="256">
                  <c:v>194</c:v>
                </c:pt>
                <c:pt idx="257">
                  <c:v>113</c:v>
                </c:pt>
                <c:pt idx="258">
                  <c:v>145</c:v>
                </c:pt>
                <c:pt idx="259">
                  <c:v>154</c:v>
                </c:pt>
                <c:pt idx="260">
                  <c:v>126</c:v>
                </c:pt>
                <c:pt idx="261">
                  <c:v>108</c:v>
                </c:pt>
                <c:pt idx="262">
                  <c:v>120</c:v>
                </c:pt>
                <c:pt idx="263">
                  <c:v>172</c:v>
                </c:pt>
                <c:pt idx="264">
                  <c:v>126</c:v>
                </c:pt>
                <c:pt idx="265">
                  <c:v>180</c:v>
                </c:pt>
                <c:pt idx="266">
                  <c:v>195</c:v>
                </c:pt>
                <c:pt idx="267">
                  <c:v>179</c:v>
                </c:pt>
                <c:pt idx="268">
                  <c:v>126</c:v>
                </c:pt>
                <c:pt idx="269">
                  <c:v>206</c:v>
                </c:pt>
                <c:pt idx="270">
                  <c:v>151</c:v>
                </c:pt>
                <c:pt idx="271">
                  <c:v>163</c:v>
                </c:pt>
                <c:pt idx="272">
                  <c:v>169</c:v>
                </c:pt>
                <c:pt idx="273">
                  <c:v>187</c:v>
                </c:pt>
                <c:pt idx="274">
                  <c:v>158</c:v>
                </c:pt>
                <c:pt idx="275">
                  <c:v>130</c:v>
                </c:pt>
                <c:pt idx="276">
                  <c:v>172</c:v>
                </c:pt>
                <c:pt idx="277">
                  <c:v>137</c:v>
                </c:pt>
                <c:pt idx="278">
                  <c:v>162</c:v>
                </c:pt>
                <c:pt idx="279">
                  <c:v>162</c:v>
                </c:pt>
                <c:pt idx="280">
                  <c:v>202</c:v>
                </c:pt>
                <c:pt idx="281">
                  <c:v>130</c:v>
                </c:pt>
                <c:pt idx="282">
                  <c:v>148</c:v>
                </c:pt>
                <c:pt idx="283">
                  <c:v>130</c:v>
                </c:pt>
                <c:pt idx="284">
                  <c:v>162</c:v>
                </c:pt>
                <c:pt idx="285">
                  <c:v>162</c:v>
                </c:pt>
                <c:pt idx="286">
                  <c:v>159</c:v>
                </c:pt>
                <c:pt idx="287">
                  <c:v>149</c:v>
                </c:pt>
                <c:pt idx="288">
                  <c:v>212</c:v>
                </c:pt>
                <c:pt idx="289">
                  <c:v>138</c:v>
                </c:pt>
                <c:pt idx="290">
                  <c:v>221</c:v>
                </c:pt>
                <c:pt idx="291">
                  <c:v>110</c:v>
                </c:pt>
                <c:pt idx="292">
                  <c:v>76</c:v>
                </c:pt>
                <c:pt idx="293">
                  <c:v>139</c:v>
                </c:pt>
                <c:pt idx="294">
                  <c:v>189</c:v>
                </c:pt>
                <c:pt idx="295">
                  <c:v>106</c:v>
                </c:pt>
                <c:pt idx="296">
                  <c:v>192</c:v>
                </c:pt>
                <c:pt idx="297">
                  <c:v>134</c:v>
                </c:pt>
                <c:pt idx="298">
                  <c:v>130</c:v>
                </c:pt>
                <c:pt idx="299">
                  <c:v>148</c:v>
                </c:pt>
                <c:pt idx="300">
                  <c:v>125</c:v>
                </c:pt>
                <c:pt idx="301">
                  <c:v>158</c:v>
                </c:pt>
                <c:pt idx="302">
                  <c:v>159</c:v>
                </c:pt>
                <c:pt idx="303">
                  <c:v>135</c:v>
                </c:pt>
                <c:pt idx="304">
                  <c:v>145</c:v>
                </c:pt>
                <c:pt idx="305">
                  <c:v>194</c:v>
                </c:pt>
                <c:pt idx="306">
                  <c:v>125</c:v>
                </c:pt>
                <c:pt idx="307">
                  <c:v>117</c:v>
                </c:pt>
                <c:pt idx="308">
                  <c:v>190</c:v>
                </c:pt>
                <c:pt idx="309">
                  <c:v>185</c:v>
                </c:pt>
                <c:pt idx="310">
                  <c:v>126</c:v>
                </c:pt>
                <c:pt idx="311">
                  <c:v>194</c:v>
                </c:pt>
                <c:pt idx="312">
                  <c:v>118</c:v>
                </c:pt>
                <c:pt idx="313">
                  <c:v>196</c:v>
                </c:pt>
                <c:pt idx="314">
                  <c:v>122</c:v>
                </c:pt>
                <c:pt idx="315">
                  <c:v>180</c:v>
                </c:pt>
                <c:pt idx="316">
                  <c:v>159</c:v>
                </c:pt>
                <c:pt idx="317">
                  <c:v>144</c:v>
                </c:pt>
                <c:pt idx="318">
                  <c:v>205</c:v>
                </c:pt>
                <c:pt idx="319">
                  <c:v>174</c:v>
                </c:pt>
                <c:pt idx="320">
                  <c:v>169</c:v>
                </c:pt>
                <c:pt idx="321">
                  <c:v>108</c:v>
                </c:pt>
                <c:pt idx="322">
                  <c:v>165</c:v>
                </c:pt>
                <c:pt idx="323">
                  <c:v>100</c:v>
                </c:pt>
                <c:pt idx="324">
                  <c:v>122</c:v>
                </c:pt>
                <c:pt idx="325">
                  <c:v>212</c:v>
                </c:pt>
                <c:pt idx="326">
                  <c:v>177</c:v>
                </c:pt>
                <c:pt idx="327">
                  <c:v>102</c:v>
                </c:pt>
                <c:pt idx="328">
                  <c:v>153</c:v>
                </c:pt>
                <c:pt idx="329">
                  <c:v>223</c:v>
                </c:pt>
                <c:pt idx="330">
                  <c:v>102</c:v>
                </c:pt>
                <c:pt idx="331">
                  <c:v>119</c:v>
                </c:pt>
                <c:pt idx="332">
                  <c:v>160</c:v>
                </c:pt>
                <c:pt idx="333">
                  <c:v>231</c:v>
                </c:pt>
                <c:pt idx="334">
                  <c:v>97</c:v>
                </c:pt>
                <c:pt idx="335">
                  <c:v>139</c:v>
                </c:pt>
                <c:pt idx="336">
                  <c:v>148</c:v>
                </c:pt>
                <c:pt idx="337">
                  <c:v>92</c:v>
                </c:pt>
                <c:pt idx="338">
                  <c:v>124</c:v>
                </c:pt>
                <c:pt idx="339">
                  <c:v>152</c:v>
                </c:pt>
                <c:pt idx="340">
                  <c:v>179</c:v>
                </c:pt>
                <c:pt idx="341">
                  <c:v>100</c:v>
                </c:pt>
                <c:pt idx="342">
                  <c:v>133</c:v>
                </c:pt>
                <c:pt idx="343">
                  <c:v>165</c:v>
                </c:pt>
                <c:pt idx="344">
                  <c:v>150</c:v>
                </c:pt>
                <c:pt idx="345">
                  <c:v>148</c:v>
                </c:pt>
                <c:pt idx="346">
                  <c:v>161</c:v>
                </c:pt>
                <c:pt idx="347">
                  <c:v>180</c:v>
                </c:pt>
                <c:pt idx="348">
                  <c:v>168</c:v>
                </c:pt>
                <c:pt idx="349">
                  <c:v>110</c:v>
                </c:pt>
                <c:pt idx="350">
                  <c:v>197</c:v>
                </c:pt>
                <c:pt idx="351">
                  <c:v>146</c:v>
                </c:pt>
                <c:pt idx="352">
                  <c:v>94</c:v>
                </c:pt>
                <c:pt idx="353">
                  <c:v>164</c:v>
                </c:pt>
                <c:pt idx="354">
                  <c:v>113</c:v>
                </c:pt>
                <c:pt idx="355">
                  <c:v>170</c:v>
                </c:pt>
                <c:pt idx="356">
                  <c:v>141</c:v>
                </c:pt>
                <c:pt idx="357">
                  <c:v>152</c:v>
                </c:pt>
                <c:pt idx="358">
                  <c:v>193</c:v>
                </c:pt>
                <c:pt idx="359">
                  <c:v>131</c:v>
                </c:pt>
                <c:pt idx="360">
                  <c:v>163</c:v>
                </c:pt>
                <c:pt idx="361">
                  <c:v>126</c:v>
                </c:pt>
                <c:pt idx="362">
                  <c:v>181</c:v>
                </c:pt>
                <c:pt idx="363">
                  <c:v>99</c:v>
                </c:pt>
                <c:pt idx="364">
                  <c:v>150</c:v>
                </c:pt>
                <c:pt idx="365">
                  <c:v>245</c:v>
                </c:pt>
                <c:pt idx="366">
                  <c:v>156</c:v>
                </c:pt>
                <c:pt idx="367">
                  <c:v>166</c:v>
                </c:pt>
                <c:pt idx="368">
                  <c:v>186</c:v>
                </c:pt>
                <c:pt idx="369">
                  <c:v>142</c:v>
                </c:pt>
                <c:pt idx="370">
                  <c:v>125</c:v>
                </c:pt>
                <c:pt idx="371">
                  <c:v>97</c:v>
                </c:pt>
                <c:pt idx="372">
                  <c:v>180</c:v>
                </c:pt>
                <c:pt idx="373">
                  <c:v>212</c:v>
                </c:pt>
                <c:pt idx="374">
                  <c:v>164</c:v>
                </c:pt>
                <c:pt idx="375">
                  <c:v>166</c:v>
                </c:pt>
                <c:pt idx="376">
                  <c:v>159</c:v>
                </c:pt>
                <c:pt idx="377">
                  <c:v>134</c:v>
                </c:pt>
                <c:pt idx="378">
                  <c:v>171</c:v>
                </c:pt>
                <c:pt idx="379">
                  <c:v>156</c:v>
                </c:pt>
                <c:pt idx="380">
                  <c:v>127</c:v>
                </c:pt>
                <c:pt idx="381">
                  <c:v>231</c:v>
                </c:pt>
                <c:pt idx="382">
                  <c:v>154</c:v>
                </c:pt>
                <c:pt idx="383">
                  <c:v>170</c:v>
                </c:pt>
                <c:pt idx="384">
                  <c:v>128</c:v>
                </c:pt>
                <c:pt idx="385">
                  <c:v>187</c:v>
                </c:pt>
                <c:pt idx="386">
                  <c:v>142</c:v>
                </c:pt>
                <c:pt idx="387">
                  <c:v>158</c:v>
                </c:pt>
                <c:pt idx="388">
                  <c:v>174</c:v>
                </c:pt>
                <c:pt idx="389">
                  <c:v>136</c:v>
                </c:pt>
                <c:pt idx="390">
                  <c:v>131</c:v>
                </c:pt>
                <c:pt idx="391">
                  <c:v>184</c:v>
                </c:pt>
                <c:pt idx="392">
                  <c:v>127</c:v>
                </c:pt>
                <c:pt idx="393">
                  <c:v>193</c:v>
                </c:pt>
                <c:pt idx="394">
                  <c:v>146</c:v>
                </c:pt>
                <c:pt idx="395">
                  <c:v>108</c:v>
                </c:pt>
                <c:pt idx="396">
                  <c:v>126</c:v>
                </c:pt>
                <c:pt idx="397">
                  <c:v>143</c:v>
                </c:pt>
                <c:pt idx="398">
                  <c:v>139</c:v>
                </c:pt>
                <c:pt idx="399">
                  <c:v>132</c:v>
                </c:pt>
                <c:pt idx="400">
                  <c:v>170</c:v>
                </c:pt>
                <c:pt idx="401">
                  <c:v>172</c:v>
                </c:pt>
                <c:pt idx="402">
                  <c:v>142</c:v>
                </c:pt>
                <c:pt idx="403">
                  <c:v>116</c:v>
                </c:pt>
                <c:pt idx="404">
                  <c:v>122</c:v>
                </c:pt>
                <c:pt idx="405">
                  <c:v>152</c:v>
                </c:pt>
                <c:pt idx="406">
                  <c:v>168</c:v>
                </c:pt>
                <c:pt idx="407">
                  <c:v>190</c:v>
                </c:pt>
                <c:pt idx="408">
                  <c:v>196</c:v>
                </c:pt>
                <c:pt idx="409">
                  <c:v>169</c:v>
                </c:pt>
                <c:pt idx="410">
                  <c:v>139</c:v>
                </c:pt>
                <c:pt idx="411">
                  <c:v>189</c:v>
                </c:pt>
                <c:pt idx="412">
                  <c:v>154</c:v>
                </c:pt>
                <c:pt idx="413">
                  <c:v>211</c:v>
                </c:pt>
                <c:pt idx="414">
                  <c:v>168</c:v>
                </c:pt>
                <c:pt idx="415">
                  <c:v>103</c:v>
                </c:pt>
                <c:pt idx="416">
                  <c:v>197</c:v>
                </c:pt>
                <c:pt idx="417">
                  <c:v>117</c:v>
                </c:pt>
                <c:pt idx="418">
                  <c:v>182</c:v>
                </c:pt>
                <c:pt idx="419">
                  <c:v>212</c:v>
                </c:pt>
                <c:pt idx="420">
                  <c:v>173</c:v>
                </c:pt>
                <c:pt idx="421">
                  <c:v>160</c:v>
                </c:pt>
                <c:pt idx="422">
                  <c:v>130</c:v>
                </c:pt>
                <c:pt idx="423">
                  <c:v>122</c:v>
                </c:pt>
                <c:pt idx="424">
                  <c:v>145</c:v>
                </c:pt>
                <c:pt idx="425">
                  <c:v>146</c:v>
                </c:pt>
                <c:pt idx="426">
                  <c:v>127</c:v>
                </c:pt>
                <c:pt idx="427">
                  <c:v>101</c:v>
                </c:pt>
                <c:pt idx="428">
                  <c:v>188</c:v>
                </c:pt>
                <c:pt idx="429">
                  <c:v>177</c:v>
                </c:pt>
                <c:pt idx="430">
                  <c:v>213</c:v>
                </c:pt>
                <c:pt idx="431">
                  <c:v>175</c:v>
                </c:pt>
                <c:pt idx="432">
                  <c:v>113</c:v>
                </c:pt>
                <c:pt idx="433">
                  <c:v>61</c:v>
                </c:pt>
                <c:pt idx="434">
                  <c:v>138</c:v>
                </c:pt>
                <c:pt idx="435">
                  <c:v>167</c:v>
                </c:pt>
                <c:pt idx="436">
                  <c:v>162</c:v>
                </c:pt>
                <c:pt idx="437">
                  <c:v>144</c:v>
                </c:pt>
                <c:pt idx="438">
                  <c:v>120</c:v>
                </c:pt>
                <c:pt idx="439">
                  <c:v>188</c:v>
                </c:pt>
                <c:pt idx="440">
                  <c:v>112</c:v>
                </c:pt>
                <c:pt idx="441">
                  <c:v>171</c:v>
                </c:pt>
                <c:pt idx="442">
                  <c:v>78</c:v>
                </c:pt>
                <c:pt idx="443">
                  <c:v>203</c:v>
                </c:pt>
                <c:pt idx="444">
                  <c:v>126</c:v>
                </c:pt>
                <c:pt idx="445">
                  <c:v>128</c:v>
                </c:pt>
                <c:pt idx="446">
                  <c:v>130</c:v>
                </c:pt>
                <c:pt idx="447">
                  <c:v>121</c:v>
                </c:pt>
                <c:pt idx="448">
                  <c:v>79</c:v>
                </c:pt>
                <c:pt idx="449">
                  <c:v>150</c:v>
                </c:pt>
                <c:pt idx="450">
                  <c:v>135</c:v>
                </c:pt>
                <c:pt idx="451">
                  <c:v>226</c:v>
                </c:pt>
                <c:pt idx="452">
                  <c:v>176</c:v>
                </c:pt>
                <c:pt idx="453">
                  <c:v>158</c:v>
                </c:pt>
                <c:pt idx="454">
                  <c:v>136</c:v>
                </c:pt>
                <c:pt idx="455">
                  <c:v>134</c:v>
                </c:pt>
                <c:pt idx="456">
                  <c:v>171</c:v>
                </c:pt>
                <c:pt idx="457">
                  <c:v>192</c:v>
                </c:pt>
                <c:pt idx="458">
                  <c:v>184</c:v>
                </c:pt>
                <c:pt idx="459">
                  <c:v>137</c:v>
                </c:pt>
                <c:pt idx="460">
                  <c:v>161</c:v>
                </c:pt>
                <c:pt idx="461">
                  <c:v>205</c:v>
                </c:pt>
                <c:pt idx="462">
                  <c:v>146</c:v>
                </c:pt>
                <c:pt idx="463">
                  <c:v>127</c:v>
                </c:pt>
                <c:pt idx="464">
                  <c:v>182</c:v>
                </c:pt>
                <c:pt idx="465">
                  <c:v>176</c:v>
                </c:pt>
                <c:pt idx="466">
                  <c:v>177</c:v>
                </c:pt>
                <c:pt idx="467">
                  <c:v>138</c:v>
                </c:pt>
                <c:pt idx="468">
                  <c:v>133</c:v>
                </c:pt>
                <c:pt idx="469">
                  <c:v>112</c:v>
                </c:pt>
                <c:pt idx="470">
                  <c:v>144</c:v>
                </c:pt>
                <c:pt idx="471">
                  <c:v>159</c:v>
                </c:pt>
                <c:pt idx="472">
                  <c:v>165</c:v>
                </c:pt>
                <c:pt idx="473">
                  <c:v>150</c:v>
                </c:pt>
                <c:pt idx="474">
                  <c:v>141</c:v>
                </c:pt>
                <c:pt idx="475">
                  <c:v>99</c:v>
                </c:pt>
                <c:pt idx="476">
                  <c:v>170</c:v>
                </c:pt>
                <c:pt idx="477">
                  <c:v>100</c:v>
                </c:pt>
                <c:pt idx="478">
                  <c:v>129</c:v>
                </c:pt>
                <c:pt idx="479">
                  <c:v>144</c:v>
                </c:pt>
                <c:pt idx="480">
                  <c:v>200</c:v>
                </c:pt>
                <c:pt idx="481">
                  <c:v>152</c:v>
                </c:pt>
                <c:pt idx="482">
                  <c:v>154</c:v>
                </c:pt>
                <c:pt idx="483">
                  <c:v>166</c:v>
                </c:pt>
                <c:pt idx="484">
                  <c:v>142</c:v>
                </c:pt>
                <c:pt idx="485">
                  <c:v>183</c:v>
                </c:pt>
                <c:pt idx="486">
                  <c:v>151</c:v>
                </c:pt>
                <c:pt idx="487">
                  <c:v>118</c:v>
                </c:pt>
                <c:pt idx="488">
                  <c:v>142</c:v>
                </c:pt>
                <c:pt idx="489">
                  <c:v>158</c:v>
                </c:pt>
                <c:pt idx="490">
                  <c:v>130</c:v>
                </c:pt>
                <c:pt idx="491">
                  <c:v>138</c:v>
                </c:pt>
                <c:pt idx="492">
                  <c:v>76</c:v>
                </c:pt>
                <c:pt idx="493">
                  <c:v>164</c:v>
                </c:pt>
                <c:pt idx="494">
                  <c:v>102</c:v>
                </c:pt>
                <c:pt idx="495">
                  <c:v>113</c:v>
                </c:pt>
                <c:pt idx="496">
                  <c:v>161</c:v>
                </c:pt>
                <c:pt idx="497">
                  <c:v>149</c:v>
                </c:pt>
                <c:pt idx="498">
                  <c:v>184</c:v>
                </c:pt>
                <c:pt idx="499">
                  <c:v>152</c:v>
                </c:pt>
                <c:pt idx="500">
                  <c:v>224</c:v>
                </c:pt>
                <c:pt idx="501">
                  <c:v>193</c:v>
                </c:pt>
                <c:pt idx="502">
                  <c:v>167</c:v>
                </c:pt>
                <c:pt idx="503">
                  <c:v>191</c:v>
                </c:pt>
                <c:pt idx="504">
                  <c:v>181</c:v>
                </c:pt>
                <c:pt idx="505">
                  <c:v>143</c:v>
                </c:pt>
                <c:pt idx="506">
                  <c:v>123</c:v>
                </c:pt>
                <c:pt idx="507">
                  <c:v>168</c:v>
                </c:pt>
                <c:pt idx="508">
                  <c:v>188</c:v>
                </c:pt>
                <c:pt idx="509">
                  <c:v>177</c:v>
                </c:pt>
                <c:pt idx="510">
                  <c:v>173</c:v>
                </c:pt>
                <c:pt idx="511">
                  <c:v>167</c:v>
                </c:pt>
                <c:pt idx="512">
                  <c:v>204</c:v>
                </c:pt>
                <c:pt idx="513">
                  <c:v>148</c:v>
                </c:pt>
                <c:pt idx="514">
                  <c:v>162</c:v>
                </c:pt>
                <c:pt idx="515">
                  <c:v>133</c:v>
                </c:pt>
                <c:pt idx="516">
                  <c:v>134</c:v>
                </c:pt>
                <c:pt idx="517">
                  <c:v>175</c:v>
                </c:pt>
                <c:pt idx="518">
                  <c:v>165</c:v>
                </c:pt>
                <c:pt idx="519">
                  <c:v>144</c:v>
                </c:pt>
                <c:pt idx="520">
                  <c:v>185</c:v>
                </c:pt>
                <c:pt idx="521">
                  <c:v>205</c:v>
                </c:pt>
                <c:pt idx="522">
                  <c:v>180</c:v>
                </c:pt>
                <c:pt idx="523">
                  <c:v>157</c:v>
                </c:pt>
                <c:pt idx="524">
                  <c:v>188</c:v>
                </c:pt>
                <c:pt idx="525">
                  <c:v>178</c:v>
                </c:pt>
                <c:pt idx="526">
                  <c:v>128</c:v>
                </c:pt>
                <c:pt idx="527">
                  <c:v>196</c:v>
                </c:pt>
                <c:pt idx="528">
                  <c:v>151</c:v>
                </c:pt>
                <c:pt idx="529">
                  <c:v>132</c:v>
                </c:pt>
                <c:pt idx="530">
                  <c:v>90</c:v>
                </c:pt>
                <c:pt idx="531">
                  <c:v>181</c:v>
                </c:pt>
                <c:pt idx="532">
                  <c:v>139</c:v>
                </c:pt>
                <c:pt idx="533">
                  <c:v>150</c:v>
                </c:pt>
                <c:pt idx="534">
                  <c:v>84</c:v>
                </c:pt>
                <c:pt idx="535">
                  <c:v>150</c:v>
                </c:pt>
                <c:pt idx="536">
                  <c:v>196</c:v>
                </c:pt>
                <c:pt idx="537">
                  <c:v>125</c:v>
                </c:pt>
                <c:pt idx="538">
                  <c:v>164</c:v>
                </c:pt>
                <c:pt idx="539">
                  <c:v>134</c:v>
                </c:pt>
                <c:pt idx="540">
                  <c:v>139</c:v>
                </c:pt>
                <c:pt idx="541">
                  <c:v>105</c:v>
                </c:pt>
                <c:pt idx="542">
                  <c:v>185</c:v>
                </c:pt>
                <c:pt idx="543">
                  <c:v>138</c:v>
                </c:pt>
                <c:pt idx="544">
                  <c:v>158</c:v>
                </c:pt>
                <c:pt idx="545">
                  <c:v>130</c:v>
                </c:pt>
                <c:pt idx="546">
                  <c:v>162</c:v>
                </c:pt>
                <c:pt idx="547">
                  <c:v>153</c:v>
                </c:pt>
                <c:pt idx="548">
                  <c:v>154</c:v>
                </c:pt>
                <c:pt idx="549">
                  <c:v>152</c:v>
                </c:pt>
                <c:pt idx="550">
                  <c:v>174</c:v>
                </c:pt>
                <c:pt idx="551">
                  <c:v>134</c:v>
                </c:pt>
                <c:pt idx="552">
                  <c:v>170</c:v>
                </c:pt>
                <c:pt idx="553">
                  <c:v>205</c:v>
                </c:pt>
                <c:pt idx="554">
                  <c:v>148</c:v>
                </c:pt>
                <c:pt idx="555">
                  <c:v>139</c:v>
                </c:pt>
                <c:pt idx="556">
                  <c:v>140</c:v>
                </c:pt>
                <c:pt idx="557">
                  <c:v>86</c:v>
                </c:pt>
                <c:pt idx="558">
                  <c:v>169</c:v>
                </c:pt>
                <c:pt idx="559">
                  <c:v>138</c:v>
                </c:pt>
                <c:pt idx="560">
                  <c:v>167</c:v>
                </c:pt>
                <c:pt idx="561">
                  <c:v>234</c:v>
                </c:pt>
                <c:pt idx="562">
                  <c:v>171</c:v>
                </c:pt>
                <c:pt idx="563">
                  <c:v>125</c:v>
                </c:pt>
                <c:pt idx="564">
                  <c:v>181</c:v>
                </c:pt>
                <c:pt idx="565">
                  <c:v>111</c:v>
                </c:pt>
                <c:pt idx="566">
                  <c:v>184</c:v>
                </c:pt>
                <c:pt idx="567">
                  <c:v>180</c:v>
                </c:pt>
                <c:pt idx="568">
                  <c:v>195</c:v>
                </c:pt>
                <c:pt idx="569">
                  <c:v>130</c:v>
                </c:pt>
                <c:pt idx="570">
                  <c:v>168</c:v>
                </c:pt>
                <c:pt idx="571">
                  <c:v>118</c:v>
                </c:pt>
                <c:pt idx="572">
                  <c:v>153</c:v>
                </c:pt>
                <c:pt idx="573">
                  <c:v>142</c:v>
                </c:pt>
                <c:pt idx="574">
                  <c:v>135</c:v>
                </c:pt>
                <c:pt idx="575">
                  <c:v>150</c:v>
                </c:pt>
                <c:pt idx="576">
                  <c:v>179</c:v>
                </c:pt>
                <c:pt idx="577">
                  <c:v>166</c:v>
                </c:pt>
                <c:pt idx="578">
                  <c:v>161</c:v>
                </c:pt>
                <c:pt idx="579">
                  <c:v>152</c:v>
                </c:pt>
                <c:pt idx="580">
                  <c:v>143</c:v>
                </c:pt>
                <c:pt idx="581">
                  <c:v>151</c:v>
                </c:pt>
                <c:pt idx="582">
                  <c:v>184</c:v>
                </c:pt>
                <c:pt idx="583">
                  <c:v>166</c:v>
                </c:pt>
                <c:pt idx="584">
                  <c:v>156</c:v>
                </c:pt>
                <c:pt idx="585">
                  <c:v>132</c:v>
                </c:pt>
                <c:pt idx="586">
                  <c:v>140</c:v>
                </c:pt>
                <c:pt idx="587">
                  <c:v>161</c:v>
                </c:pt>
                <c:pt idx="588">
                  <c:v>163</c:v>
                </c:pt>
                <c:pt idx="589">
                  <c:v>136</c:v>
                </c:pt>
                <c:pt idx="590">
                  <c:v>178</c:v>
                </c:pt>
                <c:pt idx="591">
                  <c:v>190</c:v>
                </c:pt>
                <c:pt idx="592">
                  <c:v>159</c:v>
                </c:pt>
                <c:pt idx="593">
                  <c:v>144</c:v>
                </c:pt>
                <c:pt idx="594">
                  <c:v>117</c:v>
                </c:pt>
                <c:pt idx="595">
                  <c:v>157</c:v>
                </c:pt>
                <c:pt idx="596">
                  <c:v>179</c:v>
                </c:pt>
                <c:pt idx="597">
                  <c:v>150</c:v>
                </c:pt>
                <c:pt idx="598">
                  <c:v>158</c:v>
                </c:pt>
                <c:pt idx="599">
                  <c:v>150</c:v>
                </c:pt>
                <c:pt idx="600">
                  <c:v>222</c:v>
                </c:pt>
                <c:pt idx="601">
                  <c:v>140</c:v>
                </c:pt>
                <c:pt idx="602">
                  <c:v>102</c:v>
                </c:pt>
                <c:pt idx="603">
                  <c:v>127</c:v>
                </c:pt>
                <c:pt idx="604">
                  <c:v>154</c:v>
                </c:pt>
                <c:pt idx="605">
                  <c:v>153</c:v>
                </c:pt>
                <c:pt idx="606">
                  <c:v>154</c:v>
                </c:pt>
                <c:pt idx="607">
                  <c:v>127</c:v>
                </c:pt>
                <c:pt idx="608">
                  <c:v>81</c:v>
                </c:pt>
                <c:pt idx="609">
                  <c:v>168</c:v>
                </c:pt>
                <c:pt idx="610">
                  <c:v>149</c:v>
                </c:pt>
                <c:pt idx="611">
                  <c:v>142</c:v>
                </c:pt>
                <c:pt idx="612">
                  <c:v>126</c:v>
                </c:pt>
                <c:pt idx="613">
                  <c:v>145</c:v>
                </c:pt>
                <c:pt idx="614">
                  <c:v>161</c:v>
                </c:pt>
                <c:pt idx="615">
                  <c:v>138</c:v>
                </c:pt>
                <c:pt idx="616">
                  <c:v>111</c:v>
                </c:pt>
                <c:pt idx="617">
                  <c:v>184</c:v>
                </c:pt>
                <c:pt idx="618">
                  <c:v>111</c:v>
                </c:pt>
                <c:pt idx="619">
                  <c:v>136</c:v>
                </c:pt>
                <c:pt idx="620">
                  <c:v>96</c:v>
                </c:pt>
                <c:pt idx="621">
                  <c:v>196</c:v>
                </c:pt>
                <c:pt idx="622">
                  <c:v>126</c:v>
                </c:pt>
                <c:pt idx="623">
                  <c:v>109</c:v>
                </c:pt>
                <c:pt idx="624">
                  <c:v>145</c:v>
                </c:pt>
                <c:pt idx="625">
                  <c:v>167</c:v>
                </c:pt>
                <c:pt idx="626">
                  <c:v>178</c:v>
                </c:pt>
                <c:pt idx="627">
                  <c:v>170</c:v>
                </c:pt>
                <c:pt idx="628">
                  <c:v>165</c:v>
                </c:pt>
                <c:pt idx="629">
                  <c:v>218</c:v>
                </c:pt>
                <c:pt idx="630">
                  <c:v>176</c:v>
                </c:pt>
                <c:pt idx="631">
                  <c:v>80</c:v>
                </c:pt>
                <c:pt idx="632">
                  <c:v>120</c:v>
                </c:pt>
                <c:pt idx="633">
                  <c:v>116</c:v>
                </c:pt>
                <c:pt idx="634">
                  <c:v>139</c:v>
                </c:pt>
                <c:pt idx="635">
                  <c:v>163</c:v>
                </c:pt>
                <c:pt idx="636">
                  <c:v>178</c:v>
                </c:pt>
                <c:pt idx="637">
                  <c:v>155</c:v>
                </c:pt>
                <c:pt idx="638">
                  <c:v>177</c:v>
                </c:pt>
                <c:pt idx="639">
                  <c:v>152</c:v>
                </c:pt>
                <c:pt idx="640">
                  <c:v>131</c:v>
                </c:pt>
                <c:pt idx="641">
                  <c:v>59</c:v>
                </c:pt>
                <c:pt idx="642">
                  <c:v>148</c:v>
                </c:pt>
                <c:pt idx="643">
                  <c:v>201</c:v>
                </c:pt>
                <c:pt idx="644">
                  <c:v>186</c:v>
                </c:pt>
                <c:pt idx="645">
                  <c:v>191</c:v>
                </c:pt>
                <c:pt idx="646">
                  <c:v>166</c:v>
                </c:pt>
                <c:pt idx="647">
                  <c:v>187</c:v>
                </c:pt>
                <c:pt idx="648">
                  <c:v>143</c:v>
                </c:pt>
                <c:pt idx="649">
                  <c:v>113</c:v>
                </c:pt>
                <c:pt idx="650">
                  <c:v>106</c:v>
                </c:pt>
                <c:pt idx="651">
                  <c:v>194</c:v>
                </c:pt>
                <c:pt idx="652">
                  <c:v>216</c:v>
                </c:pt>
                <c:pt idx="653">
                  <c:v>122</c:v>
                </c:pt>
                <c:pt idx="654">
                  <c:v>159</c:v>
                </c:pt>
                <c:pt idx="655">
                  <c:v>147</c:v>
                </c:pt>
                <c:pt idx="656">
                  <c:v>100</c:v>
                </c:pt>
                <c:pt idx="657">
                  <c:v>205</c:v>
                </c:pt>
                <c:pt idx="658">
                  <c:v>170</c:v>
                </c:pt>
                <c:pt idx="659">
                  <c:v>164</c:v>
                </c:pt>
                <c:pt idx="660">
                  <c:v>114</c:v>
                </c:pt>
                <c:pt idx="661">
                  <c:v>113</c:v>
                </c:pt>
                <c:pt idx="662">
                  <c:v>186</c:v>
                </c:pt>
                <c:pt idx="663">
                  <c:v>146</c:v>
                </c:pt>
                <c:pt idx="664">
                  <c:v>157</c:v>
                </c:pt>
                <c:pt idx="665">
                  <c:v>161</c:v>
                </c:pt>
                <c:pt idx="666">
                  <c:v>204</c:v>
                </c:pt>
                <c:pt idx="667">
                  <c:v>137</c:v>
                </c:pt>
                <c:pt idx="668">
                  <c:v>171</c:v>
                </c:pt>
                <c:pt idx="669">
                  <c:v>134</c:v>
                </c:pt>
                <c:pt idx="670">
                  <c:v>190</c:v>
                </c:pt>
                <c:pt idx="671">
                  <c:v>112</c:v>
                </c:pt>
                <c:pt idx="672">
                  <c:v>150</c:v>
                </c:pt>
                <c:pt idx="673">
                  <c:v>110</c:v>
                </c:pt>
                <c:pt idx="674">
                  <c:v>130</c:v>
                </c:pt>
                <c:pt idx="675">
                  <c:v>167</c:v>
                </c:pt>
                <c:pt idx="676">
                  <c:v>160</c:v>
                </c:pt>
              </c:numCache>
            </c:numRef>
          </c:xVal>
          <c:yVal>
            <c:numRef>
              <c:f>'[2]chap6-3'!$C$2:$C$678</c:f>
              <c:numCache>
                <c:formatCode>General</c:formatCode>
                <c:ptCount val="677"/>
                <c:pt idx="0">
                  <c:v>22</c:v>
                </c:pt>
                <c:pt idx="1">
                  <c:v>19</c:v>
                </c:pt>
                <c:pt idx="2">
                  <c:v>14</c:v>
                </c:pt>
                <c:pt idx="3">
                  <c:v>19</c:v>
                </c:pt>
                <c:pt idx="4">
                  <c:v>25</c:v>
                </c:pt>
                <c:pt idx="5">
                  <c:v>27</c:v>
                </c:pt>
                <c:pt idx="6">
                  <c:v>33</c:v>
                </c:pt>
                <c:pt idx="7">
                  <c:v>14</c:v>
                </c:pt>
                <c:pt idx="8">
                  <c:v>25</c:v>
                </c:pt>
                <c:pt idx="9">
                  <c:v>34</c:v>
                </c:pt>
                <c:pt idx="10">
                  <c:v>21</c:v>
                </c:pt>
                <c:pt idx="11">
                  <c:v>26</c:v>
                </c:pt>
                <c:pt idx="12">
                  <c:v>15</c:v>
                </c:pt>
                <c:pt idx="13">
                  <c:v>18</c:v>
                </c:pt>
                <c:pt idx="14">
                  <c:v>26</c:v>
                </c:pt>
                <c:pt idx="15">
                  <c:v>23</c:v>
                </c:pt>
                <c:pt idx="16">
                  <c:v>21</c:v>
                </c:pt>
                <c:pt idx="17">
                  <c:v>36</c:v>
                </c:pt>
                <c:pt idx="18">
                  <c:v>24</c:v>
                </c:pt>
                <c:pt idx="19">
                  <c:v>35</c:v>
                </c:pt>
                <c:pt idx="20">
                  <c:v>18</c:v>
                </c:pt>
                <c:pt idx="21">
                  <c:v>25</c:v>
                </c:pt>
                <c:pt idx="22">
                  <c:v>31</c:v>
                </c:pt>
                <c:pt idx="23">
                  <c:v>33</c:v>
                </c:pt>
                <c:pt idx="24">
                  <c:v>15</c:v>
                </c:pt>
                <c:pt idx="25">
                  <c:v>24</c:v>
                </c:pt>
                <c:pt idx="26">
                  <c:v>26</c:v>
                </c:pt>
                <c:pt idx="27">
                  <c:v>25</c:v>
                </c:pt>
                <c:pt idx="28">
                  <c:v>30</c:v>
                </c:pt>
                <c:pt idx="29">
                  <c:v>37</c:v>
                </c:pt>
                <c:pt idx="30">
                  <c:v>38</c:v>
                </c:pt>
                <c:pt idx="31">
                  <c:v>25</c:v>
                </c:pt>
                <c:pt idx="32">
                  <c:v>17</c:v>
                </c:pt>
                <c:pt idx="33">
                  <c:v>30</c:v>
                </c:pt>
                <c:pt idx="34">
                  <c:v>25</c:v>
                </c:pt>
                <c:pt idx="35">
                  <c:v>24</c:v>
                </c:pt>
                <c:pt idx="36">
                  <c:v>36</c:v>
                </c:pt>
                <c:pt idx="37">
                  <c:v>40</c:v>
                </c:pt>
                <c:pt idx="38">
                  <c:v>37</c:v>
                </c:pt>
                <c:pt idx="39">
                  <c:v>39</c:v>
                </c:pt>
                <c:pt idx="40">
                  <c:v>19</c:v>
                </c:pt>
                <c:pt idx="41">
                  <c:v>19</c:v>
                </c:pt>
                <c:pt idx="42">
                  <c:v>33</c:v>
                </c:pt>
                <c:pt idx="43">
                  <c:v>33</c:v>
                </c:pt>
                <c:pt idx="44">
                  <c:v>27</c:v>
                </c:pt>
                <c:pt idx="45">
                  <c:v>23</c:v>
                </c:pt>
                <c:pt idx="46">
                  <c:v>27</c:v>
                </c:pt>
                <c:pt idx="47">
                  <c:v>30</c:v>
                </c:pt>
                <c:pt idx="48">
                  <c:v>42</c:v>
                </c:pt>
                <c:pt idx="49">
                  <c:v>28</c:v>
                </c:pt>
                <c:pt idx="50">
                  <c:v>22</c:v>
                </c:pt>
                <c:pt idx="51">
                  <c:v>29</c:v>
                </c:pt>
                <c:pt idx="52">
                  <c:v>33</c:v>
                </c:pt>
                <c:pt idx="53">
                  <c:v>16</c:v>
                </c:pt>
                <c:pt idx="54">
                  <c:v>35</c:v>
                </c:pt>
                <c:pt idx="55">
                  <c:v>24</c:v>
                </c:pt>
                <c:pt idx="56">
                  <c:v>31</c:v>
                </c:pt>
                <c:pt idx="57">
                  <c:v>38</c:v>
                </c:pt>
                <c:pt idx="58">
                  <c:v>26</c:v>
                </c:pt>
                <c:pt idx="59">
                  <c:v>16</c:v>
                </c:pt>
                <c:pt idx="60">
                  <c:v>18</c:v>
                </c:pt>
                <c:pt idx="61">
                  <c:v>21</c:v>
                </c:pt>
                <c:pt idx="62">
                  <c:v>19</c:v>
                </c:pt>
                <c:pt idx="63">
                  <c:v>32</c:v>
                </c:pt>
                <c:pt idx="64">
                  <c:v>28</c:v>
                </c:pt>
                <c:pt idx="65">
                  <c:v>46</c:v>
                </c:pt>
                <c:pt idx="66">
                  <c:v>22</c:v>
                </c:pt>
                <c:pt idx="67">
                  <c:v>16</c:v>
                </c:pt>
                <c:pt idx="68">
                  <c:v>26</c:v>
                </c:pt>
                <c:pt idx="69">
                  <c:v>37</c:v>
                </c:pt>
                <c:pt idx="70">
                  <c:v>32</c:v>
                </c:pt>
                <c:pt idx="71">
                  <c:v>46</c:v>
                </c:pt>
                <c:pt idx="72">
                  <c:v>20</c:v>
                </c:pt>
                <c:pt idx="73">
                  <c:v>45</c:v>
                </c:pt>
                <c:pt idx="74">
                  <c:v>34</c:v>
                </c:pt>
                <c:pt idx="75">
                  <c:v>30</c:v>
                </c:pt>
                <c:pt idx="76">
                  <c:v>19</c:v>
                </c:pt>
                <c:pt idx="77">
                  <c:v>24</c:v>
                </c:pt>
                <c:pt idx="78">
                  <c:v>11</c:v>
                </c:pt>
                <c:pt idx="79">
                  <c:v>33</c:v>
                </c:pt>
                <c:pt idx="80">
                  <c:v>21</c:v>
                </c:pt>
                <c:pt idx="81">
                  <c:v>42</c:v>
                </c:pt>
                <c:pt idx="82">
                  <c:v>27</c:v>
                </c:pt>
                <c:pt idx="83">
                  <c:v>27</c:v>
                </c:pt>
                <c:pt idx="84">
                  <c:v>18</c:v>
                </c:pt>
                <c:pt idx="85">
                  <c:v>30</c:v>
                </c:pt>
                <c:pt idx="86">
                  <c:v>18</c:v>
                </c:pt>
                <c:pt idx="87">
                  <c:v>20</c:v>
                </c:pt>
                <c:pt idx="88">
                  <c:v>26</c:v>
                </c:pt>
                <c:pt idx="89">
                  <c:v>19</c:v>
                </c:pt>
                <c:pt idx="90">
                  <c:v>26</c:v>
                </c:pt>
                <c:pt idx="91">
                  <c:v>23</c:v>
                </c:pt>
                <c:pt idx="92">
                  <c:v>20</c:v>
                </c:pt>
                <c:pt idx="93">
                  <c:v>17</c:v>
                </c:pt>
                <c:pt idx="94">
                  <c:v>15</c:v>
                </c:pt>
                <c:pt idx="95">
                  <c:v>39</c:v>
                </c:pt>
                <c:pt idx="96">
                  <c:v>30</c:v>
                </c:pt>
                <c:pt idx="97">
                  <c:v>37</c:v>
                </c:pt>
                <c:pt idx="98">
                  <c:v>31</c:v>
                </c:pt>
                <c:pt idx="99">
                  <c:v>15</c:v>
                </c:pt>
                <c:pt idx="100">
                  <c:v>33</c:v>
                </c:pt>
                <c:pt idx="101">
                  <c:v>32</c:v>
                </c:pt>
                <c:pt idx="102">
                  <c:v>33</c:v>
                </c:pt>
                <c:pt idx="103">
                  <c:v>24</c:v>
                </c:pt>
                <c:pt idx="104">
                  <c:v>25</c:v>
                </c:pt>
                <c:pt idx="105">
                  <c:v>23</c:v>
                </c:pt>
                <c:pt idx="106">
                  <c:v>27</c:v>
                </c:pt>
                <c:pt idx="107">
                  <c:v>33</c:v>
                </c:pt>
                <c:pt idx="108">
                  <c:v>11</c:v>
                </c:pt>
                <c:pt idx="109">
                  <c:v>11</c:v>
                </c:pt>
                <c:pt idx="110">
                  <c:v>29</c:v>
                </c:pt>
                <c:pt idx="111">
                  <c:v>38</c:v>
                </c:pt>
                <c:pt idx="112">
                  <c:v>26</c:v>
                </c:pt>
                <c:pt idx="113">
                  <c:v>36</c:v>
                </c:pt>
                <c:pt idx="114">
                  <c:v>32</c:v>
                </c:pt>
                <c:pt idx="115">
                  <c:v>18</c:v>
                </c:pt>
                <c:pt idx="116">
                  <c:v>21</c:v>
                </c:pt>
                <c:pt idx="117">
                  <c:v>12</c:v>
                </c:pt>
                <c:pt idx="118">
                  <c:v>12</c:v>
                </c:pt>
                <c:pt idx="119">
                  <c:v>32</c:v>
                </c:pt>
                <c:pt idx="120">
                  <c:v>23</c:v>
                </c:pt>
                <c:pt idx="121">
                  <c:v>26</c:v>
                </c:pt>
                <c:pt idx="122">
                  <c:v>30</c:v>
                </c:pt>
                <c:pt idx="123">
                  <c:v>13</c:v>
                </c:pt>
                <c:pt idx="124">
                  <c:v>16</c:v>
                </c:pt>
                <c:pt idx="125">
                  <c:v>34</c:v>
                </c:pt>
                <c:pt idx="126">
                  <c:v>32</c:v>
                </c:pt>
                <c:pt idx="127">
                  <c:v>31</c:v>
                </c:pt>
                <c:pt idx="128">
                  <c:v>36</c:v>
                </c:pt>
                <c:pt idx="129">
                  <c:v>48</c:v>
                </c:pt>
                <c:pt idx="130">
                  <c:v>23</c:v>
                </c:pt>
                <c:pt idx="131">
                  <c:v>24</c:v>
                </c:pt>
                <c:pt idx="132">
                  <c:v>41</c:v>
                </c:pt>
                <c:pt idx="133">
                  <c:v>20</c:v>
                </c:pt>
                <c:pt idx="134">
                  <c:v>24</c:v>
                </c:pt>
                <c:pt idx="135">
                  <c:v>20</c:v>
                </c:pt>
                <c:pt idx="136">
                  <c:v>19</c:v>
                </c:pt>
                <c:pt idx="137">
                  <c:v>24</c:v>
                </c:pt>
                <c:pt idx="138">
                  <c:v>20</c:v>
                </c:pt>
                <c:pt idx="139">
                  <c:v>32</c:v>
                </c:pt>
                <c:pt idx="140">
                  <c:v>32</c:v>
                </c:pt>
                <c:pt idx="141">
                  <c:v>12</c:v>
                </c:pt>
                <c:pt idx="142">
                  <c:v>25</c:v>
                </c:pt>
                <c:pt idx="143">
                  <c:v>10</c:v>
                </c:pt>
                <c:pt idx="144">
                  <c:v>39</c:v>
                </c:pt>
                <c:pt idx="145">
                  <c:v>43</c:v>
                </c:pt>
                <c:pt idx="146">
                  <c:v>20</c:v>
                </c:pt>
                <c:pt idx="147">
                  <c:v>16</c:v>
                </c:pt>
                <c:pt idx="148">
                  <c:v>41</c:v>
                </c:pt>
                <c:pt idx="149">
                  <c:v>30</c:v>
                </c:pt>
                <c:pt idx="150">
                  <c:v>50</c:v>
                </c:pt>
                <c:pt idx="151">
                  <c:v>53</c:v>
                </c:pt>
                <c:pt idx="152">
                  <c:v>32</c:v>
                </c:pt>
                <c:pt idx="153">
                  <c:v>35</c:v>
                </c:pt>
                <c:pt idx="154">
                  <c:v>29</c:v>
                </c:pt>
                <c:pt idx="155">
                  <c:v>26</c:v>
                </c:pt>
                <c:pt idx="156">
                  <c:v>22</c:v>
                </c:pt>
                <c:pt idx="157">
                  <c:v>23</c:v>
                </c:pt>
                <c:pt idx="158">
                  <c:v>52</c:v>
                </c:pt>
                <c:pt idx="159">
                  <c:v>24</c:v>
                </c:pt>
                <c:pt idx="160">
                  <c:v>42</c:v>
                </c:pt>
                <c:pt idx="161">
                  <c:v>36</c:v>
                </c:pt>
                <c:pt idx="162">
                  <c:v>16</c:v>
                </c:pt>
                <c:pt idx="163">
                  <c:v>26</c:v>
                </c:pt>
                <c:pt idx="164">
                  <c:v>28</c:v>
                </c:pt>
                <c:pt idx="165">
                  <c:v>22</c:v>
                </c:pt>
                <c:pt idx="166">
                  <c:v>36</c:v>
                </c:pt>
                <c:pt idx="167">
                  <c:v>25</c:v>
                </c:pt>
                <c:pt idx="168">
                  <c:v>17</c:v>
                </c:pt>
                <c:pt idx="169">
                  <c:v>27</c:v>
                </c:pt>
                <c:pt idx="170">
                  <c:v>31</c:v>
                </c:pt>
                <c:pt idx="171">
                  <c:v>28</c:v>
                </c:pt>
                <c:pt idx="172">
                  <c:v>41</c:v>
                </c:pt>
                <c:pt idx="173">
                  <c:v>18</c:v>
                </c:pt>
                <c:pt idx="174">
                  <c:v>16</c:v>
                </c:pt>
                <c:pt idx="175">
                  <c:v>26</c:v>
                </c:pt>
                <c:pt idx="176">
                  <c:v>14</c:v>
                </c:pt>
                <c:pt idx="177">
                  <c:v>43</c:v>
                </c:pt>
                <c:pt idx="178">
                  <c:v>23</c:v>
                </c:pt>
                <c:pt idx="179">
                  <c:v>20</c:v>
                </c:pt>
                <c:pt idx="180">
                  <c:v>31</c:v>
                </c:pt>
                <c:pt idx="181">
                  <c:v>38</c:v>
                </c:pt>
                <c:pt idx="182">
                  <c:v>33</c:v>
                </c:pt>
                <c:pt idx="183">
                  <c:v>27</c:v>
                </c:pt>
                <c:pt idx="184">
                  <c:v>24</c:v>
                </c:pt>
                <c:pt idx="185">
                  <c:v>38</c:v>
                </c:pt>
                <c:pt idx="186">
                  <c:v>47</c:v>
                </c:pt>
                <c:pt idx="187">
                  <c:v>31</c:v>
                </c:pt>
                <c:pt idx="188">
                  <c:v>20</c:v>
                </c:pt>
                <c:pt idx="189">
                  <c:v>19</c:v>
                </c:pt>
                <c:pt idx="190">
                  <c:v>45</c:v>
                </c:pt>
                <c:pt idx="191">
                  <c:v>38</c:v>
                </c:pt>
                <c:pt idx="192">
                  <c:v>18</c:v>
                </c:pt>
                <c:pt idx="193">
                  <c:v>14</c:v>
                </c:pt>
                <c:pt idx="194">
                  <c:v>42</c:v>
                </c:pt>
                <c:pt idx="195">
                  <c:v>33</c:v>
                </c:pt>
                <c:pt idx="196">
                  <c:v>34</c:v>
                </c:pt>
                <c:pt idx="197">
                  <c:v>15</c:v>
                </c:pt>
                <c:pt idx="198">
                  <c:v>22</c:v>
                </c:pt>
                <c:pt idx="199">
                  <c:v>30</c:v>
                </c:pt>
                <c:pt idx="200">
                  <c:v>25</c:v>
                </c:pt>
                <c:pt idx="201">
                  <c:v>26</c:v>
                </c:pt>
                <c:pt idx="202">
                  <c:v>11</c:v>
                </c:pt>
                <c:pt idx="203">
                  <c:v>28</c:v>
                </c:pt>
                <c:pt idx="204">
                  <c:v>22</c:v>
                </c:pt>
                <c:pt idx="205">
                  <c:v>37</c:v>
                </c:pt>
                <c:pt idx="206">
                  <c:v>31</c:v>
                </c:pt>
                <c:pt idx="207">
                  <c:v>19</c:v>
                </c:pt>
                <c:pt idx="208">
                  <c:v>32</c:v>
                </c:pt>
                <c:pt idx="209">
                  <c:v>27</c:v>
                </c:pt>
                <c:pt idx="210">
                  <c:v>13</c:v>
                </c:pt>
                <c:pt idx="211">
                  <c:v>31</c:v>
                </c:pt>
                <c:pt idx="212">
                  <c:v>20</c:v>
                </c:pt>
                <c:pt idx="213">
                  <c:v>26</c:v>
                </c:pt>
                <c:pt idx="214">
                  <c:v>42</c:v>
                </c:pt>
                <c:pt idx="215">
                  <c:v>24</c:v>
                </c:pt>
                <c:pt idx="216">
                  <c:v>50</c:v>
                </c:pt>
                <c:pt idx="217">
                  <c:v>41</c:v>
                </c:pt>
                <c:pt idx="218">
                  <c:v>29</c:v>
                </c:pt>
                <c:pt idx="219">
                  <c:v>23</c:v>
                </c:pt>
                <c:pt idx="220">
                  <c:v>13</c:v>
                </c:pt>
                <c:pt idx="221">
                  <c:v>32</c:v>
                </c:pt>
                <c:pt idx="222">
                  <c:v>24</c:v>
                </c:pt>
                <c:pt idx="223">
                  <c:v>33</c:v>
                </c:pt>
                <c:pt idx="224">
                  <c:v>29</c:v>
                </c:pt>
                <c:pt idx="225">
                  <c:v>24</c:v>
                </c:pt>
                <c:pt idx="226">
                  <c:v>40</c:v>
                </c:pt>
                <c:pt idx="227">
                  <c:v>16</c:v>
                </c:pt>
                <c:pt idx="228">
                  <c:v>11</c:v>
                </c:pt>
                <c:pt idx="229">
                  <c:v>19</c:v>
                </c:pt>
                <c:pt idx="230">
                  <c:v>42</c:v>
                </c:pt>
                <c:pt idx="231">
                  <c:v>27</c:v>
                </c:pt>
                <c:pt idx="232">
                  <c:v>24</c:v>
                </c:pt>
                <c:pt idx="233">
                  <c:v>27</c:v>
                </c:pt>
                <c:pt idx="234">
                  <c:v>14</c:v>
                </c:pt>
                <c:pt idx="235">
                  <c:v>12</c:v>
                </c:pt>
                <c:pt idx="236">
                  <c:v>23</c:v>
                </c:pt>
                <c:pt idx="237">
                  <c:v>40</c:v>
                </c:pt>
                <c:pt idx="238">
                  <c:v>33</c:v>
                </c:pt>
                <c:pt idx="239">
                  <c:v>33</c:v>
                </c:pt>
                <c:pt idx="240">
                  <c:v>30</c:v>
                </c:pt>
                <c:pt idx="241">
                  <c:v>35</c:v>
                </c:pt>
                <c:pt idx="242">
                  <c:v>26</c:v>
                </c:pt>
                <c:pt idx="243">
                  <c:v>6</c:v>
                </c:pt>
                <c:pt idx="244">
                  <c:v>17</c:v>
                </c:pt>
                <c:pt idx="245">
                  <c:v>41</c:v>
                </c:pt>
                <c:pt idx="246">
                  <c:v>33</c:v>
                </c:pt>
                <c:pt idx="247">
                  <c:v>39</c:v>
                </c:pt>
                <c:pt idx="248">
                  <c:v>17</c:v>
                </c:pt>
                <c:pt idx="249">
                  <c:v>24</c:v>
                </c:pt>
                <c:pt idx="250">
                  <c:v>35</c:v>
                </c:pt>
                <c:pt idx="251">
                  <c:v>18</c:v>
                </c:pt>
                <c:pt idx="252">
                  <c:v>20</c:v>
                </c:pt>
                <c:pt idx="253">
                  <c:v>24</c:v>
                </c:pt>
                <c:pt idx="254">
                  <c:v>40</c:v>
                </c:pt>
                <c:pt idx="255">
                  <c:v>13</c:v>
                </c:pt>
                <c:pt idx="256">
                  <c:v>32</c:v>
                </c:pt>
                <c:pt idx="257">
                  <c:v>34</c:v>
                </c:pt>
                <c:pt idx="258">
                  <c:v>34</c:v>
                </c:pt>
                <c:pt idx="259">
                  <c:v>31</c:v>
                </c:pt>
                <c:pt idx="260">
                  <c:v>47</c:v>
                </c:pt>
                <c:pt idx="261">
                  <c:v>43</c:v>
                </c:pt>
                <c:pt idx="262">
                  <c:v>27</c:v>
                </c:pt>
                <c:pt idx="263">
                  <c:v>11</c:v>
                </c:pt>
                <c:pt idx="264">
                  <c:v>37</c:v>
                </c:pt>
                <c:pt idx="265">
                  <c:v>26</c:v>
                </c:pt>
                <c:pt idx="266">
                  <c:v>27</c:v>
                </c:pt>
                <c:pt idx="267">
                  <c:v>21</c:v>
                </c:pt>
                <c:pt idx="268">
                  <c:v>35</c:v>
                </c:pt>
                <c:pt idx="269">
                  <c:v>25</c:v>
                </c:pt>
                <c:pt idx="270">
                  <c:v>28</c:v>
                </c:pt>
                <c:pt idx="271">
                  <c:v>21</c:v>
                </c:pt>
                <c:pt idx="272">
                  <c:v>24</c:v>
                </c:pt>
                <c:pt idx="273">
                  <c:v>19</c:v>
                </c:pt>
                <c:pt idx="274">
                  <c:v>25</c:v>
                </c:pt>
                <c:pt idx="275">
                  <c:v>33</c:v>
                </c:pt>
                <c:pt idx="276">
                  <c:v>26</c:v>
                </c:pt>
                <c:pt idx="277">
                  <c:v>31</c:v>
                </c:pt>
                <c:pt idx="278">
                  <c:v>33</c:v>
                </c:pt>
                <c:pt idx="279">
                  <c:v>26</c:v>
                </c:pt>
                <c:pt idx="280">
                  <c:v>23</c:v>
                </c:pt>
                <c:pt idx="281">
                  <c:v>28</c:v>
                </c:pt>
                <c:pt idx="282">
                  <c:v>18</c:v>
                </c:pt>
                <c:pt idx="283">
                  <c:v>39</c:v>
                </c:pt>
                <c:pt idx="284">
                  <c:v>28</c:v>
                </c:pt>
                <c:pt idx="285">
                  <c:v>47</c:v>
                </c:pt>
                <c:pt idx="286">
                  <c:v>41</c:v>
                </c:pt>
                <c:pt idx="287">
                  <c:v>11</c:v>
                </c:pt>
                <c:pt idx="288">
                  <c:v>26</c:v>
                </c:pt>
                <c:pt idx="289">
                  <c:v>24</c:v>
                </c:pt>
                <c:pt idx="290">
                  <c:v>14</c:v>
                </c:pt>
                <c:pt idx="291">
                  <c:v>34</c:v>
                </c:pt>
                <c:pt idx="292">
                  <c:v>46</c:v>
                </c:pt>
                <c:pt idx="293">
                  <c:v>24</c:v>
                </c:pt>
                <c:pt idx="294">
                  <c:v>22</c:v>
                </c:pt>
                <c:pt idx="295">
                  <c:v>41</c:v>
                </c:pt>
                <c:pt idx="296">
                  <c:v>3</c:v>
                </c:pt>
                <c:pt idx="297">
                  <c:v>24</c:v>
                </c:pt>
                <c:pt idx="298">
                  <c:v>19</c:v>
                </c:pt>
                <c:pt idx="299">
                  <c:v>39</c:v>
                </c:pt>
                <c:pt idx="300">
                  <c:v>28</c:v>
                </c:pt>
                <c:pt idx="301">
                  <c:v>32</c:v>
                </c:pt>
                <c:pt idx="302">
                  <c:v>25</c:v>
                </c:pt>
                <c:pt idx="303">
                  <c:v>29</c:v>
                </c:pt>
                <c:pt idx="304">
                  <c:v>25</c:v>
                </c:pt>
                <c:pt idx="305">
                  <c:v>21</c:v>
                </c:pt>
                <c:pt idx="306">
                  <c:v>31</c:v>
                </c:pt>
                <c:pt idx="307">
                  <c:v>25</c:v>
                </c:pt>
                <c:pt idx="308">
                  <c:v>14</c:v>
                </c:pt>
                <c:pt idx="309">
                  <c:v>21</c:v>
                </c:pt>
                <c:pt idx="310">
                  <c:v>24</c:v>
                </c:pt>
                <c:pt idx="311">
                  <c:v>25</c:v>
                </c:pt>
                <c:pt idx="312">
                  <c:v>42</c:v>
                </c:pt>
                <c:pt idx="313">
                  <c:v>20</c:v>
                </c:pt>
                <c:pt idx="314">
                  <c:v>22</c:v>
                </c:pt>
                <c:pt idx="315">
                  <c:v>36</c:v>
                </c:pt>
                <c:pt idx="316">
                  <c:v>38</c:v>
                </c:pt>
                <c:pt idx="317">
                  <c:v>18</c:v>
                </c:pt>
                <c:pt idx="318">
                  <c:v>16</c:v>
                </c:pt>
                <c:pt idx="319">
                  <c:v>31</c:v>
                </c:pt>
                <c:pt idx="320">
                  <c:v>28</c:v>
                </c:pt>
                <c:pt idx="321">
                  <c:v>34</c:v>
                </c:pt>
                <c:pt idx="322">
                  <c:v>48</c:v>
                </c:pt>
                <c:pt idx="323">
                  <c:v>35</c:v>
                </c:pt>
                <c:pt idx="324">
                  <c:v>24</c:v>
                </c:pt>
                <c:pt idx="325">
                  <c:v>25</c:v>
                </c:pt>
                <c:pt idx="326">
                  <c:v>32</c:v>
                </c:pt>
                <c:pt idx="327">
                  <c:v>33</c:v>
                </c:pt>
                <c:pt idx="328">
                  <c:v>19</c:v>
                </c:pt>
                <c:pt idx="329">
                  <c:v>7</c:v>
                </c:pt>
                <c:pt idx="330">
                  <c:v>36</c:v>
                </c:pt>
                <c:pt idx="331">
                  <c:v>44</c:v>
                </c:pt>
                <c:pt idx="332">
                  <c:v>35</c:v>
                </c:pt>
                <c:pt idx="333">
                  <c:v>11</c:v>
                </c:pt>
                <c:pt idx="334">
                  <c:v>43</c:v>
                </c:pt>
                <c:pt idx="335">
                  <c:v>22</c:v>
                </c:pt>
                <c:pt idx="336">
                  <c:v>49</c:v>
                </c:pt>
                <c:pt idx="337">
                  <c:v>37</c:v>
                </c:pt>
                <c:pt idx="338">
                  <c:v>26</c:v>
                </c:pt>
                <c:pt idx="339">
                  <c:v>19</c:v>
                </c:pt>
                <c:pt idx="340">
                  <c:v>20</c:v>
                </c:pt>
                <c:pt idx="341">
                  <c:v>36</c:v>
                </c:pt>
                <c:pt idx="342">
                  <c:v>39</c:v>
                </c:pt>
                <c:pt idx="343">
                  <c:v>10</c:v>
                </c:pt>
                <c:pt idx="344">
                  <c:v>24</c:v>
                </c:pt>
                <c:pt idx="345">
                  <c:v>35</c:v>
                </c:pt>
                <c:pt idx="346">
                  <c:v>32</c:v>
                </c:pt>
                <c:pt idx="347">
                  <c:v>20</c:v>
                </c:pt>
                <c:pt idx="348">
                  <c:v>34</c:v>
                </c:pt>
                <c:pt idx="349">
                  <c:v>29</c:v>
                </c:pt>
                <c:pt idx="350">
                  <c:v>26</c:v>
                </c:pt>
                <c:pt idx="351">
                  <c:v>25</c:v>
                </c:pt>
                <c:pt idx="352">
                  <c:v>44</c:v>
                </c:pt>
                <c:pt idx="353">
                  <c:v>28</c:v>
                </c:pt>
                <c:pt idx="354">
                  <c:v>35</c:v>
                </c:pt>
                <c:pt idx="355">
                  <c:v>30</c:v>
                </c:pt>
                <c:pt idx="356">
                  <c:v>24</c:v>
                </c:pt>
                <c:pt idx="357">
                  <c:v>18</c:v>
                </c:pt>
                <c:pt idx="358">
                  <c:v>34</c:v>
                </c:pt>
                <c:pt idx="359">
                  <c:v>20</c:v>
                </c:pt>
                <c:pt idx="360">
                  <c:v>24</c:v>
                </c:pt>
                <c:pt idx="361">
                  <c:v>41</c:v>
                </c:pt>
                <c:pt idx="362">
                  <c:v>26</c:v>
                </c:pt>
                <c:pt idx="363">
                  <c:v>53</c:v>
                </c:pt>
                <c:pt idx="364">
                  <c:v>35</c:v>
                </c:pt>
                <c:pt idx="365">
                  <c:v>5</c:v>
                </c:pt>
                <c:pt idx="366">
                  <c:v>23</c:v>
                </c:pt>
                <c:pt idx="367">
                  <c:v>21</c:v>
                </c:pt>
                <c:pt idx="368">
                  <c:v>27</c:v>
                </c:pt>
                <c:pt idx="369">
                  <c:v>44</c:v>
                </c:pt>
                <c:pt idx="370">
                  <c:v>28</c:v>
                </c:pt>
                <c:pt idx="371">
                  <c:v>34</c:v>
                </c:pt>
                <c:pt idx="372">
                  <c:v>11</c:v>
                </c:pt>
                <c:pt idx="373">
                  <c:v>22</c:v>
                </c:pt>
                <c:pt idx="374">
                  <c:v>29</c:v>
                </c:pt>
                <c:pt idx="375">
                  <c:v>31</c:v>
                </c:pt>
                <c:pt idx="376">
                  <c:v>25</c:v>
                </c:pt>
                <c:pt idx="377">
                  <c:v>46</c:v>
                </c:pt>
                <c:pt idx="378">
                  <c:v>27</c:v>
                </c:pt>
                <c:pt idx="379">
                  <c:v>36</c:v>
                </c:pt>
                <c:pt idx="380">
                  <c:v>36</c:v>
                </c:pt>
                <c:pt idx="381">
                  <c:v>12</c:v>
                </c:pt>
                <c:pt idx="382">
                  <c:v>33</c:v>
                </c:pt>
                <c:pt idx="383">
                  <c:v>29</c:v>
                </c:pt>
                <c:pt idx="384">
                  <c:v>24</c:v>
                </c:pt>
                <c:pt idx="385">
                  <c:v>17</c:v>
                </c:pt>
                <c:pt idx="386">
                  <c:v>18</c:v>
                </c:pt>
                <c:pt idx="387">
                  <c:v>37</c:v>
                </c:pt>
                <c:pt idx="388">
                  <c:v>32</c:v>
                </c:pt>
                <c:pt idx="389">
                  <c:v>36</c:v>
                </c:pt>
                <c:pt idx="390">
                  <c:v>31</c:v>
                </c:pt>
                <c:pt idx="391">
                  <c:v>35</c:v>
                </c:pt>
                <c:pt idx="392">
                  <c:v>23</c:v>
                </c:pt>
                <c:pt idx="393">
                  <c:v>14</c:v>
                </c:pt>
                <c:pt idx="394">
                  <c:v>30</c:v>
                </c:pt>
                <c:pt idx="395">
                  <c:v>43</c:v>
                </c:pt>
                <c:pt idx="396">
                  <c:v>39</c:v>
                </c:pt>
                <c:pt idx="397">
                  <c:v>16</c:v>
                </c:pt>
                <c:pt idx="398">
                  <c:v>34</c:v>
                </c:pt>
                <c:pt idx="399">
                  <c:v>16</c:v>
                </c:pt>
                <c:pt idx="400">
                  <c:v>27</c:v>
                </c:pt>
                <c:pt idx="401">
                  <c:v>37</c:v>
                </c:pt>
                <c:pt idx="402">
                  <c:v>21</c:v>
                </c:pt>
                <c:pt idx="403">
                  <c:v>29</c:v>
                </c:pt>
                <c:pt idx="404">
                  <c:v>34</c:v>
                </c:pt>
                <c:pt idx="405">
                  <c:v>28</c:v>
                </c:pt>
                <c:pt idx="406">
                  <c:v>24</c:v>
                </c:pt>
                <c:pt idx="407">
                  <c:v>17</c:v>
                </c:pt>
                <c:pt idx="408">
                  <c:v>28</c:v>
                </c:pt>
                <c:pt idx="409">
                  <c:v>20</c:v>
                </c:pt>
                <c:pt idx="410">
                  <c:v>38</c:v>
                </c:pt>
                <c:pt idx="411">
                  <c:v>18</c:v>
                </c:pt>
                <c:pt idx="412">
                  <c:v>22</c:v>
                </c:pt>
                <c:pt idx="413">
                  <c:v>21</c:v>
                </c:pt>
                <c:pt idx="414">
                  <c:v>25</c:v>
                </c:pt>
                <c:pt idx="415">
                  <c:v>31</c:v>
                </c:pt>
                <c:pt idx="416">
                  <c:v>32</c:v>
                </c:pt>
                <c:pt idx="417">
                  <c:v>33</c:v>
                </c:pt>
                <c:pt idx="418">
                  <c:v>8</c:v>
                </c:pt>
                <c:pt idx="419">
                  <c:v>15</c:v>
                </c:pt>
                <c:pt idx="420">
                  <c:v>26</c:v>
                </c:pt>
                <c:pt idx="421">
                  <c:v>20</c:v>
                </c:pt>
                <c:pt idx="422">
                  <c:v>26</c:v>
                </c:pt>
                <c:pt idx="423">
                  <c:v>33</c:v>
                </c:pt>
                <c:pt idx="424">
                  <c:v>23</c:v>
                </c:pt>
                <c:pt idx="425">
                  <c:v>21</c:v>
                </c:pt>
                <c:pt idx="426">
                  <c:v>43</c:v>
                </c:pt>
                <c:pt idx="427">
                  <c:v>36</c:v>
                </c:pt>
                <c:pt idx="428">
                  <c:v>34</c:v>
                </c:pt>
                <c:pt idx="429">
                  <c:v>25</c:v>
                </c:pt>
                <c:pt idx="430">
                  <c:v>14</c:v>
                </c:pt>
                <c:pt idx="431">
                  <c:v>24</c:v>
                </c:pt>
                <c:pt idx="432">
                  <c:v>38</c:v>
                </c:pt>
                <c:pt idx="433">
                  <c:v>61</c:v>
                </c:pt>
                <c:pt idx="434">
                  <c:v>30</c:v>
                </c:pt>
                <c:pt idx="435">
                  <c:v>41</c:v>
                </c:pt>
                <c:pt idx="436">
                  <c:v>28</c:v>
                </c:pt>
                <c:pt idx="437">
                  <c:v>27</c:v>
                </c:pt>
                <c:pt idx="438">
                  <c:v>28</c:v>
                </c:pt>
                <c:pt idx="439">
                  <c:v>14</c:v>
                </c:pt>
                <c:pt idx="440">
                  <c:v>30</c:v>
                </c:pt>
                <c:pt idx="441">
                  <c:v>13</c:v>
                </c:pt>
                <c:pt idx="442">
                  <c:v>45</c:v>
                </c:pt>
                <c:pt idx="443">
                  <c:v>11</c:v>
                </c:pt>
                <c:pt idx="444">
                  <c:v>36</c:v>
                </c:pt>
                <c:pt idx="445">
                  <c:v>27</c:v>
                </c:pt>
                <c:pt idx="446">
                  <c:v>41</c:v>
                </c:pt>
                <c:pt idx="447">
                  <c:v>34</c:v>
                </c:pt>
                <c:pt idx="448">
                  <c:v>51</c:v>
                </c:pt>
                <c:pt idx="449">
                  <c:v>38</c:v>
                </c:pt>
                <c:pt idx="450">
                  <c:v>19</c:v>
                </c:pt>
                <c:pt idx="451">
                  <c:v>9</c:v>
                </c:pt>
                <c:pt idx="452">
                  <c:v>19</c:v>
                </c:pt>
                <c:pt idx="453">
                  <c:v>24</c:v>
                </c:pt>
                <c:pt idx="454">
                  <c:v>29</c:v>
                </c:pt>
                <c:pt idx="455">
                  <c:v>30</c:v>
                </c:pt>
                <c:pt idx="456">
                  <c:v>25</c:v>
                </c:pt>
                <c:pt idx="457">
                  <c:v>10</c:v>
                </c:pt>
                <c:pt idx="458">
                  <c:v>35</c:v>
                </c:pt>
                <c:pt idx="459">
                  <c:v>43</c:v>
                </c:pt>
                <c:pt idx="460">
                  <c:v>30</c:v>
                </c:pt>
                <c:pt idx="461">
                  <c:v>13</c:v>
                </c:pt>
                <c:pt idx="462">
                  <c:v>34</c:v>
                </c:pt>
                <c:pt idx="463">
                  <c:v>42</c:v>
                </c:pt>
                <c:pt idx="464">
                  <c:v>18</c:v>
                </c:pt>
                <c:pt idx="465">
                  <c:v>18</c:v>
                </c:pt>
                <c:pt idx="466">
                  <c:v>18</c:v>
                </c:pt>
                <c:pt idx="467">
                  <c:v>28</c:v>
                </c:pt>
                <c:pt idx="468">
                  <c:v>17</c:v>
                </c:pt>
                <c:pt idx="469">
                  <c:v>36</c:v>
                </c:pt>
                <c:pt idx="470">
                  <c:v>24</c:v>
                </c:pt>
                <c:pt idx="471">
                  <c:v>21</c:v>
                </c:pt>
                <c:pt idx="472">
                  <c:v>24</c:v>
                </c:pt>
                <c:pt idx="473">
                  <c:v>25</c:v>
                </c:pt>
                <c:pt idx="474">
                  <c:v>43</c:v>
                </c:pt>
                <c:pt idx="475">
                  <c:v>32</c:v>
                </c:pt>
                <c:pt idx="476">
                  <c:v>29</c:v>
                </c:pt>
                <c:pt idx="477">
                  <c:v>36</c:v>
                </c:pt>
                <c:pt idx="478">
                  <c:v>19</c:v>
                </c:pt>
                <c:pt idx="479">
                  <c:v>46</c:v>
                </c:pt>
                <c:pt idx="480">
                  <c:v>27</c:v>
                </c:pt>
                <c:pt idx="481">
                  <c:v>32</c:v>
                </c:pt>
                <c:pt idx="482">
                  <c:v>27</c:v>
                </c:pt>
                <c:pt idx="483">
                  <c:v>13</c:v>
                </c:pt>
                <c:pt idx="484">
                  <c:v>45</c:v>
                </c:pt>
                <c:pt idx="485">
                  <c:v>14</c:v>
                </c:pt>
                <c:pt idx="486">
                  <c:v>24</c:v>
                </c:pt>
                <c:pt idx="487">
                  <c:v>42</c:v>
                </c:pt>
                <c:pt idx="488">
                  <c:v>22</c:v>
                </c:pt>
                <c:pt idx="489">
                  <c:v>17</c:v>
                </c:pt>
                <c:pt idx="490">
                  <c:v>33</c:v>
                </c:pt>
                <c:pt idx="491">
                  <c:v>18</c:v>
                </c:pt>
                <c:pt idx="492">
                  <c:v>47</c:v>
                </c:pt>
                <c:pt idx="493">
                  <c:v>22</c:v>
                </c:pt>
                <c:pt idx="494">
                  <c:v>42</c:v>
                </c:pt>
                <c:pt idx="495">
                  <c:v>40</c:v>
                </c:pt>
                <c:pt idx="496">
                  <c:v>19</c:v>
                </c:pt>
                <c:pt idx="497">
                  <c:v>25</c:v>
                </c:pt>
                <c:pt idx="498">
                  <c:v>33</c:v>
                </c:pt>
                <c:pt idx="499">
                  <c:v>16</c:v>
                </c:pt>
                <c:pt idx="500">
                  <c:v>7</c:v>
                </c:pt>
                <c:pt idx="501">
                  <c:v>9</c:v>
                </c:pt>
                <c:pt idx="502">
                  <c:v>30</c:v>
                </c:pt>
                <c:pt idx="503">
                  <c:v>19</c:v>
                </c:pt>
                <c:pt idx="504">
                  <c:v>37</c:v>
                </c:pt>
                <c:pt idx="505">
                  <c:v>21</c:v>
                </c:pt>
                <c:pt idx="506">
                  <c:v>24</c:v>
                </c:pt>
                <c:pt idx="507">
                  <c:v>26</c:v>
                </c:pt>
                <c:pt idx="508">
                  <c:v>15</c:v>
                </c:pt>
                <c:pt idx="509">
                  <c:v>22</c:v>
                </c:pt>
                <c:pt idx="510">
                  <c:v>31</c:v>
                </c:pt>
                <c:pt idx="511">
                  <c:v>24</c:v>
                </c:pt>
                <c:pt idx="512">
                  <c:v>22</c:v>
                </c:pt>
                <c:pt idx="513">
                  <c:v>39</c:v>
                </c:pt>
                <c:pt idx="514">
                  <c:v>17</c:v>
                </c:pt>
                <c:pt idx="515">
                  <c:v>17</c:v>
                </c:pt>
                <c:pt idx="516">
                  <c:v>17</c:v>
                </c:pt>
                <c:pt idx="517">
                  <c:v>24</c:v>
                </c:pt>
                <c:pt idx="518">
                  <c:v>33</c:v>
                </c:pt>
                <c:pt idx="519">
                  <c:v>16</c:v>
                </c:pt>
                <c:pt idx="520">
                  <c:v>32</c:v>
                </c:pt>
                <c:pt idx="521">
                  <c:v>4</c:v>
                </c:pt>
                <c:pt idx="522">
                  <c:v>30</c:v>
                </c:pt>
                <c:pt idx="523">
                  <c:v>24</c:v>
                </c:pt>
                <c:pt idx="524">
                  <c:v>17</c:v>
                </c:pt>
                <c:pt idx="525">
                  <c:v>22</c:v>
                </c:pt>
                <c:pt idx="526">
                  <c:v>31</c:v>
                </c:pt>
                <c:pt idx="527">
                  <c:v>23</c:v>
                </c:pt>
                <c:pt idx="528">
                  <c:v>35</c:v>
                </c:pt>
                <c:pt idx="529">
                  <c:v>39</c:v>
                </c:pt>
                <c:pt idx="530">
                  <c:v>50</c:v>
                </c:pt>
                <c:pt idx="531">
                  <c:v>26</c:v>
                </c:pt>
                <c:pt idx="532">
                  <c:v>23</c:v>
                </c:pt>
                <c:pt idx="533">
                  <c:v>37</c:v>
                </c:pt>
                <c:pt idx="534">
                  <c:v>50</c:v>
                </c:pt>
                <c:pt idx="535">
                  <c:v>31</c:v>
                </c:pt>
                <c:pt idx="536">
                  <c:v>23</c:v>
                </c:pt>
                <c:pt idx="537">
                  <c:v>34</c:v>
                </c:pt>
                <c:pt idx="538">
                  <c:v>34</c:v>
                </c:pt>
                <c:pt idx="539">
                  <c:v>33</c:v>
                </c:pt>
                <c:pt idx="540">
                  <c:v>48</c:v>
                </c:pt>
                <c:pt idx="541">
                  <c:v>29</c:v>
                </c:pt>
                <c:pt idx="542">
                  <c:v>35</c:v>
                </c:pt>
                <c:pt idx="543">
                  <c:v>28</c:v>
                </c:pt>
                <c:pt idx="544">
                  <c:v>28</c:v>
                </c:pt>
                <c:pt idx="545">
                  <c:v>19</c:v>
                </c:pt>
                <c:pt idx="546">
                  <c:v>22</c:v>
                </c:pt>
                <c:pt idx="547">
                  <c:v>26</c:v>
                </c:pt>
                <c:pt idx="548">
                  <c:v>29</c:v>
                </c:pt>
                <c:pt idx="549">
                  <c:v>35</c:v>
                </c:pt>
                <c:pt idx="550">
                  <c:v>32</c:v>
                </c:pt>
                <c:pt idx="551">
                  <c:v>44</c:v>
                </c:pt>
                <c:pt idx="552">
                  <c:v>32</c:v>
                </c:pt>
                <c:pt idx="553">
                  <c:v>8</c:v>
                </c:pt>
                <c:pt idx="554">
                  <c:v>30</c:v>
                </c:pt>
                <c:pt idx="555">
                  <c:v>42</c:v>
                </c:pt>
                <c:pt idx="556">
                  <c:v>44</c:v>
                </c:pt>
                <c:pt idx="557">
                  <c:v>41</c:v>
                </c:pt>
                <c:pt idx="558">
                  <c:v>19</c:v>
                </c:pt>
                <c:pt idx="559">
                  <c:v>42</c:v>
                </c:pt>
                <c:pt idx="560">
                  <c:v>30</c:v>
                </c:pt>
                <c:pt idx="561">
                  <c:v>13</c:v>
                </c:pt>
                <c:pt idx="562">
                  <c:v>34</c:v>
                </c:pt>
                <c:pt idx="563">
                  <c:v>38</c:v>
                </c:pt>
                <c:pt idx="564">
                  <c:v>17</c:v>
                </c:pt>
                <c:pt idx="565">
                  <c:v>37</c:v>
                </c:pt>
                <c:pt idx="566">
                  <c:v>27</c:v>
                </c:pt>
                <c:pt idx="567">
                  <c:v>36</c:v>
                </c:pt>
                <c:pt idx="568">
                  <c:v>22</c:v>
                </c:pt>
                <c:pt idx="569">
                  <c:v>30</c:v>
                </c:pt>
                <c:pt idx="570">
                  <c:v>10</c:v>
                </c:pt>
                <c:pt idx="571">
                  <c:v>28</c:v>
                </c:pt>
                <c:pt idx="572">
                  <c:v>15</c:v>
                </c:pt>
                <c:pt idx="573">
                  <c:v>35</c:v>
                </c:pt>
                <c:pt idx="574">
                  <c:v>32</c:v>
                </c:pt>
                <c:pt idx="575">
                  <c:v>23</c:v>
                </c:pt>
                <c:pt idx="576">
                  <c:v>24</c:v>
                </c:pt>
                <c:pt idx="577">
                  <c:v>27</c:v>
                </c:pt>
                <c:pt idx="578">
                  <c:v>45</c:v>
                </c:pt>
                <c:pt idx="579">
                  <c:v>25</c:v>
                </c:pt>
                <c:pt idx="580">
                  <c:v>25</c:v>
                </c:pt>
                <c:pt idx="581">
                  <c:v>33</c:v>
                </c:pt>
                <c:pt idx="582">
                  <c:v>30</c:v>
                </c:pt>
                <c:pt idx="583">
                  <c:v>30</c:v>
                </c:pt>
                <c:pt idx="584">
                  <c:v>32</c:v>
                </c:pt>
                <c:pt idx="585">
                  <c:v>30</c:v>
                </c:pt>
                <c:pt idx="586">
                  <c:v>22</c:v>
                </c:pt>
                <c:pt idx="587">
                  <c:v>29</c:v>
                </c:pt>
                <c:pt idx="588">
                  <c:v>14</c:v>
                </c:pt>
                <c:pt idx="589">
                  <c:v>18</c:v>
                </c:pt>
                <c:pt idx="590">
                  <c:v>34</c:v>
                </c:pt>
                <c:pt idx="591">
                  <c:v>24</c:v>
                </c:pt>
                <c:pt idx="592">
                  <c:v>32</c:v>
                </c:pt>
                <c:pt idx="593">
                  <c:v>22</c:v>
                </c:pt>
                <c:pt idx="594">
                  <c:v>38</c:v>
                </c:pt>
                <c:pt idx="595">
                  <c:v>28</c:v>
                </c:pt>
                <c:pt idx="596">
                  <c:v>19</c:v>
                </c:pt>
                <c:pt idx="597">
                  <c:v>29</c:v>
                </c:pt>
                <c:pt idx="598">
                  <c:v>29</c:v>
                </c:pt>
                <c:pt idx="599">
                  <c:v>37</c:v>
                </c:pt>
                <c:pt idx="600">
                  <c:v>2</c:v>
                </c:pt>
                <c:pt idx="601">
                  <c:v>26</c:v>
                </c:pt>
                <c:pt idx="602">
                  <c:v>32</c:v>
                </c:pt>
                <c:pt idx="603">
                  <c:v>21</c:v>
                </c:pt>
                <c:pt idx="604">
                  <c:v>15</c:v>
                </c:pt>
                <c:pt idx="605">
                  <c:v>33</c:v>
                </c:pt>
                <c:pt idx="606">
                  <c:v>27</c:v>
                </c:pt>
                <c:pt idx="607">
                  <c:v>29</c:v>
                </c:pt>
                <c:pt idx="608">
                  <c:v>47</c:v>
                </c:pt>
                <c:pt idx="609">
                  <c:v>19</c:v>
                </c:pt>
                <c:pt idx="610">
                  <c:v>23</c:v>
                </c:pt>
                <c:pt idx="611">
                  <c:v>26</c:v>
                </c:pt>
                <c:pt idx="612">
                  <c:v>29</c:v>
                </c:pt>
                <c:pt idx="613">
                  <c:v>17</c:v>
                </c:pt>
                <c:pt idx="614">
                  <c:v>13</c:v>
                </c:pt>
                <c:pt idx="615">
                  <c:v>45</c:v>
                </c:pt>
                <c:pt idx="616">
                  <c:v>50</c:v>
                </c:pt>
                <c:pt idx="617">
                  <c:v>12</c:v>
                </c:pt>
                <c:pt idx="618">
                  <c:v>27</c:v>
                </c:pt>
                <c:pt idx="619">
                  <c:v>50</c:v>
                </c:pt>
                <c:pt idx="620">
                  <c:v>34</c:v>
                </c:pt>
                <c:pt idx="621">
                  <c:v>7</c:v>
                </c:pt>
                <c:pt idx="622">
                  <c:v>50</c:v>
                </c:pt>
                <c:pt idx="623">
                  <c:v>35</c:v>
                </c:pt>
                <c:pt idx="624">
                  <c:v>33</c:v>
                </c:pt>
                <c:pt idx="625">
                  <c:v>24</c:v>
                </c:pt>
                <c:pt idx="626">
                  <c:v>24</c:v>
                </c:pt>
                <c:pt idx="627">
                  <c:v>24</c:v>
                </c:pt>
                <c:pt idx="628">
                  <c:v>21</c:v>
                </c:pt>
                <c:pt idx="629">
                  <c:v>14</c:v>
                </c:pt>
                <c:pt idx="630">
                  <c:v>21</c:v>
                </c:pt>
                <c:pt idx="631">
                  <c:v>57</c:v>
                </c:pt>
                <c:pt idx="632">
                  <c:v>25</c:v>
                </c:pt>
                <c:pt idx="633">
                  <c:v>32</c:v>
                </c:pt>
                <c:pt idx="634">
                  <c:v>23</c:v>
                </c:pt>
                <c:pt idx="635">
                  <c:v>28</c:v>
                </c:pt>
                <c:pt idx="636">
                  <c:v>21</c:v>
                </c:pt>
                <c:pt idx="637">
                  <c:v>26</c:v>
                </c:pt>
                <c:pt idx="638">
                  <c:v>28</c:v>
                </c:pt>
                <c:pt idx="639">
                  <c:v>10</c:v>
                </c:pt>
                <c:pt idx="640">
                  <c:v>21</c:v>
                </c:pt>
                <c:pt idx="641">
                  <c:v>56</c:v>
                </c:pt>
                <c:pt idx="642">
                  <c:v>35</c:v>
                </c:pt>
                <c:pt idx="643">
                  <c:v>23</c:v>
                </c:pt>
                <c:pt idx="644">
                  <c:v>14</c:v>
                </c:pt>
                <c:pt idx="645">
                  <c:v>29</c:v>
                </c:pt>
                <c:pt idx="646">
                  <c:v>22</c:v>
                </c:pt>
                <c:pt idx="647">
                  <c:v>25</c:v>
                </c:pt>
                <c:pt idx="648">
                  <c:v>44</c:v>
                </c:pt>
                <c:pt idx="649">
                  <c:v>32</c:v>
                </c:pt>
                <c:pt idx="650">
                  <c:v>28</c:v>
                </c:pt>
                <c:pt idx="651">
                  <c:v>17</c:v>
                </c:pt>
                <c:pt idx="652">
                  <c:v>22</c:v>
                </c:pt>
                <c:pt idx="653">
                  <c:v>32</c:v>
                </c:pt>
                <c:pt idx="654">
                  <c:v>33</c:v>
                </c:pt>
                <c:pt idx="655">
                  <c:v>18</c:v>
                </c:pt>
                <c:pt idx="656">
                  <c:v>33</c:v>
                </c:pt>
                <c:pt idx="657">
                  <c:v>29</c:v>
                </c:pt>
                <c:pt idx="658">
                  <c:v>36</c:v>
                </c:pt>
                <c:pt idx="659">
                  <c:v>33</c:v>
                </c:pt>
                <c:pt idx="660">
                  <c:v>35</c:v>
                </c:pt>
                <c:pt idx="661">
                  <c:v>27</c:v>
                </c:pt>
                <c:pt idx="662">
                  <c:v>14</c:v>
                </c:pt>
                <c:pt idx="663">
                  <c:v>43</c:v>
                </c:pt>
                <c:pt idx="664">
                  <c:v>42</c:v>
                </c:pt>
                <c:pt idx="665">
                  <c:v>34</c:v>
                </c:pt>
                <c:pt idx="666">
                  <c:v>21</c:v>
                </c:pt>
                <c:pt idx="667">
                  <c:v>14</c:v>
                </c:pt>
                <c:pt idx="668">
                  <c:v>30</c:v>
                </c:pt>
                <c:pt idx="669">
                  <c:v>27</c:v>
                </c:pt>
                <c:pt idx="670">
                  <c:v>25</c:v>
                </c:pt>
                <c:pt idx="671">
                  <c:v>34</c:v>
                </c:pt>
                <c:pt idx="672">
                  <c:v>34</c:v>
                </c:pt>
                <c:pt idx="673">
                  <c:v>55</c:v>
                </c:pt>
                <c:pt idx="674">
                  <c:v>18</c:v>
                </c:pt>
                <c:pt idx="675">
                  <c:v>16</c:v>
                </c:pt>
                <c:pt idx="676">
                  <c:v>19</c:v>
                </c:pt>
              </c:numCache>
            </c:numRef>
          </c:yVal>
          <c:smooth val="0"/>
          <c:extLst>
            <c:ext xmlns:c16="http://schemas.microsoft.com/office/drawing/2014/chart" uri="{C3380CC4-5D6E-409C-BE32-E72D297353CC}">
              <c16:uniqueId val="{00000001-1A62-421D-8D75-6F6CF5E3E353}"/>
            </c:ext>
          </c:extLst>
        </c:ser>
        <c:dLbls>
          <c:showLegendKey val="0"/>
          <c:showVal val="0"/>
          <c:showCatName val="0"/>
          <c:showSerName val="0"/>
          <c:showPercent val="0"/>
          <c:showBubbleSize val="0"/>
        </c:dLbls>
        <c:axId val="1363586608"/>
        <c:axId val="1364108400"/>
      </c:scatterChart>
      <c:valAx>
        <c:axId val="136358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64108400"/>
        <c:crosses val="autoZero"/>
        <c:crossBetween val="midCat"/>
      </c:valAx>
      <c:valAx>
        <c:axId val="136410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63586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仕入単価</a:t>
            </a:r>
            <a:r>
              <a:rPr lang="en-US" altLang="ja-JP" baseline="0"/>
              <a:t> - </a:t>
            </a:r>
            <a:r>
              <a:rPr lang="ja-JP" altLang="en-US"/>
              <a:t>商品単価</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'[2]chap6-5-2'!$C$1</c:f>
              <c:strCache>
                <c:ptCount val="1"/>
                <c:pt idx="0">
                  <c:v>商品単価</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2"/>
            <c:dispRSqr val="1"/>
            <c:dispEq val="1"/>
            <c:trendlineLbl>
              <c:layout>
                <c:manualLayout>
                  <c:x val="9.0558180227471571E-2"/>
                  <c:y val="0.233222878390201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'[2]chap6-5-2'!$B$2:$B$682</c:f>
              <c:numCache>
                <c:formatCode>General</c:formatCode>
                <c:ptCount val="681"/>
                <c:pt idx="0">
                  <c:v>65</c:v>
                </c:pt>
                <c:pt idx="1">
                  <c:v>139</c:v>
                </c:pt>
                <c:pt idx="2">
                  <c:v>41</c:v>
                </c:pt>
                <c:pt idx="3">
                  <c:v>66</c:v>
                </c:pt>
                <c:pt idx="4">
                  <c:v>82</c:v>
                </c:pt>
                <c:pt idx="5">
                  <c:v>69</c:v>
                </c:pt>
                <c:pt idx="6">
                  <c:v>61</c:v>
                </c:pt>
                <c:pt idx="7">
                  <c:v>100</c:v>
                </c:pt>
                <c:pt idx="8">
                  <c:v>41</c:v>
                </c:pt>
                <c:pt idx="9">
                  <c:v>41</c:v>
                </c:pt>
                <c:pt idx="10">
                  <c:v>59</c:v>
                </c:pt>
                <c:pt idx="11">
                  <c:v>43</c:v>
                </c:pt>
                <c:pt idx="12">
                  <c:v>101</c:v>
                </c:pt>
                <c:pt idx="13">
                  <c:v>63</c:v>
                </c:pt>
                <c:pt idx="14">
                  <c:v>70</c:v>
                </c:pt>
                <c:pt idx="15">
                  <c:v>77</c:v>
                </c:pt>
                <c:pt idx="16">
                  <c:v>114</c:v>
                </c:pt>
                <c:pt idx="17">
                  <c:v>85</c:v>
                </c:pt>
                <c:pt idx="18">
                  <c:v>86</c:v>
                </c:pt>
                <c:pt idx="19">
                  <c:v>44</c:v>
                </c:pt>
                <c:pt idx="20">
                  <c:v>62</c:v>
                </c:pt>
                <c:pt idx="21">
                  <c:v>102</c:v>
                </c:pt>
                <c:pt idx="22">
                  <c:v>54</c:v>
                </c:pt>
                <c:pt idx="23">
                  <c:v>86</c:v>
                </c:pt>
                <c:pt idx="24">
                  <c:v>105</c:v>
                </c:pt>
                <c:pt idx="25">
                  <c:v>55</c:v>
                </c:pt>
                <c:pt idx="26">
                  <c:v>69</c:v>
                </c:pt>
                <c:pt idx="27">
                  <c:v>84</c:v>
                </c:pt>
                <c:pt idx="28">
                  <c:v>82</c:v>
                </c:pt>
                <c:pt idx="29">
                  <c:v>70</c:v>
                </c:pt>
                <c:pt idx="30">
                  <c:v>55</c:v>
                </c:pt>
                <c:pt idx="31">
                  <c:v>43</c:v>
                </c:pt>
                <c:pt idx="32">
                  <c:v>52</c:v>
                </c:pt>
                <c:pt idx="33">
                  <c:v>76</c:v>
                </c:pt>
                <c:pt idx="34">
                  <c:v>88</c:v>
                </c:pt>
                <c:pt idx="35">
                  <c:v>109</c:v>
                </c:pt>
                <c:pt idx="36">
                  <c:v>48</c:v>
                </c:pt>
                <c:pt idx="37">
                  <c:v>44</c:v>
                </c:pt>
                <c:pt idx="38">
                  <c:v>90</c:v>
                </c:pt>
                <c:pt idx="39">
                  <c:v>60</c:v>
                </c:pt>
                <c:pt idx="40">
                  <c:v>96</c:v>
                </c:pt>
                <c:pt idx="41">
                  <c:v>93</c:v>
                </c:pt>
                <c:pt idx="42">
                  <c:v>29</c:v>
                </c:pt>
                <c:pt idx="43">
                  <c:v>37</c:v>
                </c:pt>
                <c:pt idx="44">
                  <c:v>95</c:v>
                </c:pt>
                <c:pt idx="45">
                  <c:v>101</c:v>
                </c:pt>
                <c:pt idx="46">
                  <c:v>42</c:v>
                </c:pt>
                <c:pt idx="47">
                  <c:v>77</c:v>
                </c:pt>
                <c:pt idx="48">
                  <c:v>42</c:v>
                </c:pt>
                <c:pt idx="49">
                  <c:v>57</c:v>
                </c:pt>
                <c:pt idx="50">
                  <c:v>89</c:v>
                </c:pt>
                <c:pt idx="51">
                  <c:v>89</c:v>
                </c:pt>
                <c:pt idx="52">
                  <c:v>79</c:v>
                </c:pt>
                <c:pt idx="53">
                  <c:v>109</c:v>
                </c:pt>
                <c:pt idx="54">
                  <c:v>74</c:v>
                </c:pt>
                <c:pt idx="55">
                  <c:v>72</c:v>
                </c:pt>
                <c:pt idx="56">
                  <c:v>86</c:v>
                </c:pt>
                <c:pt idx="57">
                  <c:v>58</c:v>
                </c:pt>
                <c:pt idx="58">
                  <c:v>51</c:v>
                </c:pt>
                <c:pt idx="59">
                  <c:v>98</c:v>
                </c:pt>
                <c:pt idx="60">
                  <c:v>114</c:v>
                </c:pt>
                <c:pt idx="61">
                  <c:v>119</c:v>
                </c:pt>
                <c:pt idx="62">
                  <c:v>93</c:v>
                </c:pt>
                <c:pt idx="63">
                  <c:v>15</c:v>
                </c:pt>
                <c:pt idx="64">
                  <c:v>46</c:v>
                </c:pt>
                <c:pt idx="65">
                  <c:v>76</c:v>
                </c:pt>
                <c:pt idx="66">
                  <c:v>30</c:v>
                </c:pt>
                <c:pt idx="67">
                  <c:v>61</c:v>
                </c:pt>
                <c:pt idx="68">
                  <c:v>48</c:v>
                </c:pt>
                <c:pt idx="69">
                  <c:v>63</c:v>
                </c:pt>
                <c:pt idx="70">
                  <c:v>47</c:v>
                </c:pt>
                <c:pt idx="71">
                  <c:v>60</c:v>
                </c:pt>
                <c:pt idx="72">
                  <c:v>60</c:v>
                </c:pt>
                <c:pt idx="73">
                  <c:v>82</c:v>
                </c:pt>
                <c:pt idx="74">
                  <c:v>44</c:v>
                </c:pt>
                <c:pt idx="75">
                  <c:v>15</c:v>
                </c:pt>
                <c:pt idx="76">
                  <c:v>85</c:v>
                </c:pt>
                <c:pt idx="77">
                  <c:v>105</c:v>
                </c:pt>
                <c:pt idx="78">
                  <c:v>51</c:v>
                </c:pt>
                <c:pt idx="79">
                  <c:v>79</c:v>
                </c:pt>
                <c:pt idx="80">
                  <c:v>105</c:v>
                </c:pt>
                <c:pt idx="81">
                  <c:v>47</c:v>
                </c:pt>
                <c:pt idx="82">
                  <c:v>98</c:v>
                </c:pt>
                <c:pt idx="83">
                  <c:v>44</c:v>
                </c:pt>
                <c:pt idx="84">
                  <c:v>122</c:v>
                </c:pt>
                <c:pt idx="85">
                  <c:v>106</c:v>
                </c:pt>
                <c:pt idx="86">
                  <c:v>52</c:v>
                </c:pt>
                <c:pt idx="87">
                  <c:v>55</c:v>
                </c:pt>
                <c:pt idx="88">
                  <c:v>92</c:v>
                </c:pt>
                <c:pt idx="89">
                  <c:v>82</c:v>
                </c:pt>
                <c:pt idx="90">
                  <c:v>103</c:v>
                </c:pt>
                <c:pt idx="91">
                  <c:v>98</c:v>
                </c:pt>
                <c:pt idx="92">
                  <c:v>82</c:v>
                </c:pt>
                <c:pt idx="93">
                  <c:v>58</c:v>
                </c:pt>
                <c:pt idx="94">
                  <c:v>92</c:v>
                </c:pt>
                <c:pt idx="95">
                  <c:v>58</c:v>
                </c:pt>
                <c:pt idx="96">
                  <c:v>38</c:v>
                </c:pt>
                <c:pt idx="97">
                  <c:v>77</c:v>
                </c:pt>
                <c:pt idx="98">
                  <c:v>79</c:v>
                </c:pt>
                <c:pt idx="99">
                  <c:v>88</c:v>
                </c:pt>
                <c:pt idx="100">
                  <c:v>74</c:v>
                </c:pt>
                <c:pt idx="101">
                  <c:v>106</c:v>
                </c:pt>
                <c:pt idx="102">
                  <c:v>51</c:v>
                </c:pt>
                <c:pt idx="103">
                  <c:v>39</c:v>
                </c:pt>
                <c:pt idx="104">
                  <c:v>36</c:v>
                </c:pt>
                <c:pt idx="105">
                  <c:v>72</c:v>
                </c:pt>
                <c:pt idx="106">
                  <c:v>106</c:v>
                </c:pt>
                <c:pt idx="107">
                  <c:v>43</c:v>
                </c:pt>
                <c:pt idx="108">
                  <c:v>105</c:v>
                </c:pt>
                <c:pt idx="109">
                  <c:v>90</c:v>
                </c:pt>
                <c:pt idx="110">
                  <c:v>70</c:v>
                </c:pt>
                <c:pt idx="111">
                  <c:v>15</c:v>
                </c:pt>
                <c:pt idx="112">
                  <c:v>93</c:v>
                </c:pt>
                <c:pt idx="113">
                  <c:v>60</c:v>
                </c:pt>
                <c:pt idx="114">
                  <c:v>90</c:v>
                </c:pt>
                <c:pt idx="115">
                  <c:v>39</c:v>
                </c:pt>
                <c:pt idx="116">
                  <c:v>113</c:v>
                </c:pt>
                <c:pt idx="117">
                  <c:v>78</c:v>
                </c:pt>
                <c:pt idx="118">
                  <c:v>127</c:v>
                </c:pt>
                <c:pt idx="119">
                  <c:v>90</c:v>
                </c:pt>
                <c:pt idx="120">
                  <c:v>105</c:v>
                </c:pt>
                <c:pt idx="121">
                  <c:v>126</c:v>
                </c:pt>
                <c:pt idx="122">
                  <c:v>45</c:v>
                </c:pt>
                <c:pt idx="123">
                  <c:v>102</c:v>
                </c:pt>
                <c:pt idx="124">
                  <c:v>95</c:v>
                </c:pt>
                <c:pt idx="125">
                  <c:v>63</c:v>
                </c:pt>
                <c:pt idx="126">
                  <c:v>108</c:v>
                </c:pt>
                <c:pt idx="127">
                  <c:v>117</c:v>
                </c:pt>
                <c:pt idx="128">
                  <c:v>61</c:v>
                </c:pt>
                <c:pt idx="129">
                  <c:v>72</c:v>
                </c:pt>
                <c:pt idx="130">
                  <c:v>108</c:v>
                </c:pt>
                <c:pt idx="131">
                  <c:v>79</c:v>
                </c:pt>
                <c:pt idx="132">
                  <c:v>68</c:v>
                </c:pt>
                <c:pt idx="133">
                  <c:v>107</c:v>
                </c:pt>
                <c:pt idx="134">
                  <c:v>46</c:v>
                </c:pt>
                <c:pt idx="135">
                  <c:v>138</c:v>
                </c:pt>
                <c:pt idx="136">
                  <c:v>84</c:v>
                </c:pt>
                <c:pt idx="137">
                  <c:v>109</c:v>
                </c:pt>
                <c:pt idx="138">
                  <c:v>74</c:v>
                </c:pt>
                <c:pt idx="139">
                  <c:v>100</c:v>
                </c:pt>
                <c:pt idx="140">
                  <c:v>86</c:v>
                </c:pt>
                <c:pt idx="141">
                  <c:v>121</c:v>
                </c:pt>
                <c:pt idx="142">
                  <c:v>82</c:v>
                </c:pt>
                <c:pt idx="143">
                  <c:v>53</c:v>
                </c:pt>
                <c:pt idx="144">
                  <c:v>40</c:v>
                </c:pt>
                <c:pt idx="145">
                  <c:v>92</c:v>
                </c:pt>
                <c:pt idx="146">
                  <c:v>112</c:v>
                </c:pt>
                <c:pt idx="147">
                  <c:v>90</c:v>
                </c:pt>
                <c:pt idx="148">
                  <c:v>35</c:v>
                </c:pt>
                <c:pt idx="149">
                  <c:v>41</c:v>
                </c:pt>
                <c:pt idx="150">
                  <c:v>60</c:v>
                </c:pt>
                <c:pt idx="151">
                  <c:v>24</c:v>
                </c:pt>
                <c:pt idx="152">
                  <c:v>55</c:v>
                </c:pt>
                <c:pt idx="153">
                  <c:v>62</c:v>
                </c:pt>
                <c:pt idx="154">
                  <c:v>45</c:v>
                </c:pt>
                <c:pt idx="155">
                  <c:v>111</c:v>
                </c:pt>
                <c:pt idx="156">
                  <c:v>98</c:v>
                </c:pt>
                <c:pt idx="157">
                  <c:v>18</c:v>
                </c:pt>
                <c:pt idx="158">
                  <c:v>74</c:v>
                </c:pt>
                <c:pt idx="159">
                  <c:v>53</c:v>
                </c:pt>
                <c:pt idx="160">
                  <c:v>72</c:v>
                </c:pt>
                <c:pt idx="161">
                  <c:v>83</c:v>
                </c:pt>
                <c:pt idx="162">
                  <c:v>83</c:v>
                </c:pt>
                <c:pt idx="163">
                  <c:v>81</c:v>
                </c:pt>
                <c:pt idx="164">
                  <c:v>67</c:v>
                </c:pt>
                <c:pt idx="165">
                  <c:v>59</c:v>
                </c:pt>
                <c:pt idx="166">
                  <c:v>43</c:v>
                </c:pt>
                <c:pt idx="167">
                  <c:v>67</c:v>
                </c:pt>
                <c:pt idx="168">
                  <c:v>82</c:v>
                </c:pt>
                <c:pt idx="169">
                  <c:v>86</c:v>
                </c:pt>
                <c:pt idx="170">
                  <c:v>79</c:v>
                </c:pt>
                <c:pt idx="171">
                  <c:v>67</c:v>
                </c:pt>
                <c:pt idx="172">
                  <c:v>74</c:v>
                </c:pt>
                <c:pt idx="173">
                  <c:v>121</c:v>
                </c:pt>
                <c:pt idx="174">
                  <c:v>86</c:v>
                </c:pt>
                <c:pt idx="175">
                  <c:v>67</c:v>
                </c:pt>
                <c:pt idx="176">
                  <c:v>87</c:v>
                </c:pt>
                <c:pt idx="177">
                  <c:v>50</c:v>
                </c:pt>
                <c:pt idx="178">
                  <c:v>72</c:v>
                </c:pt>
                <c:pt idx="179">
                  <c:v>89</c:v>
                </c:pt>
                <c:pt idx="180">
                  <c:v>40</c:v>
                </c:pt>
                <c:pt idx="181">
                  <c:v>99</c:v>
                </c:pt>
                <c:pt idx="182">
                  <c:v>68</c:v>
                </c:pt>
                <c:pt idx="183">
                  <c:v>60</c:v>
                </c:pt>
                <c:pt idx="184">
                  <c:v>55</c:v>
                </c:pt>
                <c:pt idx="185">
                  <c:v>62</c:v>
                </c:pt>
                <c:pt idx="186">
                  <c:v>53</c:v>
                </c:pt>
                <c:pt idx="187">
                  <c:v>51</c:v>
                </c:pt>
                <c:pt idx="188">
                  <c:v>58</c:v>
                </c:pt>
                <c:pt idx="189">
                  <c:v>130</c:v>
                </c:pt>
                <c:pt idx="190">
                  <c:v>71</c:v>
                </c:pt>
                <c:pt idx="191">
                  <c:v>71</c:v>
                </c:pt>
                <c:pt idx="192">
                  <c:v>105</c:v>
                </c:pt>
                <c:pt idx="193">
                  <c:v>117</c:v>
                </c:pt>
                <c:pt idx="194">
                  <c:v>39</c:v>
                </c:pt>
                <c:pt idx="195">
                  <c:v>60</c:v>
                </c:pt>
                <c:pt idx="196">
                  <c:v>63</c:v>
                </c:pt>
                <c:pt idx="197">
                  <c:v>97</c:v>
                </c:pt>
                <c:pt idx="198">
                  <c:v>127</c:v>
                </c:pt>
                <c:pt idx="199">
                  <c:v>92</c:v>
                </c:pt>
                <c:pt idx="200">
                  <c:v>71</c:v>
                </c:pt>
                <c:pt idx="201">
                  <c:v>57</c:v>
                </c:pt>
                <c:pt idx="202">
                  <c:v>84</c:v>
                </c:pt>
                <c:pt idx="203">
                  <c:v>82</c:v>
                </c:pt>
                <c:pt idx="204">
                  <c:v>98</c:v>
                </c:pt>
                <c:pt idx="205">
                  <c:v>33</c:v>
                </c:pt>
                <c:pt idx="206">
                  <c:v>109</c:v>
                </c:pt>
                <c:pt idx="207">
                  <c:v>112</c:v>
                </c:pt>
                <c:pt idx="208">
                  <c:v>93</c:v>
                </c:pt>
                <c:pt idx="209">
                  <c:v>64</c:v>
                </c:pt>
                <c:pt idx="210">
                  <c:v>93</c:v>
                </c:pt>
                <c:pt idx="211">
                  <c:v>62</c:v>
                </c:pt>
                <c:pt idx="212">
                  <c:v>71</c:v>
                </c:pt>
                <c:pt idx="213">
                  <c:v>51</c:v>
                </c:pt>
                <c:pt idx="214">
                  <c:v>83</c:v>
                </c:pt>
                <c:pt idx="215">
                  <c:v>81</c:v>
                </c:pt>
                <c:pt idx="216">
                  <c:v>52</c:v>
                </c:pt>
                <c:pt idx="217">
                  <c:v>45</c:v>
                </c:pt>
                <c:pt idx="218">
                  <c:v>116</c:v>
                </c:pt>
                <c:pt idx="219">
                  <c:v>72</c:v>
                </c:pt>
                <c:pt idx="220">
                  <c:v>103</c:v>
                </c:pt>
                <c:pt idx="221">
                  <c:v>76</c:v>
                </c:pt>
                <c:pt idx="222">
                  <c:v>66</c:v>
                </c:pt>
                <c:pt idx="223">
                  <c:v>87</c:v>
                </c:pt>
                <c:pt idx="224">
                  <c:v>109</c:v>
                </c:pt>
                <c:pt idx="225">
                  <c:v>128</c:v>
                </c:pt>
                <c:pt idx="226">
                  <c:v>73</c:v>
                </c:pt>
                <c:pt idx="227">
                  <c:v>78</c:v>
                </c:pt>
                <c:pt idx="228">
                  <c:v>151</c:v>
                </c:pt>
                <c:pt idx="229">
                  <c:v>114</c:v>
                </c:pt>
                <c:pt idx="230">
                  <c:v>60</c:v>
                </c:pt>
                <c:pt idx="231">
                  <c:v>69</c:v>
                </c:pt>
                <c:pt idx="232">
                  <c:v>88</c:v>
                </c:pt>
                <c:pt idx="233">
                  <c:v>58</c:v>
                </c:pt>
                <c:pt idx="234">
                  <c:v>103</c:v>
                </c:pt>
                <c:pt idx="235">
                  <c:v>87</c:v>
                </c:pt>
                <c:pt idx="236">
                  <c:v>105</c:v>
                </c:pt>
                <c:pt idx="237">
                  <c:v>53</c:v>
                </c:pt>
                <c:pt idx="238">
                  <c:v>72</c:v>
                </c:pt>
                <c:pt idx="239">
                  <c:v>62</c:v>
                </c:pt>
                <c:pt idx="240">
                  <c:v>66</c:v>
                </c:pt>
                <c:pt idx="241">
                  <c:v>74</c:v>
                </c:pt>
                <c:pt idx="242">
                  <c:v>73</c:v>
                </c:pt>
                <c:pt idx="243">
                  <c:v>150</c:v>
                </c:pt>
                <c:pt idx="244">
                  <c:v>86</c:v>
                </c:pt>
                <c:pt idx="245">
                  <c:v>79</c:v>
                </c:pt>
                <c:pt idx="246">
                  <c:v>80</c:v>
                </c:pt>
                <c:pt idx="247">
                  <c:v>30</c:v>
                </c:pt>
                <c:pt idx="248">
                  <c:v>69</c:v>
                </c:pt>
                <c:pt idx="249">
                  <c:v>73</c:v>
                </c:pt>
                <c:pt idx="250">
                  <c:v>44</c:v>
                </c:pt>
                <c:pt idx="251">
                  <c:v>76</c:v>
                </c:pt>
                <c:pt idx="252">
                  <c:v>97</c:v>
                </c:pt>
                <c:pt idx="253">
                  <c:v>81</c:v>
                </c:pt>
                <c:pt idx="254">
                  <c:v>84</c:v>
                </c:pt>
                <c:pt idx="255">
                  <c:v>106</c:v>
                </c:pt>
                <c:pt idx="256">
                  <c:v>104</c:v>
                </c:pt>
                <c:pt idx="257">
                  <c:v>67</c:v>
                </c:pt>
                <c:pt idx="258">
                  <c:v>63</c:v>
                </c:pt>
                <c:pt idx="259">
                  <c:v>90</c:v>
                </c:pt>
                <c:pt idx="260">
                  <c:v>63</c:v>
                </c:pt>
                <c:pt idx="261">
                  <c:v>46</c:v>
                </c:pt>
                <c:pt idx="262">
                  <c:v>56</c:v>
                </c:pt>
                <c:pt idx="263">
                  <c:v>75</c:v>
                </c:pt>
                <c:pt idx="264">
                  <c:v>82</c:v>
                </c:pt>
                <c:pt idx="265">
                  <c:v>78</c:v>
                </c:pt>
                <c:pt idx="266">
                  <c:v>101</c:v>
                </c:pt>
                <c:pt idx="267">
                  <c:v>79</c:v>
                </c:pt>
                <c:pt idx="268">
                  <c:v>67</c:v>
                </c:pt>
                <c:pt idx="269">
                  <c:v>92</c:v>
                </c:pt>
                <c:pt idx="270">
                  <c:v>73</c:v>
                </c:pt>
                <c:pt idx="271">
                  <c:v>73</c:v>
                </c:pt>
                <c:pt idx="272">
                  <c:v>79</c:v>
                </c:pt>
                <c:pt idx="273">
                  <c:v>89</c:v>
                </c:pt>
                <c:pt idx="274">
                  <c:v>93</c:v>
                </c:pt>
                <c:pt idx="275">
                  <c:v>55</c:v>
                </c:pt>
                <c:pt idx="276">
                  <c:v>73</c:v>
                </c:pt>
                <c:pt idx="277">
                  <c:v>67</c:v>
                </c:pt>
                <c:pt idx="278">
                  <c:v>61</c:v>
                </c:pt>
                <c:pt idx="279">
                  <c:v>85</c:v>
                </c:pt>
                <c:pt idx="280">
                  <c:v>84</c:v>
                </c:pt>
                <c:pt idx="281">
                  <c:v>67</c:v>
                </c:pt>
                <c:pt idx="282">
                  <c:v>92</c:v>
                </c:pt>
                <c:pt idx="283">
                  <c:v>44</c:v>
                </c:pt>
                <c:pt idx="284">
                  <c:v>67</c:v>
                </c:pt>
                <c:pt idx="285">
                  <c:v>77</c:v>
                </c:pt>
                <c:pt idx="286">
                  <c:v>90</c:v>
                </c:pt>
                <c:pt idx="287">
                  <c:v>76</c:v>
                </c:pt>
                <c:pt idx="288">
                  <c:v>91</c:v>
                </c:pt>
                <c:pt idx="289">
                  <c:v>75</c:v>
                </c:pt>
                <c:pt idx="290">
                  <c:v>159</c:v>
                </c:pt>
                <c:pt idx="291">
                  <c:v>74</c:v>
                </c:pt>
                <c:pt idx="292">
                  <c:v>39</c:v>
                </c:pt>
                <c:pt idx="293">
                  <c:v>38</c:v>
                </c:pt>
                <c:pt idx="294">
                  <c:v>68</c:v>
                </c:pt>
                <c:pt idx="295">
                  <c:v>62</c:v>
                </c:pt>
                <c:pt idx="296">
                  <c:v>78</c:v>
                </c:pt>
                <c:pt idx="297">
                  <c:v>67</c:v>
                </c:pt>
                <c:pt idx="298">
                  <c:v>56</c:v>
                </c:pt>
                <c:pt idx="299">
                  <c:v>35</c:v>
                </c:pt>
                <c:pt idx="300">
                  <c:v>95</c:v>
                </c:pt>
                <c:pt idx="301">
                  <c:v>46</c:v>
                </c:pt>
                <c:pt idx="302">
                  <c:v>78</c:v>
                </c:pt>
                <c:pt idx="303">
                  <c:v>40</c:v>
                </c:pt>
                <c:pt idx="304">
                  <c:v>86</c:v>
                </c:pt>
                <c:pt idx="305">
                  <c:v>112</c:v>
                </c:pt>
                <c:pt idx="306">
                  <c:v>64</c:v>
                </c:pt>
                <c:pt idx="307">
                  <c:v>74</c:v>
                </c:pt>
                <c:pt idx="308">
                  <c:v>102</c:v>
                </c:pt>
                <c:pt idx="309">
                  <c:v>125</c:v>
                </c:pt>
                <c:pt idx="310">
                  <c:v>69</c:v>
                </c:pt>
                <c:pt idx="311">
                  <c:v>107</c:v>
                </c:pt>
                <c:pt idx="312">
                  <c:v>48</c:v>
                </c:pt>
                <c:pt idx="313">
                  <c:v>96</c:v>
                </c:pt>
                <c:pt idx="314">
                  <c:v>66</c:v>
                </c:pt>
                <c:pt idx="315">
                  <c:v>105</c:v>
                </c:pt>
                <c:pt idx="316">
                  <c:v>58</c:v>
                </c:pt>
                <c:pt idx="317">
                  <c:v>59</c:v>
                </c:pt>
                <c:pt idx="318">
                  <c:v>106</c:v>
                </c:pt>
                <c:pt idx="319">
                  <c:v>107</c:v>
                </c:pt>
                <c:pt idx="320">
                  <c:v>85</c:v>
                </c:pt>
                <c:pt idx="321">
                  <c:v>39</c:v>
                </c:pt>
                <c:pt idx="322">
                  <c:v>74</c:v>
                </c:pt>
                <c:pt idx="323">
                  <c:v>18</c:v>
                </c:pt>
                <c:pt idx="324">
                  <c:v>90</c:v>
                </c:pt>
                <c:pt idx="325">
                  <c:v>126</c:v>
                </c:pt>
                <c:pt idx="326">
                  <c:v>77</c:v>
                </c:pt>
                <c:pt idx="327">
                  <c:v>23</c:v>
                </c:pt>
                <c:pt idx="328">
                  <c:v>97</c:v>
                </c:pt>
                <c:pt idx="329">
                  <c:v>101</c:v>
                </c:pt>
                <c:pt idx="330">
                  <c:v>29</c:v>
                </c:pt>
                <c:pt idx="331">
                  <c:v>39</c:v>
                </c:pt>
                <c:pt idx="332">
                  <c:v>91</c:v>
                </c:pt>
                <c:pt idx="333">
                  <c:v>82</c:v>
                </c:pt>
                <c:pt idx="334">
                  <c:v>56</c:v>
                </c:pt>
                <c:pt idx="335">
                  <c:v>102</c:v>
                </c:pt>
                <c:pt idx="336">
                  <c:v>82</c:v>
                </c:pt>
                <c:pt idx="337">
                  <c:v>42</c:v>
                </c:pt>
                <c:pt idx="338">
                  <c:v>57</c:v>
                </c:pt>
                <c:pt idx="339">
                  <c:v>88</c:v>
                </c:pt>
                <c:pt idx="340">
                  <c:v>50</c:v>
                </c:pt>
                <c:pt idx="341">
                  <c:v>50</c:v>
                </c:pt>
                <c:pt idx="342">
                  <c:v>83</c:v>
                </c:pt>
                <c:pt idx="343">
                  <c:v>59</c:v>
                </c:pt>
                <c:pt idx="344">
                  <c:v>78</c:v>
                </c:pt>
                <c:pt idx="345">
                  <c:v>76</c:v>
                </c:pt>
                <c:pt idx="346">
                  <c:v>86</c:v>
                </c:pt>
                <c:pt idx="347">
                  <c:v>70</c:v>
                </c:pt>
                <c:pt idx="348">
                  <c:v>68</c:v>
                </c:pt>
                <c:pt idx="349">
                  <c:v>61</c:v>
                </c:pt>
                <c:pt idx="350">
                  <c:v>79</c:v>
                </c:pt>
                <c:pt idx="351">
                  <c:v>83</c:v>
                </c:pt>
                <c:pt idx="352">
                  <c:v>47</c:v>
                </c:pt>
                <c:pt idx="353">
                  <c:v>76</c:v>
                </c:pt>
                <c:pt idx="354">
                  <c:v>49</c:v>
                </c:pt>
                <c:pt idx="355">
                  <c:v>89</c:v>
                </c:pt>
                <c:pt idx="356">
                  <c:v>49</c:v>
                </c:pt>
                <c:pt idx="357">
                  <c:v>81</c:v>
                </c:pt>
                <c:pt idx="358">
                  <c:v>112</c:v>
                </c:pt>
                <c:pt idx="359">
                  <c:v>53</c:v>
                </c:pt>
                <c:pt idx="360">
                  <c:v>94</c:v>
                </c:pt>
                <c:pt idx="361">
                  <c:v>25</c:v>
                </c:pt>
                <c:pt idx="362">
                  <c:v>101</c:v>
                </c:pt>
                <c:pt idx="363">
                  <c:v>45</c:v>
                </c:pt>
                <c:pt idx="364">
                  <c:v>45</c:v>
                </c:pt>
                <c:pt idx="365">
                  <c:v>102</c:v>
                </c:pt>
                <c:pt idx="366">
                  <c:v>93</c:v>
                </c:pt>
                <c:pt idx="367">
                  <c:v>65</c:v>
                </c:pt>
                <c:pt idx="368">
                  <c:v>107</c:v>
                </c:pt>
                <c:pt idx="369">
                  <c:v>104</c:v>
                </c:pt>
                <c:pt idx="370">
                  <c:v>37</c:v>
                </c:pt>
                <c:pt idx="371">
                  <c:v>48</c:v>
                </c:pt>
                <c:pt idx="372">
                  <c:v>83</c:v>
                </c:pt>
                <c:pt idx="373">
                  <c:v>132</c:v>
                </c:pt>
                <c:pt idx="374">
                  <c:v>60</c:v>
                </c:pt>
                <c:pt idx="375">
                  <c:v>93</c:v>
                </c:pt>
                <c:pt idx="376">
                  <c:v>105</c:v>
                </c:pt>
                <c:pt idx="377">
                  <c:v>71</c:v>
                </c:pt>
                <c:pt idx="378">
                  <c:v>91</c:v>
                </c:pt>
                <c:pt idx="379">
                  <c:v>53</c:v>
                </c:pt>
                <c:pt idx="380">
                  <c:v>66</c:v>
                </c:pt>
                <c:pt idx="381">
                  <c:v>78</c:v>
                </c:pt>
                <c:pt idx="382">
                  <c:v>82</c:v>
                </c:pt>
                <c:pt idx="383">
                  <c:v>72</c:v>
                </c:pt>
                <c:pt idx="384">
                  <c:v>82</c:v>
                </c:pt>
                <c:pt idx="385">
                  <c:v>94</c:v>
                </c:pt>
                <c:pt idx="386">
                  <c:v>79</c:v>
                </c:pt>
                <c:pt idx="387">
                  <c:v>53</c:v>
                </c:pt>
                <c:pt idx="388">
                  <c:v>47</c:v>
                </c:pt>
                <c:pt idx="389">
                  <c:v>50</c:v>
                </c:pt>
                <c:pt idx="390">
                  <c:v>95</c:v>
                </c:pt>
                <c:pt idx="391">
                  <c:v>82</c:v>
                </c:pt>
                <c:pt idx="392">
                  <c:v>59</c:v>
                </c:pt>
                <c:pt idx="393">
                  <c:v>86</c:v>
                </c:pt>
                <c:pt idx="394">
                  <c:v>90</c:v>
                </c:pt>
                <c:pt idx="395">
                  <c:v>59</c:v>
                </c:pt>
                <c:pt idx="396">
                  <c:v>66</c:v>
                </c:pt>
                <c:pt idx="397">
                  <c:v>38</c:v>
                </c:pt>
                <c:pt idx="398">
                  <c:v>75</c:v>
                </c:pt>
                <c:pt idx="399">
                  <c:v>76</c:v>
                </c:pt>
                <c:pt idx="400">
                  <c:v>93</c:v>
                </c:pt>
                <c:pt idx="401">
                  <c:v>81</c:v>
                </c:pt>
                <c:pt idx="402">
                  <c:v>71</c:v>
                </c:pt>
                <c:pt idx="403">
                  <c:v>70</c:v>
                </c:pt>
                <c:pt idx="404">
                  <c:v>68</c:v>
                </c:pt>
                <c:pt idx="405">
                  <c:v>66</c:v>
                </c:pt>
                <c:pt idx="406">
                  <c:v>83</c:v>
                </c:pt>
                <c:pt idx="407">
                  <c:v>102</c:v>
                </c:pt>
                <c:pt idx="408">
                  <c:v>104</c:v>
                </c:pt>
                <c:pt idx="409">
                  <c:v>88</c:v>
                </c:pt>
                <c:pt idx="410">
                  <c:v>50</c:v>
                </c:pt>
                <c:pt idx="411">
                  <c:v>79</c:v>
                </c:pt>
                <c:pt idx="412">
                  <c:v>101</c:v>
                </c:pt>
                <c:pt idx="413">
                  <c:v>110</c:v>
                </c:pt>
                <c:pt idx="414">
                  <c:v>45</c:v>
                </c:pt>
                <c:pt idx="415">
                  <c:v>42</c:v>
                </c:pt>
                <c:pt idx="416">
                  <c:v>74</c:v>
                </c:pt>
                <c:pt idx="417">
                  <c:v>52</c:v>
                </c:pt>
                <c:pt idx="418">
                  <c:v>45</c:v>
                </c:pt>
                <c:pt idx="419">
                  <c:v>94</c:v>
                </c:pt>
                <c:pt idx="420">
                  <c:v>128</c:v>
                </c:pt>
                <c:pt idx="421">
                  <c:v>70</c:v>
                </c:pt>
                <c:pt idx="422">
                  <c:v>45</c:v>
                </c:pt>
                <c:pt idx="423">
                  <c:v>46</c:v>
                </c:pt>
                <c:pt idx="424">
                  <c:v>93</c:v>
                </c:pt>
                <c:pt idx="425">
                  <c:v>101</c:v>
                </c:pt>
                <c:pt idx="426">
                  <c:v>75</c:v>
                </c:pt>
                <c:pt idx="427">
                  <c:v>49</c:v>
                </c:pt>
                <c:pt idx="428">
                  <c:v>82</c:v>
                </c:pt>
                <c:pt idx="429">
                  <c:v>59</c:v>
                </c:pt>
                <c:pt idx="430">
                  <c:v>126</c:v>
                </c:pt>
                <c:pt idx="431">
                  <c:v>66</c:v>
                </c:pt>
                <c:pt idx="432">
                  <c:v>74</c:v>
                </c:pt>
                <c:pt idx="433">
                  <c:v>15</c:v>
                </c:pt>
                <c:pt idx="434">
                  <c:v>90</c:v>
                </c:pt>
                <c:pt idx="435">
                  <c:v>115</c:v>
                </c:pt>
                <c:pt idx="436">
                  <c:v>97</c:v>
                </c:pt>
                <c:pt idx="437">
                  <c:v>58</c:v>
                </c:pt>
                <c:pt idx="438">
                  <c:v>75</c:v>
                </c:pt>
                <c:pt idx="439">
                  <c:v>75</c:v>
                </c:pt>
                <c:pt idx="440">
                  <c:v>42</c:v>
                </c:pt>
                <c:pt idx="441">
                  <c:v>68</c:v>
                </c:pt>
                <c:pt idx="442">
                  <c:v>37</c:v>
                </c:pt>
                <c:pt idx="443">
                  <c:v>131</c:v>
                </c:pt>
                <c:pt idx="444">
                  <c:v>78</c:v>
                </c:pt>
                <c:pt idx="445">
                  <c:v>93</c:v>
                </c:pt>
                <c:pt idx="446">
                  <c:v>27</c:v>
                </c:pt>
                <c:pt idx="447">
                  <c:v>39</c:v>
                </c:pt>
                <c:pt idx="448">
                  <c:v>15</c:v>
                </c:pt>
                <c:pt idx="449">
                  <c:v>98</c:v>
                </c:pt>
                <c:pt idx="450">
                  <c:v>86</c:v>
                </c:pt>
                <c:pt idx="451">
                  <c:v>112</c:v>
                </c:pt>
                <c:pt idx="452">
                  <c:v>114</c:v>
                </c:pt>
                <c:pt idx="453">
                  <c:v>78</c:v>
                </c:pt>
                <c:pt idx="454">
                  <c:v>68</c:v>
                </c:pt>
                <c:pt idx="455">
                  <c:v>62</c:v>
                </c:pt>
                <c:pt idx="456">
                  <c:v>51</c:v>
                </c:pt>
                <c:pt idx="457">
                  <c:v>85</c:v>
                </c:pt>
                <c:pt idx="458">
                  <c:v>94</c:v>
                </c:pt>
                <c:pt idx="459">
                  <c:v>98</c:v>
                </c:pt>
                <c:pt idx="460">
                  <c:v>69</c:v>
                </c:pt>
                <c:pt idx="461">
                  <c:v>105</c:v>
                </c:pt>
                <c:pt idx="462">
                  <c:v>77</c:v>
                </c:pt>
                <c:pt idx="463">
                  <c:v>68</c:v>
                </c:pt>
                <c:pt idx="464">
                  <c:v>59</c:v>
                </c:pt>
                <c:pt idx="465">
                  <c:v>79</c:v>
                </c:pt>
                <c:pt idx="466">
                  <c:v>89</c:v>
                </c:pt>
                <c:pt idx="467">
                  <c:v>65</c:v>
                </c:pt>
                <c:pt idx="468">
                  <c:v>67</c:v>
                </c:pt>
                <c:pt idx="469">
                  <c:v>65</c:v>
                </c:pt>
                <c:pt idx="470">
                  <c:v>88</c:v>
                </c:pt>
                <c:pt idx="471">
                  <c:v>88</c:v>
                </c:pt>
                <c:pt idx="472">
                  <c:v>126</c:v>
                </c:pt>
                <c:pt idx="473">
                  <c:v>100</c:v>
                </c:pt>
                <c:pt idx="474">
                  <c:v>72</c:v>
                </c:pt>
                <c:pt idx="475">
                  <c:v>77</c:v>
                </c:pt>
                <c:pt idx="476">
                  <c:v>65</c:v>
                </c:pt>
                <c:pt idx="477">
                  <c:v>74</c:v>
                </c:pt>
                <c:pt idx="478">
                  <c:v>85</c:v>
                </c:pt>
                <c:pt idx="479">
                  <c:v>76</c:v>
                </c:pt>
                <c:pt idx="480">
                  <c:v>82</c:v>
                </c:pt>
                <c:pt idx="481">
                  <c:v>71</c:v>
                </c:pt>
                <c:pt idx="482">
                  <c:v>88</c:v>
                </c:pt>
                <c:pt idx="483">
                  <c:v>80</c:v>
                </c:pt>
                <c:pt idx="484">
                  <c:v>68</c:v>
                </c:pt>
                <c:pt idx="485">
                  <c:v>105</c:v>
                </c:pt>
                <c:pt idx="486">
                  <c:v>71</c:v>
                </c:pt>
                <c:pt idx="487">
                  <c:v>106</c:v>
                </c:pt>
                <c:pt idx="488">
                  <c:v>89</c:v>
                </c:pt>
                <c:pt idx="489">
                  <c:v>78</c:v>
                </c:pt>
                <c:pt idx="490">
                  <c:v>15</c:v>
                </c:pt>
                <c:pt idx="491">
                  <c:v>57</c:v>
                </c:pt>
                <c:pt idx="492">
                  <c:v>54</c:v>
                </c:pt>
                <c:pt idx="493">
                  <c:v>92</c:v>
                </c:pt>
                <c:pt idx="494">
                  <c:v>72</c:v>
                </c:pt>
                <c:pt idx="495">
                  <c:v>67</c:v>
                </c:pt>
                <c:pt idx="496">
                  <c:v>105</c:v>
                </c:pt>
                <c:pt idx="497">
                  <c:v>70</c:v>
                </c:pt>
                <c:pt idx="498">
                  <c:v>77</c:v>
                </c:pt>
                <c:pt idx="499">
                  <c:v>83</c:v>
                </c:pt>
                <c:pt idx="500">
                  <c:v>131</c:v>
                </c:pt>
                <c:pt idx="501">
                  <c:v>79</c:v>
                </c:pt>
                <c:pt idx="502">
                  <c:v>86</c:v>
                </c:pt>
                <c:pt idx="503">
                  <c:v>93</c:v>
                </c:pt>
                <c:pt idx="504">
                  <c:v>75</c:v>
                </c:pt>
                <c:pt idx="505">
                  <c:v>109</c:v>
                </c:pt>
                <c:pt idx="506">
                  <c:v>92</c:v>
                </c:pt>
                <c:pt idx="507">
                  <c:v>64</c:v>
                </c:pt>
                <c:pt idx="508">
                  <c:v>104</c:v>
                </c:pt>
                <c:pt idx="509">
                  <c:v>97</c:v>
                </c:pt>
                <c:pt idx="510">
                  <c:v>79</c:v>
                </c:pt>
                <c:pt idx="511">
                  <c:v>100</c:v>
                </c:pt>
                <c:pt idx="512">
                  <c:v>76</c:v>
                </c:pt>
                <c:pt idx="513">
                  <c:v>81</c:v>
                </c:pt>
                <c:pt idx="514">
                  <c:v>82</c:v>
                </c:pt>
                <c:pt idx="515">
                  <c:v>64</c:v>
                </c:pt>
                <c:pt idx="516">
                  <c:v>78</c:v>
                </c:pt>
                <c:pt idx="517">
                  <c:v>90</c:v>
                </c:pt>
                <c:pt idx="518">
                  <c:v>92</c:v>
                </c:pt>
                <c:pt idx="519">
                  <c:v>71</c:v>
                </c:pt>
                <c:pt idx="520">
                  <c:v>86</c:v>
                </c:pt>
                <c:pt idx="521">
                  <c:v>127</c:v>
                </c:pt>
                <c:pt idx="522">
                  <c:v>114</c:v>
                </c:pt>
                <c:pt idx="523">
                  <c:v>102</c:v>
                </c:pt>
                <c:pt idx="524">
                  <c:v>100</c:v>
                </c:pt>
                <c:pt idx="525">
                  <c:v>60</c:v>
                </c:pt>
                <c:pt idx="526">
                  <c:v>63</c:v>
                </c:pt>
                <c:pt idx="527">
                  <c:v>89</c:v>
                </c:pt>
                <c:pt idx="528">
                  <c:v>80</c:v>
                </c:pt>
                <c:pt idx="529">
                  <c:v>78</c:v>
                </c:pt>
                <c:pt idx="530">
                  <c:v>51</c:v>
                </c:pt>
                <c:pt idx="531">
                  <c:v>114</c:v>
                </c:pt>
                <c:pt idx="532">
                  <c:v>73</c:v>
                </c:pt>
                <c:pt idx="533">
                  <c:v>77</c:v>
                </c:pt>
                <c:pt idx="534">
                  <c:v>53</c:v>
                </c:pt>
                <c:pt idx="535">
                  <c:v>77</c:v>
                </c:pt>
                <c:pt idx="536">
                  <c:v>102</c:v>
                </c:pt>
                <c:pt idx="537">
                  <c:v>61</c:v>
                </c:pt>
                <c:pt idx="538">
                  <c:v>89</c:v>
                </c:pt>
                <c:pt idx="539">
                  <c:v>86</c:v>
                </c:pt>
                <c:pt idx="540">
                  <c:v>58</c:v>
                </c:pt>
                <c:pt idx="541">
                  <c:v>51</c:v>
                </c:pt>
                <c:pt idx="542">
                  <c:v>82</c:v>
                </c:pt>
                <c:pt idx="543">
                  <c:v>66</c:v>
                </c:pt>
                <c:pt idx="544">
                  <c:v>67</c:v>
                </c:pt>
                <c:pt idx="545">
                  <c:v>42</c:v>
                </c:pt>
                <c:pt idx="546">
                  <c:v>73</c:v>
                </c:pt>
                <c:pt idx="547">
                  <c:v>18</c:v>
                </c:pt>
                <c:pt idx="548">
                  <c:v>70</c:v>
                </c:pt>
                <c:pt idx="549">
                  <c:v>70</c:v>
                </c:pt>
                <c:pt idx="550">
                  <c:v>82</c:v>
                </c:pt>
                <c:pt idx="551">
                  <c:v>63</c:v>
                </c:pt>
                <c:pt idx="552">
                  <c:v>91</c:v>
                </c:pt>
                <c:pt idx="553">
                  <c:v>107</c:v>
                </c:pt>
                <c:pt idx="554">
                  <c:v>68</c:v>
                </c:pt>
                <c:pt idx="555">
                  <c:v>76</c:v>
                </c:pt>
                <c:pt idx="556">
                  <c:v>88</c:v>
                </c:pt>
                <c:pt idx="557">
                  <c:v>15</c:v>
                </c:pt>
                <c:pt idx="558">
                  <c:v>66</c:v>
                </c:pt>
                <c:pt idx="559">
                  <c:v>56</c:v>
                </c:pt>
                <c:pt idx="560">
                  <c:v>128</c:v>
                </c:pt>
                <c:pt idx="561">
                  <c:v>94</c:v>
                </c:pt>
                <c:pt idx="562">
                  <c:v>66</c:v>
                </c:pt>
                <c:pt idx="563">
                  <c:v>74</c:v>
                </c:pt>
                <c:pt idx="564">
                  <c:v>84</c:v>
                </c:pt>
                <c:pt idx="565">
                  <c:v>25</c:v>
                </c:pt>
                <c:pt idx="566">
                  <c:v>78</c:v>
                </c:pt>
                <c:pt idx="567">
                  <c:v>78</c:v>
                </c:pt>
                <c:pt idx="568">
                  <c:v>103</c:v>
                </c:pt>
                <c:pt idx="569">
                  <c:v>80</c:v>
                </c:pt>
                <c:pt idx="570">
                  <c:v>84</c:v>
                </c:pt>
                <c:pt idx="571">
                  <c:v>61</c:v>
                </c:pt>
                <c:pt idx="572">
                  <c:v>109</c:v>
                </c:pt>
                <c:pt idx="573">
                  <c:v>66</c:v>
                </c:pt>
                <c:pt idx="574">
                  <c:v>68</c:v>
                </c:pt>
                <c:pt idx="575">
                  <c:v>46</c:v>
                </c:pt>
                <c:pt idx="576">
                  <c:v>95</c:v>
                </c:pt>
                <c:pt idx="577">
                  <c:v>48</c:v>
                </c:pt>
                <c:pt idx="578">
                  <c:v>93</c:v>
                </c:pt>
                <c:pt idx="579">
                  <c:v>71</c:v>
                </c:pt>
                <c:pt idx="580">
                  <c:v>95</c:v>
                </c:pt>
                <c:pt idx="581">
                  <c:v>72</c:v>
                </c:pt>
                <c:pt idx="582">
                  <c:v>58</c:v>
                </c:pt>
                <c:pt idx="583">
                  <c:v>75</c:v>
                </c:pt>
                <c:pt idx="584">
                  <c:v>96</c:v>
                </c:pt>
                <c:pt idx="585">
                  <c:v>70</c:v>
                </c:pt>
                <c:pt idx="586">
                  <c:v>54</c:v>
                </c:pt>
                <c:pt idx="587">
                  <c:v>106</c:v>
                </c:pt>
                <c:pt idx="588">
                  <c:v>125</c:v>
                </c:pt>
                <c:pt idx="589">
                  <c:v>95</c:v>
                </c:pt>
                <c:pt idx="590">
                  <c:v>84</c:v>
                </c:pt>
                <c:pt idx="591">
                  <c:v>99</c:v>
                </c:pt>
                <c:pt idx="592">
                  <c:v>80</c:v>
                </c:pt>
                <c:pt idx="593">
                  <c:v>70</c:v>
                </c:pt>
                <c:pt idx="594">
                  <c:v>42</c:v>
                </c:pt>
                <c:pt idx="595">
                  <c:v>86</c:v>
                </c:pt>
                <c:pt idx="596">
                  <c:v>107</c:v>
                </c:pt>
                <c:pt idx="597">
                  <c:v>73</c:v>
                </c:pt>
                <c:pt idx="598">
                  <c:v>115</c:v>
                </c:pt>
                <c:pt idx="599">
                  <c:v>97</c:v>
                </c:pt>
                <c:pt idx="600">
                  <c:v>104</c:v>
                </c:pt>
                <c:pt idx="601">
                  <c:v>37</c:v>
                </c:pt>
                <c:pt idx="602">
                  <c:v>77</c:v>
                </c:pt>
                <c:pt idx="603">
                  <c:v>72</c:v>
                </c:pt>
                <c:pt idx="604">
                  <c:v>60</c:v>
                </c:pt>
                <c:pt idx="605">
                  <c:v>82</c:v>
                </c:pt>
                <c:pt idx="606">
                  <c:v>97</c:v>
                </c:pt>
                <c:pt idx="607">
                  <c:v>87</c:v>
                </c:pt>
                <c:pt idx="608">
                  <c:v>61</c:v>
                </c:pt>
                <c:pt idx="609">
                  <c:v>51</c:v>
                </c:pt>
                <c:pt idx="610">
                  <c:v>53</c:v>
                </c:pt>
                <c:pt idx="611">
                  <c:v>68</c:v>
                </c:pt>
                <c:pt idx="612">
                  <c:v>78</c:v>
                </c:pt>
                <c:pt idx="613">
                  <c:v>45</c:v>
                </c:pt>
                <c:pt idx="614">
                  <c:v>56</c:v>
                </c:pt>
                <c:pt idx="615">
                  <c:v>50</c:v>
                </c:pt>
                <c:pt idx="616">
                  <c:v>64</c:v>
                </c:pt>
                <c:pt idx="617">
                  <c:v>138</c:v>
                </c:pt>
                <c:pt idx="618">
                  <c:v>64</c:v>
                </c:pt>
                <c:pt idx="619">
                  <c:v>68</c:v>
                </c:pt>
                <c:pt idx="620">
                  <c:v>36</c:v>
                </c:pt>
                <c:pt idx="621">
                  <c:v>68</c:v>
                </c:pt>
                <c:pt idx="622">
                  <c:v>40</c:v>
                </c:pt>
                <c:pt idx="623">
                  <c:v>35</c:v>
                </c:pt>
                <c:pt idx="624">
                  <c:v>78</c:v>
                </c:pt>
                <c:pt idx="625">
                  <c:v>75</c:v>
                </c:pt>
                <c:pt idx="626">
                  <c:v>78</c:v>
                </c:pt>
                <c:pt idx="627">
                  <c:v>79</c:v>
                </c:pt>
                <c:pt idx="628">
                  <c:v>81</c:v>
                </c:pt>
                <c:pt idx="629">
                  <c:v>89</c:v>
                </c:pt>
                <c:pt idx="630">
                  <c:v>98</c:v>
                </c:pt>
                <c:pt idx="631">
                  <c:v>44</c:v>
                </c:pt>
                <c:pt idx="632">
                  <c:v>58</c:v>
                </c:pt>
                <c:pt idx="633">
                  <c:v>15</c:v>
                </c:pt>
                <c:pt idx="634">
                  <c:v>67</c:v>
                </c:pt>
                <c:pt idx="635">
                  <c:v>82</c:v>
                </c:pt>
                <c:pt idx="636">
                  <c:v>92</c:v>
                </c:pt>
                <c:pt idx="637">
                  <c:v>97</c:v>
                </c:pt>
                <c:pt idx="638">
                  <c:v>112</c:v>
                </c:pt>
                <c:pt idx="639">
                  <c:v>53</c:v>
                </c:pt>
                <c:pt idx="640">
                  <c:v>62</c:v>
                </c:pt>
                <c:pt idx="641">
                  <c:v>30</c:v>
                </c:pt>
                <c:pt idx="642">
                  <c:v>52</c:v>
                </c:pt>
                <c:pt idx="643">
                  <c:v>110</c:v>
                </c:pt>
                <c:pt idx="644">
                  <c:v>83</c:v>
                </c:pt>
                <c:pt idx="645">
                  <c:v>98</c:v>
                </c:pt>
                <c:pt idx="646">
                  <c:v>86</c:v>
                </c:pt>
                <c:pt idx="647">
                  <c:v>94</c:v>
                </c:pt>
                <c:pt idx="648">
                  <c:v>43</c:v>
                </c:pt>
                <c:pt idx="649">
                  <c:v>35</c:v>
                </c:pt>
                <c:pt idx="650">
                  <c:v>87</c:v>
                </c:pt>
                <c:pt idx="651">
                  <c:v>102</c:v>
                </c:pt>
                <c:pt idx="652">
                  <c:v>93</c:v>
                </c:pt>
                <c:pt idx="653">
                  <c:v>53</c:v>
                </c:pt>
                <c:pt idx="654">
                  <c:v>94</c:v>
                </c:pt>
                <c:pt idx="655">
                  <c:v>58</c:v>
                </c:pt>
                <c:pt idx="656">
                  <c:v>26</c:v>
                </c:pt>
                <c:pt idx="657">
                  <c:v>111</c:v>
                </c:pt>
                <c:pt idx="658">
                  <c:v>84</c:v>
                </c:pt>
                <c:pt idx="659">
                  <c:v>104</c:v>
                </c:pt>
                <c:pt idx="660">
                  <c:v>61</c:v>
                </c:pt>
                <c:pt idx="661">
                  <c:v>41</c:v>
                </c:pt>
                <c:pt idx="662">
                  <c:v>95</c:v>
                </c:pt>
                <c:pt idx="663">
                  <c:v>111</c:v>
                </c:pt>
                <c:pt idx="664">
                  <c:v>76</c:v>
                </c:pt>
                <c:pt idx="665">
                  <c:v>105</c:v>
                </c:pt>
                <c:pt idx="666">
                  <c:v>126</c:v>
                </c:pt>
                <c:pt idx="667">
                  <c:v>87</c:v>
                </c:pt>
                <c:pt idx="668">
                  <c:v>84</c:v>
                </c:pt>
                <c:pt idx="669">
                  <c:v>90</c:v>
                </c:pt>
                <c:pt idx="670">
                  <c:v>154</c:v>
                </c:pt>
                <c:pt idx="671">
                  <c:v>66</c:v>
                </c:pt>
                <c:pt idx="672">
                  <c:v>66</c:v>
                </c:pt>
                <c:pt idx="673">
                  <c:v>96</c:v>
                </c:pt>
                <c:pt idx="674">
                  <c:v>77</c:v>
                </c:pt>
                <c:pt idx="675">
                  <c:v>64</c:v>
                </c:pt>
                <c:pt idx="676">
                  <c:v>73</c:v>
                </c:pt>
              </c:numCache>
            </c:numRef>
          </c:xVal>
          <c:yVal>
            <c:numRef>
              <c:f>'[2]chap6-5-2'!$C$2:$C$682</c:f>
              <c:numCache>
                <c:formatCode>General</c:formatCode>
                <c:ptCount val="681"/>
                <c:pt idx="0">
                  <c:v>120</c:v>
                </c:pt>
                <c:pt idx="1">
                  <c:v>208</c:v>
                </c:pt>
                <c:pt idx="2">
                  <c:v>142</c:v>
                </c:pt>
                <c:pt idx="3">
                  <c:v>127</c:v>
                </c:pt>
                <c:pt idx="4">
                  <c:v>157</c:v>
                </c:pt>
                <c:pt idx="5">
                  <c:v>129</c:v>
                </c:pt>
                <c:pt idx="6">
                  <c:v>149</c:v>
                </c:pt>
                <c:pt idx="7">
                  <c:v>195</c:v>
                </c:pt>
                <c:pt idx="8">
                  <c:v>150</c:v>
                </c:pt>
                <c:pt idx="9">
                  <c:v>108</c:v>
                </c:pt>
                <c:pt idx="10">
                  <c:v>150</c:v>
                </c:pt>
                <c:pt idx="11">
                  <c:v>130</c:v>
                </c:pt>
                <c:pt idx="12">
                  <c:v>163</c:v>
                </c:pt>
                <c:pt idx="13">
                  <c:v>137</c:v>
                </c:pt>
                <c:pt idx="14">
                  <c:v>155</c:v>
                </c:pt>
                <c:pt idx="15">
                  <c:v>162</c:v>
                </c:pt>
                <c:pt idx="16">
                  <c:v>211</c:v>
                </c:pt>
                <c:pt idx="17">
                  <c:v>126</c:v>
                </c:pt>
                <c:pt idx="18">
                  <c:v>167</c:v>
                </c:pt>
                <c:pt idx="19">
                  <c:v>142</c:v>
                </c:pt>
                <c:pt idx="20">
                  <c:v>129</c:v>
                </c:pt>
                <c:pt idx="21">
                  <c:v>199</c:v>
                </c:pt>
                <c:pt idx="22">
                  <c:v>176</c:v>
                </c:pt>
                <c:pt idx="23">
                  <c:v>158</c:v>
                </c:pt>
                <c:pt idx="24">
                  <c:v>206</c:v>
                </c:pt>
                <c:pt idx="25">
                  <c:v>152</c:v>
                </c:pt>
                <c:pt idx="26">
                  <c:v>112</c:v>
                </c:pt>
                <c:pt idx="27">
                  <c:v>177</c:v>
                </c:pt>
                <c:pt idx="28">
                  <c:v>112</c:v>
                </c:pt>
                <c:pt idx="29">
                  <c:v>160</c:v>
                </c:pt>
                <c:pt idx="30">
                  <c:v>168</c:v>
                </c:pt>
                <c:pt idx="31">
                  <c:v>134</c:v>
                </c:pt>
                <c:pt idx="32">
                  <c:v>155</c:v>
                </c:pt>
                <c:pt idx="33">
                  <c:v>135</c:v>
                </c:pt>
                <c:pt idx="34">
                  <c:v>170</c:v>
                </c:pt>
                <c:pt idx="35">
                  <c:v>191</c:v>
                </c:pt>
                <c:pt idx="36">
                  <c:v>127</c:v>
                </c:pt>
                <c:pt idx="37">
                  <c:v>97</c:v>
                </c:pt>
                <c:pt idx="38">
                  <c:v>146</c:v>
                </c:pt>
                <c:pt idx="39">
                  <c:v>107</c:v>
                </c:pt>
                <c:pt idx="40">
                  <c:v>210</c:v>
                </c:pt>
                <c:pt idx="41">
                  <c:v>176</c:v>
                </c:pt>
                <c:pt idx="42">
                  <c:v>120</c:v>
                </c:pt>
                <c:pt idx="43">
                  <c:v>155</c:v>
                </c:pt>
                <c:pt idx="44">
                  <c:v>192</c:v>
                </c:pt>
                <c:pt idx="45">
                  <c:v>178</c:v>
                </c:pt>
                <c:pt idx="46">
                  <c:v>118</c:v>
                </c:pt>
                <c:pt idx="47">
                  <c:v>168</c:v>
                </c:pt>
                <c:pt idx="48">
                  <c:v>103</c:v>
                </c:pt>
                <c:pt idx="49">
                  <c:v>136</c:v>
                </c:pt>
                <c:pt idx="50">
                  <c:v>169</c:v>
                </c:pt>
                <c:pt idx="51">
                  <c:v>150</c:v>
                </c:pt>
                <c:pt idx="52">
                  <c:v>168</c:v>
                </c:pt>
                <c:pt idx="53">
                  <c:v>220</c:v>
                </c:pt>
                <c:pt idx="54">
                  <c:v>138</c:v>
                </c:pt>
                <c:pt idx="55">
                  <c:v>177</c:v>
                </c:pt>
                <c:pt idx="56">
                  <c:v>177</c:v>
                </c:pt>
                <c:pt idx="57">
                  <c:v>141</c:v>
                </c:pt>
                <c:pt idx="58">
                  <c:v>186</c:v>
                </c:pt>
                <c:pt idx="59">
                  <c:v>221</c:v>
                </c:pt>
                <c:pt idx="60">
                  <c:v>210</c:v>
                </c:pt>
                <c:pt idx="61">
                  <c:v>198</c:v>
                </c:pt>
                <c:pt idx="62">
                  <c:v>170</c:v>
                </c:pt>
                <c:pt idx="63">
                  <c:v>102</c:v>
                </c:pt>
                <c:pt idx="64">
                  <c:v>129</c:v>
                </c:pt>
                <c:pt idx="65">
                  <c:v>141</c:v>
                </c:pt>
                <c:pt idx="66">
                  <c:v>148</c:v>
                </c:pt>
                <c:pt idx="67">
                  <c:v>162</c:v>
                </c:pt>
                <c:pt idx="68">
                  <c:v>134</c:v>
                </c:pt>
                <c:pt idx="69">
                  <c:v>154</c:v>
                </c:pt>
                <c:pt idx="70">
                  <c:v>116</c:v>
                </c:pt>
                <c:pt idx="71">
                  <c:v>104</c:v>
                </c:pt>
                <c:pt idx="72">
                  <c:v>178</c:v>
                </c:pt>
                <c:pt idx="73">
                  <c:v>145</c:v>
                </c:pt>
                <c:pt idx="74">
                  <c:v>119</c:v>
                </c:pt>
                <c:pt idx="75">
                  <c:v>128</c:v>
                </c:pt>
                <c:pt idx="76">
                  <c:v>142</c:v>
                </c:pt>
                <c:pt idx="77">
                  <c:v>150</c:v>
                </c:pt>
                <c:pt idx="78">
                  <c:v>142</c:v>
                </c:pt>
                <c:pt idx="79">
                  <c:v>156</c:v>
                </c:pt>
                <c:pt idx="80">
                  <c:v>191</c:v>
                </c:pt>
                <c:pt idx="81">
                  <c:v>116</c:v>
                </c:pt>
                <c:pt idx="82">
                  <c:v>170</c:v>
                </c:pt>
                <c:pt idx="83">
                  <c:v>119</c:v>
                </c:pt>
                <c:pt idx="84">
                  <c:v>216</c:v>
                </c:pt>
                <c:pt idx="85">
                  <c:v>182</c:v>
                </c:pt>
                <c:pt idx="86">
                  <c:v>154</c:v>
                </c:pt>
                <c:pt idx="87">
                  <c:v>195</c:v>
                </c:pt>
                <c:pt idx="88">
                  <c:v>175</c:v>
                </c:pt>
                <c:pt idx="89">
                  <c:v>154</c:v>
                </c:pt>
                <c:pt idx="90">
                  <c:v>169</c:v>
                </c:pt>
                <c:pt idx="91">
                  <c:v>170</c:v>
                </c:pt>
                <c:pt idx="92">
                  <c:v>128</c:v>
                </c:pt>
                <c:pt idx="93">
                  <c:v>159</c:v>
                </c:pt>
                <c:pt idx="94">
                  <c:v>137</c:v>
                </c:pt>
                <c:pt idx="95">
                  <c:v>109</c:v>
                </c:pt>
                <c:pt idx="96">
                  <c:v>128</c:v>
                </c:pt>
                <c:pt idx="97">
                  <c:v>133</c:v>
                </c:pt>
                <c:pt idx="98">
                  <c:v>146</c:v>
                </c:pt>
                <c:pt idx="99">
                  <c:v>164</c:v>
                </c:pt>
                <c:pt idx="100">
                  <c:v>149</c:v>
                </c:pt>
                <c:pt idx="101">
                  <c:v>168</c:v>
                </c:pt>
                <c:pt idx="102">
                  <c:v>130</c:v>
                </c:pt>
                <c:pt idx="103">
                  <c:v>126</c:v>
                </c:pt>
                <c:pt idx="104">
                  <c:v>115</c:v>
                </c:pt>
                <c:pt idx="105">
                  <c:v>136</c:v>
                </c:pt>
                <c:pt idx="106">
                  <c:v>161</c:v>
                </c:pt>
                <c:pt idx="107">
                  <c:v>108</c:v>
                </c:pt>
                <c:pt idx="108">
                  <c:v>198</c:v>
                </c:pt>
                <c:pt idx="109">
                  <c:v>203</c:v>
                </c:pt>
                <c:pt idx="110">
                  <c:v>109</c:v>
                </c:pt>
                <c:pt idx="111">
                  <c:v>109</c:v>
                </c:pt>
                <c:pt idx="112">
                  <c:v>140</c:v>
                </c:pt>
                <c:pt idx="113">
                  <c:v>102</c:v>
                </c:pt>
                <c:pt idx="114">
                  <c:v>142</c:v>
                </c:pt>
                <c:pt idx="115">
                  <c:v>171</c:v>
                </c:pt>
                <c:pt idx="116">
                  <c:v>212</c:v>
                </c:pt>
                <c:pt idx="117">
                  <c:v>141</c:v>
                </c:pt>
                <c:pt idx="118">
                  <c:v>184</c:v>
                </c:pt>
                <c:pt idx="119">
                  <c:v>164</c:v>
                </c:pt>
                <c:pt idx="120">
                  <c:v>179</c:v>
                </c:pt>
                <c:pt idx="121">
                  <c:v>159</c:v>
                </c:pt>
                <c:pt idx="122">
                  <c:v>140</c:v>
                </c:pt>
                <c:pt idx="123">
                  <c:v>175</c:v>
                </c:pt>
                <c:pt idx="124">
                  <c:v>161</c:v>
                </c:pt>
                <c:pt idx="125">
                  <c:v>173</c:v>
                </c:pt>
                <c:pt idx="126">
                  <c:v>186</c:v>
                </c:pt>
                <c:pt idx="127">
                  <c:v>187</c:v>
                </c:pt>
                <c:pt idx="128">
                  <c:v>130</c:v>
                </c:pt>
                <c:pt idx="129">
                  <c:v>112</c:v>
                </c:pt>
                <c:pt idx="130">
                  <c:v>183</c:v>
                </c:pt>
                <c:pt idx="131">
                  <c:v>175</c:v>
                </c:pt>
                <c:pt idx="132">
                  <c:v>140</c:v>
                </c:pt>
                <c:pt idx="133">
                  <c:v>177</c:v>
                </c:pt>
                <c:pt idx="134">
                  <c:v>139</c:v>
                </c:pt>
                <c:pt idx="135">
                  <c:v>186</c:v>
                </c:pt>
                <c:pt idx="136">
                  <c:v>173</c:v>
                </c:pt>
                <c:pt idx="137">
                  <c:v>176</c:v>
                </c:pt>
                <c:pt idx="138">
                  <c:v>144</c:v>
                </c:pt>
                <c:pt idx="139">
                  <c:v>146</c:v>
                </c:pt>
                <c:pt idx="140">
                  <c:v>184</c:v>
                </c:pt>
                <c:pt idx="141">
                  <c:v>185</c:v>
                </c:pt>
                <c:pt idx="142">
                  <c:v>124</c:v>
                </c:pt>
                <c:pt idx="143">
                  <c:v>146</c:v>
                </c:pt>
                <c:pt idx="144">
                  <c:v>97</c:v>
                </c:pt>
                <c:pt idx="145">
                  <c:v>152</c:v>
                </c:pt>
                <c:pt idx="146">
                  <c:v>178</c:v>
                </c:pt>
                <c:pt idx="147">
                  <c:v>166</c:v>
                </c:pt>
                <c:pt idx="148">
                  <c:v>101</c:v>
                </c:pt>
                <c:pt idx="149">
                  <c:v>102</c:v>
                </c:pt>
                <c:pt idx="150">
                  <c:v>72</c:v>
                </c:pt>
                <c:pt idx="151">
                  <c:v>100</c:v>
                </c:pt>
                <c:pt idx="152">
                  <c:v>104</c:v>
                </c:pt>
                <c:pt idx="153">
                  <c:v>104</c:v>
                </c:pt>
                <c:pt idx="154">
                  <c:v>128</c:v>
                </c:pt>
                <c:pt idx="155">
                  <c:v>189</c:v>
                </c:pt>
                <c:pt idx="156">
                  <c:v>198</c:v>
                </c:pt>
                <c:pt idx="157">
                  <c:v>124</c:v>
                </c:pt>
                <c:pt idx="158">
                  <c:v>134</c:v>
                </c:pt>
                <c:pt idx="159">
                  <c:v>137</c:v>
                </c:pt>
                <c:pt idx="160">
                  <c:v>135</c:v>
                </c:pt>
                <c:pt idx="161">
                  <c:v>140</c:v>
                </c:pt>
                <c:pt idx="162">
                  <c:v>174</c:v>
                </c:pt>
                <c:pt idx="163">
                  <c:v>112</c:v>
                </c:pt>
                <c:pt idx="164">
                  <c:v>133</c:v>
                </c:pt>
                <c:pt idx="165">
                  <c:v>145</c:v>
                </c:pt>
                <c:pt idx="166">
                  <c:v>107</c:v>
                </c:pt>
                <c:pt idx="167">
                  <c:v>186</c:v>
                </c:pt>
                <c:pt idx="168">
                  <c:v>147</c:v>
                </c:pt>
                <c:pt idx="169">
                  <c:v>181</c:v>
                </c:pt>
                <c:pt idx="170">
                  <c:v>162</c:v>
                </c:pt>
                <c:pt idx="171">
                  <c:v>118</c:v>
                </c:pt>
                <c:pt idx="172">
                  <c:v>120</c:v>
                </c:pt>
                <c:pt idx="173">
                  <c:v>193</c:v>
                </c:pt>
                <c:pt idx="174">
                  <c:v>196</c:v>
                </c:pt>
                <c:pt idx="175">
                  <c:v>178</c:v>
                </c:pt>
                <c:pt idx="176">
                  <c:v>177</c:v>
                </c:pt>
                <c:pt idx="177">
                  <c:v>84</c:v>
                </c:pt>
                <c:pt idx="178">
                  <c:v>200</c:v>
                </c:pt>
                <c:pt idx="179">
                  <c:v>194</c:v>
                </c:pt>
                <c:pt idx="180">
                  <c:v>125</c:v>
                </c:pt>
                <c:pt idx="181">
                  <c:v>163</c:v>
                </c:pt>
                <c:pt idx="182">
                  <c:v>155</c:v>
                </c:pt>
                <c:pt idx="183">
                  <c:v>113</c:v>
                </c:pt>
                <c:pt idx="184">
                  <c:v>133</c:v>
                </c:pt>
                <c:pt idx="185">
                  <c:v>119</c:v>
                </c:pt>
                <c:pt idx="186">
                  <c:v>106</c:v>
                </c:pt>
                <c:pt idx="187">
                  <c:v>146</c:v>
                </c:pt>
                <c:pt idx="188">
                  <c:v>140</c:v>
                </c:pt>
                <c:pt idx="189">
                  <c:v>226</c:v>
                </c:pt>
                <c:pt idx="190">
                  <c:v>151</c:v>
                </c:pt>
                <c:pt idx="191">
                  <c:v>110</c:v>
                </c:pt>
                <c:pt idx="192">
                  <c:v>192</c:v>
                </c:pt>
                <c:pt idx="193">
                  <c:v>168</c:v>
                </c:pt>
                <c:pt idx="194">
                  <c:v>135</c:v>
                </c:pt>
                <c:pt idx="195">
                  <c:v>157</c:v>
                </c:pt>
                <c:pt idx="196">
                  <c:v>152</c:v>
                </c:pt>
                <c:pt idx="197">
                  <c:v>206</c:v>
                </c:pt>
                <c:pt idx="198">
                  <c:v>192</c:v>
                </c:pt>
                <c:pt idx="199">
                  <c:v>166</c:v>
                </c:pt>
                <c:pt idx="200">
                  <c:v>124</c:v>
                </c:pt>
                <c:pt idx="201">
                  <c:v>156</c:v>
                </c:pt>
                <c:pt idx="202">
                  <c:v>186</c:v>
                </c:pt>
                <c:pt idx="203">
                  <c:v>137</c:v>
                </c:pt>
                <c:pt idx="204">
                  <c:v>176</c:v>
                </c:pt>
                <c:pt idx="205">
                  <c:v>89</c:v>
                </c:pt>
                <c:pt idx="206">
                  <c:v>169</c:v>
                </c:pt>
                <c:pt idx="207">
                  <c:v>160</c:v>
                </c:pt>
                <c:pt idx="208">
                  <c:v>175</c:v>
                </c:pt>
                <c:pt idx="209">
                  <c:v>135</c:v>
                </c:pt>
                <c:pt idx="210">
                  <c:v>202</c:v>
                </c:pt>
                <c:pt idx="211">
                  <c:v>189</c:v>
                </c:pt>
                <c:pt idx="212">
                  <c:v>132</c:v>
                </c:pt>
                <c:pt idx="213">
                  <c:v>138</c:v>
                </c:pt>
                <c:pt idx="214">
                  <c:v>170</c:v>
                </c:pt>
                <c:pt idx="215">
                  <c:v>186</c:v>
                </c:pt>
                <c:pt idx="216">
                  <c:v>89</c:v>
                </c:pt>
                <c:pt idx="217">
                  <c:v>105</c:v>
                </c:pt>
                <c:pt idx="218">
                  <c:v>189</c:v>
                </c:pt>
                <c:pt idx="219">
                  <c:v>152</c:v>
                </c:pt>
                <c:pt idx="220">
                  <c:v>226</c:v>
                </c:pt>
                <c:pt idx="221">
                  <c:v>146</c:v>
                </c:pt>
                <c:pt idx="222">
                  <c:v>197</c:v>
                </c:pt>
                <c:pt idx="223">
                  <c:v>188</c:v>
                </c:pt>
                <c:pt idx="224">
                  <c:v>151</c:v>
                </c:pt>
                <c:pt idx="225">
                  <c:v>207</c:v>
                </c:pt>
                <c:pt idx="226">
                  <c:v>104</c:v>
                </c:pt>
                <c:pt idx="227">
                  <c:v>188</c:v>
                </c:pt>
                <c:pt idx="228">
                  <c:v>234</c:v>
                </c:pt>
                <c:pt idx="229">
                  <c:v>202</c:v>
                </c:pt>
                <c:pt idx="230">
                  <c:v>126</c:v>
                </c:pt>
                <c:pt idx="231">
                  <c:v>144</c:v>
                </c:pt>
                <c:pt idx="232">
                  <c:v>180</c:v>
                </c:pt>
                <c:pt idx="233">
                  <c:v>138</c:v>
                </c:pt>
                <c:pt idx="234">
                  <c:v>220</c:v>
                </c:pt>
                <c:pt idx="235">
                  <c:v>204</c:v>
                </c:pt>
                <c:pt idx="236">
                  <c:v>153</c:v>
                </c:pt>
                <c:pt idx="237">
                  <c:v>114</c:v>
                </c:pt>
                <c:pt idx="238">
                  <c:v>130</c:v>
                </c:pt>
                <c:pt idx="239">
                  <c:v>146</c:v>
                </c:pt>
                <c:pt idx="240">
                  <c:v>179</c:v>
                </c:pt>
                <c:pt idx="241">
                  <c:v>148</c:v>
                </c:pt>
                <c:pt idx="242">
                  <c:v>133</c:v>
                </c:pt>
                <c:pt idx="243">
                  <c:v>210</c:v>
                </c:pt>
                <c:pt idx="244">
                  <c:v>153</c:v>
                </c:pt>
                <c:pt idx="245">
                  <c:v>99</c:v>
                </c:pt>
                <c:pt idx="246">
                  <c:v>148</c:v>
                </c:pt>
                <c:pt idx="247">
                  <c:v>134</c:v>
                </c:pt>
                <c:pt idx="248">
                  <c:v>172</c:v>
                </c:pt>
                <c:pt idx="249">
                  <c:v>116</c:v>
                </c:pt>
                <c:pt idx="250">
                  <c:v>115</c:v>
                </c:pt>
                <c:pt idx="251">
                  <c:v>157</c:v>
                </c:pt>
                <c:pt idx="252">
                  <c:v>208</c:v>
                </c:pt>
                <c:pt idx="253">
                  <c:v>145</c:v>
                </c:pt>
                <c:pt idx="254">
                  <c:v>130</c:v>
                </c:pt>
                <c:pt idx="255">
                  <c:v>222</c:v>
                </c:pt>
                <c:pt idx="256">
                  <c:v>194</c:v>
                </c:pt>
                <c:pt idx="257">
                  <c:v>113</c:v>
                </c:pt>
                <c:pt idx="258">
                  <c:v>145</c:v>
                </c:pt>
                <c:pt idx="259">
                  <c:v>154</c:v>
                </c:pt>
                <c:pt idx="260">
                  <c:v>126</c:v>
                </c:pt>
                <c:pt idx="261">
                  <c:v>108</c:v>
                </c:pt>
                <c:pt idx="262">
                  <c:v>120</c:v>
                </c:pt>
                <c:pt idx="263">
                  <c:v>172</c:v>
                </c:pt>
                <c:pt idx="264">
                  <c:v>126</c:v>
                </c:pt>
                <c:pt idx="265">
                  <c:v>180</c:v>
                </c:pt>
                <c:pt idx="266">
                  <c:v>195</c:v>
                </c:pt>
                <c:pt idx="267">
                  <c:v>179</c:v>
                </c:pt>
                <c:pt idx="268">
                  <c:v>126</c:v>
                </c:pt>
                <c:pt idx="269">
                  <c:v>206</c:v>
                </c:pt>
                <c:pt idx="270">
                  <c:v>151</c:v>
                </c:pt>
                <c:pt idx="271">
                  <c:v>163</c:v>
                </c:pt>
                <c:pt idx="272">
                  <c:v>169</c:v>
                </c:pt>
                <c:pt idx="273">
                  <c:v>187</c:v>
                </c:pt>
                <c:pt idx="274">
                  <c:v>158</c:v>
                </c:pt>
                <c:pt idx="275">
                  <c:v>130</c:v>
                </c:pt>
                <c:pt idx="276">
                  <c:v>172</c:v>
                </c:pt>
                <c:pt idx="277">
                  <c:v>137</c:v>
                </c:pt>
                <c:pt idx="278">
                  <c:v>162</c:v>
                </c:pt>
                <c:pt idx="279">
                  <c:v>162</c:v>
                </c:pt>
                <c:pt idx="280">
                  <c:v>202</c:v>
                </c:pt>
                <c:pt idx="281">
                  <c:v>130</c:v>
                </c:pt>
                <c:pt idx="282">
                  <c:v>148</c:v>
                </c:pt>
                <c:pt idx="283">
                  <c:v>130</c:v>
                </c:pt>
                <c:pt idx="284">
                  <c:v>162</c:v>
                </c:pt>
                <c:pt idx="285">
                  <c:v>162</c:v>
                </c:pt>
                <c:pt idx="286">
                  <c:v>159</c:v>
                </c:pt>
                <c:pt idx="287">
                  <c:v>149</c:v>
                </c:pt>
                <c:pt idx="288">
                  <c:v>212</c:v>
                </c:pt>
                <c:pt idx="289">
                  <c:v>138</c:v>
                </c:pt>
                <c:pt idx="290">
                  <c:v>221</c:v>
                </c:pt>
                <c:pt idx="291">
                  <c:v>110</c:v>
                </c:pt>
                <c:pt idx="292">
                  <c:v>76</c:v>
                </c:pt>
                <c:pt idx="293">
                  <c:v>139</c:v>
                </c:pt>
                <c:pt idx="294">
                  <c:v>189</c:v>
                </c:pt>
                <c:pt idx="295">
                  <c:v>106</c:v>
                </c:pt>
                <c:pt idx="296">
                  <c:v>192</c:v>
                </c:pt>
                <c:pt idx="297">
                  <c:v>134</c:v>
                </c:pt>
                <c:pt idx="298">
                  <c:v>130</c:v>
                </c:pt>
                <c:pt idx="299">
                  <c:v>148</c:v>
                </c:pt>
                <c:pt idx="300">
                  <c:v>125</c:v>
                </c:pt>
                <c:pt idx="301">
                  <c:v>158</c:v>
                </c:pt>
                <c:pt idx="302">
                  <c:v>159</c:v>
                </c:pt>
                <c:pt idx="303">
                  <c:v>135</c:v>
                </c:pt>
                <c:pt idx="304">
                  <c:v>145</c:v>
                </c:pt>
                <c:pt idx="305">
                  <c:v>194</c:v>
                </c:pt>
                <c:pt idx="306">
                  <c:v>125</c:v>
                </c:pt>
                <c:pt idx="307">
                  <c:v>117</c:v>
                </c:pt>
                <c:pt idx="308">
                  <c:v>190</c:v>
                </c:pt>
                <c:pt idx="309">
                  <c:v>185</c:v>
                </c:pt>
                <c:pt idx="310">
                  <c:v>126</c:v>
                </c:pt>
                <c:pt idx="311">
                  <c:v>194</c:v>
                </c:pt>
                <c:pt idx="312">
                  <c:v>118</c:v>
                </c:pt>
                <c:pt idx="313">
                  <c:v>196</c:v>
                </c:pt>
                <c:pt idx="314">
                  <c:v>122</c:v>
                </c:pt>
                <c:pt idx="315">
                  <c:v>180</c:v>
                </c:pt>
                <c:pt idx="316">
                  <c:v>159</c:v>
                </c:pt>
                <c:pt idx="317">
                  <c:v>144</c:v>
                </c:pt>
                <c:pt idx="318">
                  <c:v>205</c:v>
                </c:pt>
                <c:pt idx="319">
                  <c:v>174</c:v>
                </c:pt>
                <c:pt idx="320">
                  <c:v>169</c:v>
                </c:pt>
                <c:pt idx="321">
                  <c:v>108</c:v>
                </c:pt>
                <c:pt idx="322">
                  <c:v>165</c:v>
                </c:pt>
                <c:pt idx="323">
                  <c:v>100</c:v>
                </c:pt>
                <c:pt idx="324">
                  <c:v>122</c:v>
                </c:pt>
                <c:pt idx="325">
                  <c:v>212</c:v>
                </c:pt>
                <c:pt idx="326">
                  <c:v>177</c:v>
                </c:pt>
                <c:pt idx="327">
                  <c:v>102</c:v>
                </c:pt>
                <c:pt idx="328">
                  <c:v>153</c:v>
                </c:pt>
                <c:pt idx="329">
                  <c:v>223</c:v>
                </c:pt>
                <c:pt idx="330">
                  <c:v>102</c:v>
                </c:pt>
                <c:pt idx="331">
                  <c:v>119</c:v>
                </c:pt>
                <c:pt idx="332">
                  <c:v>160</c:v>
                </c:pt>
                <c:pt idx="333">
                  <c:v>231</c:v>
                </c:pt>
                <c:pt idx="334">
                  <c:v>97</c:v>
                </c:pt>
                <c:pt idx="335">
                  <c:v>139</c:v>
                </c:pt>
                <c:pt idx="336">
                  <c:v>148</c:v>
                </c:pt>
                <c:pt idx="337">
                  <c:v>92</c:v>
                </c:pt>
                <c:pt idx="338">
                  <c:v>124</c:v>
                </c:pt>
                <c:pt idx="339">
                  <c:v>152</c:v>
                </c:pt>
                <c:pt idx="340">
                  <c:v>179</c:v>
                </c:pt>
                <c:pt idx="341">
                  <c:v>100</c:v>
                </c:pt>
                <c:pt idx="342">
                  <c:v>133</c:v>
                </c:pt>
                <c:pt idx="343">
                  <c:v>165</c:v>
                </c:pt>
                <c:pt idx="344">
                  <c:v>150</c:v>
                </c:pt>
                <c:pt idx="345">
                  <c:v>148</c:v>
                </c:pt>
                <c:pt idx="346">
                  <c:v>161</c:v>
                </c:pt>
                <c:pt idx="347">
                  <c:v>180</c:v>
                </c:pt>
                <c:pt idx="348">
                  <c:v>168</c:v>
                </c:pt>
                <c:pt idx="349">
                  <c:v>110</c:v>
                </c:pt>
                <c:pt idx="350">
                  <c:v>197</c:v>
                </c:pt>
                <c:pt idx="351">
                  <c:v>146</c:v>
                </c:pt>
                <c:pt idx="352">
                  <c:v>94</c:v>
                </c:pt>
                <c:pt idx="353">
                  <c:v>164</c:v>
                </c:pt>
                <c:pt idx="354">
                  <c:v>113</c:v>
                </c:pt>
                <c:pt idx="355">
                  <c:v>170</c:v>
                </c:pt>
                <c:pt idx="356">
                  <c:v>141</c:v>
                </c:pt>
                <c:pt idx="357">
                  <c:v>152</c:v>
                </c:pt>
                <c:pt idx="358">
                  <c:v>193</c:v>
                </c:pt>
                <c:pt idx="359">
                  <c:v>131</c:v>
                </c:pt>
                <c:pt idx="360">
                  <c:v>163</c:v>
                </c:pt>
                <c:pt idx="361">
                  <c:v>126</c:v>
                </c:pt>
                <c:pt idx="362">
                  <c:v>181</c:v>
                </c:pt>
                <c:pt idx="363">
                  <c:v>99</c:v>
                </c:pt>
                <c:pt idx="364">
                  <c:v>150</c:v>
                </c:pt>
                <c:pt idx="365">
                  <c:v>245</c:v>
                </c:pt>
                <c:pt idx="366">
                  <c:v>156</c:v>
                </c:pt>
                <c:pt idx="367">
                  <c:v>166</c:v>
                </c:pt>
                <c:pt idx="368">
                  <c:v>186</c:v>
                </c:pt>
                <c:pt idx="369">
                  <c:v>142</c:v>
                </c:pt>
                <c:pt idx="370">
                  <c:v>125</c:v>
                </c:pt>
                <c:pt idx="371">
                  <c:v>97</c:v>
                </c:pt>
                <c:pt idx="372">
                  <c:v>180</c:v>
                </c:pt>
                <c:pt idx="373">
                  <c:v>212</c:v>
                </c:pt>
                <c:pt idx="374">
                  <c:v>164</c:v>
                </c:pt>
                <c:pt idx="375">
                  <c:v>166</c:v>
                </c:pt>
                <c:pt idx="376">
                  <c:v>159</c:v>
                </c:pt>
                <c:pt idx="377">
                  <c:v>134</c:v>
                </c:pt>
                <c:pt idx="378">
                  <c:v>171</c:v>
                </c:pt>
                <c:pt idx="379">
                  <c:v>156</c:v>
                </c:pt>
                <c:pt idx="380">
                  <c:v>127</c:v>
                </c:pt>
                <c:pt idx="381">
                  <c:v>231</c:v>
                </c:pt>
                <c:pt idx="382">
                  <c:v>154</c:v>
                </c:pt>
                <c:pt idx="383">
                  <c:v>170</c:v>
                </c:pt>
                <c:pt idx="384">
                  <c:v>128</c:v>
                </c:pt>
                <c:pt idx="385">
                  <c:v>187</c:v>
                </c:pt>
                <c:pt idx="386">
                  <c:v>142</c:v>
                </c:pt>
                <c:pt idx="387">
                  <c:v>158</c:v>
                </c:pt>
                <c:pt idx="388">
                  <c:v>174</c:v>
                </c:pt>
                <c:pt idx="389">
                  <c:v>136</c:v>
                </c:pt>
                <c:pt idx="390">
                  <c:v>131</c:v>
                </c:pt>
                <c:pt idx="391">
                  <c:v>184</c:v>
                </c:pt>
                <c:pt idx="392">
                  <c:v>127</c:v>
                </c:pt>
                <c:pt idx="393">
                  <c:v>193</c:v>
                </c:pt>
                <c:pt idx="394">
                  <c:v>146</c:v>
                </c:pt>
                <c:pt idx="395">
                  <c:v>108</c:v>
                </c:pt>
                <c:pt idx="396">
                  <c:v>126</c:v>
                </c:pt>
                <c:pt idx="397">
                  <c:v>143</c:v>
                </c:pt>
                <c:pt idx="398">
                  <c:v>139</c:v>
                </c:pt>
                <c:pt idx="399">
                  <c:v>132</c:v>
                </c:pt>
                <c:pt idx="400">
                  <c:v>170</c:v>
                </c:pt>
                <c:pt idx="401">
                  <c:v>172</c:v>
                </c:pt>
                <c:pt idx="402">
                  <c:v>142</c:v>
                </c:pt>
                <c:pt idx="403">
                  <c:v>116</c:v>
                </c:pt>
                <c:pt idx="404">
                  <c:v>122</c:v>
                </c:pt>
                <c:pt idx="405">
                  <c:v>152</c:v>
                </c:pt>
                <c:pt idx="406">
                  <c:v>168</c:v>
                </c:pt>
                <c:pt idx="407">
                  <c:v>190</c:v>
                </c:pt>
                <c:pt idx="408">
                  <c:v>196</c:v>
                </c:pt>
                <c:pt idx="409">
                  <c:v>169</c:v>
                </c:pt>
                <c:pt idx="410">
                  <c:v>139</c:v>
                </c:pt>
                <c:pt idx="411">
                  <c:v>189</c:v>
                </c:pt>
                <c:pt idx="412">
                  <c:v>154</c:v>
                </c:pt>
                <c:pt idx="413">
                  <c:v>211</c:v>
                </c:pt>
                <c:pt idx="414">
                  <c:v>168</c:v>
                </c:pt>
                <c:pt idx="415">
                  <c:v>103</c:v>
                </c:pt>
                <c:pt idx="416">
                  <c:v>197</c:v>
                </c:pt>
                <c:pt idx="417">
                  <c:v>117</c:v>
                </c:pt>
                <c:pt idx="418">
                  <c:v>182</c:v>
                </c:pt>
                <c:pt idx="419">
                  <c:v>212</c:v>
                </c:pt>
                <c:pt idx="420">
                  <c:v>173</c:v>
                </c:pt>
                <c:pt idx="421">
                  <c:v>160</c:v>
                </c:pt>
                <c:pt idx="422">
                  <c:v>130</c:v>
                </c:pt>
                <c:pt idx="423">
                  <c:v>122</c:v>
                </c:pt>
                <c:pt idx="424">
                  <c:v>145</c:v>
                </c:pt>
                <c:pt idx="425">
                  <c:v>146</c:v>
                </c:pt>
                <c:pt idx="426">
                  <c:v>127</c:v>
                </c:pt>
                <c:pt idx="427">
                  <c:v>101</c:v>
                </c:pt>
                <c:pt idx="428">
                  <c:v>188</c:v>
                </c:pt>
                <c:pt idx="429">
                  <c:v>177</c:v>
                </c:pt>
                <c:pt idx="430">
                  <c:v>213</c:v>
                </c:pt>
                <c:pt idx="431">
                  <c:v>175</c:v>
                </c:pt>
                <c:pt idx="432">
                  <c:v>113</c:v>
                </c:pt>
                <c:pt idx="433">
                  <c:v>61</c:v>
                </c:pt>
                <c:pt idx="434">
                  <c:v>138</c:v>
                </c:pt>
                <c:pt idx="435">
                  <c:v>167</c:v>
                </c:pt>
                <c:pt idx="436">
                  <c:v>162</c:v>
                </c:pt>
                <c:pt idx="437">
                  <c:v>144</c:v>
                </c:pt>
                <c:pt idx="438">
                  <c:v>120</c:v>
                </c:pt>
                <c:pt idx="439">
                  <c:v>188</c:v>
                </c:pt>
                <c:pt idx="440">
                  <c:v>112</c:v>
                </c:pt>
                <c:pt idx="441">
                  <c:v>171</c:v>
                </c:pt>
                <c:pt idx="442">
                  <c:v>78</c:v>
                </c:pt>
                <c:pt idx="443">
                  <c:v>203</c:v>
                </c:pt>
                <c:pt idx="444">
                  <c:v>126</c:v>
                </c:pt>
                <c:pt idx="445">
                  <c:v>128</c:v>
                </c:pt>
                <c:pt idx="446">
                  <c:v>130</c:v>
                </c:pt>
                <c:pt idx="447">
                  <c:v>121</c:v>
                </c:pt>
                <c:pt idx="448">
                  <c:v>79</c:v>
                </c:pt>
                <c:pt idx="449">
                  <c:v>150</c:v>
                </c:pt>
                <c:pt idx="450">
                  <c:v>135</c:v>
                </c:pt>
                <c:pt idx="451">
                  <c:v>226</c:v>
                </c:pt>
                <c:pt idx="452">
                  <c:v>176</c:v>
                </c:pt>
                <c:pt idx="453">
                  <c:v>158</c:v>
                </c:pt>
                <c:pt idx="454">
                  <c:v>136</c:v>
                </c:pt>
                <c:pt idx="455">
                  <c:v>134</c:v>
                </c:pt>
                <c:pt idx="456">
                  <c:v>171</c:v>
                </c:pt>
                <c:pt idx="457">
                  <c:v>192</c:v>
                </c:pt>
                <c:pt idx="458">
                  <c:v>184</c:v>
                </c:pt>
                <c:pt idx="459">
                  <c:v>137</c:v>
                </c:pt>
                <c:pt idx="460">
                  <c:v>161</c:v>
                </c:pt>
                <c:pt idx="461">
                  <c:v>205</c:v>
                </c:pt>
                <c:pt idx="462">
                  <c:v>146</c:v>
                </c:pt>
                <c:pt idx="463">
                  <c:v>127</c:v>
                </c:pt>
                <c:pt idx="464">
                  <c:v>182</c:v>
                </c:pt>
                <c:pt idx="465">
                  <c:v>176</c:v>
                </c:pt>
                <c:pt idx="466">
                  <c:v>177</c:v>
                </c:pt>
                <c:pt idx="467">
                  <c:v>138</c:v>
                </c:pt>
                <c:pt idx="468">
                  <c:v>133</c:v>
                </c:pt>
                <c:pt idx="469">
                  <c:v>112</c:v>
                </c:pt>
                <c:pt idx="470">
                  <c:v>144</c:v>
                </c:pt>
                <c:pt idx="471">
                  <c:v>159</c:v>
                </c:pt>
                <c:pt idx="472">
                  <c:v>165</c:v>
                </c:pt>
                <c:pt idx="473">
                  <c:v>150</c:v>
                </c:pt>
                <c:pt idx="474">
                  <c:v>141</c:v>
                </c:pt>
                <c:pt idx="475">
                  <c:v>99</c:v>
                </c:pt>
                <c:pt idx="476">
                  <c:v>170</c:v>
                </c:pt>
                <c:pt idx="477">
                  <c:v>100</c:v>
                </c:pt>
                <c:pt idx="478">
                  <c:v>129</c:v>
                </c:pt>
                <c:pt idx="479">
                  <c:v>144</c:v>
                </c:pt>
                <c:pt idx="480">
                  <c:v>200</c:v>
                </c:pt>
                <c:pt idx="481">
                  <c:v>152</c:v>
                </c:pt>
                <c:pt idx="482">
                  <c:v>154</c:v>
                </c:pt>
                <c:pt idx="483">
                  <c:v>166</c:v>
                </c:pt>
                <c:pt idx="484">
                  <c:v>142</c:v>
                </c:pt>
                <c:pt idx="485">
                  <c:v>183</c:v>
                </c:pt>
                <c:pt idx="486">
                  <c:v>151</c:v>
                </c:pt>
                <c:pt idx="487">
                  <c:v>118</c:v>
                </c:pt>
                <c:pt idx="488">
                  <c:v>142</c:v>
                </c:pt>
                <c:pt idx="489">
                  <c:v>158</c:v>
                </c:pt>
                <c:pt idx="490">
                  <c:v>130</c:v>
                </c:pt>
                <c:pt idx="491">
                  <c:v>138</c:v>
                </c:pt>
                <c:pt idx="492">
                  <c:v>76</c:v>
                </c:pt>
                <c:pt idx="493">
                  <c:v>164</c:v>
                </c:pt>
                <c:pt idx="494">
                  <c:v>102</c:v>
                </c:pt>
                <c:pt idx="495">
                  <c:v>113</c:v>
                </c:pt>
                <c:pt idx="496">
                  <c:v>161</c:v>
                </c:pt>
                <c:pt idx="497">
                  <c:v>149</c:v>
                </c:pt>
                <c:pt idx="498">
                  <c:v>184</c:v>
                </c:pt>
                <c:pt idx="499">
                  <c:v>152</c:v>
                </c:pt>
                <c:pt idx="500">
                  <c:v>224</c:v>
                </c:pt>
                <c:pt idx="501">
                  <c:v>193</c:v>
                </c:pt>
                <c:pt idx="502">
                  <c:v>167</c:v>
                </c:pt>
                <c:pt idx="503">
                  <c:v>191</c:v>
                </c:pt>
                <c:pt idx="504">
                  <c:v>181</c:v>
                </c:pt>
                <c:pt idx="505">
                  <c:v>143</c:v>
                </c:pt>
                <c:pt idx="506">
                  <c:v>123</c:v>
                </c:pt>
                <c:pt idx="507">
                  <c:v>168</c:v>
                </c:pt>
                <c:pt idx="508">
                  <c:v>188</c:v>
                </c:pt>
                <c:pt idx="509">
                  <c:v>177</c:v>
                </c:pt>
                <c:pt idx="510">
                  <c:v>173</c:v>
                </c:pt>
                <c:pt idx="511">
                  <c:v>167</c:v>
                </c:pt>
                <c:pt idx="512">
                  <c:v>204</c:v>
                </c:pt>
                <c:pt idx="513">
                  <c:v>148</c:v>
                </c:pt>
                <c:pt idx="514">
                  <c:v>162</c:v>
                </c:pt>
                <c:pt idx="515">
                  <c:v>133</c:v>
                </c:pt>
                <c:pt idx="516">
                  <c:v>134</c:v>
                </c:pt>
                <c:pt idx="517">
                  <c:v>175</c:v>
                </c:pt>
                <c:pt idx="518">
                  <c:v>165</c:v>
                </c:pt>
                <c:pt idx="519">
                  <c:v>144</c:v>
                </c:pt>
                <c:pt idx="520">
                  <c:v>185</c:v>
                </c:pt>
                <c:pt idx="521">
                  <c:v>205</c:v>
                </c:pt>
                <c:pt idx="522">
                  <c:v>180</c:v>
                </c:pt>
                <c:pt idx="523">
                  <c:v>157</c:v>
                </c:pt>
                <c:pt idx="524">
                  <c:v>188</c:v>
                </c:pt>
                <c:pt idx="525">
                  <c:v>178</c:v>
                </c:pt>
                <c:pt idx="526">
                  <c:v>128</c:v>
                </c:pt>
                <c:pt idx="527">
                  <c:v>196</c:v>
                </c:pt>
                <c:pt idx="528">
                  <c:v>151</c:v>
                </c:pt>
                <c:pt idx="529">
                  <c:v>132</c:v>
                </c:pt>
                <c:pt idx="530">
                  <c:v>90</c:v>
                </c:pt>
                <c:pt idx="531">
                  <c:v>181</c:v>
                </c:pt>
                <c:pt idx="532">
                  <c:v>139</c:v>
                </c:pt>
                <c:pt idx="533">
                  <c:v>150</c:v>
                </c:pt>
                <c:pt idx="534">
                  <c:v>84</c:v>
                </c:pt>
                <c:pt idx="535">
                  <c:v>150</c:v>
                </c:pt>
                <c:pt idx="536">
                  <c:v>196</c:v>
                </c:pt>
                <c:pt idx="537">
                  <c:v>125</c:v>
                </c:pt>
                <c:pt idx="538">
                  <c:v>164</c:v>
                </c:pt>
                <c:pt idx="539">
                  <c:v>134</c:v>
                </c:pt>
                <c:pt idx="540">
                  <c:v>139</c:v>
                </c:pt>
                <c:pt idx="541">
                  <c:v>105</c:v>
                </c:pt>
                <c:pt idx="542">
                  <c:v>185</c:v>
                </c:pt>
                <c:pt idx="543">
                  <c:v>138</c:v>
                </c:pt>
                <c:pt idx="544">
                  <c:v>158</c:v>
                </c:pt>
                <c:pt idx="545">
                  <c:v>130</c:v>
                </c:pt>
                <c:pt idx="546">
                  <c:v>162</c:v>
                </c:pt>
                <c:pt idx="547">
                  <c:v>153</c:v>
                </c:pt>
                <c:pt idx="548">
                  <c:v>154</c:v>
                </c:pt>
                <c:pt idx="549">
                  <c:v>152</c:v>
                </c:pt>
                <c:pt idx="550">
                  <c:v>174</c:v>
                </c:pt>
                <c:pt idx="551">
                  <c:v>134</c:v>
                </c:pt>
                <c:pt idx="552">
                  <c:v>170</c:v>
                </c:pt>
                <c:pt idx="553">
                  <c:v>205</c:v>
                </c:pt>
                <c:pt idx="554">
                  <c:v>148</c:v>
                </c:pt>
                <c:pt idx="555">
                  <c:v>139</c:v>
                </c:pt>
                <c:pt idx="556">
                  <c:v>140</c:v>
                </c:pt>
                <c:pt idx="557">
                  <c:v>86</c:v>
                </c:pt>
                <c:pt idx="558">
                  <c:v>169</c:v>
                </c:pt>
                <c:pt idx="559">
                  <c:v>138</c:v>
                </c:pt>
                <c:pt idx="560">
                  <c:v>167</c:v>
                </c:pt>
                <c:pt idx="561">
                  <c:v>234</c:v>
                </c:pt>
                <c:pt idx="562">
                  <c:v>171</c:v>
                </c:pt>
                <c:pt idx="563">
                  <c:v>125</c:v>
                </c:pt>
                <c:pt idx="564">
                  <c:v>181</c:v>
                </c:pt>
                <c:pt idx="565">
                  <c:v>111</c:v>
                </c:pt>
                <c:pt idx="566">
                  <c:v>184</c:v>
                </c:pt>
                <c:pt idx="567">
                  <c:v>180</c:v>
                </c:pt>
                <c:pt idx="568">
                  <c:v>195</c:v>
                </c:pt>
                <c:pt idx="569">
                  <c:v>130</c:v>
                </c:pt>
                <c:pt idx="570">
                  <c:v>168</c:v>
                </c:pt>
                <c:pt idx="571">
                  <c:v>118</c:v>
                </c:pt>
                <c:pt idx="572">
                  <c:v>153</c:v>
                </c:pt>
                <c:pt idx="573">
                  <c:v>142</c:v>
                </c:pt>
                <c:pt idx="574">
                  <c:v>135</c:v>
                </c:pt>
                <c:pt idx="575">
                  <c:v>150</c:v>
                </c:pt>
                <c:pt idx="576">
                  <c:v>179</c:v>
                </c:pt>
                <c:pt idx="577">
                  <c:v>166</c:v>
                </c:pt>
                <c:pt idx="578">
                  <c:v>161</c:v>
                </c:pt>
                <c:pt idx="579">
                  <c:v>152</c:v>
                </c:pt>
                <c:pt idx="580">
                  <c:v>143</c:v>
                </c:pt>
                <c:pt idx="581">
                  <c:v>151</c:v>
                </c:pt>
                <c:pt idx="582">
                  <c:v>184</c:v>
                </c:pt>
                <c:pt idx="583">
                  <c:v>166</c:v>
                </c:pt>
                <c:pt idx="584">
                  <c:v>156</c:v>
                </c:pt>
                <c:pt idx="585">
                  <c:v>132</c:v>
                </c:pt>
                <c:pt idx="586">
                  <c:v>140</c:v>
                </c:pt>
                <c:pt idx="587">
                  <c:v>161</c:v>
                </c:pt>
                <c:pt idx="588">
                  <c:v>163</c:v>
                </c:pt>
                <c:pt idx="589">
                  <c:v>136</c:v>
                </c:pt>
                <c:pt idx="590">
                  <c:v>178</c:v>
                </c:pt>
                <c:pt idx="591">
                  <c:v>190</c:v>
                </c:pt>
                <c:pt idx="592">
                  <c:v>159</c:v>
                </c:pt>
                <c:pt idx="593">
                  <c:v>144</c:v>
                </c:pt>
                <c:pt idx="594">
                  <c:v>117</c:v>
                </c:pt>
                <c:pt idx="595">
                  <c:v>157</c:v>
                </c:pt>
                <c:pt idx="596">
                  <c:v>179</c:v>
                </c:pt>
                <c:pt idx="597">
                  <c:v>150</c:v>
                </c:pt>
                <c:pt idx="598">
                  <c:v>158</c:v>
                </c:pt>
                <c:pt idx="599">
                  <c:v>150</c:v>
                </c:pt>
                <c:pt idx="600">
                  <c:v>222</c:v>
                </c:pt>
                <c:pt idx="601">
                  <c:v>140</c:v>
                </c:pt>
                <c:pt idx="602">
                  <c:v>102</c:v>
                </c:pt>
                <c:pt idx="603">
                  <c:v>127</c:v>
                </c:pt>
                <c:pt idx="604">
                  <c:v>154</c:v>
                </c:pt>
                <c:pt idx="605">
                  <c:v>153</c:v>
                </c:pt>
                <c:pt idx="606">
                  <c:v>154</c:v>
                </c:pt>
                <c:pt idx="607">
                  <c:v>127</c:v>
                </c:pt>
                <c:pt idx="608">
                  <c:v>81</c:v>
                </c:pt>
                <c:pt idx="609">
                  <c:v>168</c:v>
                </c:pt>
                <c:pt idx="610">
                  <c:v>149</c:v>
                </c:pt>
                <c:pt idx="611">
                  <c:v>142</c:v>
                </c:pt>
                <c:pt idx="612">
                  <c:v>126</c:v>
                </c:pt>
                <c:pt idx="613">
                  <c:v>145</c:v>
                </c:pt>
                <c:pt idx="614">
                  <c:v>161</c:v>
                </c:pt>
                <c:pt idx="615">
                  <c:v>138</c:v>
                </c:pt>
                <c:pt idx="616">
                  <c:v>111</c:v>
                </c:pt>
                <c:pt idx="617">
                  <c:v>184</c:v>
                </c:pt>
                <c:pt idx="618">
                  <c:v>111</c:v>
                </c:pt>
                <c:pt idx="619">
                  <c:v>136</c:v>
                </c:pt>
                <c:pt idx="620">
                  <c:v>96</c:v>
                </c:pt>
                <c:pt idx="621">
                  <c:v>196</c:v>
                </c:pt>
                <c:pt idx="622">
                  <c:v>126</c:v>
                </c:pt>
                <c:pt idx="623">
                  <c:v>109</c:v>
                </c:pt>
                <c:pt idx="624">
                  <c:v>145</c:v>
                </c:pt>
                <c:pt idx="625">
                  <c:v>167</c:v>
                </c:pt>
                <c:pt idx="626">
                  <c:v>178</c:v>
                </c:pt>
                <c:pt idx="627">
                  <c:v>170</c:v>
                </c:pt>
                <c:pt idx="628">
                  <c:v>165</c:v>
                </c:pt>
                <c:pt idx="629">
                  <c:v>218</c:v>
                </c:pt>
                <c:pt idx="630">
                  <c:v>176</c:v>
                </c:pt>
                <c:pt idx="631">
                  <c:v>80</c:v>
                </c:pt>
                <c:pt idx="632">
                  <c:v>120</c:v>
                </c:pt>
                <c:pt idx="633">
                  <c:v>116</c:v>
                </c:pt>
                <c:pt idx="634">
                  <c:v>139</c:v>
                </c:pt>
                <c:pt idx="635">
                  <c:v>163</c:v>
                </c:pt>
                <c:pt idx="636">
                  <c:v>178</c:v>
                </c:pt>
                <c:pt idx="637">
                  <c:v>155</c:v>
                </c:pt>
                <c:pt idx="638">
                  <c:v>177</c:v>
                </c:pt>
                <c:pt idx="639">
                  <c:v>152</c:v>
                </c:pt>
                <c:pt idx="640">
                  <c:v>131</c:v>
                </c:pt>
                <c:pt idx="641">
                  <c:v>59</c:v>
                </c:pt>
                <c:pt idx="642">
                  <c:v>148</c:v>
                </c:pt>
                <c:pt idx="643">
                  <c:v>201</c:v>
                </c:pt>
                <c:pt idx="644">
                  <c:v>186</c:v>
                </c:pt>
                <c:pt idx="645">
                  <c:v>191</c:v>
                </c:pt>
                <c:pt idx="646">
                  <c:v>166</c:v>
                </c:pt>
                <c:pt idx="647">
                  <c:v>187</c:v>
                </c:pt>
                <c:pt idx="648">
                  <c:v>143</c:v>
                </c:pt>
                <c:pt idx="649">
                  <c:v>113</c:v>
                </c:pt>
                <c:pt idx="650">
                  <c:v>106</c:v>
                </c:pt>
                <c:pt idx="651">
                  <c:v>194</c:v>
                </c:pt>
                <c:pt idx="652">
                  <c:v>216</c:v>
                </c:pt>
                <c:pt idx="653">
                  <c:v>122</c:v>
                </c:pt>
                <c:pt idx="654">
                  <c:v>159</c:v>
                </c:pt>
                <c:pt idx="655">
                  <c:v>147</c:v>
                </c:pt>
                <c:pt idx="656">
                  <c:v>100</c:v>
                </c:pt>
                <c:pt idx="657">
                  <c:v>205</c:v>
                </c:pt>
                <c:pt idx="658">
                  <c:v>170</c:v>
                </c:pt>
                <c:pt idx="659">
                  <c:v>164</c:v>
                </c:pt>
                <c:pt idx="660">
                  <c:v>114</c:v>
                </c:pt>
                <c:pt idx="661">
                  <c:v>113</c:v>
                </c:pt>
                <c:pt idx="662">
                  <c:v>186</c:v>
                </c:pt>
                <c:pt idx="663">
                  <c:v>146</c:v>
                </c:pt>
                <c:pt idx="664">
                  <c:v>157</c:v>
                </c:pt>
                <c:pt idx="665">
                  <c:v>161</c:v>
                </c:pt>
                <c:pt idx="666">
                  <c:v>204</c:v>
                </c:pt>
                <c:pt idx="667">
                  <c:v>137</c:v>
                </c:pt>
                <c:pt idx="668">
                  <c:v>171</c:v>
                </c:pt>
                <c:pt idx="669">
                  <c:v>134</c:v>
                </c:pt>
                <c:pt idx="670">
                  <c:v>190</c:v>
                </c:pt>
                <c:pt idx="671">
                  <c:v>112</c:v>
                </c:pt>
                <c:pt idx="672">
                  <c:v>150</c:v>
                </c:pt>
                <c:pt idx="673">
                  <c:v>110</c:v>
                </c:pt>
                <c:pt idx="674">
                  <c:v>130</c:v>
                </c:pt>
                <c:pt idx="675">
                  <c:v>167</c:v>
                </c:pt>
                <c:pt idx="676">
                  <c:v>160</c:v>
                </c:pt>
              </c:numCache>
            </c:numRef>
          </c:yVal>
          <c:smooth val="0"/>
          <c:extLst>
            <c:ext xmlns:c16="http://schemas.microsoft.com/office/drawing/2014/chart" uri="{C3380CC4-5D6E-409C-BE32-E72D297353CC}">
              <c16:uniqueId val="{00000001-3300-491A-BFDB-EA1947F93CB8}"/>
            </c:ext>
          </c:extLst>
        </c:ser>
        <c:dLbls>
          <c:showLegendKey val="0"/>
          <c:showVal val="0"/>
          <c:showCatName val="0"/>
          <c:showSerName val="0"/>
          <c:showPercent val="0"/>
          <c:showBubbleSize val="0"/>
        </c:dLbls>
        <c:axId val="1413299536"/>
        <c:axId val="1468952112"/>
      </c:scatterChart>
      <c:valAx>
        <c:axId val="141329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468952112"/>
        <c:crosses val="autoZero"/>
        <c:crossBetween val="midCat"/>
      </c:valAx>
      <c:valAx>
        <c:axId val="146895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413299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青果物：商品単価</a:t>
            </a:r>
            <a:r>
              <a:rPr lang="en-US" altLang="ja-JP"/>
              <a:t> - </a:t>
            </a:r>
            <a:r>
              <a:rPr lang="ja-JP" altLang="en-US"/>
              <a:t>売上個数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'[3]chap7-2_初期状態'!$F$1</c:f>
              <c:strCache>
                <c:ptCount val="1"/>
                <c:pt idx="0">
                  <c:v>売上個数</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2"/>
            <c:dispRSqr val="1"/>
            <c:dispEq val="1"/>
            <c:trendlineLbl>
              <c:layout>
                <c:manualLayout>
                  <c:x val="-0.57346235813454494"/>
                  <c:y val="-0.268666248229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'[3]chap7-2_初期状態'!$D$2:$D$136</c:f>
              <c:numCache>
                <c:formatCode>General</c:formatCode>
                <c:ptCount val="135"/>
                <c:pt idx="0">
                  <c:v>126</c:v>
                </c:pt>
                <c:pt idx="1">
                  <c:v>167</c:v>
                </c:pt>
                <c:pt idx="2">
                  <c:v>177</c:v>
                </c:pt>
                <c:pt idx="3">
                  <c:v>112</c:v>
                </c:pt>
                <c:pt idx="4">
                  <c:v>191</c:v>
                </c:pt>
                <c:pt idx="5">
                  <c:v>127</c:v>
                </c:pt>
                <c:pt idx="6">
                  <c:v>176</c:v>
                </c:pt>
                <c:pt idx="7">
                  <c:v>192</c:v>
                </c:pt>
                <c:pt idx="8">
                  <c:v>103</c:v>
                </c:pt>
                <c:pt idx="9">
                  <c:v>168</c:v>
                </c:pt>
                <c:pt idx="10">
                  <c:v>177</c:v>
                </c:pt>
                <c:pt idx="11">
                  <c:v>177</c:v>
                </c:pt>
                <c:pt idx="12">
                  <c:v>198</c:v>
                </c:pt>
                <c:pt idx="13">
                  <c:v>134</c:v>
                </c:pt>
                <c:pt idx="14">
                  <c:v>154</c:v>
                </c:pt>
                <c:pt idx="15">
                  <c:v>104</c:v>
                </c:pt>
                <c:pt idx="16">
                  <c:v>178</c:v>
                </c:pt>
                <c:pt idx="17">
                  <c:v>142</c:v>
                </c:pt>
                <c:pt idx="18">
                  <c:v>156</c:v>
                </c:pt>
                <c:pt idx="19">
                  <c:v>116</c:v>
                </c:pt>
                <c:pt idx="20">
                  <c:v>182</c:v>
                </c:pt>
                <c:pt idx="21">
                  <c:v>109</c:v>
                </c:pt>
                <c:pt idx="22">
                  <c:v>164</c:v>
                </c:pt>
                <c:pt idx="23">
                  <c:v>130</c:v>
                </c:pt>
                <c:pt idx="24">
                  <c:v>115</c:v>
                </c:pt>
                <c:pt idx="25">
                  <c:v>136</c:v>
                </c:pt>
                <c:pt idx="26">
                  <c:v>102</c:v>
                </c:pt>
                <c:pt idx="27">
                  <c:v>142</c:v>
                </c:pt>
                <c:pt idx="28">
                  <c:v>141</c:v>
                </c:pt>
                <c:pt idx="29">
                  <c:v>164</c:v>
                </c:pt>
                <c:pt idx="30">
                  <c:v>179</c:v>
                </c:pt>
                <c:pt idx="31">
                  <c:v>130</c:v>
                </c:pt>
                <c:pt idx="32">
                  <c:v>140</c:v>
                </c:pt>
                <c:pt idx="33">
                  <c:v>177</c:v>
                </c:pt>
                <c:pt idx="34">
                  <c:v>176</c:v>
                </c:pt>
                <c:pt idx="35">
                  <c:v>152</c:v>
                </c:pt>
                <c:pt idx="36">
                  <c:v>72</c:v>
                </c:pt>
                <c:pt idx="37">
                  <c:v>104</c:v>
                </c:pt>
                <c:pt idx="38">
                  <c:v>198</c:v>
                </c:pt>
                <c:pt idx="39">
                  <c:v>145</c:v>
                </c:pt>
                <c:pt idx="40">
                  <c:v>120</c:v>
                </c:pt>
                <c:pt idx="41">
                  <c:v>194</c:v>
                </c:pt>
                <c:pt idx="42">
                  <c:v>119</c:v>
                </c:pt>
                <c:pt idx="43">
                  <c:v>140</c:v>
                </c:pt>
                <c:pt idx="44">
                  <c:v>110</c:v>
                </c:pt>
                <c:pt idx="45">
                  <c:v>124</c:v>
                </c:pt>
                <c:pt idx="46">
                  <c:v>176</c:v>
                </c:pt>
                <c:pt idx="47">
                  <c:v>135</c:v>
                </c:pt>
                <c:pt idx="48">
                  <c:v>138</c:v>
                </c:pt>
                <c:pt idx="49">
                  <c:v>146</c:v>
                </c:pt>
                <c:pt idx="50">
                  <c:v>188</c:v>
                </c:pt>
                <c:pt idx="51">
                  <c:v>114</c:v>
                </c:pt>
                <c:pt idx="52">
                  <c:v>148</c:v>
                </c:pt>
                <c:pt idx="53">
                  <c:v>115</c:v>
                </c:pt>
                <c:pt idx="54">
                  <c:v>222</c:v>
                </c:pt>
                <c:pt idx="55">
                  <c:v>172</c:v>
                </c:pt>
                <c:pt idx="56">
                  <c:v>126</c:v>
                </c:pt>
                <c:pt idx="57">
                  <c:v>169</c:v>
                </c:pt>
                <c:pt idx="58">
                  <c:v>172</c:v>
                </c:pt>
                <c:pt idx="59">
                  <c:v>162</c:v>
                </c:pt>
                <c:pt idx="60">
                  <c:v>130</c:v>
                </c:pt>
                <c:pt idx="61">
                  <c:v>76</c:v>
                </c:pt>
                <c:pt idx="62">
                  <c:v>134</c:v>
                </c:pt>
                <c:pt idx="63">
                  <c:v>130</c:v>
                </c:pt>
                <c:pt idx="64">
                  <c:v>135</c:v>
                </c:pt>
                <c:pt idx="65">
                  <c:v>108</c:v>
                </c:pt>
                <c:pt idx="66">
                  <c:v>102</c:v>
                </c:pt>
                <c:pt idx="67">
                  <c:v>223</c:v>
                </c:pt>
                <c:pt idx="68">
                  <c:v>102</c:v>
                </c:pt>
                <c:pt idx="69">
                  <c:v>148</c:v>
                </c:pt>
                <c:pt idx="70">
                  <c:v>92</c:v>
                </c:pt>
                <c:pt idx="71">
                  <c:v>165</c:v>
                </c:pt>
                <c:pt idx="72">
                  <c:v>150</c:v>
                </c:pt>
                <c:pt idx="73">
                  <c:v>146</c:v>
                </c:pt>
                <c:pt idx="74">
                  <c:v>94</c:v>
                </c:pt>
                <c:pt idx="75">
                  <c:v>152</c:v>
                </c:pt>
                <c:pt idx="76">
                  <c:v>126</c:v>
                </c:pt>
                <c:pt idx="77">
                  <c:v>166</c:v>
                </c:pt>
                <c:pt idx="78">
                  <c:v>186</c:v>
                </c:pt>
                <c:pt idx="79">
                  <c:v>97</c:v>
                </c:pt>
                <c:pt idx="80">
                  <c:v>180</c:v>
                </c:pt>
                <c:pt idx="81">
                  <c:v>171</c:v>
                </c:pt>
                <c:pt idx="82">
                  <c:v>156</c:v>
                </c:pt>
                <c:pt idx="83">
                  <c:v>187</c:v>
                </c:pt>
                <c:pt idx="84">
                  <c:v>193</c:v>
                </c:pt>
                <c:pt idx="85">
                  <c:v>146</c:v>
                </c:pt>
                <c:pt idx="86">
                  <c:v>170</c:v>
                </c:pt>
                <c:pt idx="87">
                  <c:v>172</c:v>
                </c:pt>
                <c:pt idx="88">
                  <c:v>152</c:v>
                </c:pt>
                <c:pt idx="89">
                  <c:v>196</c:v>
                </c:pt>
                <c:pt idx="90">
                  <c:v>169</c:v>
                </c:pt>
                <c:pt idx="91">
                  <c:v>168</c:v>
                </c:pt>
                <c:pt idx="92">
                  <c:v>103</c:v>
                </c:pt>
                <c:pt idx="93">
                  <c:v>173</c:v>
                </c:pt>
                <c:pt idx="94">
                  <c:v>127</c:v>
                </c:pt>
                <c:pt idx="95">
                  <c:v>101</c:v>
                </c:pt>
                <c:pt idx="96">
                  <c:v>113</c:v>
                </c:pt>
                <c:pt idx="97">
                  <c:v>162</c:v>
                </c:pt>
                <c:pt idx="98">
                  <c:v>144</c:v>
                </c:pt>
                <c:pt idx="99">
                  <c:v>126</c:v>
                </c:pt>
                <c:pt idx="100">
                  <c:v>226</c:v>
                </c:pt>
                <c:pt idx="101">
                  <c:v>176</c:v>
                </c:pt>
                <c:pt idx="102">
                  <c:v>184</c:v>
                </c:pt>
                <c:pt idx="103">
                  <c:v>137</c:v>
                </c:pt>
                <c:pt idx="104">
                  <c:v>138</c:v>
                </c:pt>
                <c:pt idx="105">
                  <c:v>133</c:v>
                </c:pt>
                <c:pt idx="106">
                  <c:v>159</c:v>
                </c:pt>
                <c:pt idx="107">
                  <c:v>129</c:v>
                </c:pt>
                <c:pt idx="108">
                  <c:v>154</c:v>
                </c:pt>
                <c:pt idx="109">
                  <c:v>166</c:v>
                </c:pt>
                <c:pt idx="110">
                  <c:v>142</c:v>
                </c:pt>
                <c:pt idx="111">
                  <c:v>158</c:v>
                </c:pt>
                <c:pt idx="112">
                  <c:v>113</c:v>
                </c:pt>
                <c:pt idx="113">
                  <c:v>161</c:v>
                </c:pt>
                <c:pt idx="114">
                  <c:v>191</c:v>
                </c:pt>
                <c:pt idx="115">
                  <c:v>204</c:v>
                </c:pt>
                <c:pt idx="116">
                  <c:v>148</c:v>
                </c:pt>
                <c:pt idx="117">
                  <c:v>175</c:v>
                </c:pt>
                <c:pt idx="118">
                  <c:v>180</c:v>
                </c:pt>
                <c:pt idx="119">
                  <c:v>196</c:v>
                </c:pt>
                <c:pt idx="120">
                  <c:v>139</c:v>
                </c:pt>
                <c:pt idx="121">
                  <c:v>164</c:v>
                </c:pt>
                <c:pt idx="122">
                  <c:v>130</c:v>
                </c:pt>
                <c:pt idx="123">
                  <c:v>148</c:v>
                </c:pt>
                <c:pt idx="124">
                  <c:v>167</c:v>
                </c:pt>
                <c:pt idx="125">
                  <c:v>180</c:v>
                </c:pt>
                <c:pt idx="126">
                  <c:v>195</c:v>
                </c:pt>
                <c:pt idx="127">
                  <c:v>118</c:v>
                </c:pt>
                <c:pt idx="128">
                  <c:v>153</c:v>
                </c:pt>
                <c:pt idx="129">
                  <c:v>166</c:v>
                </c:pt>
                <c:pt idx="130">
                  <c:v>161</c:v>
                </c:pt>
                <c:pt idx="131">
                  <c:v>166</c:v>
                </c:pt>
                <c:pt idx="132">
                  <c:v>178</c:v>
                </c:pt>
                <c:pt idx="133">
                  <c:v>157</c:v>
                </c:pt>
                <c:pt idx="134">
                  <c:v>179</c:v>
                </c:pt>
              </c:numCache>
            </c:numRef>
          </c:xVal>
          <c:yVal>
            <c:numRef>
              <c:f>'[3]chap7-2_初期状態'!$F$2:$F$136</c:f>
              <c:numCache>
                <c:formatCode>General</c:formatCode>
                <c:ptCount val="135"/>
                <c:pt idx="0">
                  <c:v>36</c:v>
                </c:pt>
                <c:pt idx="1">
                  <c:v>24</c:v>
                </c:pt>
                <c:pt idx="2">
                  <c:v>25</c:v>
                </c:pt>
                <c:pt idx="3">
                  <c:v>30</c:v>
                </c:pt>
                <c:pt idx="4">
                  <c:v>24</c:v>
                </c:pt>
                <c:pt idx="5">
                  <c:v>36</c:v>
                </c:pt>
                <c:pt idx="6">
                  <c:v>19</c:v>
                </c:pt>
                <c:pt idx="7">
                  <c:v>27</c:v>
                </c:pt>
                <c:pt idx="8">
                  <c:v>42</c:v>
                </c:pt>
                <c:pt idx="9">
                  <c:v>33</c:v>
                </c:pt>
                <c:pt idx="10">
                  <c:v>24</c:v>
                </c:pt>
                <c:pt idx="11">
                  <c:v>31</c:v>
                </c:pt>
                <c:pt idx="12">
                  <c:v>21</c:v>
                </c:pt>
                <c:pt idx="13">
                  <c:v>26</c:v>
                </c:pt>
                <c:pt idx="14">
                  <c:v>37</c:v>
                </c:pt>
                <c:pt idx="15">
                  <c:v>46</c:v>
                </c:pt>
                <c:pt idx="16">
                  <c:v>20</c:v>
                </c:pt>
                <c:pt idx="17">
                  <c:v>11</c:v>
                </c:pt>
                <c:pt idx="18">
                  <c:v>33</c:v>
                </c:pt>
                <c:pt idx="19">
                  <c:v>42</c:v>
                </c:pt>
                <c:pt idx="20">
                  <c:v>30</c:v>
                </c:pt>
                <c:pt idx="21">
                  <c:v>39</c:v>
                </c:pt>
                <c:pt idx="22">
                  <c:v>15</c:v>
                </c:pt>
                <c:pt idx="23">
                  <c:v>33</c:v>
                </c:pt>
                <c:pt idx="24">
                  <c:v>25</c:v>
                </c:pt>
                <c:pt idx="25">
                  <c:v>23</c:v>
                </c:pt>
                <c:pt idx="26">
                  <c:v>36</c:v>
                </c:pt>
                <c:pt idx="27">
                  <c:v>32</c:v>
                </c:pt>
                <c:pt idx="28">
                  <c:v>12</c:v>
                </c:pt>
                <c:pt idx="29">
                  <c:v>32</c:v>
                </c:pt>
                <c:pt idx="30">
                  <c:v>23</c:v>
                </c:pt>
                <c:pt idx="31">
                  <c:v>36</c:v>
                </c:pt>
                <c:pt idx="32">
                  <c:v>41</c:v>
                </c:pt>
                <c:pt idx="33">
                  <c:v>20</c:v>
                </c:pt>
                <c:pt idx="34">
                  <c:v>24</c:v>
                </c:pt>
                <c:pt idx="35">
                  <c:v>43</c:v>
                </c:pt>
                <c:pt idx="36">
                  <c:v>50</c:v>
                </c:pt>
                <c:pt idx="37">
                  <c:v>35</c:v>
                </c:pt>
                <c:pt idx="38">
                  <c:v>22</c:v>
                </c:pt>
                <c:pt idx="39">
                  <c:v>22</c:v>
                </c:pt>
                <c:pt idx="40">
                  <c:v>41</c:v>
                </c:pt>
                <c:pt idx="41">
                  <c:v>20</c:v>
                </c:pt>
                <c:pt idx="42">
                  <c:v>38</c:v>
                </c:pt>
                <c:pt idx="43">
                  <c:v>20</c:v>
                </c:pt>
                <c:pt idx="44">
                  <c:v>38</c:v>
                </c:pt>
                <c:pt idx="45">
                  <c:v>25</c:v>
                </c:pt>
                <c:pt idx="46">
                  <c:v>22</c:v>
                </c:pt>
                <c:pt idx="47">
                  <c:v>27</c:v>
                </c:pt>
                <c:pt idx="48">
                  <c:v>26</c:v>
                </c:pt>
                <c:pt idx="49">
                  <c:v>32</c:v>
                </c:pt>
                <c:pt idx="50">
                  <c:v>16</c:v>
                </c:pt>
                <c:pt idx="51">
                  <c:v>40</c:v>
                </c:pt>
                <c:pt idx="52">
                  <c:v>33</c:v>
                </c:pt>
                <c:pt idx="53">
                  <c:v>35</c:v>
                </c:pt>
                <c:pt idx="54">
                  <c:v>13</c:v>
                </c:pt>
                <c:pt idx="55">
                  <c:v>11</c:v>
                </c:pt>
                <c:pt idx="56">
                  <c:v>35</c:v>
                </c:pt>
                <c:pt idx="57">
                  <c:v>24</c:v>
                </c:pt>
                <c:pt idx="58">
                  <c:v>26</c:v>
                </c:pt>
                <c:pt idx="59">
                  <c:v>26</c:v>
                </c:pt>
                <c:pt idx="60">
                  <c:v>39</c:v>
                </c:pt>
                <c:pt idx="61">
                  <c:v>46</c:v>
                </c:pt>
                <c:pt idx="62">
                  <c:v>24</c:v>
                </c:pt>
                <c:pt idx="63">
                  <c:v>19</c:v>
                </c:pt>
                <c:pt idx="64">
                  <c:v>29</c:v>
                </c:pt>
                <c:pt idx="65">
                  <c:v>34</c:v>
                </c:pt>
                <c:pt idx="66">
                  <c:v>33</c:v>
                </c:pt>
                <c:pt idx="67">
                  <c:v>7</c:v>
                </c:pt>
                <c:pt idx="68">
                  <c:v>36</c:v>
                </c:pt>
                <c:pt idx="69">
                  <c:v>49</c:v>
                </c:pt>
                <c:pt idx="70">
                  <c:v>37</c:v>
                </c:pt>
                <c:pt idx="71">
                  <c:v>10</c:v>
                </c:pt>
                <c:pt idx="72">
                  <c:v>24</c:v>
                </c:pt>
                <c:pt idx="73">
                  <c:v>25</c:v>
                </c:pt>
                <c:pt idx="74">
                  <c:v>44</c:v>
                </c:pt>
                <c:pt idx="75">
                  <c:v>18</c:v>
                </c:pt>
                <c:pt idx="76">
                  <c:v>41</c:v>
                </c:pt>
                <c:pt idx="77">
                  <c:v>21</c:v>
                </c:pt>
                <c:pt idx="78">
                  <c:v>27</c:v>
                </c:pt>
                <c:pt idx="79">
                  <c:v>34</c:v>
                </c:pt>
                <c:pt idx="80">
                  <c:v>11</c:v>
                </c:pt>
                <c:pt idx="81">
                  <c:v>27</c:v>
                </c:pt>
                <c:pt idx="82">
                  <c:v>36</c:v>
                </c:pt>
                <c:pt idx="83">
                  <c:v>17</c:v>
                </c:pt>
                <c:pt idx="84">
                  <c:v>14</c:v>
                </c:pt>
                <c:pt idx="85">
                  <c:v>30</c:v>
                </c:pt>
                <c:pt idx="86">
                  <c:v>27</c:v>
                </c:pt>
                <c:pt idx="87">
                  <c:v>37</c:v>
                </c:pt>
                <c:pt idx="88">
                  <c:v>28</c:v>
                </c:pt>
                <c:pt idx="89">
                  <c:v>28</c:v>
                </c:pt>
                <c:pt idx="90">
                  <c:v>20</c:v>
                </c:pt>
                <c:pt idx="91">
                  <c:v>25</c:v>
                </c:pt>
                <c:pt idx="92">
                  <c:v>31</c:v>
                </c:pt>
                <c:pt idx="93">
                  <c:v>26</c:v>
                </c:pt>
                <c:pt idx="94">
                  <c:v>43</c:v>
                </c:pt>
                <c:pt idx="95">
                  <c:v>36</c:v>
                </c:pt>
                <c:pt idx="96">
                  <c:v>38</c:v>
                </c:pt>
                <c:pt idx="97">
                  <c:v>28</c:v>
                </c:pt>
                <c:pt idx="98">
                  <c:v>27</c:v>
                </c:pt>
                <c:pt idx="99">
                  <c:v>36</c:v>
                </c:pt>
                <c:pt idx="100">
                  <c:v>9</c:v>
                </c:pt>
                <c:pt idx="101">
                  <c:v>19</c:v>
                </c:pt>
                <c:pt idx="102">
                  <c:v>35</c:v>
                </c:pt>
                <c:pt idx="103">
                  <c:v>43</c:v>
                </c:pt>
                <c:pt idx="104">
                  <c:v>28</c:v>
                </c:pt>
                <c:pt idx="105">
                  <c:v>17</c:v>
                </c:pt>
                <c:pt idx="106">
                  <c:v>21</c:v>
                </c:pt>
                <c:pt idx="107">
                  <c:v>19</c:v>
                </c:pt>
                <c:pt idx="108">
                  <c:v>27</c:v>
                </c:pt>
                <c:pt idx="109">
                  <c:v>13</c:v>
                </c:pt>
                <c:pt idx="110">
                  <c:v>22</c:v>
                </c:pt>
                <c:pt idx="111">
                  <c:v>17</c:v>
                </c:pt>
                <c:pt idx="112">
                  <c:v>40</c:v>
                </c:pt>
                <c:pt idx="113">
                  <c:v>19</c:v>
                </c:pt>
                <c:pt idx="114">
                  <c:v>19</c:v>
                </c:pt>
                <c:pt idx="115">
                  <c:v>22</c:v>
                </c:pt>
                <c:pt idx="116">
                  <c:v>39</c:v>
                </c:pt>
                <c:pt idx="117">
                  <c:v>24</c:v>
                </c:pt>
                <c:pt idx="118">
                  <c:v>30</c:v>
                </c:pt>
                <c:pt idx="119">
                  <c:v>23</c:v>
                </c:pt>
                <c:pt idx="120">
                  <c:v>23</c:v>
                </c:pt>
                <c:pt idx="121">
                  <c:v>34</c:v>
                </c:pt>
                <c:pt idx="122">
                  <c:v>19</c:v>
                </c:pt>
                <c:pt idx="123">
                  <c:v>30</c:v>
                </c:pt>
                <c:pt idx="124">
                  <c:v>30</c:v>
                </c:pt>
                <c:pt idx="125">
                  <c:v>36</c:v>
                </c:pt>
                <c:pt idx="126">
                  <c:v>22</c:v>
                </c:pt>
                <c:pt idx="127">
                  <c:v>28</c:v>
                </c:pt>
                <c:pt idx="128">
                  <c:v>15</c:v>
                </c:pt>
                <c:pt idx="129">
                  <c:v>27</c:v>
                </c:pt>
                <c:pt idx="130">
                  <c:v>45</c:v>
                </c:pt>
                <c:pt idx="131">
                  <c:v>30</c:v>
                </c:pt>
                <c:pt idx="132">
                  <c:v>34</c:v>
                </c:pt>
                <c:pt idx="133">
                  <c:v>28</c:v>
                </c:pt>
                <c:pt idx="134">
                  <c:v>19</c:v>
                </c:pt>
              </c:numCache>
            </c:numRef>
          </c:yVal>
          <c:smooth val="0"/>
          <c:extLst>
            <c:ext xmlns:c16="http://schemas.microsoft.com/office/drawing/2014/chart" uri="{C3380CC4-5D6E-409C-BE32-E72D297353CC}">
              <c16:uniqueId val="{00000001-FD8F-4950-987F-780F07626B2C}"/>
            </c:ext>
          </c:extLst>
        </c:ser>
        <c:dLbls>
          <c:showLegendKey val="0"/>
          <c:showVal val="0"/>
          <c:showCatName val="0"/>
          <c:showSerName val="0"/>
          <c:showPercent val="0"/>
          <c:showBubbleSize val="0"/>
        </c:dLbls>
        <c:axId val="1387946608"/>
        <c:axId val="1474455440"/>
      </c:scatterChart>
      <c:valAx>
        <c:axId val="138794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474455440"/>
        <c:crosses val="autoZero"/>
        <c:crossBetween val="midCat"/>
      </c:valAx>
      <c:valAx>
        <c:axId val="147445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87946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5C489651-907A-4ABF-9FD1-D955239B13FA}">
          <cx:tx>
            <cx:txData>
              <cx:f>_xlchart.v1.0</cx:f>
              <cx:v>売上個数</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clusteredColumn" uniqueId="{87105AFF-D3BA-4E5F-9BF2-C141EDB31766}">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50" charset="-128"/>
              </a:rPr>
              <a:t>重量</a:t>
            </a:r>
            <a:r>
              <a:rPr lang="en-US" altLang="ja-JP" sz="1400" b="0" i="0" u="none" strike="noStrike" baseline="0">
                <a:solidFill>
                  <a:sysClr val="windowText" lastClr="000000">
                    <a:lumMod val="65000"/>
                    <a:lumOff val="35000"/>
                  </a:sysClr>
                </a:solidFill>
                <a:latin typeface="Calibri" panose="020F0502020204030204"/>
                <a:ea typeface="游ゴシック" panose="020B0400000000000000" pitchFamily="50" charset="-128"/>
              </a:rPr>
              <a:t> - </a:t>
            </a:r>
            <a:r>
              <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50" charset="-128"/>
              </a:rPr>
              <a:t>ヒストグラム</a:t>
            </a:r>
          </a:p>
        </cx:rich>
      </cx:tx>
    </cx:title>
    <cx:plotArea>
      <cx:plotAreaRegion>
        <cx:series layoutId="clusteredColumn" uniqueId="{732E5951-13C5-4756-B095-FB624753DF6A}">
          <cx:tx>
            <cx:txData>
              <cx:f>_xlchart.v1.3</cx:f>
              <cx:v>重量</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34" charset="-128"/>
              </a:rPr>
              <a:t>仕入単価</a:t>
            </a:r>
            <a:r>
              <a:rPr lang="en-US" altLang="ja-JP" sz="1400" b="0" i="0" u="none" strike="noStrike" baseline="0">
                <a:solidFill>
                  <a:sysClr val="windowText" lastClr="000000">
                    <a:lumMod val="65000"/>
                    <a:lumOff val="35000"/>
                  </a:sysClr>
                </a:solidFill>
                <a:latin typeface="Calibri" panose="020F0502020204030204"/>
                <a:ea typeface="游ゴシック" panose="020B0400000000000000" pitchFamily="34" charset="-128"/>
              </a:rPr>
              <a:t> - </a:t>
            </a:r>
            <a:r>
              <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34" charset="-128"/>
              </a:rPr>
              <a:t>ヒストグラム</a:t>
            </a:r>
          </a:p>
        </cx:rich>
      </cx:tx>
    </cx:title>
    <cx:plotArea>
      <cx:plotAreaRegion>
        <cx:series layoutId="clusteredColumn" uniqueId="{A1A1D666-DCB1-1C4E-BD98-BBC51699562E}">
          <cx:tx>
            <cx:txData>
              <cx:f>_xlchart.v1.5</cx:f>
              <cx:v>仕入単価</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34" charset="-128"/>
              </a:rPr>
              <a:t>商品単価</a:t>
            </a:r>
            <a:r>
              <a:rPr lang="en-US" altLang="ja-JP" sz="1400" b="0" i="0" u="none" strike="noStrike" baseline="0">
                <a:solidFill>
                  <a:sysClr val="windowText" lastClr="000000">
                    <a:lumMod val="65000"/>
                    <a:lumOff val="35000"/>
                  </a:sysClr>
                </a:solidFill>
                <a:latin typeface="Calibri" panose="020F0502020204030204"/>
                <a:ea typeface="游ゴシック" panose="020B0400000000000000" pitchFamily="34" charset="-128"/>
              </a:rPr>
              <a:t> - </a:t>
            </a:r>
            <a:r>
              <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34" charset="-128"/>
              </a:rPr>
              <a:t>ヒストグラム</a:t>
            </a:r>
          </a:p>
        </cx:rich>
      </cx:tx>
    </cx:title>
    <cx:plotArea>
      <cx:plotAreaRegion>
        <cx:series layoutId="clusteredColumn" uniqueId="{5088FFCE-9D20-8E46-A671-24A9E8B4D839}">
          <cx:tx>
            <cx:txData>
              <cx:f>_xlchart.v1.7</cx:f>
              <cx:v>商品単価</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166687</xdr:colOff>
      <xdr:row>8</xdr:row>
      <xdr:rowOff>104775</xdr:rowOff>
    </xdr:from>
    <xdr:to>
      <xdr:col>14</xdr:col>
      <xdr:colOff>623887</xdr:colOff>
      <xdr:row>19</xdr:row>
      <xdr:rowOff>123825</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3AB08DB4-E5C9-0E27-6F4B-EAE62CEF43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53087" y="2085975"/>
              <a:ext cx="4572000" cy="2743200"/>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twoCellAnchor>
    <xdr:from>
      <xdr:col>8</xdr:col>
      <xdr:colOff>261937</xdr:colOff>
      <xdr:row>22</xdr:row>
      <xdr:rowOff>134356</xdr:rowOff>
    </xdr:from>
    <xdr:to>
      <xdr:col>15</xdr:col>
      <xdr:colOff>33337</xdr:colOff>
      <xdr:row>33</xdr:row>
      <xdr:rowOff>208544</xdr:rowOff>
    </xdr:to>
    <mc:AlternateContent xmlns:mc="http://schemas.openxmlformats.org/markup-compatibility/2006">
      <mc:Choice xmlns:cx1="http://schemas.microsoft.com/office/drawing/2015/9/8/chartex" Requires="cx1">
        <xdr:graphicFrame macro="">
          <xdr:nvGraphicFramePr>
            <xdr:cNvPr id="4" name="グラフ 3">
              <a:extLst>
                <a:ext uri="{FF2B5EF4-FFF2-40B4-BE49-F238E27FC236}">
                  <a16:creationId xmlns:a16="http://schemas.microsoft.com/office/drawing/2014/main" id="{A3E3EC2E-9745-1017-8E8E-036C803CE4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48337" y="5582656"/>
              <a:ext cx="4572000" cy="2798338"/>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652462</xdr:colOff>
      <xdr:row>8</xdr:row>
      <xdr:rowOff>180975</xdr:rowOff>
    </xdr:from>
    <xdr:to>
      <xdr:col>8</xdr:col>
      <xdr:colOff>1042987</xdr:colOff>
      <xdr:row>20</xdr:row>
      <xdr:rowOff>66675</xdr:rowOff>
    </xdr:to>
    <xdr:graphicFrame macro="">
      <xdr:nvGraphicFramePr>
        <xdr:cNvPr id="2" name="グラフ 1">
          <a:extLst>
            <a:ext uri="{FF2B5EF4-FFF2-40B4-BE49-F238E27FC236}">
              <a16:creationId xmlns:a16="http://schemas.microsoft.com/office/drawing/2014/main" id="{E9E5739B-682B-AC25-3D5F-524A501A7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414337</xdr:colOff>
      <xdr:row>662</xdr:row>
      <xdr:rowOff>180975</xdr:rowOff>
    </xdr:from>
    <xdr:to>
      <xdr:col>11</xdr:col>
      <xdr:colOff>319087</xdr:colOff>
      <xdr:row>674</xdr:row>
      <xdr:rowOff>66675</xdr:rowOff>
    </xdr:to>
    <xdr:graphicFrame macro="">
      <xdr:nvGraphicFramePr>
        <xdr:cNvPr id="2" name="グラフ 1">
          <a:extLst>
            <a:ext uri="{FF2B5EF4-FFF2-40B4-BE49-F238E27FC236}">
              <a16:creationId xmlns:a16="http://schemas.microsoft.com/office/drawing/2014/main" id="{C1A6F700-D5CD-564C-25AE-116565D7D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297180</xdr:colOff>
      <xdr:row>8</xdr:row>
      <xdr:rowOff>6</xdr:rowOff>
    </xdr:from>
    <xdr:to>
      <xdr:col>13</xdr:col>
      <xdr:colOff>0</xdr:colOff>
      <xdr:row>20</xdr:row>
      <xdr:rowOff>152400</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7195A788-77B4-45CE-B4A7-20B3D89E36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40730" y="1914531"/>
              <a:ext cx="6236970" cy="3009894"/>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19050</xdr:colOff>
      <xdr:row>3</xdr:row>
      <xdr:rowOff>38100</xdr:rowOff>
    </xdr:from>
    <xdr:to>
      <xdr:col>13</xdr:col>
      <xdr:colOff>922611</xdr:colOff>
      <xdr:row>18</xdr:row>
      <xdr:rowOff>63500</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9939ECB8-3E3E-4DD5-8A6D-BC7A5389D1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96300" y="771525"/>
              <a:ext cx="4694511" cy="3625850"/>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twoCellAnchor>
    <xdr:from>
      <xdr:col>9</xdr:col>
      <xdr:colOff>12700</xdr:colOff>
      <xdr:row>22</xdr:row>
      <xdr:rowOff>12700</xdr:rowOff>
    </xdr:from>
    <xdr:to>
      <xdr:col>13</xdr:col>
      <xdr:colOff>901700</xdr:colOff>
      <xdr:row>37</xdr:row>
      <xdr:rowOff>12700</xdr:rowOff>
    </xdr:to>
    <mc:AlternateContent xmlns:mc="http://schemas.openxmlformats.org/markup-compatibility/2006">
      <mc:Choice xmlns:cx1="http://schemas.microsoft.com/office/drawing/2015/9/8/chartex" Requires="cx1">
        <xdr:graphicFrame macro="">
          <xdr:nvGraphicFramePr>
            <xdr:cNvPr id="3" name="グラフ 2">
              <a:extLst>
                <a:ext uri="{FF2B5EF4-FFF2-40B4-BE49-F238E27FC236}">
                  <a16:creationId xmlns:a16="http://schemas.microsoft.com/office/drawing/2014/main" id="{4C9443BB-23C4-454E-B0E5-2841CC5FE5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89950" y="5308600"/>
              <a:ext cx="4679950" cy="3600450"/>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933450</xdr:colOff>
      <xdr:row>2</xdr:row>
      <xdr:rowOff>25400</xdr:rowOff>
    </xdr:from>
    <xdr:to>
      <xdr:col>8</xdr:col>
      <xdr:colOff>742950</xdr:colOff>
      <xdr:row>12</xdr:row>
      <xdr:rowOff>228600</xdr:rowOff>
    </xdr:to>
    <xdr:graphicFrame macro="">
      <xdr:nvGraphicFramePr>
        <xdr:cNvPr id="2" name="グラフ 1">
          <a:extLst>
            <a:ext uri="{FF2B5EF4-FFF2-40B4-BE49-F238E27FC236}">
              <a16:creationId xmlns:a16="http://schemas.microsoft.com/office/drawing/2014/main" id="{B8DA55C2-3BE2-4D05-87F5-8A5480557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31750</xdr:colOff>
      <xdr:row>2</xdr:row>
      <xdr:rowOff>127000</xdr:rowOff>
    </xdr:from>
    <xdr:to>
      <xdr:col>9</xdr:col>
      <xdr:colOff>793750</xdr:colOff>
      <xdr:row>13</xdr:row>
      <xdr:rowOff>76200</xdr:rowOff>
    </xdr:to>
    <xdr:graphicFrame macro="">
      <xdr:nvGraphicFramePr>
        <xdr:cNvPr id="2" name="グラフ 1">
          <a:extLst>
            <a:ext uri="{FF2B5EF4-FFF2-40B4-BE49-F238E27FC236}">
              <a16:creationId xmlns:a16="http://schemas.microsoft.com/office/drawing/2014/main" id="{AC0689B4-06C5-4FAF-B5AD-EF4A9082A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14111</xdr:colOff>
      <xdr:row>1</xdr:row>
      <xdr:rowOff>237066</xdr:rowOff>
    </xdr:from>
    <xdr:to>
      <xdr:col>16</xdr:col>
      <xdr:colOff>0</xdr:colOff>
      <xdr:row>17</xdr:row>
      <xdr:rowOff>0</xdr:rowOff>
    </xdr:to>
    <xdr:graphicFrame macro="">
      <xdr:nvGraphicFramePr>
        <xdr:cNvPr id="2" name="グラフ 1">
          <a:extLst>
            <a:ext uri="{FF2B5EF4-FFF2-40B4-BE49-F238E27FC236}">
              <a16:creationId xmlns:a16="http://schemas.microsoft.com/office/drawing/2014/main" id="{36B2ECF1-D372-4038-A1B1-E3E0A3DB0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enni\AppData\Local\Temp\7d514f10-0c98-4e6b-8812-4f497a4d714f_rensyu_file.zip.14f\rensyu_file\chap5.xlsx" TargetMode="External"/><Relationship Id="rId1" Type="http://schemas.openxmlformats.org/officeDocument/2006/relationships/externalLinkPath" Target="/Users/tenni/AppData/Local/Temp/7d514f10-0c98-4e6b-8812-4f497a4d714f_rensyu_file.zip.14f/rensyu_file/chap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enni\AppData\Local\Temp\6c029e0d-abc0-46ec-8664-83683c0eaf68_rensyu_file.zip.f68\rensyu_file\chap6.xlsx" TargetMode="External"/><Relationship Id="rId1" Type="http://schemas.openxmlformats.org/officeDocument/2006/relationships/externalLinkPath" Target="/Users/tenni/AppData/Local/Temp/6c029e0d-abc0-46ec-8664-83683c0eaf68_rensyu_file.zip.f68/rensyu_file/chap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enni\AppData\Local\Temp\60737446-2763-473e-9e8a-b818726c392b_rensyu_file.zip.92b\rensyu_file\chap7.xlsx" TargetMode="External"/><Relationship Id="rId1" Type="http://schemas.openxmlformats.org/officeDocument/2006/relationships/externalLinkPath" Target="/Users/tenni/AppData/Local/Temp/60737446-2763-473e-9e8a-b818726c392b_rensyu_file.zip.92b/rensyu_file/chap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p5-1-1"/>
      <sheetName val="chap5-1-1_answer"/>
      <sheetName val="chap5-1-2"/>
      <sheetName val="chap5-1-2_answer"/>
      <sheetName val="chap5-2"/>
      <sheetName val="chap5-2_answer"/>
      <sheetName val="chap5-3"/>
      <sheetName val="chap5-3_answer"/>
      <sheetName val="chap5-4"/>
      <sheetName val="chap5-4_answer"/>
      <sheetName val="dataset_加工後"/>
    </sheetNames>
    <sheetDataSet>
      <sheetData sheetId="0" refreshError="1"/>
      <sheetData sheetId="1" refreshError="1"/>
      <sheetData sheetId="2">
        <row r="1">
          <cell r="B1" t="str">
            <v>重量</v>
          </cell>
        </row>
        <row r="2">
          <cell r="B2">
            <v>75</v>
          </cell>
        </row>
        <row r="3">
          <cell r="B3">
            <v>73</v>
          </cell>
        </row>
        <row r="4">
          <cell r="B4">
            <v>101</v>
          </cell>
        </row>
        <row r="5">
          <cell r="B5">
            <v>74</v>
          </cell>
        </row>
        <row r="6">
          <cell r="B6">
            <v>127</v>
          </cell>
        </row>
        <row r="7">
          <cell r="B7">
            <v>88</v>
          </cell>
        </row>
        <row r="8">
          <cell r="B8">
            <v>86</v>
          </cell>
        </row>
        <row r="9">
          <cell r="B9">
            <v>102</v>
          </cell>
        </row>
        <row r="10">
          <cell r="B10">
            <v>120</v>
          </cell>
        </row>
        <row r="11">
          <cell r="B11">
            <v>79</v>
          </cell>
        </row>
        <row r="12">
          <cell r="B12">
            <v>94</v>
          </cell>
        </row>
        <row r="13">
          <cell r="B13">
            <v>96</v>
          </cell>
        </row>
        <row r="14">
          <cell r="B14">
            <v>78</v>
          </cell>
        </row>
        <row r="15">
          <cell r="B15">
            <v>86</v>
          </cell>
        </row>
        <row r="16">
          <cell r="B16">
            <v>123</v>
          </cell>
        </row>
        <row r="17">
          <cell r="B17">
            <v>61</v>
          </cell>
        </row>
        <row r="18">
          <cell r="B18">
            <v>248</v>
          </cell>
        </row>
        <row r="19">
          <cell r="B19">
            <v>247</v>
          </cell>
        </row>
        <row r="20">
          <cell r="B20">
            <v>97</v>
          </cell>
        </row>
        <row r="21">
          <cell r="B21">
            <v>386</v>
          </cell>
        </row>
        <row r="22">
          <cell r="B22">
            <v>595</v>
          </cell>
        </row>
        <row r="23">
          <cell r="B23">
            <v>120</v>
          </cell>
        </row>
        <row r="24">
          <cell r="B24">
            <v>44</v>
          </cell>
        </row>
        <row r="25">
          <cell r="B25">
            <v>153</v>
          </cell>
        </row>
        <row r="26">
          <cell r="B26">
            <v>88</v>
          </cell>
        </row>
        <row r="27">
          <cell r="B27">
            <v>364</v>
          </cell>
        </row>
        <row r="28">
          <cell r="B28">
            <v>191</v>
          </cell>
        </row>
        <row r="29">
          <cell r="B29">
            <v>97</v>
          </cell>
        </row>
        <row r="30">
          <cell r="B30">
            <v>219</v>
          </cell>
        </row>
        <row r="31">
          <cell r="B31">
            <v>450</v>
          </cell>
        </row>
        <row r="32">
          <cell r="B32">
            <v>673</v>
          </cell>
        </row>
        <row r="33">
          <cell r="B33">
            <v>134</v>
          </cell>
        </row>
        <row r="34">
          <cell r="B34">
            <v>105</v>
          </cell>
        </row>
        <row r="35">
          <cell r="B35">
            <v>53</v>
          </cell>
        </row>
        <row r="36">
          <cell r="B36">
            <v>171</v>
          </cell>
        </row>
        <row r="37">
          <cell r="B37">
            <v>138</v>
          </cell>
        </row>
        <row r="38">
          <cell r="B38">
            <v>101</v>
          </cell>
        </row>
        <row r="39">
          <cell r="B39">
            <v>581</v>
          </cell>
        </row>
        <row r="40">
          <cell r="B40">
            <v>649</v>
          </cell>
        </row>
        <row r="41">
          <cell r="B41">
            <v>57</v>
          </cell>
        </row>
        <row r="42">
          <cell r="B42">
            <v>39</v>
          </cell>
        </row>
        <row r="43">
          <cell r="B43">
            <v>208</v>
          </cell>
        </row>
        <row r="44">
          <cell r="B44">
            <v>77</v>
          </cell>
        </row>
        <row r="45">
          <cell r="B45">
            <v>233</v>
          </cell>
        </row>
        <row r="46">
          <cell r="B46">
            <v>42</v>
          </cell>
        </row>
        <row r="47">
          <cell r="B47">
            <v>105</v>
          </cell>
        </row>
        <row r="48">
          <cell r="B48">
            <v>522</v>
          </cell>
        </row>
        <row r="49">
          <cell r="B49">
            <v>82</v>
          </cell>
        </row>
        <row r="50">
          <cell r="B50">
            <v>62</v>
          </cell>
        </row>
        <row r="51">
          <cell r="B51">
            <v>210</v>
          </cell>
        </row>
        <row r="52">
          <cell r="B52">
            <v>461</v>
          </cell>
        </row>
        <row r="53">
          <cell r="B53">
            <v>116</v>
          </cell>
        </row>
        <row r="54">
          <cell r="B54">
            <v>45</v>
          </cell>
        </row>
        <row r="55">
          <cell r="B55">
            <v>198</v>
          </cell>
        </row>
        <row r="57">
          <cell r="B57">
            <v>184</v>
          </cell>
        </row>
        <row r="58">
          <cell r="B58">
            <v>110</v>
          </cell>
        </row>
        <row r="59">
          <cell r="B59">
            <v>493</v>
          </cell>
        </row>
        <row r="60">
          <cell r="B60">
            <v>427</v>
          </cell>
        </row>
        <row r="61">
          <cell r="B61">
            <v>88</v>
          </cell>
        </row>
        <row r="62">
          <cell r="B62">
            <v>108</v>
          </cell>
        </row>
        <row r="63">
          <cell r="B63">
            <v>57</v>
          </cell>
        </row>
        <row r="64">
          <cell r="B64">
            <v>215</v>
          </cell>
        </row>
        <row r="65">
          <cell r="B65">
            <v>623</v>
          </cell>
        </row>
        <row r="66">
          <cell r="B66">
            <v>110</v>
          </cell>
        </row>
        <row r="67">
          <cell r="B67">
            <v>39</v>
          </cell>
        </row>
        <row r="68">
          <cell r="B68">
            <v>131</v>
          </cell>
        </row>
        <row r="69">
          <cell r="B69">
            <v>66</v>
          </cell>
        </row>
        <row r="70">
          <cell r="B70">
            <v>103</v>
          </cell>
        </row>
        <row r="71">
          <cell r="B71">
            <v>75</v>
          </cell>
        </row>
        <row r="72">
          <cell r="B72">
            <v>523</v>
          </cell>
        </row>
        <row r="73">
          <cell r="B73">
            <v>353</v>
          </cell>
        </row>
        <row r="74">
          <cell r="B74">
            <v>106</v>
          </cell>
        </row>
        <row r="75">
          <cell r="B75">
            <v>564</v>
          </cell>
        </row>
        <row r="76">
          <cell r="B76">
            <v>428</v>
          </cell>
        </row>
        <row r="77">
          <cell r="B77">
            <v>114</v>
          </cell>
        </row>
        <row r="78">
          <cell r="B78">
            <v>41</v>
          </cell>
        </row>
        <row r="79">
          <cell r="B79">
            <v>115</v>
          </cell>
        </row>
        <row r="80">
          <cell r="B80">
            <v>120</v>
          </cell>
        </row>
        <row r="81">
          <cell r="B81">
            <v>121</v>
          </cell>
        </row>
        <row r="82">
          <cell r="B82">
            <v>613</v>
          </cell>
        </row>
        <row r="83">
          <cell r="B83">
            <v>457</v>
          </cell>
        </row>
        <row r="84">
          <cell r="B84">
            <v>121</v>
          </cell>
        </row>
        <row r="85">
          <cell r="B85">
            <v>534</v>
          </cell>
        </row>
        <row r="86">
          <cell r="B86">
            <v>69</v>
          </cell>
        </row>
        <row r="87">
          <cell r="B87">
            <v>106</v>
          </cell>
        </row>
        <row r="88">
          <cell r="B88">
            <v>118</v>
          </cell>
        </row>
        <row r="89">
          <cell r="B89">
            <v>344</v>
          </cell>
        </row>
        <row r="90">
          <cell r="B90">
            <v>59</v>
          </cell>
        </row>
        <row r="91">
          <cell r="B91">
            <v>232</v>
          </cell>
        </row>
        <row r="92">
          <cell r="B92">
            <v>206</v>
          </cell>
        </row>
        <row r="93">
          <cell r="B93">
            <v>114</v>
          </cell>
        </row>
        <row r="94">
          <cell r="B94">
            <v>99</v>
          </cell>
        </row>
        <row r="95">
          <cell r="B95">
            <v>40</v>
          </cell>
        </row>
        <row r="96">
          <cell r="B96">
            <v>223</v>
          </cell>
        </row>
        <row r="97">
          <cell r="B97">
            <v>161</v>
          </cell>
        </row>
        <row r="98">
          <cell r="B98">
            <v>87</v>
          </cell>
        </row>
        <row r="99">
          <cell r="B99">
            <v>549</v>
          </cell>
        </row>
        <row r="100">
          <cell r="B100">
            <v>45</v>
          </cell>
        </row>
        <row r="101">
          <cell r="B101">
            <v>101</v>
          </cell>
        </row>
        <row r="102">
          <cell r="B102">
            <v>635</v>
          </cell>
        </row>
        <row r="103">
          <cell r="B103">
            <v>404</v>
          </cell>
        </row>
        <row r="104">
          <cell r="B104">
            <v>130</v>
          </cell>
        </row>
        <row r="105">
          <cell r="B105">
            <v>135</v>
          </cell>
        </row>
        <row r="106">
          <cell r="B106">
            <v>509</v>
          </cell>
        </row>
        <row r="107">
          <cell r="B107">
            <v>77</v>
          </cell>
        </row>
        <row r="108">
          <cell r="B108">
            <v>439</v>
          </cell>
        </row>
        <row r="109">
          <cell r="B109">
            <v>457</v>
          </cell>
        </row>
        <row r="110">
          <cell r="B110">
            <v>45</v>
          </cell>
        </row>
        <row r="111">
          <cell r="B111">
            <v>263</v>
          </cell>
        </row>
        <row r="112">
          <cell r="B112">
            <v>96</v>
          </cell>
        </row>
        <row r="113">
          <cell r="B113">
            <v>36</v>
          </cell>
        </row>
        <row r="114">
          <cell r="B114">
            <v>160</v>
          </cell>
        </row>
        <row r="115">
          <cell r="B115">
            <v>46</v>
          </cell>
        </row>
        <row r="116">
          <cell r="B116">
            <v>90</v>
          </cell>
        </row>
        <row r="117">
          <cell r="B117">
            <v>538</v>
          </cell>
        </row>
        <row r="118">
          <cell r="B118">
            <v>568</v>
          </cell>
        </row>
        <row r="119">
          <cell r="B119">
            <v>101</v>
          </cell>
        </row>
        <row r="121">
          <cell r="B121">
            <v>728</v>
          </cell>
        </row>
        <row r="122">
          <cell r="B122">
            <v>82</v>
          </cell>
        </row>
        <row r="123">
          <cell r="B123">
            <v>312</v>
          </cell>
        </row>
        <row r="124">
          <cell r="B124">
            <v>438</v>
          </cell>
        </row>
        <row r="125">
          <cell r="B125">
            <v>62</v>
          </cell>
        </row>
        <row r="126">
          <cell r="B126">
            <v>80</v>
          </cell>
        </row>
        <row r="127">
          <cell r="B127">
            <v>109</v>
          </cell>
        </row>
        <row r="128">
          <cell r="B128">
            <v>94</v>
          </cell>
        </row>
        <row r="129">
          <cell r="B129">
            <v>108</v>
          </cell>
        </row>
        <row r="130">
          <cell r="B130">
            <v>112</v>
          </cell>
        </row>
        <row r="131">
          <cell r="B131">
            <v>142</v>
          </cell>
        </row>
        <row r="132">
          <cell r="B132">
            <v>452</v>
          </cell>
        </row>
        <row r="133">
          <cell r="B133">
            <v>96</v>
          </cell>
        </row>
        <row r="134">
          <cell r="B134">
            <v>53</v>
          </cell>
        </row>
        <row r="135">
          <cell r="B135">
            <v>87</v>
          </cell>
        </row>
        <row r="136">
          <cell r="B136">
            <v>602</v>
          </cell>
        </row>
        <row r="137">
          <cell r="B137">
            <v>446</v>
          </cell>
        </row>
        <row r="138">
          <cell r="B138">
            <v>76</v>
          </cell>
        </row>
        <row r="139">
          <cell r="B139">
            <v>50</v>
          </cell>
        </row>
        <row r="140">
          <cell r="B140">
            <v>90</v>
          </cell>
        </row>
        <row r="141">
          <cell r="B141">
            <v>601</v>
          </cell>
        </row>
        <row r="142">
          <cell r="B142">
            <v>131</v>
          </cell>
        </row>
        <row r="143">
          <cell r="B143">
            <v>55</v>
          </cell>
        </row>
        <row r="144">
          <cell r="B144">
            <v>71</v>
          </cell>
        </row>
        <row r="145">
          <cell r="B145">
            <v>95</v>
          </cell>
        </row>
        <row r="146">
          <cell r="B146">
            <v>65</v>
          </cell>
        </row>
        <row r="147">
          <cell r="B147">
            <v>113</v>
          </cell>
        </row>
        <row r="148">
          <cell r="B148">
            <v>327</v>
          </cell>
        </row>
        <row r="149">
          <cell r="B149">
            <v>402</v>
          </cell>
        </row>
        <row r="150">
          <cell r="B150">
            <v>133</v>
          </cell>
        </row>
        <row r="151">
          <cell r="B151">
            <v>94</v>
          </cell>
        </row>
        <row r="152">
          <cell r="B152">
            <v>41</v>
          </cell>
        </row>
        <row r="153">
          <cell r="B153">
            <v>94</v>
          </cell>
        </row>
        <row r="154">
          <cell r="B154">
            <v>459</v>
          </cell>
        </row>
        <row r="155">
          <cell r="B155">
            <v>89</v>
          </cell>
        </row>
        <row r="156">
          <cell r="B156">
            <v>99</v>
          </cell>
        </row>
        <row r="157">
          <cell r="B157">
            <v>511</v>
          </cell>
        </row>
        <row r="158">
          <cell r="B158">
            <v>56</v>
          </cell>
        </row>
        <row r="159">
          <cell r="B159">
            <v>135</v>
          </cell>
        </row>
        <row r="160">
          <cell r="B160">
            <v>396</v>
          </cell>
        </row>
        <row r="161">
          <cell r="B161">
            <v>124</v>
          </cell>
        </row>
        <row r="162">
          <cell r="B162">
            <v>85</v>
          </cell>
        </row>
        <row r="163">
          <cell r="B163">
            <v>148</v>
          </cell>
        </row>
        <row r="164">
          <cell r="B164">
            <v>154</v>
          </cell>
        </row>
        <row r="165">
          <cell r="B165">
            <v>108</v>
          </cell>
        </row>
        <row r="166">
          <cell r="B166">
            <v>41</v>
          </cell>
        </row>
        <row r="167">
          <cell r="B167">
            <v>130</v>
          </cell>
        </row>
        <row r="168">
          <cell r="B168">
            <v>267</v>
          </cell>
        </row>
        <row r="169">
          <cell r="B169">
            <v>367</v>
          </cell>
        </row>
        <row r="170">
          <cell r="B170">
            <v>107</v>
          </cell>
        </row>
        <row r="171">
          <cell r="B171">
            <v>119</v>
          </cell>
        </row>
        <row r="172">
          <cell r="B172">
            <v>76</v>
          </cell>
        </row>
        <row r="173">
          <cell r="B173">
            <v>93</v>
          </cell>
        </row>
        <row r="174">
          <cell r="B174">
            <v>41</v>
          </cell>
        </row>
        <row r="175">
          <cell r="B175">
            <v>110</v>
          </cell>
        </row>
        <row r="176">
          <cell r="B176">
            <v>574</v>
          </cell>
        </row>
        <row r="177">
          <cell r="B177">
            <v>110</v>
          </cell>
        </row>
        <row r="178">
          <cell r="B178">
            <v>253</v>
          </cell>
        </row>
        <row r="179">
          <cell r="B179">
            <v>84</v>
          </cell>
        </row>
        <row r="180">
          <cell r="B180">
            <v>41</v>
          </cell>
        </row>
        <row r="181">
          <cell r="B181">
            <v>96</v>
          </cell>
        </row>
        <row r="182">
          <cell r="B182">
            <v>45</v>
          </cell>
        </row>
        <row r="183">
          <cell r="B183">
            <v>341</v>
          </cell>
        </row>
        <row r="184">
          <cell r="B184">
            <v>89</v>
          </cell>
        </row>
        <row r="185">
          <cell r="B185">
            <v>98</v>
          </cell>
        </row>
        <row r="186">
          <cell r="B186">
            <v>69</v>
          </cell>
        </row>
        <row r="187">
          <cell r="B187">
            <v>122</v>
          </cell>
        </row>
        <row r="188">
          <cell r="B188">
            <v>83</v>
          </cell>
        </row>
        <row r="189">
          <cell r="B189">
            <v>348</v>
          </cell>
        </row>
        <row r="190">
          <cell r="B190">
            <v>108</v>
          </cell>
        </row>
        <row r="191">
          <cell r="B191">
            <v>112</v>
          </cell>
        </row>
        <row r="192">
          <cell r="B192">
            <v>518</v>
          </cell>
        </row>
        <row r="193">
          <cell r="B193">
            <v>72</v>
          </cell>
        </row>
        <row r="194">
          <cell r="B194">
            <v>36</v>
          </cell>
        </row>
        <row r="195">
          <cell r="B195">
            <v>620</v>
          </cell>
        </row>
        <row r="196">
          <cell r="B196">
            <v>69</v>
          </cell>
        </row>
        <row r="197">
          <cell r="B197">
            <v>284</v>
          </cell>
        </row>
        <row r="198">
          <cell r="B198">
            <v>118</v>
          </cell>
        </row>
        <row r="199">
          <cell r="B199">
            <v>192</v>
          </cell>
        </row>
        <row r="200">
          <cell r="B200">
            <v>103</v>
          </cell>
        </row>
        <row r="201">
          <cell r="B201">
            <v>111</v>
          </cell>
        </row>
        <row r="202">
          <cell r="B202">
            <v>52</v>
          </cell>
        </row>
        <row r="203">
          <cell r="B203">
            <v>112</v>
          </cell>
        </row>
        <row r="204">
          <cell r="B204">
            <v>431</v>
          </cell>
        </row>
        <row r="205">
          <cell r="B205">
            <v>79</v>
          </cell>
        </row>
        <row r="206">
          <cell r="B206">
            <v>107</v>
          </cell>
        </row>
        <row r="207">
          <cell r="B207">
            <v>92</v>
          </cell>
        </row>
        <row r="208">
          <cell r="B208">
            <v>430</v>
          </cell>
        </row>
        <row r="209">
          <cell r="B209">
            <v>96</v>
          </cell>
        </row>
        <row r="210">
          <cell r="B210">
            <v>85</v>
          </cell>
        </row>
        <row r="211">
          <cell r="B211">
            <v>98</v>
          </cell>
        </row>
        <row r="212">
          <cell r="B212">
            <v>375</v>
          </cell>
        </row>
        <row r="213">
          <cell r="B213">
            <v>616</v>
          </cell>
        </row>
        <row r="214">
          <cell r="B214">
            <v>86</v>
          </cell>
        </row>
        <row r="215">
          <cell r="B215">
            <v>207</v>
          </cell>
        </row>
        <row r="216">
          <cell r="B216">
            <v>112</v>
          </cell>
        </row>
        <row r="217">
          <cell r="B217">
            <v>615</v>
          </cell>
        </row>
        <row r="218">
          <cell r="B218">
            <v>113</v>
          </cell>
        </row>
        <row r="219">
          <cell r="B219">
            <v>125</v>
          </cell>
        </row>
        <row r="220">
          <cell r="B220">
            <v>441</v>
          </cell>
        </row>
        <row r="221">
          <cell r="B221">
            <v>108</v>
          </cell>
        </row>
        <row r="222">
          <cell r="B222">
            <v>529</v>
          </cell>
        </row>
        <row r="223">
          <cell r="B223">
            <v>99</v>
          </cell>
        </row>
        <row r="224">
          <cell r="B224">
            <v>497</v>
          </cell>
        </row>
        <row r="225">
          <cell r="B225">
            <v>103</v>
          </cell>
        </row>
        <row r="226">
          <cell r="B226">
            <v>443</v>
          </cell>
        </row>
        <row r="227">
          <cell r="B227">
            <v>81</v>
          </cell>
        </row>
        <row r="228">
          <cell r="B228">
            <v>105</v>
          </cell>
        </row>
        <row r="229">
          <cell r="B229">
            <v>65</v>
          </cell>
        </row>
        <row r="230">
          <cell r="B230">
            <v>136</v>
          </cell>
        </row>
        <row r="231">
          <cell r="B231">
            <v>89</v>
          </cell>
        </row>
        <row r="232">
          <cell r="B232">
            <v>437</v>
          </cell>
        </row>
        <row r="233">
          <cell r="B233">
            <v>111</v>
          </cell>
        </row>
        <row r="234">
          <cell r="B234">
            <v>78</v>
          </cell>
        </row>
        <row r="235">
          <cell r="B235">
            <v>64</v>
          </cell>
        </row>
        <row r="236">
          <cell r="B236">
            <v>113</v>
          </cell>
        </row>
        <row r="237">
          <cell r="B237">
            <v>275</v>
          </cell>
        </row>
        <row r="238">
          <cell r="B238">
            <v>120</v>
          </cell>
        </row>
        <row r="239">
          <cell r="B239">
            <v>532</v>
          </cell>
        </row>
        <row r="240">
          <cell r="B240">
            <v>119</v>
          </cell>
        </row>
        <row r="241">
          <cell r="B241">
            <v>99</v>
          </cell>
        </row>
        <row r="242">
          <cell r="B242">
            <v>630</v>
          </cell>
        </row>
        <row r="243">
          <cell r="B243">
            <v>80</v>
          </cell>
        </row>
        <row r="244">
          <cell r="B244">
            <v>34</v>
          </cell>
        </row>
        <row r="245">
          <cell r="B245">
            <v>119</v>
          </cell>
        </row>
        <row r="246">
          <cell r="B246">
            <v>67</v>
          </cell>
        </row>
        <row r="247">
          <cell r="B247">
            <v>50</v>
          </cell>
        </row>
        <row r="248">
          <cell r="B248">
            <v>219</v>
          </cell>
        </row>
        <row r="249">
          <cell r="B249">
            <v>106</v>
          </cell>
        </row>
        <row r="250">
          <cell r="B250">
            <v>200</v>
          </cell>
        </row>
        <row r="251">
          <cell r="B251">
            <v>594</v>
          </cell>
        </row>
        <row r="252">
          <cell r="B252">
            <v>131</v>
          </cell>
        </row>
        <row r="253">
          <cell r="B253">
            <v>109</v>
          </cell>
        </row>
        <row r="254">
          <cell r="B254">
            <v>125</v>
          </cell>
        </row>
        <row r="255">
          <cell r="B255">
            <v>568</v>
          </cell>
        </row>
        <row r="256">
          <cell r="B256">
            <v>288</v>
          </cell>
        </row>
        <row r="257">
          <cell r="B257">
            <v>112</v>
          </cell>
        </row>
        <row r="258">
          <cell r="B258">
            <v>50</v>
          </cell>
        </row>
        <row r="259">
          <cell r="B259">
            <v>234</v>
          </cell>
        </row>
        <row r="260">
          <cell r="B260">
            <v>640</v>
          </cell>
        </row>
        <row r="261">
          <cell r="B261">
            <v>89</v>
          </cell>
        </row>
        <row r="262">
          <cell r="B262">
            <v>83</v>
          </cell>
        </row>
        <row r="263">
          <cell r="B263">
            <v>488</v>
          </cell>
        </row>
        <row r="264">
          <cell r="B264">
            <v>90</v>
          </cell>
        </row>
        <row r="265">
          <cell r="B265">
            <v>201</v>
          </cell>
        </row>
        <row r="266">
          <cell r="B266">
            <v>109</v>
          </cell>
        </row>
        <row r="267">
          <cell r="B267">
            <v>46</v>
          </cell>
        </row>
        <row r="268">
          <cell r="B268">
            <v>593</v>
          </cell>
        </row>
        <row r="269">
          <cell r="B269">
            <v>93</v>
          </cell>
        </row>
        <row r="270">
          <cell r="B270">
            <v>59</v>
          </cell>
        </row>
        <row r="271">
          <cell r="B271">
            <v>369</v>
          </cell>
        </row>
        <row r="272">
          <cell r="B272">
            <v>106</v>
          </cell>
        </row>
        <row r="273">
          <cell r="B273">
            <v>476</v>
          </cell>
        </row>
        <row r="274">
          <cell r="B274">
            <v>88</v>
          </cell>
        </row>
        <row r="275">
          <cell r="B275">
            <v>68</v>
          </cell>
        </row>
        <row r="276">
          <cell r="B276">
            <v>196</v>
          </cell>
        </row>
        <row r="277">
          <cell r="B277">
            <v>521</v>
          </cell>
        </row>
        <row r="278">
          <cell r="B278">
            <v>113</v>
          </cell>
        </row>
        <row r="279">
          <cell r="B279">
            <v>80</v>
          </cell>
        </row>
        <row r="280">
          <cell r="B280">
            <v>174</v>
          </cell>
        </row>
        <row r="281">
          <cell r="B281">
            <v>451</v>
          </cell>
        </row>
        <row r="282">
          <cell r="B282">
            <v>105</v>
          </cell>
        </row>
        <row r="283">
          <cell r="B283">
            <v>96</v>
          </cell>
        </row>
        <row r="284">
          <cell r="B284">
            <v>187</v>
          </cell>
        </row>
        <row r="285">
          <cell r="B285">
            <v>424</v>
          </cell>
        </row>
        <row r="286">
          <cell r="B286">
            <v>103</v>
          </cell>
        </row>
        <row r="287">
          <cell r="B287">
            <v>44</v>
          </cell>
        </row>
        <row r="288">
          <cell r="B288">
            <v>111</v>
          </cell>
        </row>
        <row r="289">
          <cell r="B289">
            <v>458</v>
          </cell>
        </row>
        <row r="290">
          <cell r="B290">
            <v>100</v>
          </cell>
        </row>
        <row r="292">
          <cell r="B292">
            <v>435</v>
          </cell>
        </row>
        <row r="293">
          <cell r="B293">
            <v>54</v>
          </cell>
        </row>
        <row r="294">
          <cell r="B294">
            <v>83</v>
          </cell>
        </row>
        <row r="295">
          <cell r="B295">
            <v>108</v>
          </cell>
        </row>
        <row r="296">
          <cell r="B296">
            <v>80</v>
          </cell>
        </row>
        <row r="297">
          <cell r="B297">
            <v>340</v>
          </cell>
        </row>
        <row r="298">
          <cell r="B298">
            <v>545</v>
          </cell>
        </row>
        <row r="299">
          <cell r="B299">
            <v>107</v>
          </cell>
        </row>
        <row r="300">
          <cell r="B300">
            <v>29</v>
          </cell>
        </row>
        <row r="301">
          <cell r="B301">
            <v>329</v>
          </cell>
        </row>
        <row r="302">
          <cell r="B302">
            <v>98</v>
          </cell>
        </row>
        <row r="303">
          <cell r="B303">
            <v>394</v>
          </cell>
        </row>
        <row r="304">
          <cell r="B304">
            <v>520</v>
          </cell>
        </row>
        <row r="305">
          <cell r="B305">
            <v>83</v>
          </cell>
        </row>
        <row r="306">
          <cell r="B306">
            <v>57</v>
          </cell>
        </row>
        <row r="307">
          <cell r="B307">
            <v>354</v>
          </cell>
        </row>
        <row r="308">
          <cell r="B308">
            <v>126</v>
          </cell>
        </row>
        <row r="309">
          <cell r="B309">
            <v>514</v>
          </cell>
        </row>
        <row r="310">
          <cell r="B310">
            <v>108</v>
          </cell>
        </row>
        <row r="311">
          <cell r="B311">
            <v>100</v>
          </cell>
        </row>
        <row r="312">
          <cell r="B312">
            <v>41</v>
          </cell>
        </row>
        <row r="313">
          <cell r="B313">
            <v>314</v>
          </cell>
        </row>
        <row r="314">
          <cell r="B314">
            <v>107</v>
          </cell>
        </row>
        <row r="315">
          <cell r="B315">
            <v>86</v>
          </cell>
        </row>
        <row r="316">
          <cell r="B316">
            <v>106</v>
          </cell>
        </row>
        <row r="317">
          <cell r="B317">
            <v>121</v>
          </cell>
        </row>
        <row r="318">
          <cell r="B318">
            <v>148</v>
          </cell>
        </row>
        <row r="319">
          <cell r="B319">
            <v>101</v>
          </cell>
        </row>
        <row r="320">
          <cell r="B320">
            <v>42</v>
          </cell>
        </row>
        <row r="321">
          <cell r="B321">
            <v>229</v>
          </cell>
        </row>
        <row r="322">
          <cell r="B322">
            <v>98</v>
          </cell>
        </row>
        <row r="323">
          <cell r="B323">
            <v>115</v>
          </cell>
        </row>
        <row r="324">
          <cell r="B324">
            <v>82</v>
          </cell>
        </row>
        <row r="325">
          <cell r="B325">
            <v>38</v>
          </cell>
        </row>
        <row r="326">
          <cell r="B326">
            <v>447</v>
          </cell>
        </row>
        <row r="327">
          <cell r="B327">
            <v>503</v>
          </cell>
        </row>
        <row r="328">
          <cell r="B328">
            <v>115</v>
          </cell>
        </row>
        <row r="329">
          <cell r="B329">
            <v>47</v>
          </cell>
        </row>
        <row r="330">
          <cell r="B330">
            <v>450</v>
          </cell>
        </row>
        <row r="331">
          <cell r="B331">
            <v>94</v>
          </cell>
        </row>
        <row r="332">
          <cell r="B332">
            <v>87</v>
          </cell>
        </row>
        <row r="333">
          <cell r="B333">
            <v>528</v>
          </cell>
        </row>
        <row r="334">
          <cell r="B334">
            <v>92</v>
          </cell>
        </row>
        <row r="335">
          <cell r="B335">
            <v>518</v>
          </cell>
        </row>
        <row r="336">
          <cell r="B336">
            <v>413</v>
          </cell>
        </row>
        <row r="337">
          <cell r="B337">
            <v>94</v>
          </cell>
        </row>
        <row r="338">
          <cell r="B338">
            <v>83</v>
          </cell>
        </row>
        <row r="339">
          <cell r="B339">
            <v>132</v>
          </cell>
        </row>
        <row r="340">
          <cell r="B340">
            <v>37</v>
          </cell>
        </row>
        <row r="341">
          <cell r="B341">
            <v>328</v>
          </cell>
        </row>
        <row r="342">
          <cell r="B342">
            <v>664</v>
          </cell>
        </row>
        <row r="343">
          <cell r="B343">
            <v>534</v>
          </cell>
        </row>
        <row r="344">
          <cell r="B344">
            <v>102</v>
          </cell>
        </row>
        <row r="345">
          <cell r="B345">
            <v>78</v>
          </cell>
        </row>
        <row r="346">
          <cell r="B346">
            <v>37</v>
          </cell>
        </row>
        <row r="347">
          <cell r="B347">
            <v>187</v>
          </cell>
        </row>
        <row r="348">
          <cell r="B348">
            <v>110</v>
          </cell>
        </row>
        <row r="349">
          <cell r="B349">
            <v>571</v>
          </cell>
        </row>
        <row r="350">
          <cell r="B350">
            <v>529</v>
          </cell>
        </row>
        <row r="351">
          <cell r="B351">
            <v>88</v>
          </cell>
        </row>
        <row r="352">
          <cell r="B352">
            <v>310</v>
          </cell>
        </row>
        <row r="353">
          <cell r="B353">
            <v>100</v>
          </cell>
        </row>
        <row r="354">
          <cell r="B354">
            <v>131</v>
          </cell>
        </row>
        <row r="355">
          <cell r="B355">
            <v>262</v>
          </cell>
        </row>
        <row r="356">
          <cell r="B356">
            <v>92</v>
          </cell>
        </row>
        <row r="357">
          <cell r="B357">
            <v>598</v>
          </cell>
        </row>
        <row r="358">
          <cell r="B358">
            <v>438</v>
          </cell>
        </row>
        <row r="359">
          <cell r="B359">
            <v>103</v>
          </cell>
        </row>
        <row r="360">
          <cell r="B360">
            <v>100</v>
          </cell>
        </row>
        <row r="361">
          <cell r="B361">
            <v>40</v>
          </cell>
        </row>
        <row r="362">
          <cell r="B362">
            <v>62</v>
          </cell>
        </row>
        <row r="363">
          <cell r="B363">
            <v>370</v>
          </cell>
        </row>
        <row r="364">
          <cell r="B364">
            <v>58</v>
          </cell>
        </row>
        <row r="365">
          <cell r="B365">
            <v>188</v>
          </cell>
        </row>
        <row r="366">
          <cell r="B366">
            <v>322</v>
          </cell>
        </row>
        <row r="367">
          <cell r="B367">
            <v>420</v>
          </cell>
        </row>
        <row r="368">
          <cell r="B368">
            <v>79</v>
          </cell>
        </row>
        <row r="369">
          <cell r="B369">
            <v>117</v>
          </cell>
        </row>
        <row r="370">
          <cell r="B370">
            <v>76</v>
          </cell>
        </row>
        <row r="371">
          <cell r="B371">
            <v>42</v>
          </cell>
        </row>
        <row r="372">
          <cell r="B372">
            <v>294</v>
          </cell>
        </row>
        <row r="373">
          <cell r="B373">
            <v>403</v>
          </cell>
        </row>
        <row r="374">
          <cell r="B374">
            <v>440</v>
          </cell>
        </row>
        <row r="375">
          <cell r="B375">
            <v>99</v>
          </cell>
        </row>
        <row r="376">
          <cell r="B376">
            <v>139</v>
          </cell>
        </row>
        <row r="377">
          <cell r="B377">
            <v>591</v>
          </cell>
        </row>
        <row r="378">
          <cell r="B378">
            <v>400</v>
          </cell>
        </row>
        <row r="379">
          <cell r="B379">
            <v>107</v>
          </cell>
        </row>
        <row r="380">
          <cell r="B380">
            <v>143</v>
          </cell>
        </row>
        <row r="381">
          <cell r="B381">
            <v>84</v>
          </cell>
        </row>
        <row r="382">
          <cell r="B382">
            <v>266</v>
          </cell>
        </row>
        <row r="383">
          <cell r="B383">
            <v>102</v>
          </cell>
        </row>
        <row r="384">
          <cell r="B384">
            <v>486</v>
          </cell>
        </row>
        <row r="385">
          <cell r="B385">
            <v>644</v>
          </cell>
        </row>
        <row r="386">
          <cell r="B386">
            <v>86</v>
          </cell>
        </row>
        <row r="387">
          <cell r="B387">
            <v>117</v>
          </cell>
        </row>
        <row r="388">
          <cell r="B388">
            <v>52</v>
          </cell>
        </row>
        <row r="389">
          <cell r="B389">
            <v>216</v>
          </cell>
        </row>
        <row r="390">
          <cell r="B390">
            <v>265</v>
          </cell>
        </row>
        <row r="391">
          <cell r="B391">
            <v>608</v>
          </cell>
        </row>
        <row r="392">
          <cell r="B392">
            <v>122</v>
          </cell>
        </row>
        <row r="393">
          <cell r="B393">
            <v>136</v>
          </cell>
        </row>
        <row r="394">
          <cell r="B394">
            <v>118</v>
          </cell>
        </row>
        <row r="395">
          <cell r="B395">
            <v>76</v>
          </cell>
        </row>
        <row r="396">
          <cell r="B396">
            <v>58</v>
          </cell>
        </row>
        <row r="397">
          <cell r="B397">
            <v>167</v>
          </cell>
        </row>
        <row r="398">
          <cell r="B398">
            <v>118</v>
          </cell>
        </row>
        <row r="399">
          <cell r="B399">
            <v>406</v>
          </cell>
        </row>
        <row r="400">
          <cell r="B400">
            <v>408</v>
          </cell>
        </row>
        <row r="401">
          <cell r="B401">
            <v>95</v>
          </cell>
        </row>
        <row r="402">
          <cell r="B402">
            <v>89</v>
          </cell>
        </row>
        <row r="403">
          <cell r="B403">
            <v>94</v>
          </cell>
        </row>
        <row r="404">
          <cell r="B404">
            <v>360</v>
          </cell>
        </row>
        <row r="405">
          <cell r="B405">
            <v>75</v>
          </cell>
        </row>
        <row r="406">
          <cell r="B406">
            <v>525</v>
          </cell>
        </row>
        <row r="407">
          <cell r="B407">
            <v>435</v>
          </cell>
        </row>
        <row r="408">
          <cell r="B408">
            <v>85</v>
          </cell>
        </row>
        <row r="409">
          <cell r="B409">
            <v>445</v>
          </cell>
        </row>
        <row r="410">
          <cell r="B410">
            <v>114</v>
          </cell>
        </row>
        <row r="411">
          <cell r="B411">
            <v>378</v>
          </cell>
        </row>
        <row r="412">
          <cell r="B412">
            <v>112</v>
          </cell>
        </row>
        <row r="413">
          <cell r="B413">
            <v>83</v>
          </cell>
        </row>
        <row r="414">
          <cell r="B414">
            <v>323</v>
          </cell>
        </row>
        <row r="415">
          <cell r="B415">
            <v>480</v>
          </cell>
        </row>
        <row r="416">
          <cell r="B416">
            <v>647</v>
          </cell>
        </row>
        <row r="417">
          <cell r="B417">
            <v>96</v>
          </cell>
        </row>
        <row r="419">
          <cell r="B419">
            <v>245</v>
          </cell>
        </row>
        <row r="420">
          <cell r="B420">
            <v>147</v>
          </cell>
        </row>
        <row r="421">
          <cell r="B421">
            <v>485</v>
          </cell>
        </row>
        <row r="422">
          <cell r="B422">
            <v>554</v>
          </cell>
        </row>
        <row r="423">
          <cell r="B423">
            <v>92</v>
          </cell>
        </row>
        <row r="424">
          <cell r="B424">
            <v>120</v>
          </cell>
        </row>
        <row r="425">
          <cell r="B425">
            <v>211</v>
          </cell>
        </row>
        <row r="426">
          <cell r="B426">
            <v>248</v>
          </cell>
        </row>
        <row r="427">
          <cell r="B427">
            <v>461</v>
          </cell>
        </row>
        <row r="428">
          <cell r="B428">
            <v>69</v>
          </cell>
        </row>
        <row r="429">
          <cell r="B429">
            <v>111</v>
          </cell>
        </row>
        <row r="430">
          <cell r="B430">
            <v>99</v>
          </cell>
        </row>
        <row r="431">
          <cell r="B431">
            <v>62</v>
          </cell>
        </row>
        <row r="432">
          <cell r="B432">
            <v>223</v>
          </cell>
        </row>
        <row r="433">
          <cell r="B433">
            <v>590</v>
          </cell>
        </row>
        <row r="434">
          <cell r="B434">
            <v>613</v>
          </cell>
        </row>
        <row r="435">
          <cell r="B435">
            <v>115</v>
          </cell>
        </row>
        <row r="436">
          <cell r="B436">
            <v>100</v>
          </cell>
        </row>
        <row r="437">
          <cell r="B437">
            <v>98</v>
          </cell>
        </row>
        <row r="438">
          <cell r="B438">
            <v>58</v>
          </cell>
        </row>
        <row r="439">
          <cell r="B439">
            <v>267</v>
          </cell>
        </row>
        <row r="440">
          <cell r="B440">
            <v>113</v>
          </cell>
        </row>
        <row r="441">
          <cell r="B441">
            <v>90</v>
          </cell>
        </row>
        <row r="442">
          <cell r="B442">
            <v>284</v>
          </cell>
        </row>
        <row r="443">
          <cell r="B443">
            <v>472</v>
          </cell>
        </row>
        <row r="444">
          <cell r="B444">
            <v>377</v>
          </cell>
        </row>
        <row r="445">
          <cell r="B445">
            <v>57</v>
          </cell>
        </row>
        <row r="446">
          <cell r="B446">
            <v>79</v>
          </cell>
        </row>
        <row r="447">
          <cell r="B447">
            <v>48</v>
          </cell>
        </row>
        <row r="448">
          <cell r="B448">
            <v>214</v>
          </cell>
        </row>
        <row r="449">
          <cell r="B449">
            <v>315</v>
          </cell>
        </row>
        <row r="450">
          <cell r="B450">
            <v>87</v>
          </cell>
        </row>
        <row r="451">
          <cell r="B451">
            <v>359</v>
          </cell>
        </row>
        <row r="452">
          <cell r="B452">
            <v>91</v>
          </cell>
        </row>
        <row r="453">
          <cell r="B453">
            <v>87</v>
          </cell>
        </row>
        <row r="454">
          <cell r="B454">
            <v>108</v>
          </cell>
        </row>
        <row r="455">
          <cell r="B455">
            <v>37</v>
          </cell>
        </row>
        <row r="456">
          <cell r="B456">
            <v>168</v>
          </cell>
        </row>
        <row r="457">
          <cell r="B457">
            <v>382</v>
          </cell>
        </row>
        <row r="458">
          <cell r="B458">
            <v>411</v>
          </cell>
        </row>
        <row r="459">
          <cell r="B459">
            <v>558</v>
          </cell>
        </row>
        <row r="460">
          <cell r="B460">
            <v>95</v>
          </cell>
        </row>
        <row r="461">
          <cell r="B461">
            <v>89</v>
          </cell>
        </row>
        <row r="462">
          <cell r="B462">
            <v>172</v>
          </cell>
        </row>
        <row r="463">
          <cell r="B463">
            <v>257</v>
          </cell>
        </row>
        <row r="464">
          <cell r="B464">
            <v>108</v>
          </cell>
        </row>
        <row r="465">
          <cell r="B465">
            <v>484</v>
          </cell>
        </row>
        <row r="466">
          <cell r="B466">
            <v>474</v>
          </cell>
        </row>
        <row r="467">
          <cell r="B467">
            <v>81</v>
          </cell>
        </row>
        <row r="468">
          <cell r="B468">
            <v>79</v>
          </cell>
        </row>
        <row r="469">
          <cell r="B469">
            <v>88</v>
          </cell>
        </row>
        <row r="470">
          <cell r="B470">
            <v>49</v>
          </cell>
        </row>
        <row r="471">
          <cell r="B471">
            <v>168</v>
          </cell>
        </row>
        <row r="472">
          <cell r="B472">
            <v>424</v>
          </cell>
        </row>
        <row r="473">
          <cell r="B473">
            <v>107</v>
          </cell>
        </row>
        <row r="474">
          <cell r="B474">
            <v>474</v>
          </cell>
        </row>
        <row r="475">
          <cell r="B475">
            <v>514</v>
          </cell>
        </row>
        <row r="476">
          <cell r="B476">
            <v>39</v>
          </cell>
        </row>
        <row r="477">
          <cell r="B477">
            <v>292</v>
          </cell>
        </row>
        <row r="478">
          <cell r="B478">
            <v>606</v>
          </cell>
        </row>
        <row r="479">
          <cell r="B479">
            <v>106</v>
          </cell>
        </row>
        <row r="480">
          <cell r="B480">
            <v>89</v>
          </cell>
        </row>
        <row r="481">
          <cell r="B481">
            <v>165</v>
          </cell>
        </row>
        <row r="482">
          <cell r="B482">
            <v>103</v>
          </cell>
        </row>
        <row r="483">
          <cell r="B483">
            <v>54</v>
          </cell>
        </row>
        <row r="484">
          <cell r="B484">
            <v>230</v>
          </cell>
        </row>
        <row r="485">
          <cell r="B485">
            <v>603</v>
          </cell>
        </row>
        <row r="486">
          <cell r="B486">
            <v>114</v>
          </cell>
        </row>
        <row r="487">
          <cell r="B487">
            <v>41</v>
          </cell>
        </row>
        <row r="488">
          <cell r="B488">
            <v>83</v>
          </cell>
        </row>
        <row r="489">
          <cell r="B489">
            <v>295</v>
          </cell>
        </row>
        <row r="490">
          <cell r="B490">
            <v>683</v>
          </cell>
        </row>
        <row r="491">
          <cell r="B491">
            <v>85</v>
          </cell>
        </row>
        <row r="492">
          <cell r="B492">
            <v>43</v>
          </cell>
        </row>
        <row r="493">
          <cell r="B493">
            <v>216</v>
          </cell>
        </row>
        <row r="494">
          <cell r="B494">
            <v>146</v>
          </cell>
        </row>
        <row r="495">
          <cell r="B495">
            <v>660</v>
          </cell>
        </row>
        <row r="496">
          <cell r="B496">
            <v>376</v>
          </cell>
        </row>
        <row r="497">
          <cell r="B497">
            <v>119</v>
          </cell>
        </row>
        <row r="498">
          <cell r="B498">
            <v>101</v>
          </cell>
        </row>
        <row r="499">
          <cell r="B499">
            <v>58</v>
          </cell>
        </row>
        <row r="500">
          <cell r="B500">
            <v>312</v>
          </cell>
        </row>
        <row r="501">
          <cell r="B501">
            <v>102</v>
          </cell>
        </row>
        <row r="502">
          <cell r="B502">
            <v>440</v>
          </cell>
        </row>
        <row r="503">
          <cell r="B503">
            <v>524</v>
          </cell>
        </row>
        <row r="504">
          <cell r="B504">
            <v>119</v>
          </cell>
        </row>
        <row r="505">
          <cell r="B505">
            <v>55</v>
          </cell>
        </row>
        <row r="506">
          <cell r="B506">
            <v>59</v>
          </cell>
        </row>
        <row r="507">
          <cell r="B507">
            <v>224</v>
          </cell>
        </row>
        <row r="508">
          <cell r="B508">
            <v>184</v>
          </cell>
        </row>
        <row r="509">
          <cell r="B509">
            <v>111</v>
          </cell>
        </row>
        <row r="510">
          <cell r="B510">
            <v>472</v>
          </cell>
        </row>
        <row r="511">
          <cell r="B511">
            <v>69</v>
          </cell>
        </row>
        <row r="512">
          <cell r="B512">
            <v>44</v>
          </cell>
        </row>
        <row r="513">
          <cell r="B513">
            <v>147</v>
          </cell>
        </row>
        <row r="514">
          <cell r="B514">
            <v>294</v>
          </cell>
        </row>
        <row r="515">
          <cell r="B515">
            <v>78</v>
          </cell>
        </row>
        <row r="516">
          <cell r="B516">
            <v>45</v>
          </cell>
        </row>
        <row r="517">
          <cell r="B517">
            <v>345</v>
          </cell>
        </row>
        <row r="518">
          <cell r="B518">
            <v>97</v>
          </cell>
        </row>
        <row r="519">
          <cell r="B519">
            <v>371</v>
          </cell>
        </row>
        <row r="520">
          <cell r="B520">
            <v>575</v>
          </cell>
        </row>
        <row r="521">
          <cell r="B521">
            <v>41</v>
          </cell>
        </row>
        <row r="522">
          <cell r="B522">
            <v>417</v>
          </cell>
        </row>
        <row r="523">
          <cell r="B523">
            <v>78</v>
          </cell>
        </row>
        <row r="524">
          <cell r="B524">
            <v>474</v>
          </cell>
        </row>
        <row r="525">
          <cell r="B525">
            <v>99</v>
          </cell>
        </row>
        <row r="526">
          <cell r="B526">
            <v>104</v>
          </cell>
        </row>
        <row r="527">
          <cell r="B527">
            <v>31</v>
          </cell>
        </row>
        <row r="528">
          <cell r="B528">
            <v>265</v>
          </cell>
        </row>
        <row r="529">
          <cell r="B529">
            <v>532</v>
          </cell>
        </row>
        <row r="530">
          <cell r="B530">
            <v>113</v>
          </cell>
        </row>
        <row r="531">
          <cell r="B531">
            <v>59</v>
          </cell>
        </row>
        <row r="532">
          <cell r="B532">
            <v>214</v>
          </cell>
        </row>
        <row r="533">
          <cell r="B533">
            <v>84</v>
          </cell>
        </row>
        <row r="534">
          <cell r="B534">
            <v>505</v>
          </cell>
        </row>
        <row r="535">
          <cell r="B535">
            <v>100</v>
          </cell>
        </row>
        <row r="536">
          <cell r="B536">
            <v>125</v>
          </cell>
        </row>
        <row r="537">
          <cell r="B537">
            <v>41</v>
          </cell>
        </row>
        <row r="538">
          <cell r="B538">
            <v>224</v>
          </cell>
        </row>
        <row r="539">
          <cell r="B539">
            <v>556</v>
          </cell>
        </row>
        <row r="540">
          <cell r="B540">
            <v>113</v>
          </cell>
        </row>
        <row r="541">
          <cell r="B541">
            <v>92</v>
          </cell>
        </row>
        <row r="542">
          <cell r="B542">
            <v>87</v>
          </cell>
        </row>
        <row r="543">
          <cell r="B543">
            <v>62</v>
          </cell>
        </row>
        <row r="544">
          <cell r="B544">
            <v>187</v>
          </cell>
        </row>
        <row r="545">
          <cell r="B545">
            <v>604</v>
          </cell>
        </row>
        <row r="546">
          <cell r="B546">
            <v>106</v>
          </cell>
        </row>
        <row r="547">
          <cell r="B547">
            <v>97</v>
          </cell>
        </row>
        <row r="548">
          <cell r="B548">
            <v>92</v>
          </cell>
        </row>
        <row r="549">
          <cell r="B549">
            <v>175</v>
          </cell>
        </row>
        <row r="550">
          <cell r="B550">
            <v>337</v>
          </cell>
        </row>
        <row r="551">
          <cell r="B551">
            <v>83</v>
          </cell>
        </row>
        <row r="552">
          <cell r="B552">
            <v>677</v>
          </cell>
        </row>
        <row r="553">
          <cell r="B553">
            <v>482</v>
          </cell>
        </row>
        <row r="554">
          <cell r="B554">
            <v>75</v>
          </cell>
        </row>
        <row r="555">
          <cell r="B555">
            <v>120</v>
          </cell>
        </row>
        <row r="556">
          <cell r="B556">
            <v>71</v>
          </cell>
        </row>
        <row r="557">
          <cell r="B557">
            <v>108</v>
          </cell>
        </row>
        <row r="558">
          <cell r="B558">
            <v>36</v>
          </cell>
        </row>
        <row r="559">
          <cell r="B559">
            <v>187</v>
          </cell>
        </row>
        <row r="560">
          <cell r="B560">
            <v>182</v>
          </cell>
        </row>
        <row r="561">
          <cell r="B561">
            <v>356</v>
          </cell>
        </row>
        <row r="562">
          <cell r="B562">
            <v>92</v>
          </cell>
        </row>
        <row r="563">
          <cell r="B563">
            <v>113</v>
          </cell>
        </row>
        <row r="564">
          <cell r="B564">
            <v>108</v>
          </cell>
        </row>
        <row r="565">
          <cell r="B565">
            <v>60</v>
          </cell>
        </row>
        <row r="566">
          <cell r="B566">
            <v>252</v>
          </cell>
        </row>
        <row r="567">
          <cell r="B567">
            <v>299</v>
          </cell>
        </row>
        <row r="568">
          <cell r="B568">
            <v>130</v>
          </cell>
        </row>
        <row r="569">
          <cell r="B569">
            <v>134</v>
          </cell>
        </row>
        <row r="570">
          <cell r="B570">
            <v>97</v>
          </cell>
        </row>
        <row r="571">
          <cell r="B571">
            <v>39</v>
          </cell>
        </row>
        <row r="572">
          <cell r="B572">
            <v>153</v>
          </cell>
        </row>
        <row r="573">
          <cell r="B573">
            <v>302</v>
          </cell>
        </row>
        <row r="574">
          <cell r="B574">
            <v>287</v>
          </cell>
        </row>
        <row r="575">
          <cell r="B575">
            <v>522</v>
          </cell>
        </row>
        <row r="576">
          <cell r="B576">
            <v>47</v>
          </cell>
        </row>
        <row r="577">
          <cell r="B577">
            <v>176</v>
          </cell>
        </row>
        <row r="578">
          <cell r="B578">
            <v>602</v>
          </cell>
        </row>
        <row r="579">
          <cell r="B579">
            <v>437</v>
          </cell>
        </row>
        <row r="580">
          <cell r="B580">
            <v>117</v>
          </cell>
        </row>
        <row r="581">
          <cell r="B581">
            <v>96</v>
          </cell>
        </row>
        <row r="582">
          <cell r="B582">
            <v>248</v>
          </cell>
        </row>
        <row r="583">
          <cell r="B583">
            <v>113</v>
          </cell>
        </row>
        <row r="584">
          <cell r="B584">
            <v>520</v>
          </cell>
        </row>
        <row r="585">
          <cell r="B585">
            <v>413</v>
          </cell>
        </row>
        <row r="586">
          <cell r="B586">
            <v>69</v>
          </cell>
        </row>
        <row r="587">
          <cell r="B587">
            <v>144</v>
          </cell>
        </row>
        <row r="588">
          <cell r="B588">
            <v>53</v>
          </cell>
        </row>
        <row r="589">
          <cell r="B589">
            <v>164</v>
          </cell>
        </row>
        <row r="590">
          <cell r="B590">
            <v>413</v>
          </cell>
        </row>
        <row r="591">
          <cell r="B591">
            <v>108</v>
          </cell>
        </row>
        <row r="592">
          <cell r="B592">
            <v>143</v>
          </cell>
        </row>
        <row r="593">
          <cell r="B593">
            <v>57</v>
          </cell>
        </row>
        <row r="594">
          <cell r="B594">
            <v>231</v>
          </cell>
        </row>
        <row r="595">
          <cell r="B595">
            <v>294</v>
          </cell>
        </row>
        <row r="596">
          <cell r="B596">
            <v>114</v>
          </cell>
        </row>
        <row r="597">
          <cell r="B597">
            <v>389</v>
          </cell>
        </row>
        <row r="598">
          <cell r="B598">
            <v>36</v>
          </cell>
        </row>
        <row r="599">
          <cell r="B599">
            <v>228</v>
          </cell>
        </row>
        <row r="601">
          <cell r="B601">
            <v>114</v>
          </cell>
        </row>
        <row r="602">
          <cell r="B602">
            <v>576</v>
          </cell>
        </row>
        <row r="603">
          <cell r="B603">
            <v>579</v>
          </cell>
        </row>
        <row r="604">
          <cell r="B604">
            <v>85</v>
          </cell>
        </row>
        <row r="605">
          <cell r="B605">
            <v>68</v>
          </cell>
        </row>
        <row r="606">
          <cell r="B606">
            <v>98</v>
          </cell>
        </row>
        <row r="607">
          <cell r="B607">
            <v>80</v>
          </cell>
        </row>
        <row r="608">
          <cell r="B608">
            <v>124</v>
          </cell>
        </row>
        <row r="609">
          <cell r="B609">
            <v>136</v>
          </cell>
        </row>
        <row r="610">
          <cell r="B610">
            <v>97</v>
          </cell>
        </row>
        <row r="611">
          <cell r="B611">
            <v>120</v>
          </cell>
        </row>
        <row r="612">
          <cell r="B612">
            <v>142</v>
          </cell>
        </row>
        <row r="613">
          <cell r="B613">
            <v>102</v>
          </cell>
        </row>
        <row r="614">
          <cell r="B614">
            <v>84</v>
          </cell>
        </row>
        <row r="615">
          <cell r="B615">
            <v>104</v>
          </cell>
        </row>
        <row r="616">
          <cell r="B616">
            <v>106</v>
          </cell>
        </row>
        <row r="617">
          <cell r="B617">
            <v>128</v>
          </cell>
        </row>
        <row r="618">
          <cell r="B618">
            <v>98</v>
          </cell>
        </row>
        <row r="619">
          <cell r="B619">
            <v>76</v>
          </cell>
        </row>
        <row r="620">
          <cell r="B620">
            <v>206</v>
          </cell>
        </row>
        <row r="621">
          <cell r="B621">
            <v>114</v>
          </cell>
        </row>
        <row r="622">
          <cell r="B622">
            <v>71</v>
          </cell>
        </row>
        <row r="623">
          <cell r="B623">
            <v>121</v>
          </cell>
        </row>
        <row r="624">
          <cell r="B624">
            <v>99</v>
          </cell>
        </row>
        <row r="625">
          <cell r="B625">
            <v>185</v>
          </cell>
        </row>
        <row r="626">
          <cell r="B626">
            <v>52</v>
          </cell>
        </row>
        <row r="627">
          <cell r="B627">
            <v>68</v>
          </cell>
        </row>
        <row r="628">
          <cell r="B628">
            <v>194</v>
          </cell>
        </row>
        <row r="629">
          <cell r="B629">
            <v>133</v>
          </cell>
        </row>
        <row r="630">
          <cell r="B630">
            <v>126</v>
          </cell>
        </row>
        <row r="631">
          <cell r="B631">
            <v>226</v>
          </cell>
        </row>
        <row r="632">
          <cell r="B632">
            <v>74</v>
          </cell>
        </row>
        <row r="633">
          <cell r="B633">
            <v>54</v>
          </cell>
        </row>
        <row r="634">
          <cell r="B634">
            <v>88</v>
          </cell>
        </row>
        <row r="635">
          <cell r="B635">
            <v>104</v>
          </cell>
        </row>
        <row r="636">
          <cell r="B636">
            <v>123</v>
          </cell>
        </row>
        <row r="637">
          <cell r="B637">
            <v>87</v>
          </cell>
        </row>
        <row r="638">
          <cell r="B638">
            <v>71</v>
          </cell>
        </row>
        <row r="639">
          <cell r="B639">
            <v>129</v>
          </cell>
        </row>
        <row r="640">
          <cell r="B640">
            <v>311</v>
          </cell>
        </row>
        <row r="641">
          <cell r="B641">
            <v>177</v>
          </cell>
        </row>
        <row r="643">
          <cell r="B643">
            <v>203</v>
          </cell>
        </row>
        <row r="644">
          <cell r="B644">
            <v>43</v>
          </cell>
        </row>
        <row r="645">
          <cell r="B645">
            <v>62</v>
          </cell>
        </row>
        <row r="646">
          <cell r="B646">
            <v>96</v>
          </cell>
        </row>
        <row r="647">
          <cell r="B647">
            <v>119</v>
          </cell>
        </row>
        <row r="648">
          <cell r="B648">
            <v>234</v>
          </cell>
        </row>
        <row r="649">
          <cell r="B649">
            <v>182</v>
          </cell>
        </row>
        <row r="650">
          <cell r="B650">
            <v>43</v>
          </cell>
        </row>
        <row r="651">
          <cell r="B651">
            <v>73</v>
          </cell>
        </row>
        <row r="652">
          <cell r="B652">
            <v>52</v>
          </cell>
        </row>
        <row r="653">
          <cell r="B653">
            <v>141</v>
          </cell>
        </row>
        <row r="654">
          <cell r="B654">
            <v>187</v>
          </cell>
        </row>
        <row r="655">
          <cell r="B655">
            <v>33</v>
          </cell>
        </row>
        <row r="656">
          <cell r="B656">
            <v>58</v>
          </cell>
        </row>
        <row r="657">
          <cell r="B657">
            <v>120</v>
          </cell>
        </row>
        <row r="658">
          <cell r="B658">
            <v>107</v>
          </cell>
        </row>
        <row r="659">
          <cell r="B659">
            <v>57</v>
          </cell>
        </row>
        <row r="660">
          <cell r="B660">
            <v>50</v>
          </cell>
        </row>
        <row r="661">
          <cell r="B661">
            <v>75</v>
          </cell>
        </row>
        <row r="662">
          <cell r="B662">
            <v>250</v>
          </cell>
        </row>
        <row r="663">
          <cell r="B663">
            <v>104</v>
          </cell>
        </row>
        <row r="664">
          <cell r="B664">
            <v>58</v>
          </cell>
        </row>
        <row r="665">
          <cell r="B665">
            <v>83</v>
          </cell>
        </row>
        <row r="666">
          <cell r="B666">
            <v>51</v>
          </cell>
        </row>
        <row r="667">
          <cell r="B667">
            <v>47</v>
          </cell>
        </row>
        <row r="668">
          <cell r="B668">
            <v>114</v>
          </cell>
        </row>
        <row r="669">
          <cell r="B669">
            <v>64</v>
          </cell>
        </row>
        <row r="670">
          <cell r="B670">
            <v>50</v>
          </cell>
        </row>
        <row r="671">
          <cell r="B671">
            <v>30</v>
          </cell>
        </row>
        <row r="672">
          <cell r="B672">
            <v>89</v>
          </cell>
        </row>
        <row r="673">
          <cell r="B673">
            <v>51</v>
          </cell>
        </row>
        <row r="674">
          <cell r="B674">
            <v>93</v>
          </cell>
        </row>
        <row r="675">
          <cell r="B675">
            <v>57</v>
          </cell>
        </row>
        <row r="676">
          <cell r="B676">
            <v>116</v>
          </cell>
        </row>
        <row r="677">
          <cell r="B677">
            <v>56</v>
          </cell>
        </row>
        <row r="678">
          <cell r="B678">
            <v>61</v>
          </cell>
        </row>
        <row r="679">
          <cell r="B679">
            <v>66</v>
          </cell>
        </row>
        <row r="680">
          <cell r="B680">
            <v>43</v>
          </cell>
        </row>
        <row r="681">
          <cell r="B681">
            <v>100</v>
          </cell>
        </row>
        <row r="682">
          <cell r="B682">
            <v>90</v>
          </cell>
        </row>
        <row r="683">
          <cell r="B683">
            <v>112</v>
          </cell>
        </row>
      </sheetData>
      <sheetData sheetId="3" refreshError="1"/>
      <sheetData sheetId="4" refreshError="1"/>
      <sheetData sheetId="5" refreshError="1"/>
      <sheetData sheetId="6">
        <row r="1">
          <cell r="B1" t="str">
            <v>仕入単価</v>
          </cell>
          <cell r="C1" t="str">
            <v>商品単価</v>
          </cell>
        </row>
        <row r="2">
          <cell r="B2">
            <v>65</v>
          </cell>
          <cell r="C2">
            <v>120</v>
          </cell>
        </row>
        <row r="3">
          <cell r="B3">
            <v>1000</v>
          </cell>
          <cell r="C3">
            <v>1520</v>
          </cell>
        </row>
        <row r="4">
          <cell r="B4">
            <v>139</v>
          </cell>
          <cell r="C4">
            <v>208</v>
          </cell>
        </row>
        <row r="5">
          <cell r="B5">
            <v>41</v>
          </cell>
          <cell r="C5">
            <v>142</v>
          </cell>
        </row>
        <row r="6">
          <cell r="B6">
            <v>66</v>
          </cell>
          <cell r="C6">
            <v>127</v>
          </cell>
        </row>
        <row r="7">
          <cell r="B7">
            <v>82</v>
          </cell>
          <cell r="C7">
            <v>157</v>
          </cell>
        </row>
        <row r="8">
          <cell r="B8">
            <v>69</v>
          </cell>
          <cell r="C8">
            <v>129</v>
          </cell>
        </row>
        <row r="9">
          <cell r="B9">
            <v>2000</v>
          </cell>
          <cell r="C9">
            <v>2680</v>
          </cell>
        </row>
        <row r="10">
          <cell r="B10">
            <v>61</v>
          </cell>
          <cell r="C10">
            <v>149</v>
          </cell>
        </row>
        <row r="11">
          <cell r="B11">
            <v>100</v>
          </cell>
          <cell r="C11">
            <v>195</v>
          </cell>
        </row>
        <row r="12">
          <cell r="B12">
            <v>41</v>
          </cell>
          <cell r="C12">
            <v>150</v>
          </cell>
        </row>
        <row r="13">
          <cell r="B13">
            <v>41</v>
          </cell>
          <cell r="C13">
            <v>108</v>
          </cell>
        </row>
        <row r="14">
          <cell r="B14">
            <v>59</v>
          </cell>
          <cell r="C14">
            <v>150</v>
          </cell>
        </row>
        <row r="15">
          <cell r="B15">
            <v>43</v>
          </cell>
          <cell r="C15">
            <v>130</v>
          </cell>
        </row>
        <row r="16">
          <cell r="B16">
            <v>101</v>
          </cell>
          <cell r="C16">
            <v>163</v>
          </cell>
        </row>
        <row r="17">
          <cell r="B17">
            <v>63</v>
          </cell>
          <cell r="C17">
            <v>137</v>
          </cell>
        </row>
        <row r="18">
          <cell r="B18">
            <v>70</v>
          </cell>
          <cell r="C18">
            <v>155</v>
          </cell>
        </row>
        <row r="19">
          <cell r="B19">
            <v>77</v>
          </cell>
          <cell r="C19">
            <v>162</v>
          </cell>
        </row>
        <row r="20">
          <cell r="B20">
            <v>114</v>
          </cell>
          <cell r="C20">
            <v>211</v>
          </cell>
        </row>
        <row r="21">
          <cell r="B21">
            <v>85</v>
          </cell>
          <cell r="C21">
            <v>126</v>
          </cell>
        </row>
        <row r="22">
          <cell r="B22">
            <v>86</v>
          </cell>
          <cell r="C22">
            <v>167</v>
          </cell>
        </row>
        <row r="23">
          <cell r="B23">
            <v>44</v>
          </cell>
          <cell r="C23">
            <v>142</v>
          </cell>
        </row>
        <row r="24">
          <cell r="B24">
            <v>62</v>
          </cell>
          <cell r="C24">
            <v>129</v>
          </cell>
        </row>
        <row r="25">
          <cell r="B25">
            <v>102</v>
          </cell>
          <cell r="C25">
            <v>199</v>
          </cell>
        </row>
        <row r="26">
          <cell r="B26">
            <v>54</v>
          </cell>
          <cell r="C26">
            <v>176</v>
          </cell>
        </row>
        <row r="27">
          <cell r="B27">
            <v>86</v>
          </cell>
          <cell r="C27">
            <v>158</v>
          </cell>
        </row>
        <row r="28">
          <cell r="B28">
            <v>105</v>
          </cell>
          <cell r="C28">
            <v>206</v>
          </cell>
        </row>
        <row r="29">
          <cell r="B29">
            <v>55</v>
          </cell>
          <cell r="C29">
            <v>152</v>
          </cell>
        </row>
        <row r="30">
          <cell r="B30">
            <v>69</v>
          </cell>
          <cell r="C30">
            <v>112</v>
          </cell>
        </row>
        <row r="31">
          <cell r="B31">
            <v>84</v>
          </cell>
          <cell r="C31">
            <v>177</v>
          </cell>
        </row>
        <row r="32">
          <cell r="B32">
            <v>82</v>
          </cell>
          <cell r="C32">
            <v>112</v>
          </cell>
        </row>
        <row r="33">
          <cell r="B33">
            <v>70</v>
          </cell>
          <cell r="C33">
            <v>160</v>
          </cell>
        </row>
        <row r="34">
          <cell r="B34">
            <v>55</v>
          </cell>
          <cell r="C34">
            <v>168</v>
          </cell>
        </row>
        <row r="35">
          <cell r="B35">
            <v>43</v>
          </cell>
          <cell r="C35">
            <v>134</v>
          </cell>
        </row>
        <row r="36">
          <cell r="B36">
            <v>52</v>
          </cell>
          <cell r="C36">
            <v>155</v>
          </cell>
        </row>
        <row r="37">
          <cell r="B37">
            <v>76</v>
          </cell>
          <cell r="C37">
            <v>135</v>
          </cell>
        </row>
        <row r="38">
          <cell r="B38">
            <v>88</v>
          </cell>
          <cell r="C38">
            <v>170</v>
          </cell>
        </row>
        <row r="39">
          <cell r="B39">
            <v>109</v>
          </cell>
          <cell r="C39">
            <v>191</v>
          </cell>
        </row>
        <row r="40">
          <cell r="B40">
            <v>48</v>
          </cell>
          <cell r="C40">
            <v>127</v>
          </cell>
        </row>
        <row r="41">
          <cell r="B41">
            <v>44</v>
          </cell>
          <cell r="C41">
            <v>97</v>
          </cell>
        </row>
        <row r="42">
          <cell r="B42">
            <v>90</v>
          </cell>
          <cell r="C42">
            <v>146</v>
          </cell>
        </row>
        <row r="43">
          <cell r="B43">
            <v>60</v>
          </cell>
          <cell r="C43">
            <v>107</v>
          </cell>
        </row>
        <row r="44">
          <cell r="B44">
            <v>96</v>
          </cell>
          <cell r="C44">
            <v>210</v>
          </cell>
        </row>
        <row r="45">
          <cell r="B45">
            <v>93</v>
          </cell>
          <cell r="C45">
            <v>176</v>
          </cell>
        </row>
        <row r="46">
          <cell r="B46">
            <v>29</v>
          </cell>
          <cell r="C46">
            <v>120</v>
          </cell>
        </row>
        <row r="47">
          <cell r="B47">
            <v>37</v>
          </cell>
          <cell r="C47">
            <v>155</v>
          </cell>
        </row>
        <row r="48">
          <cell r="B48">
            <v>95</v>
          </cell>
          <cell r="C48">
            <v>192</v>
          </cell>
        </row>
        <row r="49">
          <cell r="B49">
            <v>101</v>
          </cell>
          <cell r="C49">
            <v>178</v>
          </cell>
        </row>
        <row r="50">
          <cell r="B50">
            <v>42</v>
          </cell>
          <cell r="C50">
            <v>118</v>
          </cell>
        </row>
        <row r="51">
          <cell r="B51">
            <v>77</v>
          </cell>
          <cell r="C51">
            <v>168</v>
          </cell>
        </row>
        <row r="52">
          <cell r="B52">
            <v>42</v>
          </cell>
          <cell r="C52">
            <v>103</v>
          </cell>
        </row>
        <row r="53">
          <cell r="B53">
            <v>57</v>
          </cell>
          <cell r="C53">
            <v>136</v>
          </cell>
        </row>
        <row r="54">
          <cell r="B54">
            <v>89</v>
          </cell>
          <cell r="C54">
            <v>169</v>
          </cell>
        </row>
        <row r="55">
          <cell r="B55">
            <v>89</v>
          </cell>
          <cell r="C55">
            <v>150</v>
          </cell>
        </row>
        <row r="56">
          <cell r="B56">
            <v>79</v>
          </cell>
          <cell r="C56">
            <v>168</v>
          </cell>
        </row>
        <row r="57">
          <cell r="B57">
            <v>109</v>
          </cell>
          <cell r="C57">
            <v>220</v>
          </cell>
        </row>
        <row r="58">
          <cell r="B58">
            <v>74</v>
          </cell>
          <cell r="C58">
            <v>138</v>
          </cell>
        </row>
        <row r="59">
          <cell r="B59">
            <v>72</v>
          </cell>
          <cell r="C59">
            <v>177</v>
          </cell>
        </row>
        <row r="60">
          <cell r="B60">
            <v>86</v>
          </cell>
          <cell r="C60">
            <v>177</v>
          </cell>
        </row>
        <row r="61">
          <cell r="B61">
            <v>58</v>
          </cell>
          <cell r="C61">
            <v>141</v>
          </cell>
        </row>
        <row r="62">
          <cell r="B62">
            <v>51</v>
          </cell>
          <cell r="C62">
            <v>186</v>
          </cell>
        </row>
        <row r="63">
          <cell r="B63">
            <v>98</v>
          </cell>
          <cell r="C63">
            <v>221</v>
          </cell>
        </row>
        <row r="64">
          <cell r="B64">
            <v>114</v>
          </cell>
          <cell r="C64">
            <v>210</v>
          </cell>
        </row>
        <row r="65">
          <cell r="B65">
            <v>119</v>
          </cell>
          <cell r="C65">
            <v>198</v>
          </cell>
        </row>
        <row r="66">
          <cell r="B66">
            <v>93</v>
          </cell>
          <cell r="C66">
            <v>170</v>
          </cell>
        </row>
        <row r="67">
          <cell r="B67">
            <v>15</v>
          </cell>
          <cell r="C67">
            <v>102</v>
          </cell>
        </row>
        <row r="68">
          <cell r="B68">
            <v>46</v>
          </cell>
          <cell r="C68">
            <v>129</v>
          </cell>
        </row>
        <row r="69">
          <cell r="B69">
            <v>76</v>
          </cell>
          <cell r="C69">
            <v>141</v>
          </cell>
        </row>
        <row r="70">
          <cell r="B70">
            <v>30</v>
          </cell>
          <cell r="C70">
            <v>148</v>
          </cell>
        </row>
        <row r="71">
          <cell r="B71">
            <v>61</v>
          </cell>
          <cell r="C71">
            <v>162</v>
          </cell>
        </row>
        <row r="72">
          <cell r="B72">
            <v>48</v>
          </cell>
          <cell r="C72">
            <v>134</v>
          </cell>
        </row>
        <row r="73">
          <cell r="B73">
            <v>63</v>
          </cell>
          <cell r="C73">
            <v>154</v>
          </cell>
        </row>
        <row r="74">
          <cell r="B74">
            <v>47</v>
          </cell>
          <cell r="C74">
            <v>116</v>
          </cell>
        </row>
        <row r="75">
          <cell r="B75">
            <v>60</v>
          </cell>
          <cell r="C75">
            <v>104</v>
          </cell>
        </row>
        <row r="76">
          <cell r="B76">
            <v>60</v>
          </cell>
          <cell r="C76">
            <v>178</v>
          </cell>
        </row>
        <row r="77">
          <cell r="B77">
            <v>82</v>
          </cell>
          <cell r="C77">
            <v>145</v>
          </cell>
        </row>
        <row r="78">
          <cell r="B78">
            <v>44</v>
          </cell>
          <cell r="C78">
            <v>119</v>
          </cell>
        </row>
        <row r="79">
          <cell r="B79">
            <v>15</v>
          </cell>
          <cell r="C79">
            <v>128</v>
          </cell>
        </row>
        <row r="80">
          <cell r="B80">
            <v>85</v>
          </cell>
          <cell r="C80">
            <v>142</v>
          </cell>
        </row>
        <row r="81">
          <cell r="B81">
            <v>105</v>
          </cell>
          <cell r="C81">
            <v>150</v>
          </cell>
        </row>
        <row r="82">
          <cell r="B82">
            <v>51</v>
          </cell>
          <cell r="C82">
            <v>142</v>
          </cell>
        </row>
        <row r="83">
          <cell r="B83">
            <v>79</v>
          </cell>
          <cell r="C83">
            <v>156</v>
          </cell>
        </row>
        <row r="84">
          <cell r="B84">
            <v>105</v>
          </cell>
          <cell r="C84">
            <v>191</v>
          </cell>
        </row>
        <row r="85">
          <cell r="B85">
            <v>47</v>
          </cell>
          <cell r="C85">
            <v>116</v>
          </cell>
        </row>
        <row r="86">
          <cell r="B86">
            <v>98</v>
          </cell>
          <cell r="C86">
            <v>170</v>
          </cell>
        </row>
        <row r="87">
          <cell r="B87">
            <v>44</v>
          </cell>
          <cell r="C87">
            <v>119</v>
          </cell>
        </row>
        <row r="88">
          <cell r="B88">
            <v>122</v>
          </cell>
          <cell r="C88">
            <v>216</v>
          </cell>
        </row>
        <row r="89">
          <cell r="B89">
            <v>106</v>
          </cell>
          <cell r="C89">
            <v>182</v>
          </cell>
        </row>
        <row r="90">
          <cell r="B90">
            <v>52</v>
          </cell>
          <cell r="C90">
            <v>154</v>
          </cell>
        </row>
        <row r="91">
          <cell r="B91">
            <v>55</v>
          </cell>
          <cell r="C91">
            <v>195</v>
          </cell>
        </row>
        <row r="92">
          <cell r="B92">
            <v>92</v>
          </cell>
          <cell r="C92">
            <v>175</v>
          </cell>
        </row>
        <row r="93">
          <cell r="B93">
            <v>82</v>
          </cell>
          <cell r="C93">
            <v>154</v>
          </cell>
        </row>
        <row r="94">
          <cell r="B94">
            <v>103</v>
          </cell>
          <cell r="C94">
            <v>169</v>
          </cell>
        </row>
        <row r="95">
          <cell r="B95">
            <v>98</v>
          </cell>
          <cell r="C95">
            <v>170</v>
          </cell>
        </row>
        <row r="96">
          <cell r="B96">
            <v>82</v>
          </cell>
          <cell r="C96">
            <v>128</v>
          </cell>
        </row>
        <row r="97">
          <cell r="B97">
            <v>58</v>
          </cell>
          <cell r="C97">
            <v>159</v>
          </cell>
        </row>
        <row r="98">
          <cell r="B98">
            <v>92</v>
          </cell>
          <cell r="C98">
            <v>137</v>
          </cell>
        </row>
        <row r="99">
          <cell r="B99">
            <v>58</v>
          </cell>
          <cell r="C99">
            <v>109</v>
          </cell>
        </row>
        <row r="100">
          <cell r="B100">
            <v>38</v>
          </cell>
          <cell r="C100">
            <v>128</v>
          </cell>
        </row>
        <row r="101">
          <cell r="B101">
            <v>77</v>
          </cell>
          <cell r="C101">
            <v>133</v>
          </cell>
        </row>
        <row r="102">
          <cell r="B102">
            <v>79</v>
          </cell>
          <cell r="C102">
            <v>146</v>
          </cell>
        </row>
        <row r="103">
          <cell r="B103">
            <v>88</v>
          </cell>
          <cell r="C103">
            <v>164</v>
          </cell>
        </row>
        <row r="104">
          <cell r="B104">
            <v>74</v>
          </cell>
          <cell r="C104">
            <v>149</v>
          </cell>
        </row>
        <row r="105">
          <cell r="B105">
            <v>106</v>
          </cell>
          <cell r="C105">
            <v>168</v>
          </cell>
        </row>
        <row r="106">
          <cell r="B106">
            <v>51</v>
          </cell>
          <cell r="C106">
            <v>130</v>
          </cell>
        </row>
        <row r="107">
          <cell r="B107">
            <v>39</v>
          </cell>
          <cell r="C107">
            <v>126</v>
          </cell>
        </row>
        <row r="108">
          <cell r="B108">
            <v>36</v>
          </cell>
          <cell r="C108">
            <v>115</v>
          </cell>
        </row>
        <row r="109">
          <cell r="B109">
            <v>72</v>
          </cell>
          <cell r="C109">
            <v>136</v>
          </cell>
        </row>
        <row r="110">
          <cell r="B110">
            <v>106</v>
          </cell>
          <cell r="C110">
            <v>161</v>
          </cell>
        </row>
        <row r="111">
          <cell r="B111">
            <v>43</v>
          </cell>
          <cell r="C111">
            <v>108</v>
          </cell>
        </row>
        <row r="112">
          <cell r="B112">
            <v>105</v>
          </cell>
          <cell r="C112">
            <v>198</v>
          </cell>
        </row>
        <row r="113">
          <cell r="B113">
            <v>90</v>
          </cell>
          <cell r="C113">
            <v>203</v>
          </cell>
        </row>
        <row r="114">
          <cell r="B114">
            <v>70</v>
          </cell>
          <cell r="C114">
            <v>109</v>
          </cell>
        </row>
        <row r="115">
          <cell r="B115">
            <v>15</v>
          </cell>
          <cell r="C115">
            <v>109</v>
          </cell>
        </row>
        <row r="116">
          <cell r="B116">
            <v>93</v>
          </cell>
          <cell r="C116">
            <v>140</v>
          </cell>
        </row>
        <row r="117">
          <cell r="B117">
            <v>60</v>
          </cell>
          <cell r="C117">
            <v>102</v>
          </cell>
        </row>
        <row r="118">
          <cell r="B118">
            <v>90</v>
          </cell>
          <cell r="C118">
            <v>142</v>
          </cell>
        </row>
        <row r="119">
          <cell r="B119">
            <v>39</v>
          </cell>
          <cell r="C119">
            <v>171</v>
          </cell>
        </row>
        <row r="120">
          <cell r="B120">
            <v>113</v>
          </cell>
          <cell r="C120">
            <v>212</v>
          </cell>
        </row>
        <row r="121">
          <cell r="B121">
            <v>78</v>
          </cell>
          <cell r="C121">
            <v>141</v>
          </cell>
        </row>
        <row r="122">
          <cell r="B122">
            <v>127</v>
          </cell>
          <cell r="C122">
            <v>184</v>
          </cell>
        </row>
        <row r="123">
          <cell r="B123">
            <v>90</v>
          </cell>
          <cell r="C123">
            <v>164</v>
          </cell>
        </row>
        <row r="124">
          <cell r="B124">
            <v>105</v>
          </cell>
          <cell r="C124">
            <v>179</v>
          </cell>
        </row>
        <row r="125">
          <cell r="B125">
            <v>126</v>
          </cell>
          <cell r="C125">
            <v>159</v>
          </cell>
        </row>
        <row r="126">
          <cell r="B126">
            <v>45</v>
          </cell>
          <cell r="C126">
            <v>140</v>
          </cell>
        </row>
        <row r="127">
          <cell r="B127">
            <v>102</v>
          </cell>
          <cell r="C127">
            <v>175</v>
          </cell>
        </row>
        <row r="128">
          <cell r="B128">
            <v>95</v>
          </cell>
          <cell r="C128">
            <v>161</v>
          </cell>
        </row>
        <row r="129">
          <cell r="B129">
            <v>63</v>
          </cell>
          <cell r="C129">
            <v>173</v>
          </cell>
        </row>
        <row r="130">
          <cell r="B130">
            <v>108</v>
          </cell>
          <cell r="C130">
            <v>186</v>
          </cell>
        </row>
        <row r="131">
          <cell r="B131">
            <v>117</v>
          </cell>
          <cell r="C131">
            <v>187</v>
          </cell>
        </row>
        <row r="132">
          <cell r="B132">
            <v>61</v>
          </cell>
          <cell r="C132">
            <v>130</v>
          </cell>
        </row>
        <row r="133">
          <cell r="B133">
            <v>72</v>
          </cell>
          <cell r="C133">
            <v>112</v>
          </cell>
        </row>
        <row r="134">
          <cell r="B134">
            <v>108</v>
          </cell>
          <cell r="C134">
            <v>183</v>
          </cell>
        </row>
        <row r="135">
          <cell r="B135">
            <v>79</v>
          </cell>
          <cell r="C135">
            <v>175</v>
          </cell>
        </row>
        <row r="136">
          <cell r="B136">
            <v>68</v>
          </cell>
          <cell r="C136">
            <v>140</v>
          </cell>
        </row>
        <row r="137">
          <cell r="B137">
            <v>107</v>
          </cell>
          <cell r="C137">
            <v>177</v>
          </cell>
        </row>
        <row r="138">
          <cell r="B138">
            <v>46</v>
          </cell>
          <cell r="C138">
            <v>139</v>
          </cell>
        </row>
        <row r="139">
          <cell r="B139">
            <v>138</v>
          </cell>
          <cell r="C139">
            <v>186</v>
          </cell>
        </row>
        <row r="140">
          <cell r="B140">
            <v>84</v>
          </cell>
          <cell r="C140">
            <v>173</v>
          </cell>
        </row>
        <row r="141">
          <cell r="B141">
            <v>109</v>
          </cell>
          <cell r="C141">
            <v>176</v>
          </cell>
        </row>
        <row r="142">
          <cell r="B142">
            <v>74</v>
          </cell>
          <cell r="C142">
            <v>144</v>
          </cell>
        </row>
        <row r="143">
          <cell r="B143">
            <v>100</v>
          </cell>
          <cell r="C143">
            <v>146</v>
          </cell>
        </row>
        <row r="144">
          <cell r="B144">
            <v>86</v>
          </cell>
          <cell r="C144">
            <v>184</v>
          </cell>
        </row>
        <row r="145">
          <cell r="B145">
            <v>121</v>
          </cell>
          <cell r="C145">
            <v>185</v>
          </cell>
        </row>
        <row r="146">
          <cell r="B146">
            <v>82</v>
          </cell>
          <cell r="C146">
            <v>124</v>
          </cell>
        </row>
        <row r="147">
          <cell r="B147">
            <v>53</v>
          </cell>
          <cell r="C147">
            <v>146</v>
          </cell>
        </row>
        <row r="148">
          <cell r="B148">
            <v>40</v>
          </cell>
          <cell r="C148">
            <v>97</v>
          </cell>
        </row>
        <row r="149">
          <cell r="B149">
            <v>92</v>
          </cell>
          <cell r="C149">
            <v>152</v>
          </cell>
        </row>
        <row r="150">
          <cell r="B150">
            <v>112</v>
          </cell>
          <cell r="C150">
            <v>178</v>
          </cell>
        </row>
        <row r="151">
          <cell r="B151">
            <v>90</v>
          </cell>
          <cell r="C151">
            <v>166</v>
          </cell>
        </row>
        <row r="152">
          <cell r="B152">
            <v>35</v>
          </cell>
          <cell r="C152">
            <v>101</v>
          </cell>
        </row>
        <row r="153">
          <cell r="B153">
            <v>41</v>
          </cell>
          <cell r="C153">
            <v>102</v>
          </cell>
        </row>
        <row r="154">
          <cell r="B154">
            <v>60</v>
          </cell>
          <cell r="C154">
            <v>72</v>
          </cell>
        </row>
        <row r="155">
          <cell r="B155">
            <v>24</v>
          </cell>
          <cell r="C155">
            <v>100</v>
          </cell>
        </row>
        <row r="156">
          <cell r="B156">
            <v>55</v>
          </cell>
          <cell r="C156">
            <v>104</v>
          </cell>
        </row>
        <row r="157">
          <cell r="B157">
            <v>62</v>
          </cell>
          <cell r="C157">
            <v>104</v>
          </cell>
        </row>
        <row r="158">
          <cell r="B158">
            <v>45</v>
          </cell>
          <cell r="C158">
            <v>128</v>
          </cell>
        </row>
        <row r="159">
          <cell r="B159">
            <v>111</v>
          </cell>
          <cell r="C159">
            <v>189</v>
          </cell>
        </row>
        <row r="160">
          <cell r="B160">
            <v>98</v>
          </cell>
          <cell r="C160">
            <v>198</v>
          </cell>
        </row>
        <row r="161">
          <cell r="B161">
            <v>18</v>
          </cell>
          <cell r="C161">
            <v>124</v>
          </cell>
        </row>
        <row r="162">
          <cell r="B162">
            <v>74</v>
          </cell>
          <cell r="C162">
            <v>134</v>
          </cell>
        </row>
        <row r="163">
          <cell r="B163">
            <v>53</v>
          </cell>
          <cell r="C163">
            <v>137</v>
          </cell>
        </row>
        <row r="164">
          <cell r="B164">
            <v>72</v>
          </cell>
          <cell r="C164">
            <v>135</v>
          </cell>
        </row>
        <row r="165">
          <cell r="B165">
            <v>83</v>
          </cell>
          <cell r="C165">
            <v>140</v>
          </cell>
        </row>
        <row r="166">
          <cell r="B166">
            <v>83</v>
          </cell>
          <cell r="C166">
            <v>174</v>
          </cell>
        </row>
        <row r="167">
          <cell r="B167">
            <v>81</v>
          </cell>
          <cell r="C167">
            <v>112</v>
          </cell>
        </row>
        <row r="168">
          <cell r="B168">
            <v>67</v>
          </cell>
          <cell r="C168">
            <v>133</v>
          </cell>
        </row>
        <row r="169">
          <cell r="B169">
            <v>59</v>
          </cell>
          <cell r="C169">
            <v>145</v>
          </cell>
        </row>
        <row r="170">
          <cell r="B170">
            <v>43</v>
          </cell>
          <cell r="C170">
            <v>107</v>
          </cell>
        </row>
        <row r="171">
          <cell r="B171">
            <v>67</v>
          </cell>
          <cell r="C171">
            <v>186</v>
          </cell>
        </row>
        <row r="172">
          <cell r="B172">
            <v>82</v>
          </cell>
          <cell r="C172">
            <v>147</v>
          </cell>
        </row>
        <row r="173">
          <cell r="B173">
            <v>86</v>
          </cell>
          <cell r="C173">
            <v>181</v>
          </cell>
        </row>
        <row r="174">
          <cell r="B174">
            <v>79</v>
          </cell>
          <cell r="C174">
            <v>162</v>
          </cell>
        </row>
        <row r="175">
          <cell r="B175">
            <v>67</v>
          </cell>
          <cell r="C175">
            <v>118</v>
          </cell>
        </row>
        <row r="176">
          <cell r="B176">
            <v>74</v>
          </cell>
          <cell r="C176">
            <v>120</v>
          </cell>
        </row>
        <row r="177">
          <cell r="B177">
            <v>121</v>
          </cell>
          <cell r="C177">
            <v>193</v>
          </cell>
        </row>
        <row r="178">
          <cell r="B178">
            <v>86</v>
          </cell>
          <cell r="C178">
            <v>196</v>
          </cell>
        </row>
        <row r="179">
          <cell r="B179">
            <v>67</v>
          </cell>
          <cell r="C179">
            <v>178</v>
          </cell>
        </row>
        <row r="180">
          <cell r="B180">
            <v>87</v>
          </cell>
          <cell r="C180">
            <v>177</v>
          </cell>
        </row>
        <row r="181">
          <cell r="B181">
            <v>50</v>
          </cell>
          <cell r="C181">
            <v>84</v>
          </cell>
        </row>
        <row r="182">
          <cell r="B182">
            <v>72</v>
          </cell>
          <cell r="C182">
            <v>200</v>
          </cell>
        </row>
        <row r="183">
          <cell r="B183">
            <v>89</v>
          </cell>
          <cell r="C183">
            <v>194</v>
          </cell>
        </row>
        <row r="184">
          <cell r="B184">
            <v>40</v>
          </cell>
          <cell r="C184">
            <v>125</v>
          </cell>
        </row>
        <row r="185">
          <cell r="B185">
            <v>99</v>
          </cell>
          <cell r="C185">
            <v>163</v>
          </cell>
        </row>
        <row r="186">
          <cell r="B186">
            <v>68</v>
          </cell>
          <cell r="C186">
            <v>155</v>
          </cell>
        </row>
        <row r="187">
          <cell r="B187">
            <v>60</v>
          </cell>
          <cell r="C187">
            <v>113</v>
          </cell>
        </row>
        <row r="188">
          <cell r="B188">
            <v>55</v>
          </cell>
          <cell r="C188">
            <v>133</v>
          </cell>
        </row>
        <row r="189">
          <cell r="B189">
            <v>62</v>
          </cell>
          <cell r="C189">
            <v>119</v>
          </cell>
        </row>
        <row r="190">
          <cell r="B190">
            <v>53</v>
          </cell>
          <cell r="C190">
            <v>106</v>
          </cell>
        </row>
        <row r="191">
          <cell r="B191">
            <v>51</v>
          </cell>
          <cell r="C191">
            <v>146</v>
          </cell>
        </row>
        <row r="192">
          <cell r="B192">
            <v>58</v>
          </cell>
          <cell r="C192">
            <v>140</v>
          </cell>
        </row>
        <row r="193">
          <cell r="B193">
            <v>130</v>
          </cell>
          <cell r="C193">
            <v>226</v>
          </cell>
        </row>
        <row r="194">
          <cell r="B194">
            <v>71</v>
          </cell>
          <cell r="C194">
            <v>151</v>
          </cell>
        </row>
        <row r="195">
          <cell r="B195">
            <v>71</v>
          </cell>
          <cell r="C195">
            <v>110</v>
          </cell>
        </row>
        <row r="196">
          <cell r="B196">
            <v>105</v>
          </cell>
          <cell r="C196">
            <v>192</v>
          </cell>
        </row>
        <row r="197">
          <cell r="B197">
            <v>117</v>
          </cell>
          <cell r="C197">
            <v>168</v>
          </cell>
        </row>
        <row r="198">
          <cell r="B198">
            <v>39</v>
          </cell>
          <cell r="C198">
            <v>135</v>
          </cell>
        </row>
        <row r="199">
          <cell r="B199">
            <v>60</v>
          </cell>
          <cell r="C199">
            <v>157</v>
          </cell>
        </row>
        <row r="200">
          <cell r="B200">
            <v>63</v>
          </cell>
          <cell r="C200">
            <v>152</v>
          </cell>
        </row>
        <row r="201">
          <cell r="B201">
            <v>97</v>
          </cell>
          <cell r="C201">
            <v>206</v>
          </cell>
        </row>
        <row r="202">
          <cell r="B202">
            <v>127</v>
          </cell>
          <cell r="C202">
            <v>192</v>
          </cell>
        </row>
        <row r="203">
          <cell r="B203">
            <v>92</v>
          </cell>
          <cell r="C203">
            <v>166</v>
          </cell>
        </row>
        <row r="204">
          <cell r="B204">
            <v>71</v>
          </cell>
          <cell r="C204">
            <v>124</v>
          </cell>
        </row>
        <row r="205">
          <cell r="B205">
            <v>57</v>
          </cell>
          <cell r="C205">
            <v>156</v>
          </cell>
        </row>
        <row r="206">
          <cell r="B206">
            <v>84</v>
          </cell>
          <cell r="C206">
            <v>186</v>
          </cell>
        </row>
        <row r="207">
          <cell r="B207">
            <v>82</v>
          </cell>
          <cell r="C207">
            <v>137</v>
          </cell>
        </row>
        <row r="208">
          <cell r="B208">
            <v>98</v>
          </cell>
          <cell r="C208">
            <v>176</v>
          </cell>
        </row>
        <row r="209">
          <cell r="B209">
            <v>33</v>
          </cell>
          <cell r="C209">
            <v>89</v>
          </cell>
        </row>
        <row r="210">
          <cell r="B210">
            <v>109</v>
          </cell>
          <cell r="C210">
            <v>169</v>
          </cell>
        </row>
        <row r="211">
          <cell r="B211">
            <v>112</v>
          </cell>
          <cell r="C211">
            <v>160</v>
          </cell>
        </row>
        <row r="212">
          <cell r="B212">
            <v>93</v>
          </cell>
          <cell r="C212">
            <v>175</v>
          </cell>
        </row>
        <row r="213">
          <cell r="B213">
            <v>64</v>
          </cell>
          <cell r="C213">
            <v>135</v>
          </cell>
        </row>
        <row r="214">
          <cell r="B214">
            <v>93</v>
          </cell>
          <cell r="C214">
            <v>202</v>
          </cell>
        </row>
        <row r="215">
          <cell r="B215">
            <v>62</v>
          </cell>
          <cell r="C215">
            <v>189</v>
          </cell>
        </row>
        <row r="216">
          <cell r="B216">
            <v>71</v>
          </cell>
          <cell r="C216">
            <v>132</v>
          </cell>
        </row>
        <row r="217">
          <cell r="B217">
            <v>51</v>
          </cell>
          <cell r="C217">
            <v>138</v>
          </cell>
        </row>
        <row r="218">
          <cell r="B218">
            <v>83</v>
          </cell>
          <cell r="C218">
            <v>170</v>
          </cell>
        </row>
        <row r="219">
          <cell r="B219">
            <v>81</v>
          </cell>
          <cell r="C219">
            <v>186</v>
          </cell>
        </row>
        <row r="220">
          <cell r="B220">
            <v>52</v>
          </cell>
          <cell r="C220">
            <v>89</v>
          </cell>
        </row>
        <row r="221">
          <cell r="B221">
            <v>45</v>
          </cell>
          <cell r="C221">
            <v>105</v>
          </cell>
        </row>
        <row r="222">
          <cell r="B222">
            <v>54</v>
          </cell>
          <cell r="C222">
            <v>0</v>
          </cell>
        </row>
        <row r="223">
          <cell r="B223">
            <v>116</v>
          </cell>
          <cell r="C223">
            <v>189</v>
          </cell>
        </row>
        <row r="224">
          <cell r="B224">
            <v>72</v>
          </cell>
          <cell r="C224">
            <v>152</v>
          </cell>
        </row>
        <row r="225">
          <cell r="B225">
            <v>103</v>
          </cell>
          <cell r="C225">
            <v>226</v>
          </cell>
        </row>
        <row r="226">
          <cell r="B226">
            <v>76</v>
          </cell>
          <cell r="C226">
            <v>146</v>
          </cell>
        </row>
        <row r="227">
          <cell r="B227">
            <v>66</v>
          </cell>
          <cell r="C227">
            <v>197</v>
          </cell>
        </row>
        <row r="228">
          <cell r="B228">
            <v>87</v>
          </cell>
          <cell r="C228">
            <v>188</v>
          </cell>
        </row>
        <row r="229">
          <cell r="B229">
            <v>109</v>
          </cell>
          <cell r="C229">
            <v>151</v>
          </cell>
        </row>
        <row r="230">
          <cell r="B230">
            <v>128</v>
          </cell>
          <cell r="C230">
            <v>207</v>
          </cell>
        </row>
        <row r="231">
          <cell r="B231">
            <v>73</v>
          </cell>
          <cell r="C231">
            <v>104</v>
          </cell>
        </row>
        <row r="232">
          <cell r="B232">
            <v>78</v>
          </cell>
          <cell r="C232">
            <v>188</v>
          </cell>
        </row>
        <row r="233">
          <cell r="B233">
            <v>151</v>
          </cell>
          <cell r="C233">
            <v>234</v>
          </cell>
        </row>
        <row r="234">
          <cell r="B234">
            <v>114</v>
          </cell>
          <cell r="C234">
            <v>202</v>
          </cell>
        </row>
        <row r="235">
          <cell r="B235">
            <v>60</v>
          </cell>
          <cell r="C235">
            <v>126</v>
          </cell>
        </row>
        <row r="236">
          <cell r="B236">
            <v>69</v>
          </cell>
          <cell r="C236">
            <v>144</v>
          </cell>
        </row>
        <row r="237">
          <cell r="B237">
            <v>88</v>
          </cell>
          <cell r="C237">
            <v>180</v>
          </cell>
        </row>
        <row r="238">
          <cell r="B238">
            <v>58</v>
          </cell>
          <cell r="C238">
            <v>138</v>
          </cell>
        </row>
        <row r="239">
          <cell r="B239">
            <v>103</v>
          </cell>
          <cell r="C239">
            <v>220</v>
          </cell>
        </row>
        <row r="240">
          <cell r="B240">
            <v>87</v>
          </cell>
          <cell r="C240">
            <v>204</v>
          </cell>
        </row>
        <row r="241">
          <cell r="B241">
            <v>105</v>
          </cell>
          <cell r="C241">
            <v>153</v>
          </cell>
        </row>
        <row r="242">
          <cell r="B242">
            <v>53</v>
          </cell>
          <cell r="C242">
            <v>114</v>
          </cell>
        </row>
        <row r="243">
          <cell r="B243">
            <v>72</v>
          </cell>
          <cell r="C243">
            <v>130</v>
          </cell>
        </row>
        <row r="244">
          <cell r="B244">
            <v>62</v>
          </cell>
          <cell r="C244">
            <v>146</v>
          </cell>
        </row>
        <row r="245">
          <cell r="B245">
            <v>66</v>
          </cell>
          <cell r="C245">
            <v>179</v>
          </cell>
        </row>
        <row r="246">
          <cell r="B246">
            <v>74</v>
          </cell>
          <cell r="C246">
            <v>148</v>
          </cell>
        </row>
        <row r="247">
          <cell r="B247">
            <v>73</v>
          </cell>
          <cell r="C247">
            <v>133</v>
          </cell>
        </row>
        <row r="248">
          <cell r="B248">
            <v>150</v>
          </cell>
          <cell r="C248">
            <v>210</v>
          </cell>
        </row>
        <row r="249">
          <cell r="B249">
            <v>86</v>
          </cell>
          <cell r="C249">
            <v>153</v>
          </cell>
        </row>
        <row r="250">
          <cell r="B250">
            <v>79</v>
          </cell>
          <cell r="C250">
            <v>99</v>
          </cell>
        </row>
        <row r="251">
          <cell r="B251">
            <v>80</v>
          </cell>
          <cell r="C251">
            <v>148</v>
          </cell>
        </row>
        <row r="252">
          <cell r="B252">
            <v>30</v>
          </cell>
          <cell r="C252">
            <v>134</v>
          </cell>
        </row>
        <row r="253">
          <cell r="B253">
            <v>69</v>
          </cell>
          <cell r="C253">
            <v>172</v>
          </cell>
        </row>
        <row r="254">
          <cell r="B254">
            <v>73</v>
          </cell>
          <cell r="C254">
            <v>116</v>
          </cell>
        </row>
        <row r="255">
          <cell r="B255">
            <v>44</v>
          </cell>
          <cell r="C255">
            <v>115</v>
          </cell>
        </row>
        <row r="256">
          <cell r="B256">
            <v>76</v>
          </cell>
          <cell r="C256">
            <v>157</v>
          </cell>
        </row>
        <row r="257">
          <cell r="B257">
            <v>97</v>
          </cell>
          <cell r="C257">
            <v>208</v>
          </cell>
        </row>
        <row r="258">
          <cell r="B258">
            <v>81</v>
          </cell>
          <cell r="C258">
            <v>145</v>
          </cell>
        </row>
        <row r="259">
          <cell r="B259">
            <v>84</v>
          </cell>
          <cell r="C259">
            <v>130</v>
          </cell>
        </row>
        <row r="260">
          <cell r="B260">
            <v>106</v>
          </cell>
          <cell r="C260">
            <v>222</v>
          </cell>
        </row>
        <row r="261">
          <cell r="B261">
            <v>104</v>
          </cell>
          <cell r="C261">
            <v>194</v>
          </cell>
        </row>
        <row r="262">
          <cell r="B262">
            <v>67</v>
          </cell>
          <cell r="C262">
            <v>113</v>
          </cell>
        </row>
        <row r="263">
          <cell r="B263">
            <v>63</v>
          </cell>
          <cell r="C263">
            <v>145</v>
          </cell>
        </row>
        <row r="264">
          <cell r="B264">
            <v>90</v>
          </cell>
          <cell r="C264">
            <v>154</v>
          </cell>
        </row>
        <row r="265">
          <cell r="B265">
            <v>63</v>
          </cell>
          <cell r="C265">
            <v>126</v>
          </cell>
        </row>
        <row r="266">
          <cell r="B266">
            <v>46</v>
          </cell>
          <cell r="C266">
            <v>108</v>
          </cell>
        </row>
        <row r="267">
          <cell r="B267">
            <v>56</v>
          </cell>
          <cell r="C267">
            <v>120</v>
          </cell>
        </row>
        <row r="268">
          <cell r="B268">
            <v>75</v>
          </cell>
          <cell r="C268">
            <v>172</v>
          </cell>
        </row>
        <row r="269">
          <cell r="B269">
            <v>82</v>
          </cell>
          <cell r="C269">
            <v>126</v>
          </cell>
        </row>
        <row r="270">
          <cell r="B270">
            <v>78</v>
          </cell>
          <cell r="C270">
            <v>180</v>
          </cell>
        </row>
        <row r="271">
          <cell r="B271">
            <v>101</v>
          </cell>
          <cell r="C271">
            <v>195</v>
          </cell>
        </row>
        <row r="272">
          <cell r="B272">
            <v>79</v>
          </cell>
          <cell r="C272">
            <v>179</v>
          </cell>
        </row>
        <row r="273">
          <cell r="B273">
            <v>67</v>
          </cell>
          <cell r="C273">
            <v>126</v>
          </cell>
        </row>
        <row r="274">
          <cell r="B274">
            <v>92</v>
          </cell>
          <cell r="C274">
            <v>206</v>
          </cell>
        </row>
        <row r="275">
          <cell r="B275">
            <v>73</v>
          </cell>
          <cell r="C275">
            <v>151</v>
          </cell>
        </row>
        <row r="276">
          <cell r="B276">
            <v>73</v>
          </cell>
          <cell r="C276">
            <v>163</v>
          </cell>
        </row>
        <row r="277">
          <cell r="B277">
            <v>79</v>
          </cell>
          <cell r="C277">
            <v>169</v>
          </cell>
        </row>
        <row r="278">
          <cell r="B278">
            <v>89</v>
          </cell>
          <cell r="C278">
            <v>187</v>
          </cell>
        </row>
        <row r="279">
          <cell r="B279">
            <v>93</v>
          </cell>
          <cell r="C279">
            <v>158</v>
          </cell>
        </row>
        <row r="280">
          <cell r="B280">
            <v>55</v>
          </cell>
          <cell r="C280">
            <v>130</v>
          </cell>
        </row>
        <row r="281">
          <cell r="B281">
            <v>73</v>
          </cell>
          <cell r="C281">
            <v>172</v>
          </cell>
        </row>
        <row r="282">
          <cell r="B282">
            <v>67</v>
          </cell>
          <cell r="C282">
            <v>137</v>
          </cell>
        </row>
        <row r="283">
          <cell r="B283">
            <v>61</v>
          </cell>
          <cell r="C283">
            <v>162</v>
          </cell>
        </row>
        <row r="284">
          <cell r="B284">
            <v>81</v>
          </cell>
          <cell r="C284">
            <v>0</v>
          </cell>
        </row>
        <row r="285">
          <cell r="B285">
            <v>85</v>
          </cell>
          <cell r="C285">
            <v>162</v>
          </cell>
        </row>
        <row r="286">
          <cell r="B286">
            <v>84</v>
          </cell>
          <cell r="C286">
            <v>202</v>
          </cell>
        </row>
        <row r="287">
          <cell r="B287">
            <v>67</v>
          </cell>
          <cell r="C287">
            <v>130</v>
          </cell>
        </row>
        <row r="288">
          <cell r="B288">
            <v>92</v>
          </cell>
          <cell r="C288">
            <v>148</v>
          </cell>
        </row>
        <row r="289">
          <cell r="B289">
            <v>44</v>
          </cell>
          <cell r="C289">
            <v>130</v>
          </cell>
        </row>
        <row r="290">
          <cell r="B290">
            <v>67</v>
          </cell>
          <cell r="C290">
            <v>162</v>
          </cell>
        </row>
        <row r="291">
          <cell r="B291">
            <v>77</v>
          </cell>
          <cell r="C291">
            <v>162</v>
          </cell>
        </row>
        <row r="292">
          <cell r="B292">
            <v>90</v>
          </cell>
          <cell r="C292">
            <v>159</v>
          </cell>
        </row>
        <row r="293">
          <cell r="B293">
            <v>76</v>
          </cell>
          <cell r="C293">
            <v>149</v>
          </cell>
        </row>
        <row r="294">
          <cell r="B294">
            <v>91</v>
          </cell>
          <cell r="C294">
            <v>212</v>
          </cell>
        </row>
        <row r="295">
          <cell r="B295">
            <v>75</v>
          </cell>
          <cell r="C295">
            <v>138</v>
          </cell>
        </row>
        <row r="296">
          <cell r="B296">
            <v>159</v>
          </cell>
          <cell r="C296">
            <v>221</v>
          </cell>
        </row>
        <row r="297">
          <cell r="B297">
            <v>74</v>
          </cell>
          <cell r="C297">
            <v>110</v>
          </cell>
        </row>
        <row r="298">
          <cell r="B298">
            <v>39</v>
          </cell>
          <cell r="C298">
            <v>76</v>
          </cell>
        </row>
        <row r="299">
          <cell r="B299">
            <v>38</v>
          </cell>
          <cell r="C299">
            <v>139</v>
          </cell>
        </row>
        <row r="300">
          <cell r="B300">
            <v>68</v>
          </cell>
          <cell r="C300">
            <v>189</v>
          </cell>
        </row>
        <row r="301">
          <cell r="B301">
            <v>62</v>
          </cell>
          <cell r="C301">
            <v>106</v>
          </cell>
        </row>
        <row r="302">
          <cell r="B302">
            <v>78</v>
          </cell>
          <cell r="C302">
            <v>192</v>
          </cell>
        </row>
        <row r="303">
          <cell r="B303">
            <v>67</v>
          </cell>
          <cell r="C303">
            <v>134</v>
          </cell>
        </row>
        <row r="304">
          <cell r="B304">
            <v>56</v>
          </cell>
          <cell r="C304">
            <v>130</v>
          </cell>
        </row>
        <row r="305">
          <cell r="B305">
            <v>35</v>
          </cell>
          <cell r="C305">
            <v>148</v>
          </cell>
        </row>
        <row r="306">
          <cell r="B306">
            <v>95</v>
          </cell>
          <cell r="C306">
            <v>125</v>
          </cell>
        </row>
        <row r="307">
          <cell r="B307">
            <v>46</v>
          </cell>
          <cell r="C307">
            <v>158</v>
          </cell>
        </row>
        <row r="308">
          <cell r="B308">
            <v>78</v>
          </cell>
          <cell r="C308">
            <v>159</v>
          </cell>
        </row>
        <row r="309">
          <cell r="B309">
            <v>40</v>
          </cell>
          <cell r="C309">
            <v>135</v>
          </cell>
        </row>
        <row r="310">
          <cell r="B310">
            <v>86</v>
          </cell>
          <cell r="C310">
            <v>145</v>
          </cell>
        </row>
        <row r="311">
          <cell r="B311">
            <v>112</v>
          </cell>
          <cell r="C311">
            <v>194</v>
          </cell>
        </row>
        <row r="312">
          <cell r="B312">
            <v>64</v>
          </cell>
          <cell r="C312">
            <v>125</v>
          </cell>
        </row>
        <row r="313">
          <cell r="B313">
            <v>74</v>
          </cell>
          <cell r="C313">
            <v>117</v>
          </cell>
        </row>
        <row r="314">
          <cell r="B314">
            <v>102</v>
          </cell>
          <cell r="C314">
            <v>190</v>
          </cell>
        </row>
        <row r="315">
          <cell r="B315">
            <v>125</v>
          </cell>
          <cell r="C315">
            <v>185</v>
          </cell>
        </row>
        <row r="316">
          <cell r="B316">
            <v>69</v>
          </cell>
          <cell r="C316">
            <v>126</v>
          </cell>
        </row>
        <row r="317">
          <cell r="B317">
            <v>107</v>
          </cell>
          <cell r="C317">
            <v>194</v>
          </cell>
        </row>
        <row r="318">
          <cell r="B318">
            <v>48</v>
          </cell>
          <cell r="C318">
            <v>118</v>
          </cell>
        </row>
        <row r="319">
          <cell r="B319">
            <v>96</v>
          </cell>
          <cell r="C319">
            <v>196</v>
          </cell>
        </row>
        <row r="320">
          <cell r="B320">
            <v>66</v>
          </cell>
          <cell r="C320">
            <v>122</v>
          </cell>
        </row>
        <row r="321">
          <cell r="B321">
            <v>105</v>
          </cell>
          <cell r="C321">
            <v>180</v>
          </cell>
        </row>
        <row r="322">
          <cell r="B322">
            <v>58</v>
          </cell>
          <cell r="C322">
            <v>159</v>
          </cell>
        </row>
        <row r="323">
          <cell r="B323">
            <v>59</v>
          </cell>
          <cell r="C323">
            <v>144</v>
          </cell>
        </row>
        <row r="324">
          <cell r="B324">
            <v>106</v>
          </cell>
          <cell r="C324">
            <v>205</v>
          </cell>
        </row>
        <row r="325">
          <cell r="B325">
            <v>107</v>
          </cell>
          <cell r="C325">
            <v>174</v>
          </cell>
        </row>
        <row r="326">
          <cell r="B326">
            <v>85</v>
          </cell>
          <cell r="C326">
            <v>169</v>
          </cell>
        </row>
        <row r="327">
          <cell r="B327">
            <v>39</v>
          </cell>
          <cell r="C327">
            <v>108</v>
          </cell>
        </row>
        <row r="328">
          <cell r="B328">
            <v>74</v>
          </cell>
          <cell r="C328">
            <v>165</v>
          </cell>
        </row>
        <row r="329">
          <cell r="B329">
            <v>18</v>
          </cell>
          <cell r="C329">
            <v>100</v>
          </cell>
        </row>
        <row r="330">
          <cell r="B330">
            <v>90</v>
          </cell>
          <cell r="C330">
            <v>122</v>
          </cell>
        </row>
        <row r="331">
          <cell r="B331">
            <v>126</v>
          </cell>
          <cell r="C331">
            <v>212</v>
          </cell>
        </row>
        <row r="332">
          <cell r="B332">
            <v>77</v>
          </cell>
          <cell r="C332">
            <v>177</v>
          </cell>
        </row>
        <row r="333">
          <cell r="B333">
            <v>23</v>
          </cell>
          <cell r="C333">
            <v>102</v>
          </cell>
        </row>
        <row r="334">
          <cell r="B334">
            <v>97</v>
          </cell>
          <cell r="C334">
            <v>153</v>
          </cell>
        </row>
        <row r="335">
          <cell r="B335">
            <v>101</v>
          </cell>
          <cell r="C335">
            <v>223</v>
          </cell>
        </row>
        <row r="336">
          <cell r="B336">
            <v>29</v>
          </cell>
          <cell r="C336">
            <v>102</v>
          </cell>
        </row>
        <row r="337">
          <cell r="B337">
            <v>39</v>
          </cell>
          <cell r="C337">
            <v>119</v>
          </cell>
        </row>
        <row r="338">
          <cell r="B338">
            <v>91</v>
          </cell>
          <cell r="C338">
            <v>160</v>
          </cell>
        </row>
        <row r="339">
          <cell r="B339">
            <v>82</v>
          </cell>
          <cell r="C339">
            <v>231</v>
          </cell>
        </row>
        <row r="340">
          <cell r="B340">
            <v>56</v>
          </cell>
          <cell r="C340">
            <v>97</v>
          </cell>
        </row>
        <row r="341">
          <cell r="B341">
            <v>102</v>
          </cell>
          <cell r="C341">
            <v>139</v>
          </cell>
        </row>
        <row r="342">
          <cell r="B342">
            <v>82</v>
          </cell>
          <cell r="C342">
            <v>148</v>
          </cell>
        </row>
        <row r="343">
          <cell r="B343">
            <v>42</v>
          </cell>
          <cell r="C343">
            <v>92</v>
          </cell>
        </row>
        <row r="344">
          <cell r="B344">
            <v>57</v>
          </cell>
          <cell r="C344">
            <v>124</v>
          </cell>
        </row>
        <row r="345">
          <cell r="B345">
            <v>88</v>
          </cell>
          <cell r="C345">
            <v>152</v>
          </cell>
        </row>
        <row r="346">
          <cell r="B346">
            <v>50</v>
          </cell>
          <cell r="C346">
            <v>179</v>
          </cell>
        </row>
        <row r="347">
          <cell r="B347">
            <v>50</v>
          </cell>
          <cell r="C347">
            <v>100</v>
          </cell>
        </row>
        <row r="348">
          <cell r="B348">
            <v>83</v>
          </cell>
          <cell r="C348">
            <v>133</v>
          </cell>
        </row>
        <row r="349">
          <cell r="B349">
            <v>59</v>
          </cell>
          <cell r="C349">
            <v>165</v>
          </cell>
        </row>
        <row r="350">
          <cell r="B350">
            <v>78</v>
          </cell>
          <cell r="C350">
            <v>150</v>
          </cell>
        </row>
        <row r="351">
          <cell r="B351">
            <v>76</v>
          </cell>
          <cell r="C351">
            <v>148</v>
          </cell>
        </row>
        <row r="352">
          <cell r="B352">
            <v>86</v>
          </cell>
          <cell r="C352">
            <v>161</v>
          </cell>
        </row>
        <row r="353">
          <cell r="B353">
            <v>70</v>
          </cell>
          <cell r="C353">
            <v>180</v>
          </cell>
        </row>
        <row r="354">
          <cell r="B354">
            <v>68</v>
          </cell>
          <cell r="C354">
            <v>168</v>
          </cell>
        </row>
        <row r="355">
          <cell r="B355">
            <v>61</v>
          </cell>
          <cell r="C355">
            <v>110</v>
          </cell>
        </row>
        <row r="356">
          <cell r="B356">
            <v>79</v>
          </cell>
          <cell r="C356">
            <v>197</v>
          </cell>
        </row>
        <row r="357">
          <cell r="B357">
            <v>83</v>
          </cell>
          <cell r="C357">
            <v>146</v>
          </cell>
        </row>
        <row r="358">
          <cell r="B358">
            <v>47</v>
          </cell>
          <cell r="C358">
            <v>94</v>
          </cell>
        </row>
        <row r="359">
          <cell r="B359">
            <v>76</v>
          </cell>
          <cell r="C359">
            <v>164</v>
          </cell>
        </row>
        <row r="360">
          <cell r="B360">
            <v>49</v>
          </cell>
          <cell r="C360">
            <v>113</v>
          </cell>
        </row>
        <row r="361">
          <cell r="B361">
            <v>89</v>
          </cell>
          <cell r="C361">
            <v>170</v>
          </cell>
        </row>
        <row r="362">
          <cell r="B362">
            <v>49</v>
          </cell>
          <cell r="C362">
            <v>141</v>
          </cell>
        </row>
        <row r="363">
          <cell r="B363">
            <v>81</v>
          </cell>
          <cell r="C363">
            <v>152</v>
          </cell>
        </row>
        <row r="364">
          <cell r="B364">
            <v>112</v>
          </cell>
          <cell r="C364">
            <v>193</v>
          </cell>
        </row>
        <row r="365">
          <cell r="B365">
            <v>53</v>
          </cell>
          <cell r="C365">
            <v>131</v>
          </cell>
        </row>
        <row r="366">
          <cell r="B366">
            <v>94</v>
          </cell>
          <cell r="C366">
            <v>163</v>
          </cell>
        </row>
        <row r="367">
          <cell r="B367">
            <v>25</v>
          </cell>
          <cell r="C367">
            <v>126</v>
          </cell>
        </row>
        <row r="368">
          <cell r="B368">
            <v>101</v>
          </cell>
          <cell r="C368">
            <v>181</v>
          </cell>
        </row>
        <row r="369">
          <cell r="B369">
            <v>45</v>
          </cell>
          <cell r="C369">
            <v>99</v>
          </cell>
        </row>
        <row r="370">
          <cell r="B370">
            <v>45</v>
          </cell>
          <cell r="C370">
            <v>150</v>
          </cell>
        </row>
        <row r="371">
          <cell r="B371">
            <v>102</v>
          </cell>
          <cell r="C371">
            <v>245</v>
          </cell>
        </row>
        <row r="372">
          <cell r="B372">
            <v>93</v>
          </cell>
          <cell r="C372">
            <v>156</v>
          </cell>
        </row>
        <row r="373">
          <cell r="B373">
            <v>65</v>
          </cell>
          <cell r="C373">
            <v>166</v>
          </cell>
        </row>
        <row r="374">
          <cell r="B374">
            <v>107</v>
          </cell>
          <cell r="C374">
            <v>186</v>
          </cell>
        </row>
        <row r="375">
          <cell r="B375">
            <v>104</v>
          </cell>
          <cell r="C375">
            <v>142</v>
          </cell>
        </row>
        <row r="376">
          <cell r="B376">
            <v>37</v>
          </cell>
          <cell r="C376">
            <v>125</v>
          </cell>
        </row>
        <row r="377">
          <cell r="B377">
            <v>48</v>
          </cell>
          <cell r="C377">
            <v>97</v>
          </cell>
        </row>
        <row r="378">
          <cell r="B378">
            <v>83</v>
          </cell>
          <cell r="C378">
            <v>180</v>
          </cell>
        </row>
        <row r="379">
          <cell r="B379">
            <v>132</v>
          </cell>
          <cell r="C379">
            <v>212</v>
          </cell>
        </row>
        <row r="380">
          <cell r="B380">
            <v>60</v>
          </cell>
          <cell r="C380">
            <v>164</v>
          </cell>
        </row>
        <row r="381">
          <cell r="B381">
            <v>93</v>
          </cell>
          <cell r="C381">
            <v>166</v>
          </cell>
        </row>
        <row r="382">
          <cell r="B382">
            <v>105</v>
          </cell>
          <cell r="C382">
            <v>159</v>
          </cell>
        </row>
        <row r="383">
          <cell r="B383">
            <v>71</v>
          </cell>
          <cell r="C383">
            <v>134</v>
          </cell>
        </row>
        <row r="384">
          <cell r="B384">
            <v>91</v>
          </cell>
          <cell r="C384">
            <v>171</v>
          </cell>
        </row>
        <row r="385">
          <cell r="B385">
            <v>53</v>
          </cell>
          <cell r="C385">
            <v>156</v>
          </cell>
        </row>
        <row r="386">
          <cell r="B386">
            <v>66</v>
          </cell>
          <cell r="C386">
            <v>127</v>
          </cell>
        </row>
        <row r="387">
          <cell r="B387">
            <v>78</v>
          </cell>
          <cell r="C387">
            <v>231</v>
          </cell>
        </row>
        <row r="388">
          <cell r="B388">
            <v>82</v>
          </cell>
          <cell r="C388">
            <v>154</v>
          </cell>
        </row>
        <row r="389">
          <cell r="B389">
            <v>72</v>
          </cell>
          <cell r="C389">
            <v>170</v>
          </cell>
        </row>
        <row r="390">
          <cell r="B390">
            <v>82</v>
          </cell>
          <cell r="C390">
            <v>128</v>
          </cell>
        </row>
        <row r="391">
          <cell r="B391">
            <v>94</v>
          </cell>
          <cell r="C391">
            <v>187</v>
          </cell>
        </row>
        <row r="392">
          <cell r="B392">
            <v>79</v>
          </cell>
          <cell r="C392">
            <v>142</v>
          </cell>
        </row>
        <row r="393">
          <cell r="B393">
            <v>53</v>
          </cell>
          <cell r="C393">
            <v>158</v>
          </cell>
        </row>
        <row r="394">
          <cell r="B394">
            <v>47</v>
          </cell>
          <cell r="C394">
            <v>174</v>
          </cell>
        </row>
        <row r="395">
          <cell r="B395">
            <v>50</v>
          </cell>
          <cell r="C395">
            <v>136</v>
          </cell>
        </row>
        <row r="396">
          <cell r="B396">
            <v>95</v>
          </cell>
          <cell r="C396">
            <v>131</v>
          </cell>
        </row>
        <row r="397">
          <cell r="B397">
            <v>82</v>
          </cell>
          <cell r="C397">
            <v>184</v>
          </cell>
        </row>
        <row r="398">
          <cell r="B398">
            <v>59</v>
          </cell>
          <cell r="C398">
            <v>127</v>
          </cell>
        </row>
        <row r="399">
          <cell r="B399">
            <v>86</v>
          </cell>
          <cell r="C399">
            <v>193</v>
          </cell>
        </row>
        <row r="400">
          <cell r="B400">
            <v>90</v>
          </cell>
          <cell r="C400">
            <v>146</v>
          </cell>
        </row>
        <row r="401">
          <cell r="B401">
            <v>59</v>
          </cell>
          <cell r="C401">
            <v>108</v>
          </cell>
        </row>
        <row r="402">
          <cell r="B402">
            <v>66</v>
          </cell>
          <cell r="C402">
            <v>126</v>
          </cell>
        </row>
        <row r="403">
          <cell r="B403">
            <v>38</v>
          </cell>
          <cell r="C403">
            <v>143</v>
          </cell>
        </row>
        <row r="404">
          <cell r="B404">
            <v>75</v>
          </cell>
          <cell r="C404">
            <v>139</v>
          </cell>
        </row>
        <row r="405">
          <cell r="B405">
            <v>76</v>
          </cell>
          <cell r="C405">
            <v>132</v>
          </cell>
        </row>
        <row r="406">
          <cell r="B406">
            <v>93</v>
          </cell>
          <cell r="C406">
            <v>170</v>
          </cell>
        </row>
        <row r="407">
          <cell r="B407">
            <v>81</v>
          </cell>
          <cell r="C407">
            <v>172</v>
          </cell>
        </row>
        <row r="408">
          <cell r="B408">
            <v>71</v>
          </cell>
          <cell r="C408">
            <v>142</v>
          </cell>
        </row>
        <row r="409">
          <cell r="B409">
            <v>70</v>
          </cell>
          <cell r="C409">
            <v>116</v>
          </cell>
        </row>
        <row r="410">
          <cell r="B410">
            <v>68</v>
          </cell>
          <cell r="C410">
            <v>122</v>
          </cell>
        </row>
        <row r="411">
          <cell r="B411">
            <v>66</v>
          </cell>
          <cell r="C411">
            <v>152</v>
          </cell>
        </row>
        <row r="412">
          <cell r="B412">
            <v>83</v>
          </cell>
          <cell r="C412">
            <v>168</v>
          </cell>
        </row>
        <row r="413">
          <cell r="B413">
            <v>59</v>
          </cell>
          <cell r="C413">
            <v>0</v>
          </cell>
        </row>
        <row r="414">
          <cell r="B414">
            <v>102</v>
          </cell>
          <cell r="C414">
            <v>190</v>
          </cell>
        </row>
        <row r="415">
          <cell r="B415">
            <v>104</v>
          </cell>
          <cell r="C415">
            <v>196</v>
          </cell>
        </row>
        <row r="416">
          <cell r="B416">
            <v>88</v>
          </cell>
          <cell r="C416">
            <v>169</v>
          </cell>
        </row>
        <row r="417">
          <cell r="B417">
            <v>50</v>
          </cell>
          <cell r="C417">
            <v>139</v>
          </cell>
        </row>
        <row r="418">
          <cell r="B418">
            <v>79</v>
          </cell>
          <cell r="C418">
            <v>189</v>
          </cell>
        </row>
        <row r="419">
          <cell r="B419">
            <v>101</v>
          </cell>
          <cell r="C419">
            <v>154</v>
          </cell>
        </row>
        <row r="420">
          <cell r="B420">
            <v>110</v>
          </cell>
          <cell r="C420">
            <v>211</v>
          </cell>
        </row>
        <row r="421">
          <cell r="B421">
            <v>45</v>
          </cell>
          <cell r="C421">
            <v>168</v>
          </cell>
        </row>
        <row r="422">
          <cell r="B422">
            <v>42</v>
          </cell>
          <cell r="C422">
            <v>103</v>
          </cell>
        </row>
        <row r="423">
          <cell r="B423">
            <v>74</v>
          </cell>
          <cell r="C423">
            <v>197</v>
          </cell>
        </row>
        <row r="424">
          <cell r="B424">
            <v>52</v>
          </cell>
          <cell r="C424">
            <v>117</v>
          </cell>
        </row>
        <row r="425">
          <cell r="B425">
            <v>45</v>
          </cell>
          <cell r="C425">
            <v>182</v>
          </cell>
        </row>
        <row r="426">
          <cell r="B426">
            <v>94</v>
          </cell>
          <cell r="C426">
            <v>212</v>
          </cell>
        </row>
        <row r="427">
          <cell r="B427">
            <v>128</v>
          </cell>
          <cell r="C427">
            <v>173</v>
          </cell>
        </row>
        <row r="428">
          <cell r="B428">
            <v>70</v>
          </cell>
          <cell r="C428">
            <v>160</v>
          </cell>
        </row>
        <row r="429">
          <cell r="B429">
            <v>45</v>
          </cell>
          <cell r="C429">
            <v>130</v>
          </cell>
        </row>
        <row r="430">
          <cell r="B430">
            <v>46</v>
          </cell>
          <cell r="C430">
            <v>122</v>
          </cell>
        </row>
        <row r="431">
          <cell r="B431">
            <v>93</v>
          </cell>
          <cell r="C431">
            <v>145</v>
          </cell>
        </row>
        <row r="432">
          <cell r="B432">
            <v>101</v>
          </cell>
          <cell r="C432">
            <v>146</v>
          </cell>
        </row>
        <row r="433">
          <cell r="B433">
            <v>75</v>
          </cell>
          <cell r="C433">
            <v>127</v>
          </cell>
        </row>
        <row r="434">
          <cell r="B434">
            <v>49</v>
          </cell>
          <cell r="C434">
            <v>101</v>
          </cell>
        </row>
        <row r="435">
          <cell r="B435">
            <v>82</v>
          </cell>
          <cell r="C435">
            <v>188</v>
          </cell>
        </row>
        <row r="436">
          <cell r="B436">
            <v>59</v>
          </cell>
          <cell r="C436">
            <v>177</v>
          </cell>
        </row>
        <row r="437">
          <cell r="B437">
            <v>126</v>
          </cell>
          <cell r="C437">
            <v>213</v>
          </cell>
        </row>
        <row r="438">
          <cell r="B438">
            <v>66</v>
          </cell>
          <cell r="C438">
            <v>175</v>
          </cell>
        </row>
        <row r="439">
          <cell r="B439">
            <v>74</v>
          </cell>
          <cell r="C439">
            <v>113</v>
          </cell>
        </row>
        <row r="440">
          <cell r="B440">
            <v>15</v>
          </cell>
          <cell r="C440">
            <v>61</v>
          </cell>
        </row>
        <row r="441">
          <cell r="B441">
            <v>90</v>
          </cell>
          <cell r="C441">
            <v>138</v>
          </cell>
        </row>
        <row r="442">
          <cell r="B442">
            <v>115</v>
          </cell>
          <cell r="C442">
            <v>167</v>
          </cell>
        </row>
        <row r="443">
          <cell r="B443">
            <v>97</v>
          </cell>
          <cell r="C443">
            <v>162</v>
          </cell>
        </row>
        <row r="444">
          <cell r="B444">
            <v>58</v>
          </cell>
          <cell r="C444">
            <v>144</v>
          </cell>
        </row>
        <row r="445">
          <cell r="B445">
            <v>75</v>
          </cell>
          <cell r="C445">
            <v>120</v>
          </cell>
        </row>
        <row r="446">
          <cell r="B446">
            <v>75</v>
          </cell>
          <cell r="C446">
            <v>188</v>
          </cell>
        </row>
        <row r="447">
          <cell r="B447">
            <v>42</v>
          </cell>
          <cell r="C447">
            <v>112</v>
          </cell>
        </row>
        <row r="448">
          <cell r="B448">
            <v>68</v>
          </cell>
          <cell r="C448">
            <v>171</v>
          </cell>
        </row>
        <row r="449">
          <cell r="B449">
            <v>37</v>
          </cell>
          <cell r="C449">
            <v>78</v>
          </cell>
        </row>
        <row r="450">
          <cell r="B450">
            <v>131</v>
          </cell>
          <cell r="C450">
            <v>203</v>
          </cell>
        </row>
        <row r="451">
          <cell r="B451">
            <v>78</v>
          </cell>
          <cell r="C451">
            <v>126</v>
          </cell>
        </row>
        <row r="452">
          <cell r="B452">
            <v>93</v>
          </cell>
          <cell r="C452">
            <v>128</v>
          </cell>
        </row>
        <row r="453">
          <cell r="B453">
            <v>27</v>
          </cell>
          <cell r="C453">
            <v>130</v>
          </cell>
        </row>
        <row r="454">
          <cell r="B454">
            <v>39</v>
          </cell>
          <cell r="C454">
            <v>121</v>
          </cell>
        </row>
        <row r="455">
          <cell r="B455">
            <v>15</v>
          </cell>
          <cell r="C455">
            <v>79</v>
          </cell>
        </row>
        <row r="456">
          <cell r="B456">
            <v>98</v>
          </cell>
          <cell r="C456">
            <v>150</v>
          </cell>
        </row>
        <row r="457">
          <cell r="B457">
            <v>86</v>
          </cell>
          <cell r="C457">
            <v>135</v>
          </cell>
        </row>
        <row r="458">
          <cell r="B458">
            <v>112</v>
          </cell>
          <cell r="C458">
            <v>226</v>
          </cell>
        </row>
        <row r="459">
          <cell r="B459">
            <v>114</v>
          </cell>
          <cell r="C459">
            <v>176</v>
          </cell>
        </row>
        <row r="460">
          <cell r="B460">
            <v>78</v>
          </cell>
          <cell r="C460">
            <v>158</v>
          </cell>
        </row>
        <row r="461">
          <cell r="B461">
            <v>68</v>
          </cell>
          <cell r="C461">
            <v>136</v>
          </cell>
        </row>
        <row r="462">
          <cell r="B462">
            <v>62</v>
          </cell>
          <cell r="C462">
            <v>134</v>
          </cell>
        </row>
        <row r="463">
          <cell r="B463">
            <v>51</v>
          </cell>
          <cell r="C463">
            <v>171</v>
          </cell>
        </row>
        <row r="464">
          <cell r="B464">
            <v>85</v>
          </cell>
          <cell r="C464">
            <v>192</v>
          </cell>
        </row>
        <row r="465">
          <cell r="B465">
            <v>94</v>
          </cell>
          <cell r="C465">
            <v>184</v>
          </cell>
        </row>
        <row r="466">
          <cell r="B466">
            <v>98</v>
          </cell>
          <cell r="C466">
            <v>137</v>
          </cell>
        </row>
        <row r="467">
          <cell r="B467">
            <v>69</v>
          </cell>
          <cell r="C467">
            <v>161</v>
          </cell>
        </row>
        <row r="468">
          <cell r="B468">
            <v>105</v>
          </cell>
          <cell r="C468">
            <v>205</v>
          </cell>
        </row>
        <row r="469">
          <cell r="B469">
            <v>77</v>
          </cell>
          <cell r="C469">
            <v>146</v>
          </cell>
        </row>
        <row r="470">
          <cell r="B470">
            <v>68</v>
          </cell>
          <cell r="C470">
            <v>127</v>
          </cell>
        </row>
        <row r="471">
          <cell r="B471">
            <v>59</v>
          </cell>
          <cell r="C471">
            <v>182</v>
          </cell>
        </row>
        <row r="472">
          <cell r="B472">
            <v>79</v>
          </cell>
          <cell r="C472">
            <v>176</v>
          </cell>
        </row>
        <row r="473">
          <cell r="B473">
            <v>89</v>
          </cell>
          <cell r="C473">
            <v>177</v>
          </cell>
        </row>
        <row r="474">
          <cell r="B474">
            <v>65</v>
          </cell>
          <cell r="C474">
            <v>138</v>
          </cell>
        </row>
        <row r="475">
          <cell r="B475">
            <v>67</v>
          </cell>
          <cell r="C475">
            <v>133</v>
          </cell>
        </row>
        <row r="476">
          <cell r="B476">
            <v>65</v>
          </cell>
          <cell r="C476">
            <v>112</v>
          </cell>
        </row>
        <row r="477">
          <cell r="B477">
            <v>88</v>
          </cell>
          <cell r="C477">
            <v>144</v>
          </cell>
        </row>
        <row r="478">
          <cell r="B478">
            <v>88</v>
          </cell>
          <cell r="C478">
            <v>159</v>
          </cell>
        </row>
        <row r="479">
          <cell r="B479">
            <v>126</v>
          </cell>
          <cell r="C479">
            <v>165</v>
          </cell>
        </row>
        <row r="480">
          <cell r="B480">
            <v>100</v>
          </cell>
          <cell r="C480">
            <v>150</v>
          </cell>
        </row>
        <row r="481">
          <cell r="B481">
            <v>72</v>
          </cell>
          <cell r="C481">
            <v>141</v>
          </cell>
        </row>
        <row r="482">
          <cell r="B482">
            <v>77</v>
          </cell>
          <cell r="C482">
            <v>99</v>
          </cell>
        </row>
        <row r="483">
          <cell r="B483">
            <v>65</v>
          </cell>
          <cell r="C483">
            <v>170</v>
          </cell>
        </row>
        <row r="484">
          <cell r="B484">
            <v>74</v>
          </cell>
          <cell r="C484">
            <v>100</v>
          </cell>
        </row>
        <row r="485">
          <cell r="B485">
            <v>85</v>
          </cell>
          <cell r="C485">
            <v>129</v>
          </cell>
        </row>
        <row r="486">
          <cell r="B486">
            <v>76</v>
          </cell>
          <cell r="C486">
            <v>144</v>
          </cell>
        </row>
        <row r="487">
          <cell r="B487">
            <v>82</v>
          </cell>
          <cell r="C487">
            <v>200</v>
          </cell>
        </row>
        <row r="488">
          <cell r="B488">
            <v>71</v>
          </cell>
          <cell r="C488">
            <v>152</v>
          </cell>
        </row>
        <row r="489">
          <cell r="B489">
            <v>88</v>
          </cell>
          <cell r="C489">
            <v>154</v>
          </cell>
        </row>
        <row r="490">
          <cell r="B490">
            <v>80</v>
          </cell>
          <cell r="C490">
            <v>166</v>
          </cell>
        </row>
        <row r="491">
          <cell r="B491">
            <v>68</v>
          </cell>
          <cell r="C491">
            <v>142</v>
          </cell>
        </row>
        <row r="492">
          <cell r="B492">
            <v>105</v>
          </cell>
          <cell r="C492">
            <v>183</v>
          </cell>
        </row>
        <row r="493">
          <cell r="B493">
            <v>71</v>
          </cell>
          <cell r="C493">
            <v>151</v>
          </cell>
        </row>
        <row r="494">
          <cell r="B494">
            <v>106</v>
          </cell>
          <cell r="C494">
            <v>118</v>
          </cell>
        </row>
        <row r="495">
          <cell r="B495">
            <v>89</v>
          </cell>
          <cell r="C495">
            <v>142</v>
          </cell>
        </row>
        <row r="496">
          <cell r="B496">
            <v>78</v>
          </cell>
          <cell r="C496">
            <v>158</v>
          </cell>
        </row>
        <row r="497">
          <cell r="B497">
            <v>15</v>
          </cell>
          <cell r="C497">
            <v>130</v>
          </cell>
        </row>
        <row r="498">
          <cell r="B498">
            <v>57</v>
          </cell>
          <cell r="C498">
            <v>138</v>
          </cell>
        </row>
        <row r="499">
          <cell r="B499">
            <v>54</v>
          </cell>
          <cell r="C499">
            <v>76</v>
          </cell>
        </row>
        <row r="500">
          <cell r="B500">
            <v>92</v>
          </cell>
          <cell r="C500">
            <v>164</v>
          </cell>
        </row>
        <row r="501">
          <cell r="B501">
            <v>72</v>
          </cell>
          <cell r="C501">
            <v>102</v>
          </cell>
        </row>
        <row r="502">
          <cell r="B502">
            <v>67</v>
          </cell>
          <cell r="C502">
            <v>113</v>
          </cell>
        </row>
        <row r="503">
          <cell r="B503">
            <v>105</v>
          </cell>
          <cell r="C503">
            <v>161</v>
          </cell>
        </row>
        <row r="504">
          <cell r="B504">
            <v>70</v>
          </cell>
          <cell r="C504">
            <v>149</v>
          </cell>
        </row>
        <row r="505">
          <cell r="B505">
            <v>77</v>
          </cell>
          <cell r="C505">
            <v>184</v>
          </cell>
        </row>
        <row r="506">
          <cell r="B506">
            <v>83</v>
          </cell>
          <cell r="C506">
            <v>152</v>
          </cell>
        </row>
        <row r="507">
          <cell r="B507">
            <v>131</v>
          </cell>
          <cell r="C507">
            <v>224</v>
          </cell>
        </row>
        <row r="508">
          <cell r="B508">
            <v>79</v>
          </cell>
          <cell r="C508">
            <v>193</v>
          </cell>
        </row>
        <row r="509">
          <cell r="B509">
            <v>86</v>
          </cell>
          <cell r="C509">
            <v>167</v>
          </cell>
        </row>
        <row r="510">
          <cell r="B510">
            <v>93</v>
          </cell>
          <cell r="C510">
            <v>191</v>
          </cell>
        </row>
        <row r="511">
          <cell r="B511">
            <v>75</v>
          </cell>
          <cell r="C511">
            <v>181</v>
          </cell>
        </row>
        <row r="512">
          <cell r="B512">
            <v>109</v>
          </cell>
          <cell r="C512">
            <v>143</v>
          </cell>
        </row>
        <row r="513">
          <cell r="B513">
            <v>92</v>
          </cell>
          <cell r="C513">
            <v>123</v>
          </cell>
        </row>
        <row r="514">
          <cell r="B514">
            <v>64</v>
          </cell>
          <cell r="C514">
            <v>168</v>
          </cell>
        </row>
        <row r="515">
          <cell r="B515">
            <v>104</v>
          </cell>
          <cell r="C515">
            <v>188</v>
          </cell>
        </row>
        <row r="516">
          <cell r="B516">
            <v>97</v>
          </cell>
          <cell r="C516">
            <v>177</v>
          </cell>
        </row>
        <row r="517">
          <cell r="B517">
            <v>79</v>
          </cell>
          <cell r="C517">
            <v>173</v>
          </cell>
        </row>
        <row r="518">
          <cell r="B518">
            <v>100</v>
          </cell>
          <cell r="C518">
            <v>167</v>
          </cell>
        </row>
        <row r="519">
          <cell r="B519">
            <v>76</v>
          </cell>
          <cell r="C519">
            <v>204</v>
          </cell>
        </row>
        <row r="520">
          <cell r="B520">
            <v>81</v>
          </cell>
          <cell r="C520">
            <v>148</v>
          </cell>
        </row>
        <row r="521">
          <cell r="B521">
            <v>82</v>
          </cell>
          <cell r="C521">
            <v>162</v>
          </cell>
        </row>
        <row r="522">
          <cell r="B522">
            <v>64</v>
          </cell>
          <cell r="C522">
            <v>133</v>
          </cell>
        </row>
        <row r="523">
          <cell r="B523">
            <v>78</v>
          </cell>
          <cell r="C523">
            <v>134</v>
          </cell>
        </row>
        <row r="524">
          <cell r="B524">
            <v>90</v>
          </cell>
          <cell r="C524">
            <v>175</v>
          </cell>
        </row>
        <row r="525">
          <cell r="B525">
            <v>92</v>
          </cell>
          <cell r="C525">
            <v>165</v>
          </cell>
        </row>
        <row r="526">
          <cell r="B526">
            <v>71</v>
          </cell>
          <cell r="C526">
            <v>144</v>
          </cell>
        </row>
        <row r="527">
          <cell r="B527">
            <v>86</v>
          </cell>
          <cell r="C527">
            <v>185</v>
          </cell>
        </row>
        <row r="528">
          <cell r="B528">
            <v>127</v>
          </cell>
          <cell r="C528">
            <v>205</v>
          </cell>
        </row>
        <row r="529">
          <cell r="B529">
            <v>114</v>
          </cell>
          <cell r="C529">
            <v>180</v>
          </cell>
        </row>
        <row r="530">
          <cell r="B530">
            <v>102</v>
          </cell>
          <cell r="C530">
            <v>157</v>
          </cell>
        </row>
        <row r="531">
          <cell r="B531">
            <v>100</v>
          </cell>
          <cell r="C531">
            <v>188</v>
          </cell>
        </row>
        <row r="532">
          <cell r="B532">
            <v>60</v>
          </cell>
          <cell r="C532">
            <v>178</v>
          </cell>
        </row>
        <row r="533">
          <cell r="B533">
            <v>63</v>
          </cell>
          <cell r="C533">
            <v>128</v>
          </cell>
        </row>
        <row r="534">
          <cell r="B534">
            <v>89</v>
          </cell>
          <cell r="C534">
            <v>196</v>
          </cell>
        </row>
        <row r="535">
          <cell r="B535">
            <v>80</v>
          </cell>
          <cell r="C535">
            <v>151</v>
          </cell>
        </row>
        <row r="536">
          <cell r="B536">
            <v>78</v>
          </cell>
          <cell r="C536">
            <v>132</v>
          </cell>
        </row>
        <row r="537">
          <cell r="B537">
            <v>51</v>
          </cell>
          <cell r="C537">
            <v>90</v>
          </cell>
        </row>
        <row r="538">
          <cell r="B538">
            <v>114</v>
          </cell>
          <cell r="C538">
            <v>181</v>
          </cell>
        </row>
        <row r="539">
          <cell r="B539">
            <v>73</v>
          </cell>
          <cell r="C539">
            <v>139</v>
          </cell>
        </row>
        <row r="540">
          <cell r="B540">
            <v>77</v>
          </cell>
          <cell r="C540">
            <v>150</v>
          </cell>
        </row>
        <row r="541">
          <cell r="B541">
            <v>53</v>
          </cell>
          <cell r="C541">
            <v>84</v>
          </cell>
        </row>
        <row r="542">
          <cell r="B542">
            <v>77</v>
          </cell>
          <cell r="C542">
            <v>150</v>
          </cell>
        </row>
        <row r="543">
          <cell r="B543">
            <v>102</v>
          </cell>
          <cell r="C543">
            <v>196</v>
          </cell>
        </row>
        <row r="544">
          <cell r="B544">
            <v>61</v>
          </cell>
          <cell r="C544">
            <v>125</v>
          </cell>
        </row>
        <row r="545">
          <cell r="B545">
            <v>89</v>
          </cell>
          <cell r="C545">
            <v>164</v>
          </cell>
        </row>
        <row r="546">
          <cell r="B546">
            <v>86</v>
          </cell>
          <cell r="C546">
            <v>134</v>
          </cell>
        </row>
        <row r="547">
          <cell r="B547">
            <v>58</v>
          </cell>
          <cell r="C547">
            <v>139</v>
          </cell>
        </row>
        <row r="548">
          <cell r="B548">
            <v>51</v>
          </cell>
          <cell r="C548">
            <v>105</v>
          </cell>
        </row>
        <row r="549">
          <cell r="B549">
            <v>82</v>
          </cell>
          <cell r="C549">
            <v>185</v>
          </cell>
        </row>
        <row r="550">
          <cell r="B550">
            <v>66</v>
          </cell>
          <cell r="C550">
            <v>138</v>
          </cell>
        </row>
        <row r="551">
          <cell r="B551">
            <v>67</v>
          </cell>
          <cell r="C551">
            <v>158</v>
          </cell>
        </row>
        <row r="552">
          <cell r="B552">
            <v>42</v>
          </cell>
          <cell r="C552">
            <v>130</v>
          </cell>
        </row>
        <row r="553">
          <cell r="B553">
            <v>73</v>
          </cell>
          <cell r="C553">
            <v>162</v>
          </cell>
        </row>
        <row r="554">
          <cell r="B554">
            <v>18</v>
          </cell>
          <cell r="C554">
            <v>153</v>
          </cell>
        </row>
        <row r="555">
          <cell r="B555">
            <v>70</v>
          </cell>
          <cell r="C555">
            <v>154</v>
          </cell>
        </row>
        <row r="556">
          <cell r="B556">
            <v>70</v>
          </cell>
          <cell r="C556">
            <v>152</v>
          </cell>
        </row>
        <row r="557">
          <cell r="B557">
            <v>82</v>
          </cell>
          <cell r="C557">
            <v>174</v>
          </cell>
        </row>
        <row r="558">
          <cell r="B558">
            <v>63</v>
          </cell>
          <cell r="C558">
            <v>134</v>
          </cell>
        </row>
        <row r="559">
          <cell r="B559">
            <v>91</v>
          </cell>
          <cell r="C559">
            <v>170</v>
          </cell>
        </row>
        <row r="560">
          <cell r="B560">
            <v>107</v>
          </cell>
          <cell r="C560">
            <v>205</v>
          </cell>
        </row>
        <row r="561">
          <cell r="B561">
            <v>68</v>
          </cell>
          <cell r="C561">
            <v>148</v>
          </cell>
        </row>
        <row r="562">
          <cell r="B562">
            <v>76</v>
          </cell>
          <cell r="C562">
            <v>139</v>
          </cell>
        </row>
        <row r="563">
          <cell r="B563">
            <v>88</v>
          </cell>
          <cell r="C563">
            <v>140</v>
          </cell>
        </row>
        <row r="564">
          <cell r="B564">
            <v>15</v>
          </cell>
          <cell r="C564">
            <v>86</v>
          </cell>
        </row>
        <row r="565">
          <cell r="B565">
            <v>66</v>
          </cell>
          <cell r="C565">
            <v>169</v>
          </cell>
        </row>
        <row r="566">
          <cell r="B566">
            <v>56</v>
          </cell>
          <cell r="C566">
            <v>138</v>
          </cell>
        </row>
        <row r="567">
          <cell r="B567">
            <v>128</v>
          </cell>
          <cell r="C567">
            <v>167</v>
          </cell>
        </row>
        <row r="568">
          <cell r="B568">
            <v>94</v>
          </cell>
          <cell r="C568">
            <v>234</v>
          </cell>
        </row>
        <row r="569">
          <cell r="B569">
            <v>66</v>
          </cell>
          <cell r="C569">
            <v>171</v>
          </cell>
        </row>
        <row r="570">
          <cell r="B570">
            <v>74</v>
          </cell>
          <cell r="C570">
            <v>125</v>
          </cell>
        </row>
        <row r="571">
          <cell r="B571">
            <v>84</v>
          </cell>
          <cell r="C571">
            <v>181</v>
          </cell>
        </row>
        <row r="572">
          <cell r="B572">
            <v>25</v>
          </cell>
          <cell r="C572">
            <v>111</v>
          </cell>
        </row>
        <row r="573">
          <cell r="B573">
            <v>78</v>
          </cell>
          <cell r="C573">
            <v>184</v>
          </cell>
        </row>
        <row r="574">
          <cell r="B574">
            <v>78</v>
          </cell>
          <cell r="C574">
            <v>180</v>
          </cell>
        </row>
        <row r="575">
          <cell r="B575">
            <v>103</v>
          </cell>
          <cell r="C575">
            <v>195</v>
          </cell>
        </row>
        <row r="576">
          <cell r="B576">
            <v>80</v>
          </cell>
          <cell r="C576">
            <v>130</v>
          </cell>
        </row>
        <row r="577">
          <cell r="B577">
            <v>84</v>
          </cell>
          <cell r="C577">
            <v>168</v>
          </cell>
        </row>
        <row r="578">
          <cell r="B578">
            <v>61</v>
          </cell>
          <cell r="C578">
            <v>118</v>
          </cell>
        </row>
        <row r="579">
          <cell r="B579">
            <v>109</v>
          </cell>
          <cell r="C579">
            <v>153</v>
          </cell>
        </row>
        <row r="580">
          <cell r="B580">
            <v>66</v>
          </cell>
          <cell r="C580">
            <v>142</v>
          </cell>
        </row>
        <row r="581">
          <cell r="B581">
            <v>68</v>
          </cell>
          <cell r="C581">
            <v>135</v>
          </cell>
        </row>
        <row r="582">
          <cell r="B582">
            <v>46</v>
          </cell>
          <cell r="C582">
            <v>150</v>
          </cell>
        </row>
        <row r="583">
          <cell r="B583">
            <v>95</v>
          </cell>
          <cell r="C583">
            <v>179</v>
          </cell>
        </row>
        <row r="584">
          <cell r="B584">
            <v>48</v>
          </cell>
          <cell r="C584">
            <v>166</v>
          </cell>
        </row>
        <row r="585">
          <cell r="B585">
            <v>93</v>
          </cell>
          <cell r="C585">
            <v>161</v>
          </cell>
        </row>
        <row r="586">
          <cell r="B586">
            <v>71</v>
          </cell>
          <cell r="C586">
            <v>152</v>
          </cell>
        </row>
        <row r="587">
          <cell r="B587">
            <v>95</v>
          </cell>
          <cell r="C587">
            <v>143</v>
          </cell>
        </row>
        <row r="588">
          <cell r="B588">
            <v>72</v>
          </cell>
          <cell r="C588">
            <v>151</v>
          </cell>
        </row>
        <row r="589">
          <cell r="B589">
            <v>58</v>
          </cell>
          <cell r="C589">
            <v>184</v>
          </cell>
        </row>
        <row r="590">
          <cell r="B590">
            <v>75</v>
          </cell>
          <cell r="C590">
            <v>166</v>
          </cell>
        </row>
        <row r="591">
          <cell r="B591">
            <v>96</v>
          </cell>
          <cell r="C591">
            <v>156</v>
          </cell>
        </row>
        <row r="592">
          <cell r="B592">
            <v>70</v>
          </cell>
          <cell r="C592">
            <v>132</v>
          </cell>
        </row>
        <row r="593">
          <cell r="B593">
            <v>54</v>
          </cell>
          <cell r="C593">
            <v>140</v>
          </cell>
        </row>
        <row r="594">
          <cell r="B594">
            <v>106</v>
          </cell>
          <cell r="C594">
            <v>161</v>
          </cell>
        </row>
        <row r="595">
          <cell r="B595">
            <v>125</v>
          </cell>
          <cell r="C595">
            <v>163</v>
          </cell>
        </row>
        <row r="596">
          <cell r="B596">
            <v>95</v>
          </cell>
          <cell r="C596">
            <v>136</v>
          </cell>
        </row>
        <row r="597">
          <cell r="B597">
            <v>84</v>
          </cell>
          <cell r="C597">
            <v>178</v>
          </cell>
        </row>
        <row r="598">
          <cell r="B598">
            <v>99</v>
          </cell>
          <cell r="C598">
            <v>190</v>
          </cell>
        </row>
        <row r="599">
          <cell r="B599">
            <v>80</v>
          </cell>
          <cell r="C599">
            <v>159</v>
          </cell>
        </row>
        <row r="600">
          <cell r="B600">
            <v>70</v>
          </cell>
          <cell r="C600">
            <v>144</v>
          </cell>
        </row>
        <row r="601">
          <cell r="B601">
            <v>42</v>
          </cell>
          <cell r="C601">
            <v>117</v>
          </cell>
        </row>
        <row r="602">
          <cell r="B602">
            <v>86</v>
          </cell>
          <cell r="C602">
            <v>157</v>
          </cell>
        </row>
        <row r="603">
          <cell r="B603">
            <v>107</v>
          </cell>
          <cell r="C603">
            <v>179</v>
          </cell>
        </row>
        <row r="604">
          <cell r="B604">
            <v>73</v>
          </cell>
          <cell r="C604">
            <v>150</v>
          </cell>
        </row>
        <row r="605">
          <cell r="B605">
            <v>115</v>
          </cell>
          <cell r="C605">
            <v>158</v>
          </cell>
        </row>
        <row r="606">
          <cell r="B606">
            <v>97</v>
          </cell>
          <cell r="C606">
            <v>150</v>
          </cell>
        </row>
        <row r="607">
          <cell r="B607">
            <v>104</v>
          </cell>
          <cell r="C607">
            <v>222</v>
          </cell>
        </row>
        <row r="608">
          <cell r="B608">
            <v>37</v>
          </cell>
          <cell r="C608">
            <v>140</v>
          </cell>
        </row>
        <row r="609">
          <cell r="B609">
            <v>77</v>
          </cell>
          <cell r="C609">
            <v>102</v>
          </cell>
        </row>
        <row r="610">
          <cell r="B610">
            <v>72</v>
          </cell>
          <cell r="C610">
            <v>127</v>
          </cell>
        </row>
        <row r="611">
          <cell r="B611">
            <v>60</v>
          </cell>
          <cell r="C611">
            <v>154</v>
          </cell>
        </row>
        <row r="612">
          <cell r="B612">
            <v>82</v>
          </cell>
          <cell r="C612">
            <v>153</v>
          </cell>
        </row>
        <row r="613">
          <cell r="B613">
            <v>97</v>
          </cell>
          <cell r="C613">
            <v>154</v>
          </cell>
        </row>
        <row r="614">
          <cell r="B614">
            <v>87</v>
          </cell>
          <cell r="C614">
            <v>127</v>
          </cell>
        </row>
        <row r="615">
          <cell r="B615">
            <v>61</v>
          </cell>
          <cell r="C615">
            <v>81</v>
          </cell>
        </row>
        <row r="616">
          <cell r="B616">
            <v>51</v>
          </cell>
          <cell r="C616">
            <v>168</v>
          </cell>
        </row>
        <row r="617">
          <cell r="B617">
            <v>53</v>
          </cell>
          <cell r="C617">
            <v>149</v>
          </cell>
        </row>
        <row r="618">
          <cell r="B618">
            <v>68</v>
          </cell>
          <cell r="C618">
            <v>142</v>
          </cell>
        </row>
        <row r="619">
          <cell r="B619">
            <v>78</v>
          </cell>
          <cell r="C619">
            <v>126</v>
          </cell>
        </row>
        <row r="620">
          <cell r="B620">
            <v>45</v>
          </cell>
          <cell r="C620">
            <v>145</v>
          </cell>
        </row>
        <row r="621">
          <cell r="B621">
            <v>56</v>
          </cell>
          <cell r="C621">
            <v>161</v>
          </cell>
        </row>
        <row r="622">
          <cell r="B622">
            <v>50</v>
          </cell>
          <cell r="C622">
            <v>138</v>
          </cell>
        </row>
        <row r="623">
          <cell r="B623">
            <v>64</v>
          </cell>
          <cell r="C623">
            <v>111</v>
          </cell>
        </row>
        <row r="624">
          <cell r="B624">
            <v>138</v>
          </cell>
          <cell r="C624">
            <v>184</v>
          </cell>
        </row>
        <row r="625">
          <cell r="B625">
            <v>64</v>
          </cell>
          <cell r="C625">
            <v>111</v>
          </cell>
        </row>
        <row r="626">
          <cell r="B626">
            <v>68</v>
          </cell>
          <cell r="C626">
            <v>136</v>
          </cell>
        </row>
        <row r="627">
          <cell r="B627">
            <v>36</v>
          </cell>
          <cell r="C627">
            <v>96</v>
          </cell>
        </row>
        <row r="628">
          <cell r="B628">
            <v>68</v>
          </cell>
          <cell r="C628">
            <v>196</v>
          </cell>
        </row>
        <row r="629">
          <cell r="B629">
            <v>40</v>
          </cell>
          <cell r="C629">
            <v>126</v>
          </cell>
        </row>
        <row r="630">
          <cell r="B630">
            <v>35</v>
          </cell>
          <cell r="C630">
            <v>109</v>
          </cell>
        </row>
        <row r="631">
          <cell r="B631">
            <v>78</v>
          </cell>
          <cell r="C631">
            <v>145</v>
          </cell>
        </row>
        <row r="632">
          <cell r="B632">
            <v>75</v>
          </cell>
          <cell r="C632">
            <v>167</v>
          </cell>
        </row>
        <row r="633">
          <cell r="B633">
            <v>78</v>
          </cell>
          <cell r="C633">
            <v>178</v>
          </cell>
        </row>
        <row r="634">
          <cell r="B634">
            <v>79</v>
          </cell>
          <cell r="C634">
            <v>170</v>
          </cell>
        </row>
        <row r="635">
          <cell r="B635">
            <v>81</v>
          </cell>
          <cell r="C635">
            <v>165</v>
          </cell>
        </row>
        <row r="636">
          <cell r="B636">
            <v>89</v>
          </cell>
          <cell r="C636">
            <v>218</v>
          </cell>
        </row>
        <row r="637">
          <cell r="B637">
            <v>98</v>
          </cell>
          <cell r="C637">
            <v>176</v>
          </cell>
        </row>
        <row r="638">
          <cell r="B638">
            <v>44</v>
          </cell>
          <cell r="C638">
            <v>80</v>
          </cell>
        </row>
        <row r="639">
          <cell r="B639">
            <v>58</v>
          </cell>
          <cell r="C639">
            <v>120</v>
          </cell>
        </row>
        <row r="640">
          <cell r="B640">
            <v>15</v>
          </cell>
          <cell r="C640">
            <v>116</v>
          </cell>
        </row>
        <row r="641">
          <cell r="B641">
            <v>67</v>
          </cell>
          <cell r="C641">
            <v>139</v>
          </cell>
        </row>
        <row r="642">
          <cell r="B642">
            <v>82</v>
          </cell>
          <cell r="C642">
            <v>163</v>
          </cell>
        </row>
        <row r="643">
          <cell r="B643">
            <v>92</v>
          </cell>
          <cell r="C643">
            <v>178</v>
          </cell>
        </row>
        <row r="644">
          <cell r="B644">
            <v>97</v>
          </cell>
          <cell r="C644">
            <v>155</v>
          </cell>
        </row>
        <row r="645">
          <cell r="B645">
            <v>112</v>
          </cell>
          <cell r="C645">
            <v>177</v>
          </cell>
        </row>
        <row r="646">
          <cell r="B646">
            <v>53</v>
          </cell>
          <cell r="C646">
            <v>152</v>
          </cell>
        </row>
        <row r="647">
          <cell r="B647">
            <v>62</v>
          </cell>
          <cell r="C647">
            <v>131</v>
          </cell>
        </row>
        <row r="648">
          <cell r="B648">
            <v>30</v>
          </cell>
          <cell r="C648">
            <v>59</v>
          </cell>
        </row>
        <row r="649">
          <cell r="B649">
            <v>52</v>
          </cell>
          <cell r="C649">
            <v>148</v>
          </cell>
        </row>
        <row r="650">
          <cell r="B650">
            <v>110</v>
          </cell>
          <cell r="C650">
            <v>201</v>
          </cell>
        </row>
        <row r="651">
          <cell r="B651">
            <v>83</v>
          </cell>
          <cell r="C651">
            <v>186</v>
          </cell>
        </row>
        <row r="652">
          <cell r="B652">
            <v>98</v>
          </cell>
          <cell r="C652">
            <v>191</v>
          </cell>
        </row>
        <row r="653">
          <cell r="B653">
            <v>86</v>
          </cell>
          <cell r="C653">
            <v>166</v>
          </cell>
        </row>
        <row r="654">
          <cell r="B654">
            <v>94</v>
          </cell>
          <cell r="C654">
            <v>187</v>
          </cell>
        </row>
        <row r="655">
          <cell r="B655">
            <v>43</v>
          </cell>
          <cell r="C655">
            <v>143</v>
          </cell>
        </row>
        <row r="656">
          <cell r="B656">
            <v>35</v>
          </cell>
          <cell r="C656">
            <v>113</v>
          </cell>
        </row>
        <row r="657">
          <cell r="B657">
            <v>87</v>
          </cell>
          <cell r="C657">
            <v>106</v>
          </cell>
        </row>
        <row r="658">
          <cell r="B658">
            <v>102</v>
          </cell>
          <cell r="C658">
            <v>194</v>
          </cell>
        </row>
        <row r="659">
          <cell r="B659">
            <v>93</v>
          </cell>
          <cell r="C659">
            <v>216</v>
          </cell>
        </row>
        <row r="660">
          <cell r="B660">
            <v>53</v>
          </cell>
          <cell r="C660">
            <v>122</v>
          </cell>
        </row>
        <row r="661">
          <cell r="B661">
            <v>94</v>
          </cell>
          <cell r="C661">
            <v>159</v>
          </cell>
        </row>
        <row r="662">
          <cell r="B662">
            <v>58</v>
          </cell>
          <cell r="C662">
            <v>147</v>
          </cell>
        </row>
        <row r="663">
          <cell r="B663">
            <v>26</v>
          </cell>
          <cell r="C663">
            <v>100</v>
          </cell>
        </row>
        <row r="664">
          <cell r="B664">
            <v>111</v>
          </cell>
          <cell r="C664">
            <v>205</v>
          </cell>
        </row>
        <row r="665">
          <cell r="B665">
            <v>84</v>
          </cell>
          <cell r="C665">
            <v>170</v>
          </cell>
        </row>
        <row r="666">
          <cell r="B666">
            <v>104</v>
          </cell>
          <cell r="C666">
            <v>164</v>
          </cell>
        </row>
        <row r="667">
          <cell r="B667">
            <v>61</v>
          </cell>
          <cell r="C667">
            <v>114</v>
          </cell>
        </row>
        <row r="668">
          <cell r="B668">
            <v>41</v>
          </cell>
          <cell r="C668">
            <v>113</v>
          </cell>
        </row>
        <row r="669">
          <cell r="B669">
            <v>95</v>
          </cell>
          <cell r="C669">
            <v>186</v>
          </cell>
        </row>
        <row r="670">
          <cell r="B670">
            <v>111</v>
          </cell>
          <cell r="C670">
            <v>146</v>
          </cell>
        </row>
        <row r="671">
          <cell r="B671">
            <v>76</v>
          </cell>
          <cell r="C671">
            <v>157</v>
          </cell>
        </row>
        <row r="672">
          <cell r="B672">
            <v>105</v>
          </cell>
          <cell r="C672">
            <v>161</v>
          </cell>
        </row>
        <row r="673">
          <cell r="B673">
            <v>126</v>
          </cell>
          <cell r="C673">
            <v>204</v>
          </cell>
        </row>
        <row r="674">
          <cell r="B674">
            <v>87</v>
          </cell>
          <cell r="C674">
            <v>137</v>
          </cell>
        </row>
        <row r="675">
          <cell r="B675">
            <v>84</v>
          </cell>
          <cell r="C675">
            <v>171</v>
          </cell>
        </row>
        <row r="676">
          <cell r="B676">
            <v>90</v>
          </cell>
          <cell r="C676">
            <v>134</v>
          </cell>
        </row>
        <row r="677">
          <cell r="B677">
            <v>154</v>
          </cell>
          <cell r="C677">
            <v>190</v>
          </cell>
        </row>
        <row r="678">
          <cell r="B678">
            <v>66</v>
          </cell>
          <cell r="C678">
            <v>112</v>
          </cell>
        </row>
        <row r="679">
          <cell r="B679">
            <v>66</v>
          </cell>
          <cell r="C679">
            <v>150</v>
          </cell>
        </row>
        <row r="680">
          <cell r="B680">
            <v>96</v>
          </cell>
          <cell r="C680">
            <v>110</v>
          </cell>
        </row>
        <row r="681">
          <cell r="B681">
            <v>77</v>
          </cell>
          <cell r="C681">
            <v>130</v>
          </cell>
        </row>
        <row r="682">
          <cell r="B682">
            <v>64</v>
          </cell>
          <cell r="C682">
            <v>167</v>
          </cell>
        </row>
        <row r="683">
          <cell r="B683">
            <v>73</v>
          </cell>
          <cell r="C683">
            <v>160</v>
          </cell>
        </row>
      </sheetData>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p6-3"/>
      <sheetName val="chap6-3_answer"/>
      <sheetName val="chap6-4"/>
      <sheetName val="chap6-4_answer"/>
      <sheetName val="chap6-5-1"/>
      <sheetName val="chap6-5-2"/>
    </sheetNames>
    <sheetDataSet>
      <sheetData sheetId="0">
        <row r="1">
          <cell r="C1" t="str">
            <v>売上個数</v>
          </cell>
        </row>
        <row r="2">
          <cell r="B2">
            <v>120</v>
          </cell>
          <cell r="C2">
            <v>22</v>
          </cell>
        </row>
        <row r="3">
          <cell r="B3">
            <v>208</v>
          </cell>
          <cell r="C3">
            <v>19</v>
          </cell>
        </row>
        <row r="4">
          <cell r="B4">
            <v>142</v>
          </cell>
          <cell r="C4">
            <v>14</v>
          </cell>
        </row>
        <row r="5">
          <cell r="B5">
            <v>127</v>
          </cell>
          <cell r="C5">
            <v>19</v>
          </cell>
        </row>
        <row r="6">
          <cell r="B6">
            <v>157</v>
          </cell>
          <cell r="C6">
            <v>25</v>
          </cell>
        </row>
        <row r="7">
          <cell r="B7">
            <v>129</v>
          </cell>
          <cell r="C7">
            <v>27</v>
          </cell>
        </row>
        <row r="8">
          <cell r="B8">
            <v>149</v>
          </cell>
          <cell r="C8">
            <v>33</v>
          </cell>
        </row>
        <row r="9">
          <cell r="B9">
            <v>195</v>
          </cell>
          <cell r="C9">
            <v>14</v>
          </cell>
        </row>
        <row r="10">
          <cell r="B10">
            <v>150</v>
          </cell>
          <cell r="C10">
            <v>25</v>
          </cell>
        </row>
        <row r="11">
          <cell r="B11">
            <v>108</v>
          </cell>
          <cell r="C11">
            <v>34</v>
          </cell>
        </row>
        <row r="12">
          <cell r="B12">
            <v>150</v>
          </cell>
          <cell r="C12">
            <v>21</v>
          </cell>
        </row>
        <row r="13">
          <cell r="B13">
            <v>130</v>
          </cell>
          <cell r="C13">
            <v>26</v>
          </cell>
        </row>
        <row r="14">
          <cell r="B14">
            <v>163</v>
          </cell>
          <cell r="C14">
            <v>15</v>
          </cell>
        </row>
        <row r="15">
          <cell r="B15">
            <v>137</v>
          </cell>
          <cell r="C15">
            <v>18</v>
          </cell>
        </row>
        <row r="16">
          <cell r="B16">
            <v>155</v>
          </cell>
          <cell r="C16">
            <v>26</v>
          </cell>
        </row>
        <row r="17">
          <cell r="B17">
            <v>162</v>
          </cell>
          <cell r="C17">
            <v>23</v>
          </cell>
        </row>
        <row r="18">
          <cell r="B18">
            <v>211</v>
          </cell>
          <cell r="C18">
            <v>21</v>
          </cell>
        </row>
        <row r="19">
          <cell r="B19">
            <v>126</v>
          </cell>
          <cell r="C19">
            <v>36</v>
          </cell>
        </row>
        <row r="20">
          <cell r="B20">
            <v>167</v>
          </cell>
          <cell r="C20">
            <v>24</v>
          </cell>
        </row>
        <row r="21">
          <cell r="B21">
            <v>142</v>
          </cell>
          <cell r="C21">
            <v>35</v>
          </cell>
        </row>
        <row r="22">
          <cell r="B22">
            <v>129</v>
          </cell>
          <cell r="C22">
            <v>18</v>
          </cell>
        </row>
        <row r="23">
          <cell r="B23">
            <v>199</v>
          </cell>
          <cell r="C23">
            <v>25</v>
          </cell>
        </row>
        <row r="24">
          <cell r="B24">
            <v>176</v>
          </cell>
          <cell r="C24">
            <v>31</v>
          </cell>
        </row>
        <row r="25">
          <cell r="B25">
            <v>158</v>
          </cell>
          <cell r="C25">
            <v>33</v>
          </cell>
        </row>
        <row r="26">
          <cell r="B26">
            <v>206</v>
          </cell>
          <cell r="C26">
            <v>15</v>
          </cell>
        </row>
        <row r="27">
          <cell r="B27">
            <v>152</v>
          </cell>
          <cell r="C27">
            <v>24</v>
          </cell>
        </row>
        <row r="28">
          <cell r="B28">
            <v>112</v>
          </cell>
          <cell r="C28">
            <v>26</v>
          </cell>
        </row>
        <row r="29">
          <cell r="B29">
            <v>177</v>
          </cell>
          <cell r="C29">
            <v>25</v>
          </cell>
        </row>
        <row r="30">
          <cell r="B30">
            <v>112</v>
          </cell>
          <cell r="C30">
            <v>30</v>
          </cell>
        </row>
        <row r="31">
          <cell r="B31">
            <v>160</v>
          </cell>
          <cell r="C31">
            <v>37</v>
          </cell>
        </row>
        <row r="32">
          <cell r="B32">
            <v>168</v>
          </cell>
          <cell r="C32">
            <v>38</v>
          </cell>
        </row>
        <row r="33">
          <cell r="B33">
            <v>134</v>
          </cell>
          <cell r="C33">
            <v>25</v>
          </cell>
        </row>
        <row r="34">
          <cell r="B34">
            <v>155</v>
          </cell>
          <cell r="C34">
            <v>17</v>
          </cell>
        </row>
        <row r="35">
          <cell r="B35">
            <v>135</v>
          </cell>
          <cell r="C35">
            <v>30</v>
          </cell>
        </row>
        <row r="36">
          <cell r="B36">
            <v>170</v>
          </cell>
          <cell r="C36">
            <v>25</v>
          </cell>
        </row>
        <row r="37">
          <cell r="B37">
            <v>191</v>
          </cell>
          <cell r="C37">
            <v>24</v>
          </cell>
        </row>
        <row r="38">
          <cell r="B38">
            <v>127</v>
          </cell>
          <cell r="C38">
            <v>36</v>
          </cell>
        </row>
        <row r="39">
          <cell r="B39">
            <v>97</v>
          </cell>
          <cell r="C39">
            <v>40</v>
          </cell>
        </row>
        <row r="40">
          <cell r="B40">
            <v>146</v>
          </cell>
          <cell r="C40">
            <v>37</v>
          </cell>
        </row>
        <row r="41">
          <cell r="B41">
            <v>107</v>
          </cell>
          <cell r="C41">
            <v>39</v>
          </cell>
        </row>
        <row r="42">
          <cell r="B42">
            <v>210</v>
          </cell>
          <cell r="C42">
            <v>19</v>
          </cell>
        </row>
        <row r="43">
          <cell r="B43">
            <v>176</v>
          </cell>
          <cell r="C43">
            <v>19</v>
          </cell>
        </row>
        <row r="44">
          <cell r="B44">
            <v>120</v>
          </cell>
          <cell r="C44">
            <v>33</v>
          </cell>
        </row>
        <row r="45">
          <cell r="B45">
            <v>155</v>
          </cell>
          <cell r="C45">
            <v>33</v>
          </cell>
        </row>
        <row r="46">
          <cell r="B46">
            <v>192</v>
          </cell>
          <cell r="C46">
            <v>27</v>
          </cell>
        </row>
        <row r="47">
          <cell r="B47">
            <v>178</v>
          </cell>
          <cell r="C47">
            <v>23</v>
          </cell>
        </row>
        <row r="48">
          <cell r="B48">
            <v>118</v>
          </cell>
          <cell r="C48">
            <v>27</v>
          </cell>
        </row>
        <row r="49">
          <cell r="B49">
            <v>168</v>
          </cell>
          <cell r="C49">
            <v>30</v>
          </cell>
        </row>
        <row r="50">
          <cell r="B50">
            <v>103</v>
          </cell>
          <cell r="C50">
            <v>42</v>
          </cell>
        </row>
        <row r="51">
          <cell r="B51">
            <v>136</v>
          </cell>
          <cell r="C51">
            <v>28</v>
          </cell>
        </row>
        <row r="52">
          <cell r="B52">
            <v>169</v>
          </cell>
          <cell r="C52">
            <v>22</v>
          </cell>
        </row>
        <row r="53">
          <cell r="B53">
            <v>150</v>
          </cell>
          <cell r="C53">
            <v>29</v>
          </cell>
        </row>
        <row r="54">
          <cell r="B54">
            <v>168</v>
          </cell>
          <cell r="C54">
            <v>33</v>
          </cell>
        </row>
        <row r="55">
          <cell r="B55">
            <v>220</v>
          </cell>
          <cell r="C55">
            <v>16</v>
          </cell>
        </row>
        <row r="56">
          <cell r="B56">
            <v>138</v>
          </cell>
          <cell r="C56">
            <v>35</v>
          </cell>
        </row>
        <row r="57">
          <cell r="B57">
            <v>177</v>
          </cell>
          <cell r="C57">
            <v>24</v>
          </cell>
        </row>
        <row r="58">
          <cell r="B58">
            <v>177</v>
          </cell>
          <cell r="C58">
            <v>31</v>
          </cell>
        </row>
        <row r="59">
          <cell r="B59">
            <v>141</v>
          </cell>
          <cell r="C59">
            <v>38</v>
          </cell>
        </row>
        <row r="60">
          <cell r="B60">
            <v>186</v>
          </cell>
          <cell r="C60">
            <v>26</v>
          </cell>
        </row>
        <row r="61">
          <cell r="B61">
            <v>221</v>
          </cell>
          <cell r="C61">
            <v>16</v>
          </cell>
        </row>
        <row r="62">
          <cell r="B62">
            <v>210</v>
          </cell>
          <cell r="C62">
            <v>18</v>
          </cell>
        </row>
        <row r="63">
          <cell r="B63">
            <v>198</v>
          </cell>
          <cell r="C63">
            <v>21</v>
          </cell>
        </row>
        <row r="64">
          <cell r="B64">
            <v>170</v>
          </cell>
          <cell r="C64">
            <v>19</v>
          </cell>
        </row>
        <row r="65">
          <cell r="B65">
            <v>102</v>
          </cell>
          <cell r="C65">
            <v>32</v>
          </cell>
        </row>
        <row r="66">
          <cell r="B66">
            <v>129</v>
          </cell>
          <cell r="C66">
            <v>28</v>
          </cell>
        </row>
        <row r="67">
          <cell r="B67">
            <v>141</v>
          </cell>
          <cell r="C67">
            <v>46</v>
          </cell>
        </row>
        <row r="68">
          <cell r="B68">
            <v>148</v>
          </cell>
          <cell r="C68">
            <v>22</v>
          </cell>
        </row>
        <row r="69">
          <cell r="B69">
            <v>162</v>
          </cell>
          <cell r="C69">
            <v>16</v>
          </cell>
        </row>
        <row r="70">
          <cell r="B70">
            <v>134</v>
          </cell>
          <cell r="C70">
            <v>26</v>
          </cell>
        </row>
        <row r="71">
          <cell r="B71">
            <v>154</v>
          </cell>
          <cell r="C71">
            <v>37</v>
          </cell>
        </row>
        <row r="72">
          <cell r="B72">
            <v>116</v>
          </cell>
          <cell r="C72">
            <v>32</v>
          </cell>
        </row>
        <row r="73">
          <cell r="B73">
            <v>104</v>
          </cell>
          <cell r="C73">
            <v>46</v>
          </cell>
        </row>
        <row r="74">
          <cell r="B74">
            <v>178</v>
          </cell>
          <cell r="C74">
            <v>20</v>
          </cell>
        </row>
        <row r="75">
          <cell r="B75">
            <v>145</v>
          </cell>
          <cell r="C75">
            <v>45</v>
          </cell>
        </row>
        <row r="76">
          <cell r="B76">
            <v>119</v>
          </cell>
          <cell r="C76">
            <v>34</v>
          </cell>
        </row>
        <row r="77">
          <cell r="B77">
            <v>128</v>
          </cell>
          <cell r="C77">
            <v>30</v>
          </cell>
        </row>
        <row r="78">
          <cell r="B78">
            <v>142</v>
          </cell>
          <cell r="C78">
            <v>19</v>
          </cell>
        </row>
        <row r="79">
          <cell r="B79">
            <v>150</v>
          </cell>
          <cell r="C79">
            <v>24</v>
          </cell>
        </row>
        <row r="80">
          <cell r="B80">
            <v>142</v>
          </cell>
          <cell r="C80">
            <v>11</v>
          </cell>
        </row>
        <row r="81">
          <cell r="B81">
            <v>156</v>
          </cell>
          <cell r="C81">
            <v>33</v>
          </cell>
        </row>
        <row r="82">
          <cell r="B82">
            <v>191</v>
          </cell>
          <cell r="C82">
            <v>21</v>
          </cell>
        </row>
        <row r="83">
          <cell r="B83">
            <v>116</v>
          </cell>
          <cell r="C83">
            <v>42</v>
          </cell>
        </row>
        <row r="84">
          <cell r="B84">
            <v>170</v>
          </cell>
          <cell r="C84">
            <v>27</v>
          </cell>
        </row>
        <row r="85">
          <cell r="B85">
            <v>119</v>
          </cell>
          <cell r="C85">
            <v>27</v>
          </cell>
        </row>
        <row r="86">
          <cell r="B86">
            <v>216</v>
          </cell>
          <cell r="C86">
            <v>18</v>
          </cell>
        </row>
        <row r="87">
          <cell r="B87">
            <v>182</v>
          </cell>
          <cell r="C87">
            <v>30</v>
          </cell>
        </row>
        <row r="88">
          <cell r="B88">
            <v>154</v>
          </cell>
          <cell r="C88">
            <v>18</v>
          </cell>
        </row>
        <row r="89">
          <cell r="B89">
            <v>195</v>
          </cell>
          <cell r="C89">
            <v>20</v>
          </cell>
        </row>
        <row r="90">
          <cell r="B90">
            <v>175</v>
          </cell>
          <cell r="C90">
            <v>26</v>
          </cell>
        </row>
        <row r="91">
          <cell r="B91">
            <v>154</v>
          </cell>
          <cell r="C91">
            <v>19</v>
          </cell>
        </row>
        <row r="92">
          <cell r="B92">
            <v>169</v>
          </cell>
          <cell r="C92">
            <v>26</v>
          </cell>
        </row>
        <row r="93">
          <cell r="B93">
            <v>170</v>
          </cell>
          <cell r="C93">
            <v>23</v>
          </cell>
        </row>
        <row r="94">
          <cell r="B94">
            <v>128</v>
          </cell>
          <cell r="C94">
            <v>20</v>
          </cell>
        </row>
        <row r="95">
          <cell r="B95">
            <v>159</v>
          </cell>
          <cell r="C95">
            <v>17</v>
          </cell>
        </row>
        <row r="96">
          <cell r="B96">
            <v>137</v>
          </cell>
          <cell r="C96">
            <v>15</v>
          </cell>
        </row>
        <row r="97">
          <cell r="B97">
            <v>109</v>
          </cell>
          <cell r="C97">
            <v>39</v>
          </cell>
        </row>
        <row r="98">
          <cell r="B98">
            <v>128</v>
          </cell>
          <cell r="C98">
            <v>30</v>
          </cell>
        </row>
        <row r="99">
          <cell r="B99">
            <v>133</v>
          </cell>
          <cell r="C99">
            <v>37</v>
          </cell>
        </row>
        <row r="100">
          <cell r="B100">
            <v>146</v>
          </cell>
          <cell r="C100">
            <v>31</v>
          </cell>
        </row>
        <row r="101">
          <cell r="B101">
            <v>164</v>
          </cell>
          <cell r="C101">
            <v>15</v>
          </cell>
        </row>
        <row r="102">
          <cell r="B102">
            <v>149</v>
          </cell>
          <cell r="C102">
            <v>33</v>
          </cell>
        </row>
        <row r="103">
          <cell r="B103">
            <v>168</v>
          </cell>
          <cell r="C103">
            <v>32</v>
          </cell>
        </row>
        <row r="104">
          <cell r="B104">
            <v>130</v>
          </cell>
          <cell r="C104">
            <v>33</v>
          </cell>
        </row>
        <row r="105">
          <cell r="B105">
            <v>126</v>
          </cell>
          <cell r="C105">
            <v>24</v>
          </cell>
        </row>
        <row r="106">
          <cell r="B106">
            <v>115</v>
          </cell>
          <cell r="C106">
            <v>25</v>
          </cell>
        </row>
        <row r="107">
          <cell r="B107">
            <v>136</v>
          </cell>
          <cell r="C107">
            <v>23</v>
          </cell>
        </row>
        <row r="108">
          <cell r="B108">
            <v>161</v>
          </cell>
          <cell r="C108">
            <v>27</v>
          </cell>
        </row>
        <row r="109">
          <cell r="B109">
            <v>108</v>
          </cell>
          <cell r="C109">
            <v>33</v>
          </cell>
        </row>
        <row r="110">
          <cell r="B110">
            <v>198</v>
          </cell>
          <cell r="C110">
            <v>11</v>
          </cell>
        </row>
        <row r="111">
          <cell r="B111">
            <v>203</v>
          </cell>
          <cell r="C111">
            <v>11</v>
          </cell>
        </row>
        <row r="112">
          <cell r="B112">
            <v>109</v>
          </cell>
          <cell r="C112">
            <v>29</v>
          </cell>
        </row>
        <row r="113">
          <cell r="B113">
            <v>109</v>
          </cell>
          <cell r="C113">
            <v>38</v>
          </cell>
        </row>
        <row r="114">
          <cell r="B114">
            <v>140</v>
          </cell>
          <cell r="C114">
            <v>26</v>
          </cell>
        </row>
        <row r="115">
          <cell r="B115">
            <v>102</v>
          </cell>
          <cell r="C115">
            <v>36</v>
          </cell>
        </row>
        <row r="116">
          <cell r="B116">
            <v>142</v>
          </cell>
          <cell r="C116">
            <v>32</v>
          </cell>
        </row>
        <row r="117">
          <cell r="B117">
            <v>171</v>
          </cell>
          <cell r="C117">
            <v>18</v>
          </cell>
        </row>
        <row r="118">
          <cell r="B118">
            <v>212</v>
          </cell>
          <cell r="C118">
            <v>21</v>
          </cell>
        </row>
        <row r="119">
          <cell r="B119">
            <v>141</v>
          </cell>
          <cell r="C119">
            <v>12</v>
          </cell>
        </row>
        <row r="120">
          <cell r="B120">
            <v>184</v>
          </cell>
          <cell r="C120">
            <v>12</v>
          </cell>
        </row>
        <row r="121">
          <cell r="B121">
            <v>164</v>
          </cell>
          <cell r="C121">
            <v>32</v>
          </cell>
        </row>
        <row r="122">
          <cell r="B122">
            <v>179</v>
          </cell>
          <cell r="C122">
            <v>23</v>
          </cell>
        </row>
        <row r="123">
          <cell r="B123">
            <v>159</v>
          </cell>
          <cell r="C123">
            <v>26</v>
          </cell>
        </row>
        <row r="124">
          <cell r="B124">
            <v>140</v>
          </cell>
          <cell r="C124">
            <v>30</v>
          </cell>
        </row>
        <row r="125">
          <cell r="B125">
            <v>175</v>
          </cell>
          <cell r="C125">
            <v>13</v>
          </cell>
        </row>
        <row r="126">
          <cell r="B126">
            <v>161</v>
          </cell>
          <cell r="C126">
            <v>16</v>
          </cell>
        </row>
        <row r="127">
          <cell r="B127">
            <v>173</v>
          </cell>
          <cell r="C127">
            <v>34</v>
          </cell>
        </row>
        <row r="128">
          <cell r="B128">
            <v>186</v>
          </cell>
          <cell r="C128">
            <v>32</v>
          </cell>
        </row>
        <row r="129">
          <cell r="B129">
            <v>187</v>
          </cell>
          <cell r="C129">
            <v>31</v>
          </cell>
        </row>
        <row r="130">
          <cell r="B130">
            <v>130</v>
          </cell>
          <cell r="C130">
            <v>36</v>
          </cell>
        </row>
        <row r="131">
          <cell r="B131">
            <v>112</v>
          </cell>
          <cell r="C131">
            <v>48</v>
          </cell>
        </row>
        <row r="132">
          <cell r="B132">
            <v>183</v>
          </cell>
          <cell r="C132">
            <v>23</v>
          </cell>
        </row>
        <row r="133">
          <cell r="B133">
            <v>175</v>
          </cell>
          <cell r="C133">
            <v>24</v>
          </cell>
        </row>
        <row r="134">
          <cell r="B134">
            <v>140</v>
          </cell>
          <cell r="C134">
            <v>41</v>
          </cell>
        </row>
        <row r="135">
          <cell r="B135">
            <v>177</v>
          </cell>
          <cell r="C135">
            <v>20</v>
          </cell>
        </row>
        <row r="136">
          <cell r="B136">
            <v>139</v>
          </cell>
          <cell r="C136">
            <v>24</v>
          </cell>
        </row>
        <row r="137">
          <cell r="B137">
            <v>186</v>
          </cell>
          <cell r="C137">
            <v>20</v>
          </cell>
        </row>
        <row r="138">
          <cell r="B138">
            <v>173</v>
          </cell>
          <cell r="C138">
            <v>19</v>
          </cell>
        </row>
        <row r="139">
          <cell r="B139">
            <v>176</v>
          </cell>
          <cell r="C139">
            <v>24</v>
          </cell>
        </row>
        <row r="140">
          <cell r="B140">
            <v>144</v>
          </cell>
          <cell r="C140">
            <v>20</v>
          </cell>
        </row>
        <row r="141">
          <cell r="B141">
            <v>146</v>
          </cell>
          <cell r="C141">
            <v>32</v>
          </cell>
        </row>
        <row r="142">
          <cell r="B142">
            <v>184</v>
          </cell>
          <cell r="C142">
            <v>32</v>
          </cell>
        </row>
        <row r="143">
          <cell r="B143">
            <v>185</v>
          </cell>
          <cell r="C143">
            <v>12</v>
          </cell>
        </row>
        <row r="144">
          <cell r="B144">
            <v>124</v>
          </cell>
          <cell r="C144">
            <v>25</v>
          </cell>
        </row>
        <row r="145">
          <cell r="B145">
            <v>146</v>
          </cell>
          <cell r="C145">
            <v>10</v>
          </cell>
        </row>
        <row r="146">
          <cell r="B146">
            <v>97</v>
          </cell>
          <cell r="C146">
            <v>39</v>
          </cell>
        </row>
        <row r="147">
          <cell r="B147">
            <v>152</v>
          </cell>
          <cell r="C147">
            <v>43</v>
          </cell>
        </row>
        <row r="148">
          <cell r="B148">
            <v>178</v>
          </cell>
          <cell r="C148">
            <v>20</v>
          </cell>
        </row>
        <row r="149">
          <cell r="B149">
            <v>166</v>
          </cell>
          <cell r="C149">
            <v>16</v>
          </cell>
        </row>
        <row r="150">
          <cell r="B150">
            <v>101</v>
          </cell>
          <cell r="C150">
            <v>41</v>
          </cell>
        </row>
        <row r="151">
          <cell r="B151">
            <v>102</v>
          </cell>
          <cell r="C151">
            <v>30</v>
          </cell>
        </row>
        <row r="152">
          <cell r="B152">
            <v>72</v>
          </cell>
          <cell r="C152">
            <v>50</v>
          </cell>
        </row>
        <row r="153">
          <cell r="B153">
            <v>100</v>
          </cell>
          <cell r="C153">
            <v>53</v>
          </cell>
        </row>
        <row r="154">
          <cell r="B154">
            <v>104</v>
          </cell>
          <cell r="C154">
            <v>32</v>
          </cell>
        </row>
        <row r="155">
          <cell r="B155">
            <v>104</v>
          </cell>
          <cell r="C155">
            <v>35</v>
          </cell>
        </row>
        <row r="156">
          <cell r="B156">
            <v>128</v>
          </cell>
          <cell r="C156">
            <v>29</v>
          </cell>
        </row>
        <row r="157">
          <cell r="B157">
            <v>189</v>
          </cell>
          <cell r="C157">
            <v>26</v>
          </cell>
        </row>
        <row r="158">
          <cell r="B158">
            <v>198</v>
          </cell>
          <cell r="C158">
            <v>22</v>
          </cell>
        </row>
        <row r="159">
          <cell r="B159">
            <v>124</v>
          </cell>
          <cell r="C159">
            <v>23</v>
          </cell>
        </row>
        <row r="160">
          <cell r="B160">
            <v>134</v>
          </cell>
          <cell r="C160">
            <v>52</v>
          </cell>
        </row>
        <row r="161">
          <cell r="B161">
            <v>137</v>
          </cell>
          <cell r="C161">
            <v>24</v>
          </cell>
        </row>
        <row r="162">
          <cell r="B162">
            <v>135</v>
          </cell>
          <cell r="C162">
            <v>42</v>
          </cell>
        </row>
        <row r="163">
          <cell r="B163">
            <v>140</v>
          </cell>
          <cell r="C163">
            <v>36</v>
          </cell>
        </row>
        <row r="164">
          <cell r="B164">
            <v>174</v>
          </cell>
          <cell r="C164">
            <v>16</v>
          </cell>
        </row>
        <row r="165">
          <cell r="B165">
            <v>112</v>
          </cell>
          <cell r="C165">
            <v>26</v>
          </cell>
        </row>
        <row r="166">
          <cell r="B166">
            <v>133</v>
          </cell>
          <cell r="C166">
            <v>28</v>
          </cell>
        </row>
        <row r="167">
          <cell r="B167">
            <v>145</v>
          </cell>
          <cell r="C167">
            <v>22</v>
          </cell>
        </row>
        <row r="168">
          <cell r="B168">
            <v>107</v>
          </cell>
          <cell r="C168">
            <v>36</v>
          </cell>
        </row>
        <row r="169">
          <cell r="B169">
            <v>186</v>
          </cell>
          <cell r="C169">
            <v>25</v>
          </cell>
        </row>
        <row r="170">
          <cell r="B170">
            <v>147</v>
          </cell>
          <cell r="C170">
            <v>17</v>
          </cell>
        </row>
        <row r="171">
          <cell r="B171">
            <v>181</v>
          </cell>
          <cell r="C171">
            <v>27</v>
          </cell>
        </row>
        <row r="172">
          <cell r="B172">
            <v>162</v>
          </cell>
          <cell r="C172">
            <v>31</v>
          </cell>
        </row>
        <row r="173">
          <cell r="B173">
            <v>118</v>
          </cell>
          <cell r="C173">
            <v>28</v>
          </cell>
        </row>
        <row r="174">
          <cell r="B174">
            <v>120</v>
          </cell>
          <cell r="C174">
            <v>41</v>
          </cell>
        </row>
        <row r="175">
          <cell r="B175">
            <v>193</v>
          </cell>
          <cell r="C175">
            <v>18</v>
          </cell>
        </row>
        <row r="176">
          <cell r="B176">
            <v>196</v>
          </cell>
          <cell r="C176">
            <v>16</v>
          </cell>
        </row>
        <row r="177">
          <cell r="B177">
            <v>178</v>
          </cell>
          <cell r="C177">
            <v>26</v>
          </cell>
        </row>
        <row r="178">
          <cell r="B178">
            <v>177</v>
          </cell>
          <cell r="C178">
            <v>14</v>
          </cell>
        </row>
        <row r="179">
          <cell r="B179">
            <v>84</v>
          </cell>
          <cell r="C179">
            <v>43</v>
          </cell>
        </row>
        <row r="180">
          <cell r="B180">
            <v>200</v>
          </cell>
          <cell r="C180">
            <v>23</v>
          </cell>
        </row>
        <row r="181">
          <cell r="B181">
            <v>194</v>
          </cell>
          <cell r="C181">
            <v>20</v>
          </cell>
        </row>
        <row r="182">
          <cell r="B182">
            <v>125</v>
          </cell>
          <cell r="C182">
            <v>31</v>
          </cell>
        </row>
        <row r="183">
          <cell r="B183">
            <v>163</v>
          </cell>
          <cell r="C183">
            <v>38</v>
          </cell>
        </row>
        <row r="184">
          <cell r="B184">
            <v>155</v>
          </cell>
          <cell r="C184">
            <v>33</v>
          </cell>
        </row>
        <row r="185">
          <cell r="B185">
            <v>113</v>
          </cell>
          <cell r="C185">
            <v>27</v>
          </cell>
        </row>
        <row r="186">
          <cell r="B186">
            <v>133</v>
          </cell>
          <cell r="C186">
            <v>24</v>
          </cell>
        </row>
        <row r="187">
          <cell r="B187">
            <v>119</v>
          </cell>
          <cell r="C187">
            <v>38</v>
          </cell>
        </row>
        <row r="188">
          <cell r="B188">
            <v>106</v>
          </cell>
          <cell r="C188">
            <v>47</v>
          </cell>
        </row>
        <row r="189">
          <cell r="B189">
            <v>146</v>
          </cell>
          <cell r="C189">
            <v>31</v>
          </cell>
        </row>
        <row r="190">
          <cell r="B190">
            <v>140</v>
          </cell>
          <cell r="C190">
            <v>20</v>
          </cell>
        </row>
        <row r="191">
          <cell r="B191">
            <v>226</v>
          </cell>
          <cell r="C191">
            <v>19</v>
          </cell>
        </row>
        <row r="192">
          <cell r="B192">
            <v>151</v>
          </cell>
          <cell r="C192">
            <v>45</v>
          </cell>
        </row>
        <row r="193">
          <cell r="B193">
            <v>110</v>
          </cell>
          <cell r="C193">
            <v>38</v>
          </cell>
        </row>
        <row r="194">
          <cell r="B194">
            <v>192</v>
          </cell>
          <cell r="C194">
            <v>18</v>
          </cell>
        </row>
        <row r="195">
          <cell r="B195">
            <v>168</v>
          </cell>
          <cell r="C195">
            <v>14</v>
          </cell>
        </row>
        <row r="196">
          <cell r="B196">
            <v>135</v>
          </cell>
          <cell r="C196">
            <v>42</v>
          </cell>
        </row>
        <row r="197">
          <cell r="B197">
            <v>157</v>
          </cell>
          <cell r="C197">
            <v>33</v>
          </cell>
        </row>
        <row r="198">
          <cell r="B198">
            <v>152</v>
          </cell>
          <cell r="C198">
            <v>34</v>
          </cell>
        </row>
        <row r="199">
          <cell r="B199">
            <v>206</v>
          </cell>
          <cell r="C199">
            <v>15</v>
          </cell>
        </row>
        <row r="200">
          <cell r="B200">
            <v>192</v>
          </cell>
          <cell r="C200">
            <v>22</v>
          </cell>
        </row>
        <row r="201">
          <cell r="B201">
            <v>166</v>
          </cell>
          <cell r="C201">
            <v>30</v>
          </cell>
        </row>
        <row r="202">
          <cell r="B202">
            <v>124</v>
          </cell>
          <cell r="C202">
            <v>25</v>
          </cell>
        </row>
        <row r="203">
          <cell r="B203">
            <v>156</v>
          </cell>
          <cell r="C203">
            <v>26</v>
          </cell>
        </row>
        <row r="204">
          <cell r="B204">
            <v>186</v>
          </cell>
          <cell r="C204">
            <v>11</v>
          </cell>
        </row>
        <row r="205">
          <cell r="B205">
            <v>137</v>
          </cell>
          <cell r="C205">
            <v>28</v>
          </cell>
        </row>
        <row r="206">
          <cell r="B206">
            <v>176</v>
          </cell>
          <cell r="C206">
            <v>22</v>
          </cell>
        </row>
        <row r="207">
          <cell r="B207">
            <v>89</v>
          </cell>
          <cell r="C207">
            <v>37</v>
          </cell>
        </row>
        <row r="208">
          <cell r="B208">
            <v>169</v>
          </cell>
          <cell r="C208">
            <v>31</v>
          </cell>
        </row>
        <row r="209">
          <cell r="B209">
            <v>160</v>
          </cell>
          <cell r="C209">
            <v>19</v>
          </cell>
        </row>
        <row r="210">
          <cell r="B210">
            <v>175</v>
          </cell>
          <cell r="C210">
            <v>32</v>
          </cell>
        </row>
        <row r="211">
          <cell r="B211">
            <v>135</v>
          </cell>
          <cell r="C211">
            <v>27</v>
          </cell>
        </row>
        <row r="212">
          <cell r="B212">
            <v>202</v>
          </cell>
          <cell r="C212">
            <v>13</v>
          </cell>
        </row>
        <row r="213">
          <cell r="B213">
            <v>189</v>
          </cell>
          <cell r="C213">
            <v>31</v>
          </cell>
        </row>
        <row r="214">
          <cell r="B214">
            <v>132</v>
          </cell>
          <cell r="C214">
            <v>20</v>
          </cell>
        </row>
        <row r="215">
          <cell r="B215">
            <v>138</v>
          </cell>
          <cell r="C215">
            <v>26</v>
          </cell>
        </row>
        <row r="216">
          <cell r="B216">
            <v>170</v>
          </cell>
          <cell r="C216">
            <v>42</v>
          </cell>
        </row>
        <row r="217">
          <cell r="B217">
            <v>186</v>
          </cell>
          <cell r="C217">
            <v>24</v>
          </cell>
        </row>
        <row r="218">
          <cell r="B218">
            <v>89</v>
          </cell>
          <cell r="C218">
            <v>50</v>
          </cell>
        </row>
        <row r="219">
          <cell r="B219">
            <v>105</v>
          </cell>
          <cell r="C219">
            <v>41</v>
          </cell>
        </row>
        <row r="220">
          <cell r="B220">
            <v>189</v>
          </cell>
          <cell r="C220">
            <v>29</v>
          </cell>
        </row>
        <row r="221">
          <cell r="B221">
            <v>152</v>
          </cell>
          <cell r="C221">
            <v>23</v>
          </cell>
        </row>
        <row r="222">
          <cell r="B222">
            <v>226</v>
          </cell>
          <cell r="C222">
            <v>13</v>
          </cell>
        </row>
        <row r="223">
          <cell r="B223">
            <v>146</v>
          </cell>
          <cell r="C223">
            <v>32</v>
          </cell>
        </row>
        <row r="224">
          <cell r="B224">
            <v>197</v>
          </cell>
          <cell r="C224">
            <v>24</v>
          </cell>
        </row>
        <row r="225">
          <cell r="B225">
            <v>188</v>
          </cell>
          <cell r="C225">
            <v>33</v>
          </cell>
        </row>
        <row r="226">
          <cell r="B226">
            <v>151</v>
          </cell>
          <cell r="C226">
            <v>29</v>
          </cell>
        </row>
        <row r="227">
          <cell r="B227">
            <v>207</v>
          </cell>
          <cell r="C227">
            <v>24</v>
          </cell>
        </row>
        <row r="228">
          <cell r="B228">
            <v>104</v>
          </cell>
          <cell r="C228">
            <v>40</v>
          </cell>
        </row>
        <row r="229">
          <cell r="B229">
            <v>188</v>
          </cell>
          <cell r="C229">
            <v>16</v>
          </cell>
        </row>
        <row r="230">
          <cell r="B230">
            <v>234</v>
          </cell>
          <cell r="C230">
            <v>11</v>
          </cell>
        </row>
        <row r="231">
          <cell r="B231">
            <v>202</v>
          </cell>
          <cell r="C231">
            <v>19</v>
          </cell>
        </row>
        <row r="232">
          <cell r="B232">
            <v>126</v>
          </cell>
          <cell r="C232">
            <v>42</v>
          </cell>
        </row>
        <row r="233">
          <cell r="B233">
            <v>144</v>
          </cell>
          <cell r="C233">
            <v>27</v>
          </cell>
        </row>
        <row r="234">
          <cell r="B234">
            <v>180</v>
          </cell>
          <cell r="C234">
            <v>24</v>
          </cell>
        </row>
        <row r="235">
          <cell r="B235">
            <v>138</v>
          </cell>
          <cell r="C235">
            <v>27</v>
          </cell>
        </row>
        <row r="236">
          <cell r="B236">
            <v>220</v>
          </cell>
          <cell r="C236">
            <v>14</v>
          </cell>
        </row>
        <row r="237">
          <cell r="B237">
            <v>204</v>
          </cell>
          <cell r="C237">
            <v>12</v>
          </cell>
        </row>
        <row r="238">
          <cell r="B238">
            <v>153</v>
          </cell>
          <cell r="C238">
            <v>23</v>
          </cell>
        </row>
        <row r="239">
          <cell r="B239">
            <v>114</v>
          </cell>
          <cell r="C239">
            <v>40</v>
          </cell>
        </row>
        <row r="240">
          <cell r="B240">
            <v>130</v>
          </cell>
          <cell r="C240">
            <v>33</v>
          </cell>
        </row>
        <row r="241">
          <cell r="B241">
            <v>146</v>
          </cell>
          <cell r="C241">
            <v>33</v>
          </cell>
        </row>
        <row r="242">
          <cell r="B242">
            <v>179</v>
          </cell>
          <cell r="C242">
            <v>30</v>
          </cell>
        </row>
        <row r="243">
          <cell r="B243">
            <v>148</v>
          </cell>
          <cell r="C243">
            <v>35</v>
          </cell>
        </row>
        <row r="244">
          <cell r="B244">
            <v>133</v>
          </cell>
          <cell r="C244">
            <v>26</v>
          </cell>
        </row>
        <row r="245">
          <cell r="B245">
            <v>210</v>
          </cell>
          <cell r="C245">
            <v>6</v>
          </cell>
        </row>
        <row r="246">
          <cell r="B246">
            <v>153</v>
          </cell>
          <cell r="C246">
            <v>17</v>
          </cell>
        </row>
        <row r="247">
          <cell r="B247">
            <v>99</v>
          </cell>
          <cell r="C247">
            <v>41</v>
          </cell>
        </row>
        <row r="248">
          <cell r="B248">
            <v>148</v>
          </cell>
          <cell r="C248">
            <v>33</v>
          </cell>
        </row>
        <row r="249">
          <cell r="B249">
            <v>134</v>
          </cell>
          <cell r="C249">
            <v>39</v>
          </cell>
        </row>
        <row r="250">
          <cell r="B250">
            <v>172</v>
          </cell>
          <cell r="C250">
            <v>17</v>
          </cell>
        </row>
        <row r="251">
          <cell r="B251">
            <v>116</v>
          </cell>
          <cell r="C251">
            <v>24</v>
          </cell>
        </row>
        <row r="252">
          <cell r="B252">
            <v>115</v>
          </cell>
          <cell r="C252">
            <v>35</v>
          </cell>
        </row>
        <row r="253">
          <cell r="B253">
            <v>157</v>
          </cell>
          <cell r="C253">
            <v>18</v>
          </cell>
        </row>
        <row r="254">
          <cell r="B254">
            <v>208</v>
          </cell>
          <cell r="C254">
            <v>20</v>
          </cell>
        </row>
        <row r="255">
          <cell r="B255">
            <v>145</v>
          </cell>
          <cell r="C255">
            <v>24</v>
          </cell>
        </row>
        <row r="256">
          <cell r="B256">
            <v>130</v>
          </cell>
          <cell r="C256">
            <v>40</v>
          </cell>
        </row>
        <row r="257">
          <cell r="B257">
            <v>222</v>
          </cell>
          <cell r="C257">
            <v>13</v>
          </cell>
        </row>
        <row r="258">
          <cell r="B258">
            <v>194</v>
          </cell>
          <cell r="C258">
            <v>32</v>
          </cell>
        </row>
        <row r="259">
          <cell r="B259">
            <v>113</v>
          </cell>
          <cell r="C259">
            <v>34</v>
          </cell>
        </row>
        <row r="260">
          <cell r="B260">
            <v>145</v>
          </cell>
          <cell r="C260">
            <v>34</v>
          </cell>
        </row>
        <row r="261">
          <cell r="B261">
            <v>154</v>
          </cell>
          <cell r="C261">
            <v>31</v>
          </cell>
        </row>
        <row r="262">
          <cell r="B262">
            <v>126</v>
          </cell>
          <cell r="C262">
            <v>47</v>
          </cell>
        </row>
        <row r="263">
          <cell r="B263">
            <v>108</v>
          </cell>
          <cell r="C263">
            <v>43</v>
          </cell>
        </row>
        <row r="264">
          <cell r="B264">
            <v>120</v>
          </cell>
          <cell r="C264">
            <v>27</v>
          </cell>
        </row>
        <row r="265">
          <cell r="B265">
            <v>172</v>
          </cell>
          <cell r="C265">
            <v>11</v>
          </cell>
        </row>
        <row r="266">
          <cell r="B266">
            <v>126</v>
          </cell>
          <cell r="C266">
            <v>37</v>
          </cell>
        </row>
        <row r="267">
          <cell r="B267">
            <v>180</v>
          </cell>
          <cell r="C267">
            <v>26</v>
          </cell>
        </row>
        <row r="268">
          <cell r="B268">
            <v>195</v>
          </cell>
          <cell r="C268">
            <v>27</v>
          </cell>
        </row>
        <row r="269">
          <cell r="B269">
            <v>179</v>
          </cell>
          <cell r="C269">
            <v>21</v>
          </cell>
        </row>
        <row r="270">
          <cell r="B270">
            <v>126</v>
          </cell>
          <cell r="C270">
            <v>35</v>
          </cell>
        </row>
        <row r="271">
          <cell r="B271">
            <v>206</v>
          </cell>
          <cell r="C271">
            <v>25</v>
          </cell>
        </row>
        <row r="272">
          <cell r="B272">
            <v>151</v>
          </cell>
          <cell r="C272">
            <v>28</v>
          </cell>
        </row>
        <row r="273">
          <cell r="B273">
            <v>163</v>
          </cell>
          <cell r="C273">
            <v>21</v>
          </cell>
        </row>
        <row r="274">
          <cell r="B274">
            <v>169</v>
          </cell>
          <cell r="C274">
            <v>24</v>
          </cell>
        </row>
        <row r="275">
          <cell r="B275">
            <v>187</v>
          </cell>
          <cell r="C275">
            <v>19</v>
          </cell>
        </row>
        <row r="276">
          <cell r="B276">
            <v>158</v>
          </cell>
          <cell r="C276">
            <v>25</v>
          </cell>
        </row>
        <row r="277">
          <cell r="B277">
            <v>130</v>
          </cell>
          <cell r="C277">
            <v>33</v>
          </cell>
        </row>
        <row r="278">
          <cell r="B278">
            <v>172</v>
          </cell>
          <cell r="C278">
            <v>26</v>
          </cell>
        </row>
        <row r="279">
          <cell r="B279">
            <v>137</v>
          </cell>
          <cell r="C279">
            <v>31</v>
          </cell>
        </row>
        <row r="280">
          <cell r="B280">
            <v>162</v>
          </cell>
          <cell r="C280">
            <v>33</v>
          </cell>
        </row>
        <row r="281">
          <cell r="B281">
            <v>162</v>
          </cell>
          <cell r="C281">
            <v>26</v>
          </cell>
        </row>
        <row r="282">
          <cell r="B282">
            <v>202</v>
          </cell>
          <cell r="C282">
            <v>23</v>
          </cell>
        </row>
        <row r="283">
          <cell r="B283">
            <v>130</v>
          </cell>
          <cell r="C283">
            <v>28</v>
          </cell>
        </row>
        <row r="284">
          <cell r="B284">
            <v>148</v>
          </cell>
          <cell r="C284">
            <v>18</v>
          </cell>
        </row>
        <row r="285">
          <cell r="B285">
            <v>130</v>
          </cell>
          <cell r="C285">
            <v>39</v>
          </cell>
        </row>
        <row r="286">
          <cell r="B286">
            <v>162</v>
          </cell>
          <cell r="C286">
            <v>28</v>
          </cell>
        </row>
        <row r="287">
          <cell r="B287">
            <v>162</v>
          </cell>
          <cell r="C287">
            <v>47</v>
          </cell>
        </row>
        <row r="288">
          <cell r="B288">
            <v>159</v>
          </cell>
          <cell r="C288">
            <v>41</v>
          </cell>
        </row>
        <row r="289">
          <cell r="B289">
            <v>149</v>
          </cell>
          <cell r="C289">
            <v>11</v>
          </cell>
        </row>
        <row r="290">
          <cell r="B290">
            <v>212</v>
          </cell>
          <cell r="C290">
            <v>26</v>
          </cell>
        </row>
        <row r="291">
          <cell r="B291">
            <v>138</v>
          </cell>
          <cell r="C291">
            <v>24</v>
          </cell>
        </row>
        <row r="292">
          <cell r="B292">
            <v>221</v>
          </cell>
          <cell r="C292">
            <v>14</v>
          </cell>
        </row>
        <row r="293">
          <cell r="B293">
            <v>110</v>
          </cell>
          <cell r="C293">
            <v>34</v>
          </cell>
        </row>
        <row r="294">
          <cell r="B294">
            <v>76</v>
          </cell>
          <cell r="C294">
            <v>46</v>
          </cell>
        </row>
        <row r="295">
          <cell r="B295">
            <v>139</v>
          </cell>
          <cell r="C295">
            <v>24</v>
          </cell>
        </row>
        <row r="296">
          <cell r="B296">
            <v>189</v>
          </cell>
          <cell r="C296">
            <v>22</v>
          </cell>
        </row>
        <row r="297">
          <cell r="B297">
            <v>106</v>
          </cell>
          <cell r="C297">
            <v>41</v>
          </cell>
        </row>
        <row r="298">
          <cell r="B298">
            <v>192</v>
          </cell>
          <cell r="C298">
            <v>3</v>
          </cell>
        </row>
        <row r="299">
          <cell r="B299">
            <v>134</v>
          </cell>
          <cell r="C299">
            <v>24</v>
          </cell>
        </row>
        <row r="300">
          <cell r="B300">
            <v>130</v>
          </cell>
          <cell r="C300">
            <v>19</v>
          </cell>
        </row>
        <row r="301">
          <cell r="B301">
            <v>148</v>
          </cell>
          <cell r="C301">
            <v>39</v>
          </cell>
        </row>
        <row r="302">
          <cell r="B302">
            <v>125</v>
          </cell>
          <cell r="C302">
            <v>28</v>
          </cell>
        </row>
        <row r="303">
          <cell r="B303">
            <v>158</v>
          </cell>
          <cell r="C303">
            <v>32</v>
          </cell>
        </row>
        <row r="304">
          <cell r="B304">
            <v>159</v>
          </cell>
          <cell r="C304">
            <v>25</v>
          </cell>
        </row>
        <row r="305">
          <cell r="B305">
            <v>135</v>
          </cell>
          <cell r="C305">
            <v>29</v>
          </cell>
        </row>
        <row r="306">
          <cell r="B306">
            <v>145</v>
          </cell>
          <cell r="C306">
            <v>25</v>
          </cell>
        </row>
        <row r="307">
          <cell r="B307">
            <v>194</v>
          </cell>
          <cell r="C307">
            <v>21</v>
          </cell>
        </row>
        <row r="308">
          <cell r="B308">
            <v>125</v>
          </cell>
          <cell r="C308">
            <v>31</v>
          </cell>
        </row>
        <row r="309">
          <cell r="B309">
            <v>117</v>
          </cell>
          <cell r="C309">
            <v>25</v>
          </cell>
        </row>
        <row r="310">
          <cell r="B310">
            <v>190</v>
          </cell>
          <cell r="C310">
            <v>14</v>
          </cell>
        </row>
        <row r="311">
          <cell r="B311">
            <v>185</v>
          </cell>
          <cell r="C311">
            <v>21</v>
          </cell>
        </row>
        <row r="312">
          <cell r="B312">
            <v>126</v>
          </cell>
          <cell r="C312">
            <v>24</v>
          </cell>
        </row>
        <row r="313">
          <cell r="B313">
            <v>194</v>
          </cell>
          <cell r="C313">
            <v>25</v>
          </cell>
        </row>
        <row r="314">
          <cell r="B314">
            <v>118</v>
          </cell>
          <cell r="C314">
            <v>42</v>
          </cell>
        </row>
        <row r="315">
          <cell r="B315">
            <v>196</v>
          </cell>
          <cell r="C315">
            <v>20</v>
          </cell>
        </row>
        <row r="316">
          <cell r="B316">
            <v>122</v>
          </cell>
          <cell r="C316">
            <v>22</v>
          </cell>
        </row>
        <row r="317">
          <cell r="B317">
            <v>180</v>
          </cell>
          <cell r="C317">
            <v>36</v>
          </cell>
        </row>
        <row r="318">
          <cell r="B318">
            <v>159</v>
          </cell>
          <cell r="C318">
            <v>38</v>
          </cell>
        </row>
        <row r="319">
          <cell r="B319">
            <v>144</v>
          </cell>
          <cell r="C319">
            <v>18</v>
          </cell>
        </row>
        <row r="320">
          <cell r="B320">
            <v>205</v>
          </cell>
          <cell r="C320">
            <v>16</v>
          </cell>
        </row>
        <row r="321">
          <cell r="B321">
            <v>174</v>
          </cell>
          <cell r="C321">
            <v>31</v>
          </cell>
        </row>
        <row r="322">
          <cell r="B322">
            <v>169</v>
          </cell>
          <cell r="C322">
            <v>28</v>
          </cell>
        </row>
        <row r="323">
          <cell r="B323">
            <v>108</v>
          </cell>
          <cell r="C323">
            <v>34</v>
          </cell>
        </row>
        <row r="324">
          <cell r="B324">
            <v>165</v>
          </cell>
          <cell r="C324">
            <v>48</v>
          </cell>
        </row>
        <row r="325">
          <cell r="B325">
            <v>100</v>
          </cell>
          <cell r="C325">
            <v>35</v>
          </cell>
        </row>
        <row r="326">
          <cell r="B326">
            <v>122</v>
          </cell>
          <cell r="C326">
            <v>24</v>
          </cell>
        </row>
        <row r="327">
          <cell r="B327">
            <v>212</v>
          </cell>
          <cell r="C327">
            <v>25</v>
          </cell>
        </row>
        <row r="328">
          <cell r="B328">
            <v>177</v>
          </cell>
          <cell r="C328">
            <v>32</v>
          </cell>
        </row>
        <row r="329">
          <cell r="B329">
            <v>102</v>
          </cell>
          <cell r="C329">
            <v>33</v>
          </cell>
        </row>
        <row r="330">
          <cell r="B330">
            <v>153</v>
          </cell>
          <cell r="C330">
            <v>19</v>
          </cell>
        </row>
        <row r="331">
          <cell r="B331">
            <v>223</v>
          </cell>
          <cell r="C331">
            <v>7</v>
          </cell>
        </row>
        <row r="332">
          <cell r="B332">
            <v>102</v>
          </cell>
          <cell r="C332">
            <v>36</v>
          </cell>
        </row>
        <row r="333">
          <cell r="B333">
            <v>119</v>
          </cell>
          <cell r="C333">
            <v>44</v>
          </cell>
        </row>
        <row r="334">
          <cell r="B334">
            <v>160</v>
          </cell>
          <cell r="C334">
            <v>35</v>
          </cell>
        </row>
        <row r="335">
          <cell r="B335">
            <v>231</v>
          </cell>
          <cell r="C335">
            <v>11</v>
          </cell>
        </row>
        <row r="336">
          <cell r="B336">
            <v>97</v>
          </cell>
          <cell r="C336">
            <v>43</v>
          </cell>
        </row>
        <row r="337">
          <cell r="B337">
            <v>139</v>
          </cell>
          <cell r="C337">
            <v>22</v>
          </cell>
        </row>
        <row r="338">
          <cell r="B338">
            <v>148</v>
          </cell>
          <cell r="C338">
            <v>49</v>
          </cell>
        </row>
        <row r="339">
          <cell r="B339">
            <v>92</v>
          </cell>
          <cell r="C339">
            <v>37</v>
          </cell>
        </row>
        <row r="340">
          <cell r="B340">
            <v>124</v>
          </cell>
          <cell r="C340">
            <v>26</v>
          </cell>
        </row>
        <row r="341">
          <cell r="B341">
            <v>152</v>
          </cell>
          <cell r="C341">
            <v>19</v>
          </cell>
        </row>
        <row r="342">
          <cell r="B342">
            <v>179</v>
          </cell>
          <cell r="C342">
            <v>20</v>
          </cell>
        </row>
        <row r="343">
          <cell r="B343">
            <v>100</v>
          </cell>
          <cell r="C343">
            <v>36</v>
          </cell>
        </row>
        <row r="344">
          <cell r="B344">
            <v>133</v>
          </cell>
          <cell r="C344">
            <v>39</v>
          </cell>
        </row>
        <row r="345">
          <cell r="B345">
            <v>165</v>
          </cell>
          <cell r="C345">
            <v>10</v>
          </cell>
        </row>
        <row r="346">
          <cell r="B346">
            <v>150</v>
          </cell>
          <cell r="C346">
            <v>24</v>
          </cell>
        </row>
        <row r="347">
          <cell r="B347">
            <v>148</v>
          </cell>
          <cell r="C347">
            <v>35</v>
          </cell>
        </row>
        <row r="348">
          <cell r="B348">
            <v>161</v>
          </cell>
          <cell r="C348">
            <v>32</v>
          </cell>
        </row>
        <row r="349">
          <cell r="B349">
            <v>180</v>
          </cell>
          <cell r="C349">
            <v>20</v>
          </cell>
        </row>
        <row r="350">
          <cell r="B350">
            <v>168</v>
          </cell>
          <cell r="C350">
            <v>34</v>
          </cell>
        </row>
        <row r="351">
          <cell r="B351">
            <v>110</v>
          </cell>
          <cell r="C351">
            <v>29</v>
          </cell>
        </row>
        <row r="352">
          <cell r="B352">
            <v>197</v>
          </cell>
          <cell r="C352">
            <v>26</v>
          </cell>
        </row>
        <row r="353">
          <cell r="B353">
            <v>146</v>
          </cell>
          <cell r="C353">
            <v>25</v>
          </cell>
        </row>
        <row r="354">
          <cell r="B354">
            <v>94</v>
          </cell>
          <cell r="C354">
            <v>44</v>
          </cell>
        </row>
        <row r="355">
          <cell r="B355">
            <v>164</v>
          </cell>
          <cell r="C355">
            <v>28</v>
          </cell>
        </row>
        <row r="356">
          <cell r="B356">
            <v>113</v>
          </cell>
          <cell r="C356">
            <v>35</v>
          </cell>
        </row>
        <row r="357">
          <cell r="B357">
            <v>170</v>
          </cell>
          <cell r="C357">
            <v>30</v>
          </cell>
        </row>
        <row r="358">
          <cell r="B358">
            <v>141</v>
          </cell>
          <cell r="C358">
            <v>24</v>
          </cell>
        </row>
        <row r="359">
          <cell r="B359">
            <v>152</v>
          </cell>
          <cell r="C359">
            <v>18</v>
          </cell>
        </row>
        <row r="360">
          <cell r="B360">
            <v>193</v>
          </cell>
          <cell r="C360">
            <v>34</v>
          </cell>
        </row>
        <row r="361">
          <cell r="B361">
            <v>131</v>
          </cell>
          <cell r="C361">
            <v>20</v>
          </cell>
        </row>
        <row r="362">
          <cell r="B362">
            <v>163</v>
          </cell>
          <cell r="C362">
            <v>24</v>
          </cell>
        </row>
        <row r="363">
          <cell r="B363">
            <v>126</v>
          </cell>
          <cell r="C363">
            <v>41</v>
          </cell>
        </row>
        <row r="364">
          <cell r="B364">
            <v>181</v>
          </cell>
          <cell r="C364">
            <v>26</v>
          </cell>
        </row>
        <row r="365">
          <cell r="B365">
            <v>99</v>
          </cell>
          <cell r="C365">
            <v>53</v>
          </cell>
        </row>
        <row r="366">
          <cell r="B366">
            <v>150</v>
          </cell>
          <cell r="C366">
            <v>35</v>
          </cell>
        </row>
        <row r="367">
          <cell r="B367">
            <v>245</v>
          </cell>
          <cell r="C367">
            <v>5</v>
          </cell>
        </row>
        <row r="368">
          <cell r="B368">
            <v>156</v>
          </cell>
          <cell r="C368">
            <v>23</v>
          </cell>
        </row>
        <row r="369">
          <cell r="B369">
            <v>166</v>
          </cell>
          <cell r="C369">
            <v>21</v>
          </cell>
        </row>
        <row r="370">
          <cell r="B370">
            <v>186</v>
          </cell>
          <cell r="C370">
            <v>27</v>
          </cell>
        </row>
        <row r="371">
          <cell r="B371">
            <v>142</v>
          </cell>
          <cell r="C371">
            <v>44</v>
          </cell>
        </row>
        <row r="372">
          <cell r="B372">
            <v>125</v>
          </cell>
          <cell r="C372">
            <v>28</v>
          </cell>
        </row>
        <row r="373">
          <cell r="B373">
            <v>97</v>
          </cell>
          <cell r="C373">
            <v>34</v>
          </cell>
        </row>
        <row r="374">
          <cell r="B374">
            <v>180</v>
          </cell>
          <cell r="C374">
            <v>11</v>
          </cell>
        </row>
        <row r="375">
          <cell r="B375">
            <v>212</v>
          </cell>
          <cell r="C375">
            <v>22</v>
          </cell>
        </row>
        <row r="376">
          <cell r="B376">
            <v>164</v>
          </cell>
          <cell r="C376">
            <v>29</v>
          </cell>
        </row>
        <row r="377">
          <cell r="B377">
            <v>166</v>
          </cell>
          <cell r="C377">
            <v>31</v>
          </cell>
        </row>
        <row r="378">
          <cell r="B378">
            <v>159</v>
          </cell>
          <cell r="C378">
            <v>25</v>
          </cell>
        </row>
        <row r="379">
          <cell r="B379">
            <v>134</v>
          </cell>
          <cell r="C379">
            <v>46</v>
          </cell>
        </row>
        <row r="380">
          <cell r="B380">
            <v>171</v>
          </cell>
          <cell r="C380">
            <v>27</v>
          </cell>
        </row>
        <row r="381">
          <cell r="B381">
            <v>156</v>
          </cell>
          <cell r="C381">
            <v>36</v>
          </cell>
        </row>
        <row r="382">
          <cell r="B382">
            <v>127</v>
          </cell>
          <cell r="C382">
            <v>36</v>
          </cell>
        </row>
        <row r="383">
          <cell r="B383">
            <v>231</v>
          </cell>
          <cell r="C383">
            <v>12</v>
          </cell>
        </row>
        <row r="384">
          <cell r="B384">
            <v>154</v>
          </cell>
          <cell r="C384">
            <v>33</v>
          </cell>
        </row>
        <row r="385">
          <cell r="B385">
            <v>170</v>
          </cell>
          <cell r="C385">
            <v>29</v>
          </cell>
        </row>
        <row r="386">
          <cell r="B386">
            <v>128</v>
          </cell>
          <cell r="C386">
            <v>24</v>
          </cell>
        </row>
        <row r="387">
          <cell r="B387">
            <v>187</v>
          </cell>
          <cell r="C387">
            <v>17</v>
          </cell>
        </row>
        <row r="388">
          <cell r="B388">
            <v>142</v>
          </cell>
          <cell r="C388">
            <v>18</v>
          </cell>
        </row>
        <row r="389">
          <cell r="B389">
            <v>158</v>
          </cell>
          <cell r="C389">
            <v>37</v>
          </cell>
        </row>
        <row r="390">
          <cell r="B390">
            <v>174</v>
          </cell>
          <cell r="C390">
            <v>32</v>
          </cell>
        </row>
        <row r="391">
          <cell r="B391">
            <v>136</v>
          </cell>
          <cell r="C391">
            <v>36</v>
          </cell>
        </row>
        <row r="392">
          <cell r="B392">
            <v>131</v>
          </cell>
          <cell r="C392">
            <v>31</v>
          </cell>
        </row>
        <row r="393">
          <cell r="B393">
            <v>184</v>
          </cell>
          <cell r="C393">
            <v>35</v>
          </cell>
        </row>
        <row r="394">
          <cell r="B394">
            <v>127</v>
          </cell>
          <cell r="C394">
            <v>23</v>
          </cell>
        </row>
        <row r="395">
          <cell r="B395">
            <v>193</v>
          </cell>
          <cell r="C395">
            <v>14</v>
          </cell>
        </row>
        <row r="396">
          <cell r="B396">
            <v>146</v>
          </cell>
          <cell r="C396">
            <v>30</v>
          </cell>
        </row>
        <row r="397">
          <cell r="B397">
            <v>108</v>
          </cell>
          <cell r="C397">
            <v>43</v>
          </cell>
        </row>
        <row r="398">
          <cell r="B398">
            <v>126</v>
          </cell>
          <cell r="C398">
            <v>39</v>
          </cell>
        </row>
        <row r="399">
          <cell r="B399">
            <v>143</v>
          </cell>
          <cell r="C399">
            <v>16</v>
          </cell>
        </row>
        <row r="400">
          <cell r="B400">
            <v>139</v>
          </cell>
          <cell r="C400">
            <v>34</v>
          </cell>
        </row>
        <row r="401">
          <cell r="B401">
            <v>132</v>
          </cell>
          <cell r="C401">
            <v>16</v>
          </cell>
        </row>
        <row r="402">
          <cell r="B402">
            <v>170</v>
          </cell>
          <cell r="C402">
            <v>27</v>
          </cell>
        </row>
        <row r="403">
          <cell r="B403">
            <v>172</v>
          </cell>
          <cell r="C403">
            <v>37</v>
          </cell>
        </row>
        <row r="404">
          <cell r="B404">
            <v>142</v>
          </cell>
          <cell r="C404">
            <v>21</v>
          </cell>
        </row>
        <row r="405">
          <cell r="B405">
            <v>116</v>
          </cell>
          <cell r="C405">
            <v>29</v>
          </cell>
        </row>
        <row r="406">
          <cell r="B406">
            <v>122</v>
          </cell>
          <cell r="C406">
            <v>34</v>
          </cell>
        </row>
        <row r="407">
          <cell r="B407">
            <v>152</v>
          </cell>
          <cell r="C407">
            <v>28</v>
          </cell>
        </row>
        <row r="408">
          <cell r="B408">
            <v>168</v>
          </cell>
          <cell r="C408">
            <v>24</v>
          </cell>
        </row>
        <row r="409">
          <cell r="B409">
            <v>190</v>
          </cell>
          <cell r="C409">
            <v>17</v>
          </cell>
        </row>
        <row r="410">
          <cell r="B410">
            <v>196</v>
          </cell>
          <cell r="C410">
            <v>28</v>
          </cell>
        </row>
        <row r="411">
          <cell r="B411">
            <v>169</v>
          </cell>
          <cell r="C411">
            <v>20</v>
          </cell>
        </row>
        <row r="412">
          <cell r="B412">
            <v>139</v>
          </cell>
          <cell r="C412">
            <v>38</v>
          </cell>
        </row>
        <row r="413">
          <cell r="B413">
            <v>189</v>
          </cell>
          <cell r="C413">
            <v>18</v>
          </cell>
        </row>
        <row r="414">
          <cell r="B414">
            <v>154</v>
          </cell>
          <cell r="C414">
            <v>22</v>
          </cell>
        </row>
        <row r="415">
          <cell r="B415">
            <v>211</v>
          </cell>
          <cell r="C415">
            <v>21</v>
          </cell>
        </row>
        <row r="416">
          <cell r="B416">
            <v>168</v>
          </cell>
          <cell r="C416">
            <v>25</v>
          </cell>
        </row>
        <row r="417">
          <cell r="B417">
            <v>103</v>
          </cell>
          <cell r="C417">
            <v>31</v>
          </cell>
        </row>
        <row r="418">
          <cell r="B418">
            <v>197</v>
          </cell>
          <cell r="C418">
            <v>32</v>
          </cell>
        </row>
        <row r="419">
          <cell r="B419">
            <v>117</v>
          </cell>
          <cell r="C419">
            <v>33</v>
          </cell>
        </row>
        <row r="420">
          <cell r="B420">
            <v>182</v>
          </cell>
          <cell r="C420">
            <v>8</v>
          </cell>
        </row>
        <row r="421">
          <cell r="B421">
            <v>212</v>
          </cell>
          <cell r="C421">
            <v>15</v>
          </cell>
        </row>
        <row r="422">
          <cell r="B422">
            <v>173</v>
          </cell>
          <cell r="C422">
            <v>26</v>
          </cell>
        </row>
        <row r="423">
          <cell r="B423">
            <v>160</v>
          </cell>
          <cell r="C423">
            <v>20</v>
          </cell>
        </row>
        <row r="424">
          <cell r="B424">
            <v>130</v>
          </cell>
          <cell r="C424">
            <v>26</v>
          </cell>
        </row>
        <row r="425">
          <cell r="B425">
            <v>122</v>
          </cell>
          <cell r="C425">
            <v>33</v>
          </cell>
        </row>
        <row r="426">
          <cell r="B426">
            <v>145</v>
          </cell>
          <cell r="C426">
            <v>23</v>
          </cell>
        </row>
        <row r="427">
          <cell r="B427">
            <v>146</v>
          </cell>
          <cell r="C427">
            <v>21</v>
          </cell>
        </row>
        <row r="428">
          <cell r="B428">
            <v>127</v>
          </cell>
          <cell r="C428">
            <v>43</v>
          </cell>
        </row>
        <row r="429">
          <cell r="B429">
            <v>101</v>
          </cell>
          <cell r="C429">
            <v>36</v>
          </cell>
        </row>
        <row r="430">
          <cell r="B430">
            <v>188</v>
          </cell>
          <cell r="C430">
            <v>34</v>
          </cell>
        </row>
        <row r="431">
          <cell r="B431">
            <v>177</v>
          </cell>
          <cell r="C431">
            <v>25</v>
          </cell>
        </row>
        <row r="432">
          <cell r="B432">
            <v>213</v>
          </cell>
          <cell r="C432">
            <v>14</v>
          </cell>
        </row>
        <row r="433">
          <cell r="B433">
            <v>175</v>
          </cell>
          <cell r="C433">
            <v>24</v>
          </cell>
        </row>
        <row r="434">
          <cell r="B434">
            <v>113</v>
          </cell>
          <cell r="C434">
            <v>38</v>
          </cell>
        </row>
        <row r="435">
          <cell r="B435">
            <v>61</v>
          </cell>
          <cell r="C435">
            <v>61</v>
          </cell>
        </row>
        <row r="436">
          <cell r="B436">
            <v>138</v>
          </cell>
          <cell r="C436">
            <v>30</v>
          </cell>
        </row>
        <row r="437">
          <cell r="B437">
            <v>167</v>
          </cell>
          <cell r="C437">
            <v>41</v>
          </cell>
        </row>
        <row r="438">
          <cell r="B438">
            <v>162</v>
          </cell>
          <cell r="C438">
            <v>28</v>
          </cell>
        </row>
        <row r="439">
          <cell r="B439">
            <v>144</v>
          </cell>
          <cell r="C439">
            <v>27</v>
          </cell>
        </row>
        <row r="440">
          <cell r="B440">
            <v>120</v>
          </cell>
          <cell r="C440">
            <v>28</v>
          </cell>
        </row>
        <row r="441">
          <cell r="B441">
            <v>188</v>
          </cell>
          <cell r="C441">
            <v>14</v>
          </cell>
        </row>
        <row r="442">
          <cell r="B442">
            <v>112</v>
          </cell>
          <cell r="C442">
            <v>30</v>
          </cell>
        </row>
        <row r="443">
          <cell r="B443">
            <v>171</v>
          </cell>
          <cell r="C443">
            <v>13</v>
          </cell>
        </row>
        <row r="444">
          <cell r="B444">
            <v>78</v>
          </cell>
          <cell r="C444">
            <v>45</v>
          </cell>
        </row>
        <row r="445">
          <cell r="B445">
            <v>203</v>
          </cell>
          <cell r="C445">
            <v>11</v>
          </cell>
        </row>
        <row r="446">
          <cell r="B446">
            <v>126</v>
          </cell>
          <cell r="C446">
            <v>36</v>
          </cell>
        </row>
        <row r="447">
          <cell r="B447">
            <v>128</v>
          </cell>
          <cell r="C447">
            <v>27</v>
          </cell>
        </row>
        <row r="448">
          <cell r="B448">
            <v>130</v>
          </cell>
          <cell r="C448">
            <v>41</v>
          </cell>
        </row>
        <row r="449">
          <cell r="B449">
            <v>121</v>
          </cell>
          <cell r="C449">
            <v>34</v>
          </cell>
        </row>
        <row r="450">
          <cell r="B450">
            <v>79</v>
          </cell>
          <cell r="C450">
            <v>51</v>
          </cell>
        </row>
        <row r="451">
          <cell r="B451">
            <v>150</v>
          </cell>
          <cell r="C451">
            <v>38</v>
          </cell>
        </row>
        <row r="452">
          <cell r="B452">
            <v>135</v>
          </cell>
          <cell r="C452">
            <v>19</v>
          </cell>
        </row>
        <row r="453">
          <cell r="B453">
            <v>226</v>
          </cell>
          <cell r="C453">
            <v>9</v>
          </cell>
        </row>
        <row r="454">
          <cell r="B454">
            <v>176</v>
          </cell>
          <cell r="C454">
            <v>19</v>
          </cell>
        </row>
        <row r="455">
          <cell r="B455">
            <v>158</v>
          </cell>
          <cell r="C455">
            <v>24</v>
          </cell>
        </row>
        <row r="456">
          <cell r="B456">
            <v>136</v>
          </cell>
          <cell r="C456">
            <v>29</v>
          </cell>
        </row>
        <row r="457">
          <cell r="B457">
            <v>134</v>
          </cell>
          <cell r="C457">
            <v>30</v>
          </cell>
        </row>
        <row r="458">
          <cell r="B458">
            <v>171</v>
          </cell>
          <cell r="C458">
            <v>25</v>
          </cell>
        </row>
        <row r="459">
          <cell r="B459">
            <v>192</v>
          </cell>
          <cell r="C459">
            <v>10</v>
          </cell>
        </row>
        <row r="460">
          <cell r="B460">
            <v>184</v>
          </cell>
          <cell r="C460">
            <v>35</v>
          </cell>
        </row>
        <row r="461">
          <cell r="B461">
            <v>137</v>
          </cell>
          <cell r="C461">
            <v>43</v>
          </cell>
        </row>
        <row r="462">
          <cell r="B462">
            <v>161</v>
          </cell>
          <cell r="C462">
            <v>30</v>
          </cell>
        </row>
        <row r="463">
          <cell r="B463">
            <v>205</v>
          </cell>
          <cell r="C463">
            <v>13</v>
          </cell>
        </row>
        <row r="464">
          <cell r="B464">
            <v>146</v>
          </cell>
          <cell r="C464">
            <v>34</v>
          </cell>
        </row>
        <row r="465">
          <cell r="B465">
            <v>127</v>
          </cell>
          <cell r="C465">
            <v>42</v>
          </cell>
        </row>
        <row r="466">
          <cell r="B466">
            <v>182</v>
          </cell>
          <cell r="C466">
            <v>18</v>
          </cell>
        </row>
        <row r="467">
          <cell r="B467">
            <v>176</v>
          </cell>
          <cell r="C467">
            <v>18</v>
          </cell>
        </row>
        <row r="468">
          <cell r="B468">
            <v>177</v>
          </cell>
          <cell r="C468">
            <v>18</v>
          </cell>
        </row>
        <row r="469">
          <cell r="B469">
            <v>138</v>
          </cell>
          <cell r="C469">
            <v>28</v>
          </cell>
        </row>
        <row r="470">
          <cell r="B470">
            <v>133</v>
          </cell>
          <cell r="C470">
            <v>17</v>
          </cell>
        </row>
        <row r="471">
          <cell r="B471">
            <v>112</v>
          </cell>
          <cell r="C471">
            <v>36</v>
          </cell>
        </row>
        <row r="472">
          <cell r="B472">
            <v>144</v>
          </cell>
          <cell r="C472">
            <v>24</v>
          </cell>
        </row>
        <row r="473">
          <cell r="B473">
            <v>159</v>
          </cell>
          <cell r="C473">
            <v>21</v>
          </cell>
        </row>
        <row r="474">
          <cell r="B474">
            <v>165</v>
          </cell>
          <cell r="C474">
            <v>24</v>
          </cell>
        </row>
        <row r="475">
          <cell r="B475">
            <v>150</v>
          </cell>
          <cell r="C475">
            <v>25</v>
          </cell>
        </row>
        <row r="476">
          <cell r="B476">
            <v>141</v>
          </cell>
          <cell r="C476">
            <v>43</v>
          </cell>
        </row>
        <row r="477">
          <cell r="B477">
            <v>99</v>
          </cell>
          <cell r="C477">
            <v>32</v>
          </cell>
        </row>
        <row r="478">
          <cell r="B478">
            <v>170</v>
          </cell>
          <cell r="C478">
            <v>29</v>
          </cell>
        </row>
        <row r="479">
          <cell r="B479">
            <v>100</v>
          </cell>
          <cell r="C479">
            <v>36</v>
          </cell>
        </row>
        <row r="480">
          <cell r="B480">
            <v>129</v>
          </cell>
          <cell r="C480">
            <v>19</v>
          </cell>
        </row>
        <row r="481">
          <cell r="B481">
            <v>144</v>
          </cell>
          <cell r="C481">
            <v>46</v>
          </cell>
        </row>
        <row r="482">
          <cell r="B482">
            <v>200</v>
          </cell>
          <cell r="C482">
            <v>27</v>
          </cell>
        </row>
        <row r="483">
          <cell r="B483">
            <v>152</v>
          </cell>
          <cell r="C483">
            <v>32</v>
          </cell>
        </row>
        <row r="484">
          <cell r="B484">
            <v>154</v>
          </cell>
          <cell r="C484">
            <v>27</v>
          </cell>
        </row>
        <row r="485">
          <cell r="B485">
            <v>166</v>
          </cell>
          <cell r="C485">
            <v>13</v>
          </cell>
        </row>
        <row r="486">
          <cell r="B486">
            <v>142</v>
          </cell>
          <cell r="C486">
            <v>45</v>
          </cell>
        </row>
        <row r="487">
          <cell r="B487">
            <v>183</v>
          </cell>
          <cell r="C487">
            <v>14</v>
          </cell>
        </row>
        <row r="488">
          <cell r="B488">
            <v>151</v>
          </cell>
          <cell r="C488">
            <v>24</v>
          </cell>
        </row>
        <row r="489">
          <cell r="B489">
            <v>118</v>
          </cell>
          <cell r="C489">
            <v>42</v>
          </cell>
        </row>
        <row r="490">
          <cell r="B490">
            <v>142</v>
          </cell>
          <cell r="C490">
            <v>22</v>
          </cell>
        </row>
        <row r="491">
          <cell r="B491">
            <v>158</v>
          </cell>
          <cell r="C491">
            <v>17</v>
          </cell>
        </row>
        <row r="492">
          <cell r="B492">
            <v>130</v>
          </cell>
          <cell r="C492">
            <v>33</v>
          </cell>
        </row>
        <row r="493">
          <cell r="B493">
            <v>138</v>
          </cell>
          <cell r="C493">
            <v>18</v>
          </cell>
        </row>
        <row r="494">
          <cell r="B494">
            <v>76</v>
          </cell>
          <cell r="C494">
            <v>47</v>
          </cell>
        </row>
        <row r="495">
          <cell r="B495">
            <v>164</v>
          </cell>
          <cell r="C495">
            <v>22</v>
          </cell>
        </row>
        <row r="496">
          <cell r="B496">
            <v>102</v>
          </cell>
          <cell r="C496">
            <v>42</v>
          </cell>
        </row>
        <row r="497">
          <cell r="B497">
            <v>113</v>
          </cell>
          <cell r="C497">
            <v>40</v>
          </cell>
        </row>
        <row r="498">
          <cell r="B498">
            <v>161</v>
          </cell>
          <cell r="C498">
            <v>19</v>
          </cell>
        </row>
        <row r="499">
          <cell r="B499">
            <v>149</v>
          </cell>
          <cell r="C499">
            <v>25</v>
          </cell>
        </row>
        <row r="500">
          <cell r="B500">
            <v>184</v>
          </cell>
          <cell r="C500">
            <v>33</v>
          </cell>
        </row>
        <row r="501">
          <cell r="B501">
            <v>152</v>
          </cell>
          <cell r="C501">
            <v>16</v>
          </cell>
        </row>
        <row r="502">
          <cell r="B502">
            <v>224</v>
          </cell>
          <cell r="C502">
            <v>7</v>
          </cell>
        </row>
        <row r="503">
          <cell r="B503">
            <v>193</v>
          </cell>
          <cell r="C503">
            <v>9</v>
          </cell>
        </row>
        <row r="504">
          <cell r="B504">
            <v>167</v>
          </cell>
          <cell r="C504">
            <v>30</v>
          </cell>
        </row>
        <row r="505">
          <cell r="B505">
            <v>191</v>
          </cell>
          <cell r="C505">
            <v>19</v>
          </cell>
        </row>
        <row r="506">
          <cell r="B506">
            <v>181</v>
          </cell>
          <cell r="C506">
            <v>37</v>
          </cell>
        </row>
        <row r="507">
          <cell r="B507">
            <v>143</v>
          </cell>
          <cell r="C507">
            <v>21</v>
          </cell>
        </row>
        <row r="508">
          <cell r="B508">
            <v>123</v>
          </cell>
          <cell r="C508">
            <v>24</v>
          </cell>
        </row>
        <row r="509">
          <cell r="B509">
            <v>168</v>
          </cell>
          <cell r="C509">
            <v>26</v>
          </cell>
        </row>
        <row r="510">
          <cell r="B510">
            <v>188</v>
          </cell>
          <cell r="C510">
            <v>15</v>
          </cell>
        </row>
        <row r="511">
          <cell r="B511">
            <v>177</v>
          </cell>
          <cell r="C511">
            <v>22</v>
          </cell>
        </row>
        <row r="512">
          <cell r="B512">
            <v>173</v>
          </cell>
          <cell r="C512">
            <v>31</v>
          </cell>
        </row>
        <row r="513">
          <cell r="B513">
            <v>167</v>
          </cell>
          <cell r="C513">
            <v>24</v>
          </cell>
        </row>
        <row r="514">
          <cell r="B514">
            <v>204</v>
          </cell>
          <cell r="C514">
            <v>22</v>
          </cell>
        </row>
        <row r="515">
          <cell r="B515">
            <v>148</v>
          </cell>
          <cell r="C515">
            <v>39</v>
          </cell>
        </row>
        <row r="516">
          <cell r="B516">
            <v>162</v>
          </cell>
          <cell r="C516">
            <v>17</v>
          </cell>
        </row>
        <row r="517">
          <cell r="B517">
            <v>133</v>
          </cell>
          <cell r="C517">
            <v>17</v>
          </cell>
        </row>
        <row r="518">
          <cell r="B518">
            <v>134</v>
          </cell>
          <cell r="C518">
            <v>17</v>
          </cell>
        </row>
        <row r="519">
          <cell r="B519">
            <v>175</v>
          </cell>
          <cell r="C519">
            <v>24</v>
          </cell>
        </row>
        <row r="520">
          <cell r="B520">
            <v>165</v>
          </cell>
          <cell r="C520">
            <v>33</v>
          </cell>
        </row>
        <row r="521">
          <cell r="B521">
            <v>144</v>
          </cell>
          <cell r="C521">
            <v>16</v>
          </cell>
        </row>
        <row r="522">
          <cell r="B522">
            <v>185</v>
          </cell>
          <cell r="C522">
            <v>32</v>
          </cell>
        </row>
        <row r="523">
          <cell r="B523">
            <v>205</v>
          </cell>
          <cell r="C523">
            <v>4</v>
          </cell>
        </row>
        <row r="524">
          <cell r="B524">
            <v>180</v>
          </cell>
          <cell r="C524">
            <v>30</v>
          </cell>
        </row>
        <row r="525">
          <cell r="B525">
            <v>157</v>
          </cell>
          <cell r="C525">
            <v>24</v>
          </cell>
        </row>
        <row r="526">
          <cell r="B526">
            <v>188</v>
          </cell>
          <cell r="C526">
            <v>17</v>
          </cell>
        </row>
        <row r="527">
          <cell r="B527">
            <v>178</v>
          </cell>
          <cell r="C527">
            <v>22</v>
          </cell>
        </row>
        <row r="528">
          <cell r="B528">
            <v>128</v>
          </cell>
          <cell r="C528">
            <v>31</v>
          </cell>
        </row>
        <row r="529">
          <cell r="B529">
            <v>196</v>
          </cell>
          <cell r="C529">
            <v>23</v>
          </cell>
        </row>
        <row r="530">
          <cell r="B530">
            <v>151</v>
          </cell>
          <cell r="C530">
            <v>35</v>
          </cell>
        </row>
        <row r="531">
          <cell r="B531">
            <v>132</v>
          </cell>
          <cell r="C531">
            <v>39</v>
          </cell>
        </row>
        <row r="532">
          <cell r="B532">
            <v>90</v>
          </cell>
          <cell r="C532">
            <v>50</v>
          </cell>
        </row>
        <row r="533">
          <cell r="B533">
            <v>181</v>
          </cell>
          <cell r="C533">
            <v>26</v>
          </cell>
        </row>
        <row r="534">
          <cell r="B534">
            <v>139</v>
          </cell>
          <cell r="C534">
            <v>23</v>
          </cell>
        </row>
        <row r="535">
          <cell r="B535">
            <v>150</v>
          </cell>
          <cell r="C535">
            <v>37</v>
          </cell>
        </row>
        <row r="536">
          <cell r="B536">
            <v>84</v>
          </cell>
          <cell r="C536">
            <v>50</v>
          </cell>
        </row>
        <row r="537">
          <cell r="B537">
            <v>150</v>
          </cell>
          <cell r="C537">
            <v>31</v>
          </cell>
        </row>
        <row r="538">
          <cell r="B538">
            <v>196</v>
          </cell>
          <cell r="C538">
            <v>23</v>
          </cell>
        </row>
        <row r="539">
          <cell r="B539">
            <v>125</v>
          </cell>
          <cell r="C539">
            <v>34</v>
          </cell>
        </row>
        <row r="540">
          <cell r="B540">
            <v>164</v>
          </cell>
          <cell r="C540">
            <v>34</v>
          </cell>
        </row>
        <row r="541">
          <cell r="B541">
            <v>134</v>
          </cell>
          <cell r="C541">
            <v>33</v>
          </cell>
        </row>
        <row r="542">
          <cell r="B542">
            <v>139</v>
          </cell>
          <cell r="C542">
            <v>48</v>
          </cell>
        </row>
        <row r="543">
          <cell r="B543">
            <v>105</v>
          </cell>
          <cell r="C543">
            <v>29</v>
          </cell>
        </row>
        <row r="544">
          <cell r="B544">
            <v>185</v>
          </cell>
          <cell r="C544">
            <v>35</v>
          </cell>
        </row>
        <row r="545">
          <cell r="B545">
            <v>138</v>
          </cell>
          <cell r="C545">
            <v>28</v>
          </cell>
        </row>
        <row r="546">
          <cell r="B546">
            <v>158</v>
          </cell>
          <cell r="C546">
            <v>28</v>
          </cell>
        </row>
        <row r="547">
          <cell r="B547">
            <v>130</v>
          </cell>
          <cell r="C547">
            <v>19</v>
          </cell>
        </row>
        <row r="548">
          <cell r="B548">
            <v>162</v>
          </cell>
          <cell r="C548">
            <v>22</v>
          </cell>
        </row>
        <row r="549">
          <cell r="B549">
            <v>153</v>
          </cell>
          <cell r="C549">
            <v>26</v>
          </cell>
        </row>
        <row r="550">
          <cell r="B550">
            <v>154</v>
          </cell>
          <cell r="C550">
            <v>29</v>
          </cell>
        </row>
        <row r="551">
          <cell r="B551">
            <v>152</v>
          </cell>
          <cell r="C551">
            <v>35</v>
          </cell>
        </row>
        <row r="552">
          <cell r="B552">
            <v>174</v>
          </cell>
          <cell r="C552">
            <v>32</v>
          </cell>
        </row>
        <row r="553">
          <cell r="B553">
            <v>134</v>
          </cell>
          <cell r="C553">
            <v>44</v>
          </cell>
        </row>
        <row r="554">
          <cell r="B554">
            <v>170</v>
          </cell>
          <cell r="C554">
            <v>32</v>
          </cell>
        </row>
        <row r="555">
          <cell r="B555">
            <v>205</v>
          </cell>
          <cell r="C555">
            <v>8</v>
          </cell>
        </row>
        <row r="556">
          <cell r="B556">
            <v>148</v>
          </cell>
          <cell r="C556">
            <v>30</v>
          </cell>
        </row>
        <row r="557">
          <cell r="B557">
            <v>139</v>
          </cell>
          <cell r="C557">
            <v>42</v>
          </cell>
        </row>
        <row r="558">
          <cell r="B558">
            <v>140</v>
          </cell>
          <cell r="C558">
            <v>44</v>
          </cell>
        </row>
        <row r="559">
          <cell r="B559">
            <v>86</v>
          </cell>
          <cell r="C559">
            <v>41</v>
          </cell>
        </row>
        <row r="560">
          <cell r="B560">
            <v>169</v>
          </cell>
          <cell r="C560">
            <v>19</v>
          </cell>
        </row>
        <row r="561">
          <cell r="B561">
            <v>138</v>
          </cell>
          <cell r="C561">
            <v>42</v>
          </cell>
        </row>
        <row r="562">
          <cell r="B562">
            <v>167</v>
          </cell>
          <cell r="C562">
            <v>30</v>
          </cell>
        </row>
        <row r="563">
          <cell r="B563">
            <v>234</v>
          </cell>
          <cell r="C563">
            <v>13</v>
          </cell>
        </row>
        <row r="564">
          <cell r="B564">
            <v>171</v>
          </cell>
          <cell r="C564">
            <v>34</v>
          </cell>
        </row>
        <row r="565">
          <cell r="B565">
            <v>125</v>
          </cell>
          <cell r="C565">
            <v>38</v>
          </cell>
        </row>
        <row r="566">
          <cell r="B566">
            <v>181</v>
          </cell>
          <cell r="C566">
            <v>17</v>
          </cell>
        </row>
        <row r="567">
          <cell r="B567">
            <v>111</v>
          </cell>
          <cell r="C567">
            <v>37</v>
          </cell>
        </row>
        <row r="568">
          <cell r="B568">
            <v>184</v>
          </cell>
          <cell r="C568">
            <v>27</v>
          </cell>
        </row>
        <row r="569">
          <cell r="B569">
            <v>180</v>
          </cell>
          <cell r="C569">
            <v>36</v>
          </cell>
        </row>
        <row r="570">
          <cell r="B570">
            <v>195</v>
          </cell>
          <cell r="C570">
            <v>22</v>
          </cell>
        </row>
        <row r="571">
          <cell r="B571">
            <v>130</v>
          </cell>
          <cell r="C571">
            <v>30</v>
          </cell>
        </row>
        <row r="572">
          <cell r="B572">
            <v>168</v>
          </cell>
          <cell r="C572">
            <v>10</v>
          </cell>
        </row>
        <row r="573">
          <cell r="B573">
            <v>118</v>
          </cell>
          <cell r="C573">
            <v>28</v>
          </cell>
        </row>
        <row r="574">
          <cell r="B574">
            <v>153</v>
          </cell>
          <cell r="C574">
            <v>15</v>
          </cell>
        </row>
        <row r="575">
          <cell r="B575">
            <v>142</v>
          </cell>
          <cell r="C575">
            <v>35</v>
          </cell>
        </row>
        <row r="576">
          <cell r="B576">
            <v>135</v>
          </cell>
          <cell r="C576">
            <v>32</v>
          </cell>
        </row>
        <row r="577">
          <cell r="B577">
            <v>150</v>
          </cell>
          <cell r="C577">
            <v>23</v>
          </cell>
        </row>
        <row r="578">
          <cell r="B578">
            <v>179</v>
          </cell>
          <cell r="C578">
            <v>24</v>
          </cell>
        </row>
        <row r="579">
          <cell r="B579">
            <v>166</v>
          </cell>
          <cell r="C579">
            <v>27</v>
          </cell>
        </row>
        <row r="580">
          <cell r="B580">
            <v>161</v>
          </cell>
          <cell r="C580">
            <v>45</v>
          </cell>
        </row>
        <row r="581">
          <cell r="B581">
            <v>152</v>
          </cell>
          <cell r="C581">
            <v>25</v>
          </cell>
        </row>
        <row r="582">
          <cell r="B582">
            <v>143</v>
          </cell>
          <cell r="C582">
            <v>25</v>
          </cell>
        </row>
        <row r="583">
          <cell r="B583">
            <v>151</v>
          </cell>
          <cell r="C583">
            <v>33</v>
          </cell>
        </row>
        <row r="584">
          <cell r="B584">
            <v>184</v>
          </cell>
          <cell r="C584">
            <v>30</v>
          </cell>
        </row>
        <row r="585">
          <cell r="B585">
            <v>166</v>
          </cell>
          <cell r="C585">
            <v>30</v>
          </cell>
        </row>
        <row r="586">
          <cell r="B586">
            <v>156</v>
          </cell>
          <cell r="C586">
            <v>32</v>
          </cell>
        </row>
        <row r="587">
          <cell r="B587">
            <v>132</v>
          </cell>
          <cell r="C587">
            <v>30</v>
          </cell>
        </row>
        <row r="588">
          <cell r="B588">
            <v>140</v>
          </cell>
          <cell r="C588">
            <v>22</v>
          </cell>
        </row>
        <row r="589">
          <cell r="B589">
            <v>161</v>
          </cell>
          <cell r="C589">
            <v>29</v>
          </cell>
        </row>
        <row r="590">
          <cell r="B590">
            <v>163</v>
          </cell>
          <cell r="C590">
            <v>14</v>
          </cell>
        </row>
        <row r="591">
          <cell r="B591">
            <v>136</v>
          </cell>
          <cell r="C591">
            <v>18</v>
          </cell>
        </row>
        <row r="592">
          <cell r="B592">
            <v>178</v>
          </cell>
          <cell r="C592">
            <v>34</v>
          </cell>
        </row>
        <row r="593">
          <cell r="B593">
            <v>190</v>
          </cell>
          <cell r="C593">
            <v>24</v>
          </cell>
        </row>
        <row r="594">
          <cell r="B594">
            <v>159</v>
          </cell>
          <cell r="C594">
            <v>32</v>
          </cell>
        </row>
        <row r="595">
          <cell r="B595">
            <v>144</v>
          </cell>
          <cell r="C595">
            <v>22</v>
          </cell>
        </row>
        <row r="596">
          <cell r="B596">
            <v>117</v>
          </cell>
          <cell r="C596">
            <v>38</v>
          </cell>
        </row>
        <row r="597">
          <cell r="B597">
            <v>157</v>
          </cell>
          <cell r="C597">
            <v>28</v>
          </cell>
        </row>
        <row r="598">
          <cell r="B598">
            <v>179</v>
          </cell>
          <cell r="C598">
            <v>19</v>
          </cell>
        </row>
        <row r="599">
          <cell r="B599">
            <v>150</v>
          </cell>
          <cell r="C599">
            <v>29</v>
          </cell>
        </row>
        <row r="600">
          <cell r="B600">
            <v>158</v>
          </cell>
          <cell r="C600">
            <v>29</v>
          </cell>
        </row>
        <row r="601">
          <cell r="B601">
            <v>150</v>
          </cell>
          <cell r="C601">
            <v>37</v>
          </cell>
        </row>
        <row r="602">
          <cell r="B602">
            <v>222</v>
          </cell>
          <cell r="C602">
            <v>2</v>
          </cell>
        </row>
        <row r="603">
          <cell r="B603">
            <v>140</v>
          </cell>
          <cell r="C603">
            <v>26</v>
          </cell>
        </row>
        <row r="604">
          <cell r="B604">
            <v>102</v>
          </cell>
          <cell r="C604">
            <v>32</v>
          </cell>
        </row>
        <row r="605">
          <cell r="B605">
            <v>127</v>
          </cell>
          <cell r="C605">
            <v>21</v>
          </cell>
        </row>
        <row r="606">
          <cell r="B606">
            <v>154</v>
          </cell>
          <cell r="C606">
            <v>15</v>
          </cell>
        </row>
        <row r="607">
          <cell r="B607">
            <v>153</v>
          </cell>
          <cell r="C607">
            <v>33</v>
          </cell>
        </row>
        <row r="608">
          <cell r="B608">
            <v>154</v>
          </cell>
          <cell r="C608">
            <v>27</v>
          </cell>
        </row>
        <row r="609">
          <cell r="B609">
            <v>127</v>
          </cell>
          <cell r="C609">
            <v>29</v>
          </cell>
        </row>
        <row r="610">
          <cell r="B610">
            <v>81</v>
          </cell>
          <cell r="C610">
            <v>47</v>
          </cell>
        </row>
        <row r="611">
          <cell r="B611">
            <v>168</v>
          </cell>
          <cell r="C611">
            <v>19</v>
          </cell>
        </row>
        <row r="612">
          <cell r="B612">
            <v>149</v>
          </cell>
          <cell r="C612">
            <v>23</v>
          </cell>
        </row>
        <row r="613">
          <cell r="B613">
            <v>142</v>
          </cell>
          <cell r="C613">
            <v>26</v>
          </cell>
        </row>
        <row r="614">
          <cell r="B614">
            <v>126</v>
          </cell>
          <cell r="C614">
            <v>29</v>
          </cell>
        </row>
        <row r="615">
          <cell r="B615">
            <v>145</v>
          </cell>
          <cell r="C615">
            <v>17</v>
          </cell>
        </row>
        <row r="616">
          <cell r="B616">
            <v>161</v>
          </cell>
          <cell r="C616">
            <v>13</v>
          </cell>
        </row>
        <row r="617">
          <cell r="B617">
            <v>138</v>
          </cell>
          <cell r="C617">
            <v>45</v>
          </cell>
        </row>
        <row r="618">
          <cell r="B618">
            <v>111</v>
          </cell>
          <cell r="C618">
            <v>50</v>
          </cell>
        </row>
        <row r="619">
          <cell r="B619">
            <v>184</v>
          </cell>
          <cell r="C619">
            <v>12</v>
          </cell>
        </row>
        <row r="620">
          <cell r="B620">
            <v>111</v>
          </cell>
          <cell r="C620">
            <v>27</v>
          </cell>
        </row>
        <row r="621">
          <cell r="B621">
            <v>136</v>
          </cell>
          <cell r="C621">
            <v>50</v>
          </cell>
        </row>
        <row r="622">
          <cell r="B622">
            <v>96</v>
          </cell>
          <cell r="C622">
            <v>34</v>
          </cell>
        </row>
        <row r="623">
          <cell r="B623">
            <v>196</v>
          </cell>
          <cell r="C623">
            <v>7</v>
          </cell>
        </row>
        <row r="624">
          <cell r="B624">
            <v>126</v>
          </cell>
          <cell r="C624">
            <v>50</v>
          </cell>
        </row>
        <row r="625">
          <cell r="B625">
            <v>109</v>
          </cell>
          <cell r="C625">
            <v>35</v>
          </cell>
        </row>
        <row r="626">
          <cell r="B626">
            <v>145</v>
          </cell>
          <cell r="C626">
            <v>33</v>
          </cell>
        </row>
        <row r="627">
          <cell r="B627">
            <v>167</v>
          </cell>
          <cell r="C627">
            <v>24</v>
          </cell>
        </row>
        <row r="628">
          <cell r="B628">
            <v>178</v>
          </cell>
          <cell r="C628">
            <v>24</v>
          </cell>
        </row>
        <row r="629">
          <cell r="B629">
            <v>170</v>
          </cell>
          <cell r="C629">
            <v>24</v>
          </cell>
        </row>
        <row r="630">
          <cell r="B630">
            <v>165</v>
          </cell>
          <cell r="C630">
            <v>21</v>
          </cell>
        </row>
        <row r="631">
          <cell r="B631">
            <v>218</v>
          </cell>
          <cell r="C631">
            <v>14</v>
          </cell>
        </row>
        <row r="632">
          <cell r="B632">
            <v>176</v>
          </cell>
          <cell r="C632">
            <v>21</v>
          </cell>
        </row>
        <row r="633">
          <cell r="B633">
            <v>80</v>
          </cell>
          <cell r="C633">
            <v>57</v>
          </cell>
        </row>
        <row r="634">
          <cell r="B634">
            <v>120</v>
          </cell>
          <cell r="C634">
            <v>25</v>
          </cell>
        </row>
        <row r="635">
          <cell r="B635">
            <v>116</v>
          </cell>
          <cell r="C635">
            <v>32</v>
          </cell>
        </row>
        <row r="636">
          <cell r="B636">
            <v>139</v>
          </cell>
          <cell r="C636">
            <v>23</v>
          </cell>
        </row>
        <row r="637">
          <cell r="B637">
            <v>163</v>
          </cell>
          <cell r="C637">
            <v>28</v>
          </cell>
        </row>
        <row r="638">
          <cell r="B638">
            <v>178</v>
          </cell>
          <cell r="C638">
            <v>21</v>
          </cell>
        </row>
        <row r="639">
          <cell r="B639">
            <v>155</v>
          </cell>
          <cell r="C639">
            <v>26</v>
          </cell>
        </row>
        <row r="640">
          <cell r="B640">
            <v>177</v>
          </cell>
          <cell r="C640">
            <v>28</v>
          </cell>
        </row>
        <row r="641">
          <cell r="B641">
            <v>152</v>
          </cell>
          <cell r="C641">
            <v>10</v>
          </cell>
        </row>
        <row r="642">
          <cell r="B642">
            <v>131</v>
          </cell>
          <cell r="C642">
            <v>21</v>
          </cell>
        </row>
        <row r="643">
          <cell r="B643">
            <v>59</v>
          </cell>
          <cell r="C643">
            <v>56</v>
          </cell>
        </row>
        <row r="644">
          <cell r="B644">
            <v>148</v>
          </cell>
          <cell r="C644">
            <v>35</v>
          </cell>
        </row>
        <row r="645">
          <cell r="B645">
            <v>201</v>
          </cell>
          <cell r="C645">
            <v>23</v>
          </cell>
        </row>
        <row r="646">
          <cell r="B646">
            <v>186</v>
          </cell>
          <cell r="C646">
            <v>14</v>
          </cell>
        </row>
        <row r="647">
          <cell r="B647">
            <v>191</v>
          </cell>
          <cell r="C647">
            <v>29</v>
          </cell>
        </row>
        <row r="648">
          <cell r="B648">
            <v>166</v>
          </cell>
          <cell r="C648">
            <v>22</v>
          </cell>
        </row>
        <row r="649">
          <cell r="B649">
            <v>187</v>
          </cell>
          <cell r="C649">
            <v>25</v>
          </cell>
        </row>
        <row r="650">
          <cell r="B650">
            <v>143</v>
          </cell>
          <cell r="C650">
            <v>44</v>
          </cell>
        </row>
        <row r="651">
          <cell r="B651">
            <v>113</v>
          </cell>
          <cell r="C651">
            <v>32</v>
          </cell>
        </row>
        <row r="652">
          <cell r="B652">
            <v>106</v>
          </cell>
          <cell r="C652">
            <v>28</v>
          </cell>
        </row>
        <row r="653">
          <cell r="B653">
            <v>194</v>
          </cell>
          <cell r="C653">
            <v>17</v>
          </cell>
        </row>
        <row r="654">
          <cell r="B654">
            <v>216</v>
          </cell>
          <cell r="C654">
            <v>22</v>
          </cell>
        </row>
        <row r="655">
          <cell r="B655">
            <v>122</v>
          </cell>
          <cell r="C655">
            <v>32</v>
          </cell>
        </row>
        <row r="656">
          <cell r="B656">
            <v>159</v>
          </cell>
          <cell r="C656">
            <v>33</v>
          </cell>
        </row>
        <row r="657">
          <cell r="B657">
            <v>147</v>
          </cell>
          <cell r="C657">
            <v>18</v>
          </cell>
        </row>
        <row r="658">
          <cell r="B658">
            <v>100</v>
          </cell>
          <cell r="C658">
            <v>33</v>
          </cell>
        </row>
        <row r="659">
          <cell r="B659">
            <v>205</v>
          </cell>
          <cell r="C659">
            <v>29</v>
          </cell>
        </row>
        <row r="660">
          <cell r="B660">
            <v>170</v>
          </cell>
          <cell r="C660">
            <v>36</v>
          </cell>
        </row>
        <row r="661">
          <cell r="B661">
            <v>164</v>
          </cell>
          <cell r="C661">
            <v>33</v>
          </cell>
        </row>
        <row r="662">
          <cell r="B662">
            <v>114</v>
          </cell>
          <cell r="C662">
            <v>35</v>
          </cell>
        </row>
        <row r="663">
          <cell r="B663">
            <v>113</v>
          </cell>
          <cell r="C663">
            <v>27</v>
          </cell>
        </row>
        <row r="664">
          <cell r="B664">
            <v>186</v>
          </cell>
          <cell r="C664">
            <v>14</v>
          </cell>
        </row>
        <row r="665">
          <cell r="B665">
            <v>146</v>
          </cell>
          <cell r="C665">
            <v>43</v>
          </cell>
        </row>
        <row r="666">
          <cell r="B666">
            <v>157</v>
          </cell>
          <cell r="C666">
            <v>42</v>
          </cell>
        </row>
        <row r="667">
          <cell r="B667">
            <v>161</v>
          </cell>
          <cell r="C667">
            <v>34</v>
          </cell>
        </row>
        <row r="668">
          <cell r="B668">
            <v>204</v>
          </cell>
          <cell r="C668">
            <v>21</v>
          </cell>
        </row>
        <row r="669">
          <cell r="B669">
            <v>137</v>
          </cell>
          <cell r="C669">
            <v>14</v>
          </cell>
        </row>
        <row r="670">
          <cell r="B670">
            <v>171</v>
          </cell>
          <cell r="C670">
            <v>30</v>
          </cell>
        </row>
        <row r="671">
          <cell r="B671">
            <v>134</v>
          </cell>
          <cell r="C671">
            <v>27</v>
          </cell>
        </row>
        <row r="672">
          <cell r="B672">
            <v>190</v>
          </cell>
          <cell r="C672">
            <v>25</v>
          </cell>
        </row>
        <row r="673">
          <cell r="B673">
            <v>112</v>
          </cell>
          <cell r="C673">
            <v>34</v>
          </cell>
        </row>
        <row r="674">
          <cell r="B674">
            <v>150</v>
          </cell>
          <cell r="C674">
            <v>34</v>
          </cell>
        </row>
        <row r="675">
          <cell r="B675">
            <v>110</v>
          </cell>
          <cell r="C675">
            <v>55</v>
          </cell>
        </row>
        <row r="676">
          <cell r="B676">
            <v>130</v>
          </cell>
          <cell r="C676">
            <v>18</v>
          </cell>
        </row>
        <row r="677">
          <cell r="B677">
            <v>167</v>
          </cell>
          <cell r="C677">
            <v>16</v>
          </cell>
        </row>
        <row r="678">
          <cell r="B678">
            <v>160</v>
          </cell>
          <cell r="C678">
            <v>19</v>
          </cell>
        </row>
      </sheetData>
      <sheetData sheetId="1" refreshError="1"/>
      <sheetData sheetId="2" refreshError="1"/>
      <sheetData sheetId="3" refreshError="1"/>
      <sheetData sheetId="4" refreshError="1"/>
      <sheetData sheetId="5">
        <row r="1">
          <cell r="C1" t="str">
            <v>商品単価</v>
          </cell>
        </row>
        <row r="2">
          <cell r="B2">
            <v>65</v>
          </cell>
          <cell r="C2">
            <v>120</v>
          </cell>
        </row>
        <row r="3">
          <cell r="B3">
            <v>139</v>
          </cell>
          <cell r="C3">
            <v>208</v>
          </cell>
        </row>
        <row r="4">
          <cell r="B4">
            <v>41</v>
          </cell>
          <cell r="C4">
            <v>142</v>
          </cell>
        </row>
        <row r="5">
          <cell r="B5">
            <v>66</v>
          </cell>
          <cell r="C5">
            <v>127</v>
          </cell>
        </row>
        <row r="6">
          <cell r="B6">
            <v>82</v>
          </cell>
          <cell r="C6">
            <v>157</v>
          </cell>
        </row>
        <row r="7">
          <cell r="B7">
            <v>69</v>
          </cell>
          <cell r="C7">
            <v>129</v>
          </cell>
        </row>
        <row r="8">
          <cell r="B8">
            <v>61</v>
          </cell>
          <cell r="C8">
            <v>149</v>
          </cell>
        </row>
        <row r="9">
          <cell r="B9">
            <v>100</v>
          </cell>
          <cell r="C9">
            <v>195</v>
          </cell>
        </row>
        <row r="10">
          <cell r="B10">
            <v>41</v>
          </cell>
          <cell r="C10">
            <v>150</v>
          </cell>
        </row>
        <row r="11">
          <cell r="B11">
            <v>41</v>
          </cell>
          <cell r="C11">
            <v>108</v>
          </cell>
        </row>
        <row r="12">
          <cell r="B12">
            <v>59</v>
          </cell>
          <cell r="C12">
            <v>150</v>
          </cell>
        </row>
        <row r="13">
          <cell r="B13">
            <v>43</v>
          </cell>
          <cell r="C13">
            <v>130</v>
          </cell>
        </row>
        <row r="14">
          <cell r="B14">
            <v>101</v>
          </cell>
          <cell r="C14">
            <v>163</v>
          </cell>
        </row>
        <row r="15">
          <cell r="B15">
            <v>63</v>
          </cell>
          <cell r="C15">
            <v>137</v>
          </cell>
        </row>
        <row r="16">
          <cell r="B16">
            <v>70</v>
          </cell>
          <cell r="C16">
            <v>155</v>
          </cell>
        </row>
        <row r="17">
          <cell r="B17">
            <v>77</v>
          </cell>
          <cell r="C17">
            <v>162</v>
          </cell>
        </row>
        <row r="18">
          <cell r="B18">
            <v>114</v>
          </cell>
          <cell r="C18">
            <v>211</v>
          </cell>
        </row>
        <row r="19">
          <cell r="B19">
            <v>85</v>
          </cell>
          <cell r="C19">
            <v>126</v>
          </cell>
        </row>
        <row r="20">
          <cell r="B20">
            <v>86</v>
          </cell>
          <cell r="C20">
            <v>167</v>
          </cell>
        </row>
        <row r="21">
          <cell r="B21">
            <v>44</v>
          </cell>
          <cell r="C21">
            <v>142</v>
          </cell>
        </row>
        <row r="22">
          <cell r="B22">
            <v>62</v>
          </cell>
          <cell r="C22">
            <v>129</v>
          </cell>
        </row>
        <row r="23">
          <cell r="B23">
            <v>102</v>
          </cell>
          <cell r="C23">
            <v>199</v>
          </cell>
        </row>
        <row r="24">
          <cell r="B24">
            <v>54</v>
          </cell>
          <cell r="C24">
            <v>176</v>
          </cell>
        </row>
        <row r="25">
          <cell r="B25">
            <v>86</v>
          </cell>
          <cell r="C25">
            <v>158</v>
          </cell>
        </row>
        <row r="26">
          <cell r="B26">
            <v>105</v>
          </cell>
          <cell r="C26">
            <v>206</v>
          </cell>
        </row>
        <row r="27">
          <cell r="B27">
            <v>55</v>
          </cell>
          <cell r="C27">
            <v>152</v>
          </cell>
        </row>
        <row r="28">
          <cell r="B28">
            <v>69</v>
          </cell>
          <cell r="C28">
            <v>112</v>
          </cell>
        </row>
        <row r="29">
          <cell r="B29">
            <v>84</v>
          </cell>
          <cell r="C29">
            <v>177</v>
          </cell>
        </row>
        <row r="30">
          <cell r="B30">
            <v>82</v>
          </cell>
          <cell r="C30">
            <v>112</v>
          </cell>
        </row>
        <row r="31">
          <cell r="B31">
            <v>70</v>
          </cell>
          <cell r="C31">
            <v>160</v>
          </cell>
        </row>
        <row r="32">
          <cell r="B32">
            <v>55</v>
          </cell>
          <cell r="C32">
            <v>168</v>
          </cell>
        </row>
        <row r="33">
          <cell r="B33">
            <v>43</v>
          </cell>
          <cell r="C33">
            <v>134</v>
          </cell>
        </row>
        <row r="34">
          <cell r="B34">
            <v>52</v>
          </cell>
          <cell r="C34">
            <v>155</v>
          </cell>
        </row>
        <row r="35">
          <cell r="B35">
            <v>76</v>
          </cell>
          <cell r="C35">
            <v>135</v>
          </cell>
        </row>
        <row r="36">
          <cell r="B36">
            <v>88</v>
          </cell>
          <cell r="C36">
            <v>170</v>
          </cell>
        </row>
        <row r="37">
          <cell r="B37">
            <v>109</v>
          </cell>
          <cell r="C37">
            <v>191</v>
          </cell>
        </row>
        <row r="38">
          <cell r="B38">
            <v>48</v>
          </cell>
          <cell r="C38">
            <v>127</v>
          </cell>
        </row>
        <row r="39">
          <cell r="B39">
            <v>44</v>
          </cell>
          <cell r="C39">
            <v>97</v>
          </cell>
        </row>
        <row r="40">
          <cell r="B40">
            <v>90</v>
          </cell>
          <cell r="C40">
            <v>146</v>
          </cell>
        </row>
        <row r="41">
          <cell r="B41">
            <v>60</v>
          </cell>
          <cell r="C41">
            <v>107</v>
          </cell>
        </row>
        <row r="42">
          <cell r="B42">
            <v>96</v>
          </cell>
          <cell r="C42">
            <v>210</v>
          </cell>
        </row>
        <row r="43">
          <cell r="B43">
            <v>93</v>
          </cell>
          <cell r="C43">
            <v>176</v>
          </cell>
        </row>
        <row r="44">
          <cell r="B44">
            <v>29</v>
          </cell>
          <cell r="C44">
            <v>120</v>
          </cell>
        </row>
        <row r="45">
          <cell r="B45">
            <v>37</v>
          </cell>
          <cell r="C45">
            <v>155</v>
          </cell>
        </row>
        <row r="46">
          <cell r="B46">
            <v>95</v>
          </cell>
          <cell r="C46">
            <v>192</v>
          </cell>
        </row>
        <row r="47">
          <cell r="B47">
            <v>101</v>
          </cell>
          <cell r="C47">
            <v>178</v>
          </cell>
        </row>
        <row r="48">
          <cell r="B48">
            <v>42</v>
          </cell>
          <cell r="C48">
            <v>118</v>
          </cell>
        </row>
        <row r="49">
          <cell r="B49">
            <v>77</v>
          </cell>
          <cell r="C49">
            <v>168</v>
          </cell>
        </row>
        <row r="50">
          <cell r="B50">
            <v>42</v>
          </cell>
          <cell r="C50">
            <v>103</v>
          </cell>
        </row>
        <row r="51">
          <cell r="B51">
            <v>57</v>
          </cell>
          <cell r="C51">
            <v>136</v>
          </cell>
        </row>
        <row r="52">
          <cell r="B52">
            <v>89</v>
          </cell>
          <cell r="C52">
            <v>169</v>
          </cell>
        </row>
        <row r="53">
          <cell r="B53">
            <v>89</v>
          </cell>
          <cell r="C53">
            <v>150</v>
          </cell>
        </row>
        <row r="54">
          <cell r="B54">
            <v>79</v>
          </cell>
          <cell r="C54">
            <v>168</v>
          </cell>
        </row>
        <row r="55">
          <cell r="B55">
            <v>109</v>
          </cell>
          <cell r="C55">
            <v>220</v>
          </cell>
        </row>
        <row r="56">
          <cell r="B56">
            <v>74</v>
          </cell>
          <cell r="C56">
            <v>138</v>
          </cell>
        </row>
        <row r="57">
          <cell r="B57">
            <v>72</v>
          </cell>
          <cell r="C57">
            <v>177</v>
          </cell>
        </row>
        <row r="58">
          <cell r="B58">
            <v>86</v>
          </cell>
          <cell r="C58">
            <v>177</v>
          </cell>
        </row>
        <row r="59">
          <cell r="B59">
            <v>58</v>
          </cell>
          <cell r="C59">
            <v>141</v>
          </cell>
        </row>
        <row r="60">
          <cell r="B60">
            <v>51</v>
          </cell>
          <cell r="C60">
            <v>186</v>
          </cell>
        </row>
        <row r="61">
          <cell r="B61">
            <v>98</v>
          </cell>
          <cell r="C61">
            <v>221</v>
          </cell>
        </row>
        <row r="62">
          <cell r="B62">
            <v>114</v>
          </cell>
          <cell r="C62">
            <v>210</v>
          </cell>
        </row>
        <row r="63">
          <cell r="B63">
            <v>119</v>
          </cell>
          <cell r="C63">
            <v>198</v>
          </cell>
        </row>
        <row r="64">
          <cell r="B64">
            <v>93</v>
          </cell>
          <cell r="C64">
            <v>170</v>
          </cell>
        </row>
        <row r="65">
          <cell r="B65">
            <v>15</v>
          </cell>
          <cell r="C65">
            <v>102</v>
          </cell>
        </row>
        <row r="66">
          <cell r="B66">
            <v>46</v>
          </cell>
          <cell r="C66">
            <v>129</v>
          </cell>
        </row>
        <row r="67">
          <cell r="B67">
            <v>76</v>
          </cell>
          <cell r="C67">
            <v>141</v>
          </cell>
        </row>
        <row r="68">
          <cell r="B68">
            <v>30</v>
          </cell>
          <cell r="C68">
            <v>148</v>
          </cell>
        </row>
        <row r="69">
          <cell r="B69">
            <v>61</v>
          </cell>
          <cell r="C69">
            <v>162</v>
          </cell>
        </row>
        <row r="70">
          <cell r="B70">
            <v>48</v>
          </cell>
          <cell r="C70">
            <v>134</v>
          </cell>
        </row>
        <row r="71">
          <cell r="B71">
            <v>63</v>
          </cell>
          <cell r="C71">
            <v>154</v>
          </cell>
        </row>
        <row r="72">
          <cell r="B72">
            <v>47</v>
          </cell>
          <cell r="C72">
            <v>116</v>
          </cell>
        </row>
        <row r="73">
          <cell r="B73">
            <v>60</v>
          </cell>
          <cell r="C73">
            <v>104</v>
          </cell>
        </row>
        <row r="74">
          <cell r="B74">
            <v>60</v>
          </cell>
          <cell r="C74">
            <v>178</v>
          </cell>
        </row>
        <row r="75">
          <cell r="B75">
            <v>82</v>
          </cell>
          <cell r="C75">
            <v>145</v>
          </cell>
        </row>
        <row r="76">
          <cell r="B76">
            <v>44</v>
          </cell>
          <cell r="C76">
            <v>119</v>
          </cell>
        </row>
        <row r="77">
          <cell r="B77">
            <v>15</v>
          </cell>
          <cell r="C77">
            <v>128</v>
          </cell>
        </row>
        <row r="78">
          <cell r="B78">
            <v>85</v>
          </cell>
          <cell r="C78">
            <v>142</v>
          </cell>
        </row>
        <row r="79">
          <cell r="B79">
            <v>105</v>
          </cell>
          <cell r="C79">
            <v>150</v>
          </cell>
        </row>
        <row r="80">
          <cell r="B80">
            <v>51</v>
          </cell>
          <cell r="C80">
            <v>142</v>
          </cell>
        </row>
        <row r="81">
          <cell r="B81">
            <v>79</v>
          </cell>
          <cell r="C81">
            <v>156</v>
          </cell>
        </row>
        <row r="82">
          <cell r="B82">
            <v>105</v>
          </cell>
          <cell r="C82">
            <v>191</v>
          </cell>
        </row>
        <row r="83">
          <cell r="B83">
            <v>47</v>
          </cell>
          <cell r="C83">
            <v>116</v>
          </cell>
        </row>
        <row r="84">
          <cell r="B84">
            <v>98</v>
          </cell>
          <cell r="C84">
            <v>170</v>
          </cell>
        </row>
        <row r="85">
          <cell r="B85">
            <v>44</v>
          </cell>
          <cell r="C85">
            <v>119</v>
          </cell>
        </row>
        <row r="86">
          <cell r="B86">
            <v>122</v>
          </cell>
          <cell r="C86">
            <v>216</v>
          </cell>
        </row>
        <row r="87">
          <cell r="B87">
            <v>106</v>
          </cell>
          <cell r="C87">
            <v>182</v>
          </cell>
        </row>
        <row r="88">
          <cell r="B88">
            <v>52</v>
          </cell>
          <cell r="C88">
            <v>154</v>
          </cell>
        </row>
        <row r="89">
          <cell r="B89">
            <v>55</v>
          </cell>
          <cell r="C89">
            <v>195</v>
          </cell>
        </row>
        <row r="90">
          <cell r="B90">
            <v>92</v>
          </cell>
          <cell r="C90">
            <v>175</v>
          </cell>
        </row>
        <row r="91">
          <cell r="B91">
            <v>82</v>
          </cell>
          <cell r="C91">
            <v>154</v>
          </cell>
        </row>
        <row r="92">
          <cell r="B92">
            <v>103</v>
          </cell>
          <cell r="C92">
            <v>169</v>
          </cell>
        </row>
        <row r="93">
          <cell r="B93">
            <v>98</v>
          </cell>
          <cell r="C93">
            <v>170</v>
          </cell>
        </row>
        <row r="94">
          <cell r="B94">
            <v>82</v>
          </cell>
          <cell r="C94">
            <v>128</v>
          </cell>
        </row>
        <row r="95">
          <cell r="B95">
            <v>58</v>
          </cell>
          <cell r="C95">
            <v>159</v>
          </cell>
        </row>
        <row r="96">
          <cell r="B96">
            <v>92</v>
          </cell>
          <cell r="C96">
            <v>137</v>
          </cell>
        </row>
        <row r="97">
          <cell r="B97">
            <v>58</v>
          </cell>
          <cell r="C97">
            <v>109</v>
          </cell>
        </row>
        <row r="98">
          <cell r="B98">
            <v>38</v>
          </cell>
          <cell r="C98">
            <v>128</v>
          </cell>
        </row>
        <row r="99">
          <cell r="B99">
            <v>77</v>
          </cell>
          <cell r="C99">
            <v>133</v>
          </cell>
        </row>
        <row r="100">
          <cell r="B100">
            <v>79</v>
          </cell>
          <cell r="C100">
            <v>146</v>
          </cell>
        </row>
        <row r="101">
          <cell r="B101">
            <v>88</v>
          </cell>
          <cell r="C101">
            <v>164</v>
          </cell>
        </row>
        <row r="102">
          <cell r="B102">
            <v>74</v>
          </cell>
          <cell r="C102">
            <v>149</v>
          </cell>
        </row>
        <row r="103">
          <cell r="B103">
            <v>106</v>
          </cell>
          <cell r="C103">
            <v>168</v>
          </cell>
        </row>
        <row r="104">
          <cell r="B104">
            <v>51</v>
          </cell>
          <cell r="C104">
            <v>130</v>
          </cell>
        </row>
        <row r="105">
          <cell r="B105">
            <v>39</v>
          </cell>
          <cell r="C105">
            <v>126</v>
          </cell>
        </row>
        <row r="106">
          <cell r="B106">
            <v>36</v>
          </cell>
          <cell r="C106">
            <v>115</v>
          </cell>
        </row>
        <row r="107">
          <cell r="B107">
            <v>72</v>
          </cell>
          <cell r="C107">
            <v>136</v>
          </cell>
        </row>
        <row r="108">
          <cell r="B108">
            <v>106</v>
          </cell>
          <cell r="C108">
            <v>161</v>
          </cell>
        </row>
        <row r="109">
          <cell r="B109">
            <v>43</v>
          </cell>
          <cell r="C109">
            <v>108</v>
          </cell>
        </row>
        <row r="110">
          <cell r="B110">
            <v>105</v>
          </cell>
          <cell r="C110">
            <v>198</v>
          </cell>
        </row>
        <row r="111">
          <cell r="B111">
            <v>90</v>
          </cell>
          <cell r="C111">
            <v>203</v>
          </cell>
        </row>
        <row r="112">
          <cell r="B112">
            <v>70</v>
          </cell>
          <cell r="C112">
            <v>109</v>
          </cell>
        </row>
        <row r="113">
          <cell r="B113">
            <v>15</v>
          </cell>
          <cell r="C113">
            <v>109</v>
          </cell>
        </row>
        <row r="114">
          <cell r="B114">
            <v>93</v>
          </cell>
          <cell r="C114">
            <v>140</v>
          </cell>
        </row>
        <row r="115">
          <cell r="B115">
            <v>60</v>
          </cell>
          <cell r="C115">
            <v>102</v>
          </cell>
        </row>
        <row r="116">
          <cell r="B116">
            <v>90</v>
          </cell>
          <cell r="C116">
            <v>142</v>
          </cell>
        </row>
        <row r="117">
          <cell r="B117">
            <v>39</v>
          </cell>
          <cell r="C117">
            <v>171</v>
          </cell>
        </row>
        <row r="118">
          <cell r="B118">
            <v>113</v>
          </cell>
          <cell r="C118">
            <v>212</v>
          </cell>
        </row>
        <row r="119">
          <cell r="B119">
            <v>78</v>
          </cell>
          <cell r="C119">
            <v>141</v>
          </cell>
        </row>
        <row r="120">
          <cell r="B120">
            <v>127</v>
          </cell>
          <cell r="C120">
            <v>184</v>
          </cell>
        </row>
        <row r="121">
          <cell r="B121">
            <v>90</v>
          </cell>
          <cell r="C121">
            <v>164</v>
          </cell>
        </row>
        <row r="122">
          <cell r="B122">
            <v>105</v>
          </cell>
          <cell r="C122">
            <v>179</v>
          </cell>
        </row>
        <row r="123">
          <cell r="B123">
            <v>126</v>
          </cell>
          <cell r="C123">
            <v>159</v>
          </cell>
        </row>
        <row r="124">
          <cell r="B124">
            <v>45</v>
          </cell>
          <cell r="C124">
            <v>140</v>
          </cell>
        </row>
        <row r="125">
          <cell r="B125">
            <v>102</v>
          </cell>
          <cell r="C125">
            <v>175</v>
          </cell>
        </row>
        <row r="126">
          <cell r="B126">
            <v>95</v>
          </cell>
          <cell r="C126">
            <v>161</v>
          </cell>
        </row>
        <row r="127">
          <cell r="B127">
            <v>63</v>
          </cell>
          <cell r="C127">
            <v>173</v>
          </cell>
        </row>
        <row r="128">
          <cell r="B128">
            <v>108</v>
          </cell>
          <cell r="C128">
            <v>186</v>
          </cell>
        </row>
        <row r="129">
          <cell r="B129">
            <v>117</v>
          </cell>
          <cell r="C129">
            <v>187</v>
          </cell>
        </row>
        <row r="130">
          <cell r="B130">
            <v>61</v>
          </cell>
          <cell r="C130">
            <v>130</v>
          </cell>
        </row>
        <row r="131">
          <cell r="B131">
            <v>72</v>
          </cell>
          <cell r="C131">
            <v>112</v>
          </cell>
        </row>
        <row r="132">
          <cell r="B132">
            <v>108</v>
          </cell>
          <cell r="C132">
            <v>183</v>
          </cell>
        </row>
        <row r="133">
          <cell r="B133">
            <v>79</v>
          </cell>
          <cell r="C133">
            <v>175</v>
          </cell>
        </row>
        <row r="134">
          <cell r="B134">
            <v>68</v>
          </cell>
          <cell r="C134">
            <v>140</v>
          </cell>
        </row>
        <row r="135">
          <cell r="B135">
            <v>107</v>
          </cell>
          <cell r="C135">
            <v>177</v>
          </cell>
        </row>
        <row r="136">
          <cell r="B136">
            <v>46</v>
          </cell>
          <cell r="C136">
            <v>139</v>
          </cell>
        </row>
        <row r="137">
          <cell r="B137">
            <v>138</v>
          </cell>
          <cell r="C137">
            <v>186</v>
          </cell>
        </row>
        <row r="138">
          <cell r="B138">
            <v>84</v>
          </cell>
          <cell r="C138">
            <v>173</v>
          </cell>
        </row>
        <row r="139">
          <cell r="B139">
            <v>109</v>
          </cell>
          <cell r="C139">
            <v>176</v>
          </cell>
        </row>
        <row r="140">
          <cell r="B140">
            <v>74</v>
          </cell>
          <cell r="C140">
            <v>144</v>
          </cell>
        </row>
        <row r="141">
          <cell r="B141">
            <v>100</v>
          </cell>
          <cell r="C141">
            <v>146</v>
          </cell>
        </row>
        <row r="142">
          <cell r="B142">
            <v>86</v>
          </cell>
          <cell r="C142">
            <v>184</v>
          </cell>
        </row>
        <row r="143">
          <cell r="B143">
            <v>121</v>
          </cell>
          <cell r="C143">
            <v>185</v>
          </cell>
        </row>
        <row r="144">
          <cell r="B144">
            <v>82</v>
          </cell>
          <cell r="C144">
            <v>124</v>
          </cell>
        </row>
        <row r="145">
          <cell r="B145">
            <v>53</v>
          </cell>
          <cell r="C145">
            <v>146</v>
          </cell>
        </row>
        <row r="146">
          <cell r="B146">
            <v>40</v>
          </cell>
          <cell r="C146">
            <v>97</v>
          </cell>
        </row>
        <row r="147">
          <cell r="B147">
            <v>92</v>
          </cell>
          <cell r="C147">
            <v>152</v>
          </cell>
        </row>
        <row r="148">
          <cell r="B148">
            <v>112</v>
          </cell>
          <cell r="C148">
            <v>178</v>
          </cell>
        </row>
        <row r="149">
          <cell r="B149">
            <v>90</v>
          </cell>
          <cell r="C149">
            <v>166</v>
          </cell>
        </row>
        <row r="150">
          <cell r="B150">
            <v>35</v>
          </cell>
          <cell r="C150">
            <v>101</v>
          </cell>
        </row>
        <row r="151">
          <cell r="B151">
            <v>41</v>
          </cell>
          <cell r="C151">
            <v>102</v>
          </cell>
        </row>
        <row r="152">
          <cell r="B152">
            <v>60</v>
          </cell>
          <cell r="C152">
            <v>72</v>
          </cell>
        </row>
        <row r="153">
          <cell r="B153">
            <v>24</v>
          </cell>
          <cell r="C153">
            <v>100</v>
          </cell>
        </row>
        <row r="154">
          <cell r="B154">
            <v>55</v>
          </cell>
          <cell r="C154">
            <v>104</v>
          </cell>
        </row>
        <row r="155">
          <cell r="B155">
            <v>62</v>
          </cell>
          <cell r="C155">
            <v>104</v>
          </cell>
        </row>
        <row r="156">
          <cell r="B156">
            <v>45</v>
          </cell>
          <cell r="C156">
            <v>128</v>
          </cell>
        </row>
        <row r="157">
          <cell r="B157">
            <v>111</v>
          </cell>
          <cell r="C157">
            <v>189</v>
          </cell>
        </row>
        <row r="158">
          <cell r="B158">
            <v>98</v>
          </cell>
          <cell r="C158">
            <v>198</v>
          </cell>
        </row>
        <row r="159">
          <cell r="B159">
            <v>18</v>
          </cell>
          <cell r="C159">
            <v>124</v>
          </cell>
        </row>
        <row r="160">
          <cell r="B160">
            <v>74</v>
          </cell>
          <cell r="C160">
            <v>134</v>
          </cell>
        </row>
        <row r="161">
          <cell r="B161">
            <v>53</v>
          </cell>
          <cell r="C161">
            <v>137</v>
          </cell>
        </row>
        <row r="162">
          <cell r="B162">
            <v>72</v>
          </cell>
          <cell r="C162">
            <v>135</v>
          </cell>
        </row>
        <row r="163">
          <cell r="B163">
            <v>83</v>
          </cell>
          <cell r="C163">
            <v>140</v>
          </cell>
        </row>
        <row r="164">
          <cell r="B164">
            <v>83</v>
          </cell>
          <cell r="C164">
            <v>174</v>
          </cell>
        </row>
        <row r="165">
          <cell r="B165">
            <v>81</v>
          </cell>
          <cell r="C165">
            <v>112</v>
          </cell>
        </row>
        <row r="166">
          <cell r="B166">
            <v>67</v>
          </cell>
          <cell r="C166">
            <v>133</v>
          </cell>
        </row>
        <row r="167">
          <cell r="B167">
            <v>59</v>
          </cell>
          <cell r="C167">
            <v>145</v>
          </cell>
        </row>
        <row r="168">
          <cell r="B168">
            <v>43</v>
          </cell>
          <cell r="C168">
            <v>107</v>
          </cell>
        </row>
        <row r="169">
          <cell r="B169">
            <v>67</v>
          </cell>
          <cell r="C169">
            <v>186</v>
          </cell>
        </row>
        <row r="170">
          <cell r="B170">
            <v>82</v>
          </cell>
          <cell r="C170">
            <v>147</v>
          </cell>
        </row>
        <row r="171">
          <cell r="B171">
            <v>86</v>
          </cell>
          <cell r="C171">
            <v>181</v>
          </cell>
        </row>
        <row r="172">
          <cell r="B172">
            <v>79</v>
          </cell>
          <cell r="C172">
            <v>162</v>
          </cell>
        </row>
        <row r="173">
          <cell r="B173">
            <v>67</v>
          </cell>
          <cell r="C173">
            <v>118</v>
          </cell>
        </row>
        <row r="174">
          <cell r="B174">
            <v>74</v>
          </cell>
          <cell r="C174">
            <v>120</v>
          </cell>
        </row>
        <row r="175">
          <cell r="B175">
            <v>121</v>
          </cell>
          <cell r="C175">
            <v>193</v>
          </cell>
        </row>
        <row r="176">
          <cell r="B176">
            <v>86</v>
          </cell>
          <cell r="C176">
            <v>196</v>
          </cell>
        </row>
        <row r="177">
          <cell r="B177">
            <v>67</v>
          </cell>
          <cell r="C177">
            <v>178</v>
          </cell>
        </row>
        <row r="178">
          <cell r="B178">
            <v>87</v>
          </cell>
          <cell r="C178">
            <v>177</v>
          </cell>
        </row>
        <row r="179">
          <cell r="B179">
            <v>50</v>
          </cell>
          <cell r="C179">
            <v>84</v>
          </cell>
        </row>
        <row r="180">
          <cell r="B180">
            <v>72</v>
          </cell>
          <cell r="C180">
            <v>200</v>
          </cell>
        </row>
        <row r="181">
          <cell r="B181">
            <v>89</v>
          </cell>
          <cell r="C181">
            <v>194</v>
          </cell>
        </row>
        <row r="182">
          <cell r="B182">
            <v>40</v>
          </cell>
          <cell r="C182">
            <v>125</v>
          </cell>
        </row>
        <row r="183">
          <cell r="B183">
            <v>99</v>
          </cell>
          <cell r="C183">
            <v>163</v>
          </cell>
        </row>
        <row r="184">
          <cell r="B184">
            <v>68</v>
          </cell>
          <cell r="C184">
            <v>155</v>
          </cell>
        </row>
        <row r="185">
          <cell r="B185">
            <v>60</v>
          </cell>
          <cell r="C185">
            <v>113</v>
          </cell>
        </row>
        <row r="186">
          <cell r="B186">
            <v>55</v>
          </cell>
          <cell r="C186">
            <v>133</v>
          </cell>
        </row>
        <row r="187">
          <cell r="B187">
            <v>62</v>
          </cell>
          <cell r="C187">
            <v>119</v>
          </cell>
        </row>
        <row r="188">
          <cell r="B188">
            <v>53</v>
          </cell>
          <cell r="C188">
            <v>106</v>
          </cell>
        </row>
        <row r="189">
          <cell r="B189">
            <v>51</v>
          </cell>
          <cell r="C189">
            <v>146</v>
          </cell>
        </row>
        <row r="190">
          <cell r="B190">
            <v>58</v>
          </cell>
          <cell r="C190">
            <v>140</v>
          </cell>
        </row>
        <row r="191">
          <cell r="B191">
            <v>130</v>
          </cell>
          <cell r="C191">
            <v>226</v>
          </cell>
        </row>
        <row r="192">
          <cell r="B192">
            <v>71</v>
          </cell>
          <cell r="C192">
            <v>151</v>
          </cell>
        </row>
        <row r="193">
          <cell r="B193">
            <v>71</v>
          </cell>
          <cell r="C193">
            <v>110</v>
          </cell>
        </row>
        <row r="194">
          <cell r="B194">
            <v>105</v>
          </cell>
          <cell r="C194">
            <v>192</v>
          </cell>
        </row>
        <row r="195">
          <cell r="B195">
            <v>117</v>
          </cell>
          <cell r="C195">
            <v>168</v>
          </cell>
        </row>
        <row r="196">
          <cell r="B196">
            <v>39</v>
          </cell>
          <cell r="C196">
            <v>135</v>
          </cell>
        </row>
        <row r="197">
          <cell r="B197">
            <v>60</v>
          </cell>
          <cell r="C197">
            <v>157</v>
          </cell>
        </row>
        <row r="198">
          <cell r="B198">
            <v>63</v>
          </cell>
          <cell r="C198">
            <v>152</v>
          </cell>
        </row>
        <row r="199">
          <cell r="B199">
            <v>97</v>
          </cell>
          <cell r="C199">
            <v>206</v>
          </cell>
        </row>
        <row r="200">
          <cell r="B200">
            <v>127</v>
          </cell>
          <cell r="C200">
            <v>192</v>
          </cell>
        </row>
        <row r="201">
          <cell r="B201">
            <v>92</v>
          </cell>
          <cell r="C201">
            <v>166</v>
          </cell>
        </row>
        <row r="202">
          <cell r="B202">
            <v>71</v>
          </cell>
          <cell r="C202">
            <v>124</v>
          </cell>
        </row>
        <row r="203">
          <cell r="B203">
            <v>57</v>
          </cell>
          <cell r="C203">
            <v>156</v>
          </cell>
        </row>
        <row r="204">
          <cell r="B204">
            <v>84</v>
          </cell>
          <cell r="C204">
            <v>186</v>
          </cell>
        </row>
        <row r="205">
          <cell r="B205">
            <v>82</v>
          </cell>
          <cell r="C205">
            <v>137</v>
          </cell>
        </row>
        <row r="206">
          <cell r="B206">
            <v>98</v>
          </cell>
          <cell r="C206">
            <v>176</v>
          </cell>
        </row>
        <row r="207">
          <cell r="B207">
            <v>33</v>
          </cell>
          <cell r="C207">
            <v>89</v>
          </cell>
        </row>
        <row r="208">
          <cell r="B208">
            <v>109</v>
          </cell>
          <cell r="C208">
            <v>169</v>
          </cell>
        </row>
        <row r="209">
          <cell r="B209">
            <v>112</v>
          </cell>
          <cell r="C209">
            <v>160</v>
          </cell>
        </row>
        <row r="210">
          <cell r="B210">
            <v>93</v>
          </cell>
          <cell r="C210">
            <v>175</v>
          </cell>
        </row>
        <row r="211">
          <cell r="B211">
            <v>64</v>
          </cell>
          <cell r="C211">
            <v>135</v>
          </cell>
        </row>
        <row r="212">
          <cell r="B212">
            <v>93</v>
          </cell>
          <cell r="C212">
            <v>202</v>
          </cell>
        </row>
        <row r="213">
          <cell r="B213">
            <v>62</v>
          </cell>
          <cell r="C213">
            <v>189</v>
          </cell>
        </row>
        <row r="214">
          <cell r="B214">
            <v>71</v>
          </cell>
          <cell r="C214">
            <v>132</v>
          </cell>
        </row>
        <row r="215">
          <cell r="B215">
            <v>51</v>
          </cell>
          <cell r="C215">
            <v>138</v>
          </cell>
        </row>
        <row r="216">
          <cell r="B216">
            <v>83</v>
          </cell>
          <cell r="C216">
            <v>170</v>
          </cell>
        </row>
        <row r="217">
          <cell r="B217">
            <v>81</v>
          </cell>
          <cell r="C217">
            <v>186</v>
          </cell>
        </row>
        <row r="218">
          <cell r="B218">
            <v>52</v>
          </cell>
          <cell r="C218">
            <v>89</v>
          </cell>
        </row>
        <row r="219">
          <cell r="B219">
            <v>45</v>
          </cell>
          <cell r="C219">
            <v>105</v>
          </cell>
        </row>
        <row r="220">
          <cell r="B220">
            <v>116</v>
          </cell>
          <cell r="C220">
            <v>189</v>
          </cell>
        </row>
        <row r="221">
          <cell r="B221">
            <v>72</v>
          </cell>
          <cell r="C221">
            <v>152</v>
          </cell>
        </row>
        <row r="222">
          <cell r="B222">
            <v>103</v>
          </cell>
          <cell r="C222">
            <v>226</v>
          </cell>
        </row>
        <row r="223">
          <cell r="B223">
            <v>76</v>
          </cell>
          <cell r="C223">
            <v>146</v>
          </cell>
        </row>
        <row r="224">
          <cell r="B224">
            <v>66</v>
          </cell>
          <cell r="C224">
            <v>197</v>
          </cell>
        </row>
        <row r="225">
          <cell r="B225">
            <v>87</v>
          </cell>
          <cell r="C225">
            <v>188</v>
          </cell>
        </row>
        <row r="226">
          <cell r="B226">
            <v>109</v>
          </cell>
          <cell r="C226">
            <v>151</v>
          </cell>
        </row>
        <row r="227">
          <cell r="B227">
            <v>128</v>
          </cell>
          <cell r="C227">
            <v>207</v>
          </cell>
        </row>
        <row r="228">
          <cell r="B228">
            <v>73</v>
          </cell>
          <cell r="C228">
            <v>104</v>
          </cell>
        </row>
        <row r="229">
          <cell r="B229">
            <v>78</v>
          </cell>
          <cell r="C229">
            <v>188</v>
          </cell>
        </row>
        <row r="230">
          <cell r="B230">
            <v>151</v>
          </cell>
          <cell r="C230">
            <v>234</v>
          </cell>
        </row>
        <row r="231">
          <cell r="B231">
            <v>114</v>
          </cell>
          <cell r="C231">
            <v>202</v>
          </cell>
        </row>
        <row r="232">
          <cell r="B232">
            <v>60</v>
          </cell>
          <cell r="C232">
            <v>126</v>
          </cell>
        </row>
        <row r="233">
          <cell r="B233">
            <v>69</v>
          </cell>
          <cell r="C233">
            <v>144</v>
          </cell>
        </row>
        <row r="234">
          <cell r="B234">
            <v>88</v>
          </cell>
          <cell r="C234">
            <v>180</v>
          </cell>
        </row>
        <row r="235">
          <cell r="B235">
            <v>58</v>
          </cell>
          <cell r="C235">
            <v>138</v>
          </cell>
        </row>
        <row r="236">
          <cell r="B236">
            <v>103</v>
          </cell>
          <cell r="C236">
            <v>220</v>
          </cell>
        </row>
        <row r="237">
          <cell r="B237">
            <v>87</v>
          </cell>
          <cell r="C237">
            <v>204</v>
          </cell>
        </row>
        <row r="238">
          <cell r="B238">
            <v>105</v>
          </cell>
          <cell r="C238">
            <v>153</v>
          </cell>
        </row>
        <row r="239">
          <cell r="B239">
            <v>53</v>
          </cell>
          <cell r="C239">
            <v>114</v>
          </cell>
        </row>
        <row r="240">
          <cell r="B240">
            <v>72</v>
          </cell>
          <cell r="C240">
            <v>130</v>
          </cell>
        </row>
        <row r="241">
          <cell r="B241">
            <v>62</v>
          </cell>
          <cell r="C241">
            <v>146</v>
          </cell>
        </row>
        <row r="242">
          <cell r="B242">
            <v>66</v>
          </cell>
          <cell r="C242">
            <v>179</v>
          </cell>
        </row>
        <row r="243">
          <cell r="B243">
            <v>74</v>
          </cell>
          <cell r="C243">
            <v>148</v>
          </cell>
        </row>
        <row r="244">
          <cell r="B244">
            <v>73</v>
          </cell>
          <cell r="C244">
            <v>133</v>
          </cell>
        </row>
        <row r="245">
          <cell r="B245">
            <v>150</v>
          </cell>
          <cell r="C245">
            <v>210</v>
          </cell>
        </row>
        <row r="246">
          <cell r="B246">
            <v>86</v>
          </cell>
          <cell r="C246">
            <v>153</v>
          </cell>
        </row>
        <row r="247">
          <cell r="B247">
            <v>79</v>
          </cell>
          <cell r="C247">
            <v>99</v>
          </cell>
        </row>
        <row r="248">
          <cell r="B248">
            <v>80</v>
          </cell>
          <cell r="C248">
            <v>148</v>
          </cell>
        </row>
        <row r="249">
          <cell r="B249">
            <v>30</v>
          </cell>
          <cell r="C249">
            <v>134</v>
          </cell>
        </row>
        <row r="250">
          <cell r="B250">
            <v>69</v>
          </cell>
          <cell r="C250">
            <v>172</v>
          </cell>
        </row>
        <row r="251">
          <cell r="B251">
            <v>73</v>
          </cell>
          <cell r="C251">
            <v>116</v>
          </cell>
        </row>
        <row r="252">
          <cell r="B252">
            <v>44</v>
          </cell>
          <cell r="C252">
            <v>115</v>
          </cell>
        </row>
        <row r="253">
          <cell r="B253">
            <v>76</v>
          </cell>
          <cell r="C253">
            <v>157</v>
          </cell>
        </row>
        <row r="254">
          <cell r="B254">
            <v>97</v>
          </cell>
          <cell r="C254">
            <v>208</v>
          </cell>
        </row>
        <row r="255">
          <cell r="B255">
            <v>81</v>
          </cell>
          <cell r="C255">
            <v>145</v>
          </cell>
        </row>
        <row r="256">
          <cell r="B256">
            <v>84</v>
          </cell>
          <cell r="C256">
            <v>130</v>
          </cell>
        </row>
        <row r="257">
          <cell r="B257">
            <v>106</v>
          </cell>
          <cell r="C257">
            <v>222</v>
          </cell>
        </row>
        <row r="258">
          <cell r="B258">
            <v>104</v>
          </cell>
          <cell r="C258">
            <v>194</v>
          </cell>
        </row>
        <row r="259">
          <cell r="B259">
            <v>67</v>
          </cell>
          <cell r="C259">
            <v>113</v>
          </cell>
        </row>
        <row r="260">
          <cell r="B260">
            <v>63</v>
          </cell>
          <cell r="C260">
            <v>145</v>
          </cell>
        </row>
        <row r="261">
          <cell r="B261">
            <v>90</v>
          </cell>
          <cell r="C261">
            <v>154</v>
          </cell>
        </row>
        <row r="262">
          <cell r="B262">
            <v>63</v>
          </cell>
          <cell r="C262">
            <v>126</v>
          </cell>
        </row>
        <row r="263">
          <cell r="B263">
            <v>46</v>
          </cell>
          <cell r="C263">
            <v>108</v>
          </cell>
        </row>
        <row r="264">
          <cell r="B264">
            <v>56</v>
          </cell>
          <cell r="C264">
            <v>120</v>
          </cell>
        </row>
        <row r="265">
          <cell r="B265">
            <v>75</v>
          </cell>
          <cell r="C265">
            <v>172</v>
          </cell>
        </row>
        <row r="266">
          <cell r="B266">
            <v>82</v>
          </cell>
          <cell r="C266">
            <v>126</v>
          </cell>
        </row>
        <row r="267">
          <cell r="B267">
            <v>78</v>
          </cell>
          <cell r="C267">
            <v>180</v>
          </cell>
        </row>
        <row r="268">
          <cell r="B268">
            <v>101</v>
          </cell>
          <cell r="C268">
            <v>195</v>
          </cell>
        </row>
        <row r="269">
          <cell r="B269">
            <v>79</v>
          </cell>
          <cell r="C269">
            <v>179</v>
          </cell>
        </row>
        <row r="270">
          <cell r="B270">
            <v>67</v>
          </cell>
          <cell r="C270">
            <v>126</v>
          </cell>
        </row>
        <row r="271">
          <cell r="B271">
            <v>92</v>
          </cell>
          <cell r="C271">
            <v>206</v>
          </cell>
        </row>
        <row r="272">
          <cell r="B272">
            <v>73</v>
          </cell>
          <cell r="C272">
            <v>151</v>
          </cell>
        </row>
        <row r="273">
          <cell r="B273">
            <v>73</v>
          </cell>
          <cell r="C273">
            <v>163</v>
          </cell>
        </row>
        <row r="274">
          <cell r="B274">
            <v>79</v>
          </cell>
          <cell r="C274">
            <v>169</v>
          </cell>
        </row>
        <row r="275">
          <cell r="B275">
            <v>89</v>
          </cell>
          <cell r="C275">
            <v>187</v>
          </cell>
        </row>
        <row r="276">
          <cell r="B276">
            <v>93</v>
          </cell>
          <cell r="C276">
            <v>158</v>
          </cell>
        </row>
        <row r="277">
          <cell r="B277">
            <v>55</v>
          </cell>
          <cell r="C277">
            <v>130</v>
          </cell>
        </row>
        <row r="278">
          <cell r="B278">
            <v>73</v>
          </cell>
          <cell r="C278">
            <v>172</v>
          </cell>
        </row>
        <row r="279">
          <cell r="B279">
            <v>67</v>
          </cell>
          <cell r="C279">
            <v>137</v>
          </cell>
        </row>
        <row r="280">
          <cell r="B280">
            <v>61</v>
          </cell>
          <cell r="C280">
            <v>162</v>
          </cell>
        </row>
        <row r="281">
          <cell r="B281">
            <v>85</v>
          </cell>
          <cell r="C281">
            <v>162</v>
          </cell>
        </row>
        <row r="282">
          <cell r="B282">
            <v>84</v>
          </cell>
          <cell r="C282">
            <v>202</v>
          </cell>
        </row>
        <row r="283">
          <cell r="B283">
            <v>67</v>
          </cell>
          <cell r="C283">
            <v>130</v>
          </cell>
        </row>
        <row r="284">
          <cell r="B284">
            <v>92</v>
          </cell>
          <cell r="C284">
            <v>148</v>
          </cell>
        </row>
        <row r="285">
          <cell r="B285">
            <v>44</v>
          </cell>
          <cell r="C285">
            <v>130</v>
          </cell>
        </row>
        <row r="286">
          <cell r="B286">
            <v>67</v>
          </cell>
          <cell r="C286">
            <v>162</v>
          </cell>
        </row>
        <row r="287">
          <cell r="B287">
            <v>77</v>
          </cell>
          <cell r="C287">
            <v>162</v>
          </cell>
        </row>
        <row r="288">
          <cell r="B288">
            <v>90</v>
          </cell>
          <cell r="C288">
            <v>159</v>
          </cell>
        </row>
        <row r="289">
          <cell r="B289">
            <v>76</v>
          </cell>
          <cell r="C289">
            <v>149</v>
          </cell>
        </row>
        <row r="290">
          <cell r="B290">
            <v>91</v>
          </cell>
          <cell r="C290">
            <v>212</v>
          </cell>
        </row>
        <row r="291">
          <cell r="B291">
            <v>75</v>
          </cell>
          <cell r="C291">
            <v>138</v>
          </cell>
        </row>
        <row r="292">
          <cell r="B292">
            <v>159</v>
          </cell>
          <cell r="C292">
            <v>221</v>
          </cell>
        </row>
        <row r="293">
          <cell r="B293">
            <v>74</v>
          </cell>
          <cell r="C293">
            <v>110</v>
          </cell>
        </row>
        <row r="294">
          <cell r="B294">
            <v>39</v>
          </cell>
          <cell r="C294">
            <v>76</v>
          </cell>
        </row>
        <row r="295">
          <cell r="B295">
            <v>38</v>
          </cell>
          <cell r="C295">
            <v>139</v>
          </cell>
        </row>
        <row r="296">
          <cell r="B296">
            <v>68</v>
          </cell>
          <cell r="C296">
            <v>189</v>
          </cell>
        </row>
        <row r="297">
          <cell r="B297">
            <v>62</v>
          </cell>
          <cell r="C297">
            <v>106</v>
          </cell>
        </row>
        <row r="298">
          <cell r="B298">
            <v>78</v>
          </cell>
          <cell r="C298">
            <v>192</v>
          </cell>
        </row>
        <row r="299">
          <cell r="B299">
            <v>67</v>
          </cell>
          <cell r="C299">
            <v>134</v>
          </cell>
        </row>
        <row r="300">
          <cell r="B300">
            <v>56</v>
          </cell>
          <cell r="C300">
            <v>130</v>
          </cell>
        </row>
        <row r="301">
          <cell r="B301">
            <v>35</v>
          </cell>
          <cell r="C301">
            <v>148</v>
          </cell>
        </row>
        <row r="302">
          <cell r="B302">
            <v>95</v>
          </cell>
          <cell r="C302">
            <v>125</v>
          </cell>
        </row>
        <row r="303">
          <cell r="B303">
            <v>46</v>
          </cell>
          <cell r="C303">
            <v>158</v>
          </cell>
        </row>
        <row r="304">
          <cell r="B304">
            <v>78</v>
          </cell>
          <cell r="C304">
            <v>159</v>
          </cell>
        </row>
        <row r="305">
          <cell r="B305">
            <v>40</v>
          </cell>
          <cell r="C305">
            <v>135</v>
          </cell>
        </row>
        <row r="306">
          <cell r="B306">
            <v>86</v>
          </cell>
          <cell r="C306">
            <v>145</v>
          </cell>
        </row>
        <row r="307">
          <cell r="B307">
            <v>112</v>
          </cell>
          <cell r="C307">
            <v>194</v>
          </cell>
        </row>
        <row r="308">
          <cell r="B308">
            <v>64</v>
          </cell>
          <cell r="C308">
            <v>125</v>
          </cell>
        </row>
        <row r="309">
          <cell r="B309">
            <v>74</v>
          </cell>
          <cell r="C309">
            <v>117</v>
          </cell>
        </row>
        <row r="310">
          <cell r="B310">
            <v>102</v>
          </cell>
          <cell r="C310">
            <v>190</v>
          </cell>
        </row>
        <row r="311">
          <cell r="B311">
            <v>125</v>
          </cell>
          <cell r="C311">
            <v>185</v>
          </cell>
        </row>
        <row r="312">
          <cell r="B312">
            <v>69</v>
          </cell>
          <cell r="C312">
            <v>126</v>
          </cell>
        </row>
        <row r="313">
          <cell r="B313">
            <v>107</v>
          </cell>
          <cell r="C313">
            <v>194</v>
          </cell>
        </row>
        <row r="314">
          <cell r="B314">
            <v>48</v>
          </cell>
          <cell r="C314">
            <v>118</v>
          </cell>
        </row>
        <row r="315">
          <cell r="B315">
            <v>96</v>
          </cell>
          <cell r="C315">
            <v>196</v>
          </cell>
        </row>
        <row r="316">
          <cell r="B316">
            <v>66</v>
          </cell>
          <cell r="C316">
            <v>122</v>
          </cell>
        </row>
        <row r="317">
          <cell r="B317">
            <v>105</v>
          </cell>
          <cell r="C317">
            <v>180</v>
          </cell>
        </row>
        <row r="318">
          <cell r="B318">
            <v>58</v>
          </cell>
          <cell r="C318">
            <v>159</v>
          </cell>
        </row>
        <row r="319">
          <cell r="B319">
            <v>59</v>
          </cell>
          <cell r="C319">
            <v>144</v>
          </cell>
        </row>
        <row r="320">
          <cell r="B320">
            <v>106</v>
          </cell>
          <cell r="C320">
            <v>205</v>
          </cell>
        </row>
        <row r="321">
          <cell r="B321">
            <v>107</v>
          </cell>
          <cell r="C321">
            <v>174</v>
          </cell>
        </row>
        <row r="322">
          <cell r="B322">
            <v>85</v>
          </cell>
          <cell r="C322">
            <v>169</v>
          </cell>
        </row>
        <row r="323">
          <cell r="B323">
            <v>39</v>
          </cell>
          <cell r="C323">
            <v>108</v>
          </cell>
        </row>
        <row r="324">
          <cell r="B324">
            <v>74</v>
          </cell>
          <cell r="C324">
            <v>165</v>
          </cell>
        </row>
        <row r="325">
          <cell r="B325">
            <v>18</v>
          </cell>
          <cell r="C325">
            <v>100</v>
          </cell>
        </row>
        <row r="326">
          <cell r="B326">
            <v>90</v>
          </cell>
          <cell r="C326">
            <v>122</v>
          </cell>
        </row>
        <row r="327">
          <cell r="B327">
            <v>126</v>
          </cell>
          <cell r="C327">
            <v>212</v>
          </cell>
        </row>
        <row r="328">
          <cell r="B328">
            <v>77</v>
          </cell>
          <cell r="C328">
            <v>177</v>
          </cell>
        </row>
        <row r="329">
          <cell r="B329">
            <v>23</v>
          </cell>
          <cell r="C329">
            <v>102</v>
          </cell>
        </row>
        <row r="330">
          <cell r="B330">
            <v>97</v>
          </cell>
          <cell r="C330">
            <v>153</v>
          </cell>
        </row>
        <row r="331">
          <cell r="B331">
            <v>101</v>
          </cell>
          <cell r="C331">
            <v>223</v>
          </cell>
        </row>
        <row r="332">
          <cell r="B332">
            <v>29</v>
          </cell>
          <cell r="C332">
            <v>102</v>
          </cell>
        </row>
        <row r="333">
          <cell r="B333">
            <v>39</v>
          </cell>
          <cell r="C333">
            <v>119</v>
          </cell>
        </row>
        <row r="334">
          <cell r="B334">
            <v>91</v>
          </cell>
          <cell r="C334">
            <v>160</v>
          </cell>
        </row>
        <row r="335">
          <cell r="B335">
            <v>82</v>
          </cell>
          <cell r="C335">
            <v>231</v>
          </cell>
        </row>
        <row r="336">
          <cell r="B336">
            <v>56</v>
          </cell>
          <cell r="C336">
            <v>97</v>
          </cell>
        </row>
        <row r="337">
          <cell r="B337">
            <v>102</v>
          </cell>
          <cell r="C337">
            <v>139</v>
          </cell>
        </row>
        <row r="338">
          <cell r="B338">
            <v>82</v>
          </cell>
          <cell r="C338">
            <v>148</v>
          </cell>
        </row>
        <row r="339">
          <cell r="B339">
            <v>42</v>
          </cell>
          <cell r="C339">
            <v>92</v>
          </cell>
        </row>
        <row r="340">
          <cell r="B340">
            <v>57</v>
          </cell>
          <cell r="C340">
            <v>124</v>
          </cell>
        </row>
        <row r="341">
          <cell r="B341">
            <v>88</v>
          </cell>
          <cell r="C341">
            <v>152</v>
          </cell>
        </row>
        <row r="342">
          <cell r="B342">
            <v>50</v>
          </cell>
          <cell r="C342">
            <v>179</v>
          </cell>
        </row>
        <row r="343">
          <cell r="B343">
            <v>50</v>
          </cell>
          <cell r="C343">
            <v>100</v>
          </cell>
        </row>
        <row r="344">
          <cell r="B344">
            <v>83</v>
          </cell>
          <cell r="C344">
            <v>133</v>
          </cell>
        </row>
        <row r="345">
          <cell r="B345">
            <v>59</v>
          </cell>
          <cell r="C345">
            <v>165</v>
          </cell>
        </row>
        <row r="346">
          <cell r="B346">
            <v>78</v>
          </cell>
          <cell r="C346">
            <v>150</v>
          </cell>
        </row>
        <row r="347">
          <cell r="B347">
            <v>76</v>
          </cell>
          <cell r="C347">
            <v>148</v>
          </cell>
        </row>
        <row r="348">
          <cell r="B348">
            <v>86</v>
          </cell>
          <cell r="C348">
            <v>161</v>
          </cell>
        </row>
        <row r="349">
          <cell r="B349">
            <v>70</v>
          </cell>
          <cell r="C349">
            <v>180</v>
          </cell>
        </row>
        <row r="350">
          <cell r="B350">
            <v>68</v>
          </cell>
          <cell r="C350">
            <v>168</v>
          </cell>
        </row>
        <row r="351">
          <cell r="B351">
            <v>61</v>
          </cell>
          <cell r="C351">
            <v>110</v>
          </cell>
        </row>
        <row r="352">
          <cell r="B352">
            <v>79</v>
          </cell>
          <cell r="C352">
            <v>197</v>
          </cell>
        </row>
        <row r="353">
          <cell r="B353">
            <v>83</v>
          </cell>
          <cell r="C353">
            <v>146</v>
          </cell>
        </row>
        <row r="354">
          <cell r="B354">
            <v>47</v>
          </cell>
          <cell r="C354">
            <v>94</v>
          </cell>
        </row>
        <row r="355">
          <cell r="B355">
            <v>76</v>
          </cell>
          <cell r="C355">
            <v>164</v>
          </cell>
        </row>
        <row r="356">
          <cell r="B356">
            <v>49</v>
          </cell>
          <cell r="C356">
            <v>113</v>
          </cell>
        </row>
        <row r="357">
          <cell r="B357">
            <v>89</v>
          </cell>
          <cell r="C357">
            <v>170</v>
          </cell>
        </row>
        <row r="358">
          <cell r="B358">
            <v>49</v>
          </cell>
          <cell r="C358">
            <v>141</v>
          </cell>
        </row>
        <row r="359">
          <cell r="B359">
            <v>81</v>
          </cell>
          <cell r="C359">
            <v>152</v>
          </cell>
        </row>
        <row r="360">
          <cell r="B360">
            <v>112</v>
          </cell>
          <cell r="C360">
            <v>193</v>
          </cell>
        </row>
        <row r="361">
          <cell r="B361">
            <v>53</v>
          </cell>
          <cell r="C361">
            <v>131</v>
          </cell>
        </row>
        <row r="362">
          <cell r="B362">
            <v>94</v>
          </cell>
          <cell r="C362">
            <v>163</v>
          </cell>
        </row>
        <row r="363">
          <cell r="B363">
            <v>25</v>
          </cell>
          <cell r="C363">
            <v>126</v>
          </cell>
        </row>
        <row r="364">
          <cell r="B364">
            <v>101</v>
          </cell>
          <cell r="C364">
            <v>181</v>
          </cell>
        </row>
        <row r="365">
          <cell r="B365">
            <v>45</v>
          </cell>
          <cell r="C365">
            <v>99</v>
          </cell>
        </row>
        <row r="366">
          <cell r="B366">
            <v>45</v>
          </cell>
          <cell r="C366">
            <v>150</v>
          </cell>
        </row>
        <row r="367">
          <cell r="B367">
            <v>102</v>
          </cell>
          <cell r="C367">
            <v>245</v>
          </cell>
        </row>
        <row r="368">
          <cell r="B368">
            <v>93</v>
          </cell>
          <cell r="C368">
            <v>156</v>
          </cell>
        </row>
        <row r="369">
          <cell r="B369">
            <v>65</v>
          </cell>
          <cell r="C369">
            <v>166</v>
          </cell>
        </row>
        <row r="370">
          <cell r="B370">
            <v>107</v>
          </cell>
          <cell r="C370">
            <v>186</v>
          </cell>
        </row>
        <row r="371">
          <cell r="B371">
            <v>104</v>
          </cell>
          <cell r="C371">
            <v>142</v>
          </cell>
        </row>
        <row r="372">
          <cell r="B372">
            <v>37</v>
          </cell>
          <cell r="C372">
            <v>125</v>
          </cell>
        </row>
        <row r="373">
          <cell r="B373">
            <v>48</v>
          </cell>
          <cell r="C373">
            <v>97</v>
          </cell>
        </row>
        <row r="374">
          <cell r="B374">
            <v>83</v>
          </cell>
          <cell r="C374">
            <v>180</v>
          </cell>
        </row>
        <row r="375">
          <cell r="B375">
            <v>132</v>
          </cell>
          <cell r="C375">
            <v>212</v>
          </cell>
        </row>
        <row r="376">
          <cell r="B376">
            <v>60</v>
          </cell>
          <cell r="C376">
            <v>164</v>
          </cell>
        </row>
        <row r="377">
          <cell r="B377">
            <v>93</v>
          </cell>
          <cell r="C377">
            <v>166</v>
          </cell>
        </row>
        <row r="378">
          <cell r="B378">
            <v>105</v>
          </cell>
          <cell r="C378">
            <v>159</v>
          </cell>
        </row>
        <row r="379">
          <cell r="B379">
            <v>71</v>
          </cell>
          <cell r="C379">
            <v>134</v>
          </cell>
        </row>
        <row r="380">
          <cell r="B380">
            <v>91</v>
          </cell>
          <cell r="C380">
            <v>171</v>
          </cell>
        </row>
        <row r="381">
          <cell r="B381">
            <v>53</v>
          </cell>
          <cell r="C381">
            <v>156</v>
          </cell>
        </row>
        <row r="382">
          <cell r="B382">
            <v>66</v>
          </cell>
          <cell r="C382">
            <v>127</v>
          </cell>
        </row>
        <row r="383">
          <cell r="B383">
            <v>78</v>
          </cell>
          <cell r="C383">
            <v>231</v>
          </cell>
        </row>
        <row r="384">
          <cell r="B384">
            <v>82</v>
          </cell>
          <cell r="C384">
            <v>154</v>
          </cell>
        </row>
        <row r="385">
          <cell r="B385">
            <v>72</v>
          </cell>
          <cell r="C385">
            <v>170</v>
          </cell>
        </row>
        <row r="386">
          <cell r="B386">
            <v>82</v>
          </cell>
          <cell r="C386">
            <v>128</v>
          </cell>
        </row>
        <row r="387">
          <cell r="B387">
            <v>94</v>
          </cell>
          <cell r="C387">
            <v>187</v>
          </cell>
        </row>
        <row r="388">
          <cell r="B388">
            <v>79</v>
          </cell>
          <cell r="C388">
            <v>142</v>
          </cell>
        </row>
        <row r="389">
          <cell r="B389">
            <v>53</v>
          </cell>
          <cell r="C389">
            <v>158</v>
          </cell>
        </row>
        <row r="390">
          <cell r="B390">
            <v>47</v>
          </cell>
          <cell r="C390">
            <v>174</v>
          </cell>
        </row>
        <row r="391">
          <cell r="B391">
            <v>50</v>
          </cell>
          <cell r="C391">
            <v>136</v>
          </cell>
        </row>
        <row r="392">
          <cell r="B392">
            <v>95</v>
          </cell>
          <cell r="C392">
            <v>131</v>
          </cell>
        </row>
        <row r="393">
          <cell r="B393">
            <v>82</v>
          </cell>
          <cell r="C393">
            <v>184</v>
          </cell>
        </row>
        <row r="394">
          <cell r="B394">
            <v>59</v>
          </cell>
          <cell r="C394">
            <v>127</v>
          </cell>
        </row>
        <row r="395">
          <cell r="B395">
            <v>86</v>
          </cell>
          <cell r="C395">
            <v>193</v>
          </cell>
        </row>
        <row r="396">
          <cell r="B396">
            <v>90</v>
          </cell>
          <cell r="C396">
            <v>146</v>
          </cell>
        </row>
        <row r="397">
          <cell r="B397">
            <v>59</v>
          </cell>
          <cell r="C397">
            <v>108</v>
          </cell>
        </row>
        <row r="398">
          <cell r="B398">
            <v>66</v>
          </cell>
          <cell r="C398">
            <v>126</v>
          </cell>
        </row>
        <row r="399">
          <cell r="B399">
            <v>38</v>
          </cell>
          <cell r="C399">
            <v>143</v>
          </cell>
        </row>
        <row r="400">
          <cell r="B400">
            <v>75</v>
          </cell>
          <cell r="C400">
            <v>139</v>
          </cell>
        </row>
        <row r="401">
          <cell r="B401">
            <v>76</v>
          </cell>
          <cell r="C401">
            <v>132</v>
          </cell>
        </row>
        <row r="402">
          <cell r="B402">
            <v>93</v>
          </cell>
          <cell r="C402">
            <v>170</v>
          </cell>
        </row>
        <row r="403">
          <cell r="B403">
            <v>81</v>
          </cell>
          <cell r="C403">
            <v>172</v>
          </cell>
        </row>
        <row r="404">
          <cell r="B404">
            <v>71</v>
          </cell>
          <cell r="C404">
            <v>142</v>
          </cell>
        </row>
        <row r="405">
          <cell r="B405">
            <v>70</v>
          </cell>
          <cell r="C405">
            <v>116</v>
          </cell>
        </row>
        <row r="406">
          <cell r="B406">
            <v>68</v>
          </cell>
          <cell r="C406">
            <v>122</v>
          </cell>
        </row>
        <row r="407">
          <cell r="B407">
            <v>66</v>
          </cell>
          <cell r="C407">
            <v>152</v>
          </cell>
        </row>
        <row r="408">
          <cell r="B408">
            <v>83</v>
          </cell>
          <cell r="C408">
            <v>168</v>
          </cell>
        </row>
        <row r="409">
          <cell r="B409">
            <v>102</v>
          </cell>
          <cell r="C409">
            <v>190</v>
          </cell>
        </row>
        <row r="410">
          <cell r="B410">
            <v>104</v>
          </cell>
          <cell r="C410">
            <v>196</v>
          </cell>
        </row>
        <row r="411">
          <cell r="B411">
            <v>88</v>
          </cell>
          <cell r="C411">
            <v>169</v>
          </cell>
        </row>
        <row r="412">
          <cell r="B412">
            <v>50</v>
          </cell>
          <cell r="C412">
            <v>139</v>
          </cell>
        </row>
        <row r="413">
          <cell r="B413">
            <v>79</v>
          </cell>
          <cell r="C413">
            <v>189</v>
          </cell>
        </row>
        <row r="414">
          <cell r="B414">
            <v>101</v>
          </cell>
          <cell r="C414">
            <v>154</v>
          </cell>
        </row>
        <row r="415">
          <cell r="B415">
            <v>110</v>
          </cell>
          <cell r="C415">
            <v>211</v>
          </cell>
        </row>
        <row r="416">
          <cell r="B416">
            <v>45</v>
          </cell>
          <cell r="C416">
            <v>168</v>
          </cell>
        </row>
        <row r="417">
          <cell r="B417">
            <v>42</v>
          </cell>
          <cell r="C417">
            <v>103</v>
          </cell>
        </row>
        <row r="418">
          <cell r="B418">
            <v>74</v>
          </cell>
          <cell r="C418">
            <v>197</v>
          </cell>
        </row>
        <row r="419">
          <cell r="B419">
            <v>52</v>
          </cell>
          <cell r="C419">
            <v>117</v>
          </cell>
        </row>
        <row r="420">
          <cell r="B420">
            <v>45</v>
          </cell>
          <cell r="C420">
            <v>182</v>
          </cell>
        </row>
        <row r="421">
          <cell r="B421">
            <v>94</v>
          </cell>
          <cell r="C421">
            <v>212</v>
          </cell>
        </row>
        <row r="422">
          <cell r="B422">
            <v>128</v>
          </cell>
          <cell r="C422">
            <v>173</v>
          </cell>
        </row>
        <row r="423">
          <cell r="B423">
            <v>70</v>
          </cell>
          <cell r="C423">
            <v>160</v>
          </cell>
        </row>
        <row r="424">
          <cell r="B424">
            <v>45</v>
          </cell>
          <cell r="C424">
            <v>130</v>
          </cell>
        </row>
        <row r="425">
          <cell r="B425">
            <v>46</v>
          </cell>
          <cell r="C425">
            <v>122</v>
          </cell>
        </row>
        <row r="426">
          <cell r="B426">
            <v>93</v>
          </cell>
          <cell r="C426">
            <v>145</v>
          </cell>
        </row>
        <row r="427">
          <cell r="B427">
            <v>101</v>
          </cell>
          <cell r="C427">
            <v>146</v>
          </cell>
        </row>
        <row r="428">
          <cell r="B428">
            <v>75</v>
          </cell>
          <cell r="C428">
            <v>127</v>
          </cell>
        </row>
        <row r="429">
          <cell r="B429">
            <v>49</v>
          </cell>
          <cell r="C429">
            <v>101</v>
          </cell>
        </row>
        <row r="430">
          <cell r="B430">
            <v>82</v>
          </cell>
          <cell r="C430">
            <v>188</v>
          </cell>
        </row>
        <row r="431">
          <cell r="B431">
            <v>59</v>
          </cell>
          <cell r="C431">
            <v>177</v>
          </cell>
        </row>
        <row r="432">
          <cell r="B432">
            <v>126</v>
          </cell>
          <cell r="C432">
            <v>213</v>
          </cell>
        </row>
        <row r="433">
          <cell r="B433">
            <v>66</v>
          </cell>
          <cell r="C433">
            <v>175</v>
          </cell>
        </row>
        <row r="434">
          <cell r="B434">
            <v>74</v>
          </cell>
          <cell r="C434">
            <v>113</v>
          </cell>
        </row>
        <row r="435">
          <cell r="B435">
            <v>15</v>
          </cell>
          <cell r="C435">
            <v>61</v>
          </cell>
        </row>
        <row r="436">
          <cell r="B436">
            <v>90</v>
          </cell>
          <cell r="C436">
            <v>138</v>
          </cell>
        </row>
        <row r="437">
          <cell r="B437">
            <v>115</v>
          </cell>
          <cell r="C437">
            <v>167</v>
          </cell>
        </row>
        <row r="438">
          <cell r="B438">
            <v>97</v>
          </cell>
          <cell r="C438">
            <v>162</v>
          </cell>
        </row>
        <row r="439">
          <cell r="B439">
            <v>58</v>
          </cell>
          <cell r="C439">
            <v>144</v>
          </cell>
        </row>
        <row r="440">
          <cell r="B440">
            <v>75</v>
          </cell>
          <cell r="C440">
            <v>120</v>
          </cell>
        </row>
        <row r="441">
          <cell r="B441">
            <v>75</v>
          </cell>
          <cell r="C441">
            <v>188</v>
          </cell>
        </row>
        <row r="442">
          <cell r="B442">
            <v>42</v>
          </cell>
          <cell r="C442">
            <v>112</v>
          </cell>
        </row>
        <row r="443">
          <cell r="B443">
            <v>68</v>
          </cell>
          <cell r="C443">
            <v>171</v>
          </cell>
        </row>
        <row r="444">
          <cell r="B444">
            <v>37</v>
          </cell>
          <cell r="C444">
            <v>78</v>
          </cell>
        </row>
        <row r="445">
          <cell r="B445">
            <v>131</v>
          </cell>
          <cell r="C445">
            <v>203</v>
          </cell>
        </row>
        <row r="446">
          <cell r="B446">
            <v>78</v>
          </cell>
          <cell r="C446">
            <v>126</v>
          </cell>
        </row>
        <row r="447">
          <cell r="B447">
            <v>93</v>
          </cell>
          <cell r="C447">
            <v>128</v>
          </cell>
        </row>
        <row r="448">
          <cell r="B448">
            <v>27</v>
          </cell>
          <cell r="C448">
            <v>130</v>
          </cell>
        </row>
        <row r="449">
          <cell r="B449">
            <v>39</v>
          </cell>
          <cell r="C449">
            <v>121</v>
          </cell>
        </row>
        <row r="450">
          <cell r="B450">
            <v>15</v>
          </cell>
          <cell r="C450">
            <v>79</v>
          </cell>
        </row>
        <row r="451">
          <cell r="B451">
            <v>98</v>
          </cell>
          <cell r="C451">
            <v>150</v>
          </cell>
        </row>
        <row r="452">
          <cell r="B452">
            <v>86</v>
          </cell>
          <cell r="C452">
            <v>135</v>
          </cell>
        </row>
        <row r="453">
          <cell r="B453">
            <v>112</v>
          </cell>
          <cell r="C453">
            <v>226</v>
          </cell>
        </row>
        <row r="454">
          <cell r="B454">
            <v>114</v>
          </cell>
          <cell r="C454">
            <v>176</v>
          </cell>
        </row>
        <row r="455">
          <cell r="B455">
            <v>78</v>
          </cell>
          <cell r="C455">
            <v>158</v>
          </cell>
        </row>
        <row r="456">
          <cell r="B456">
            <v>68</v>
          </cell>
          <cell r="C456">
            <v>136</v>
          </cell>
        </row>
        <row r="457">
          <cell r="B457">
            <v>62</v>
          </cell>
          <cell r="C457">
            <v>134</v>
          </cell>
        </row>
        <row r="458">
          <cell r="B458">
            <v>51</v>
          </cell>
          <cell r="C458">
            <v>171</v>
          </cell>
        </row>
        <row r="459">
          <cell r="B459">
            <v>85</v>
          </cell>
          <cell r="C459">
            <v>192</v>
          </cell>
        </row>
        <row r="460">
          <cell r="B460">
            <v>94</v>
          </cell>
          <cell r="C460">
            <v>184</v>
          </cell>
        </row>
        <row r="461">
          <cell r="B461">
            <v>98</v>
          </cell>
          <cell r="C461">
            <v>137</v>
          </cell>
        </row>
        <row r="462">
          <cell r="B462">
            <v>69</v>
          </cell>
          <cell r="C462">
            <v>161</v>
          </cell>
        </row>
        <row r="463">
          <cell r="B463">
            <v>105</v>
          </cell>
          <cell r="C463">
            <v>205</v>
          </cell>
        </row>
        <row r="464">
          <cell r="B464">
            <v>77</v>
          </cell>
          <cell r="C464">
            <v>146</v>
          </cell>
        </row>
        <row r="465">
          <cell r="B465">
            <v>68</v>
          </cell>
          <cell r="C465">
            <v>127</v>
          </cell>
        </row>
        <row r="466">
          <cell r="B466">
            <v>59</v>
          </cell>
          <cell r="C466">
            <v>182</v>
          </cell>
        </row>
        <row r="467">
          <cell r="B467">
            <v>79</v>
          </cell>
          <cell r="C467">
            <v>176</v>
          </cell>
        </row>
        <row r="468">
          <cell r="B468">
            <v>89</v>
          </cell>
          <cell r="C468">
            <v>177</v>
          </cell>
        </row>
        <row r="469">
          <cell r="B469">
            <v>65</v>
          </cell>
          <cell r="C469">
            <v>138</v>
          </cell>
        </row>
        <row r="470">
          <cell r="B470">
            <v>67</v>
          </cell>
          <cell r="C470">
            <v>133</v>
          </cell>
        </row>
        <row r="471">
          <cell r="B471">
            <v>65</v>
          </cell>
          <cell r="C471">
            <v>112</v>
          </cell>
        </row>
        <row r="472">
          <cell r="B472">
            <v>88</v>
          </cell>
          <cell r="C472">
            <v>144</v>
          </cell>
        </row>
        <row r="473">
          <cell r="B473">
            <v>88</v>
          </cell>
          <cell r="C473">
            <v>159</v>
          </cell>
        </row>
        <row r="474">
          <cell r="B474">
            <v>126</v>
          </cell>
          <cell r="C474">
            <v>165</v>
          </cell>
        </row>
        <row r="475">
          <cell r="B475">
            <v>100</v>
          </cell>
          <cell r="C475">
            <v>150</v>
          </cell>
        </row>
        <row r="476">
          <cell r="B476">
            <v>72</v>
          </cell>
          <cell r="C476">
            <v>141</v>
          </cell>
        </row>
        <row r="477">
          <cell r="B477">
            <v>77</v>
          </cell>
          <cell r="C477">
            <v>99</v>
          </cell>
        </row>
        <row r="478">
          <cell r="B478">
            <v>65</v>
          </cell>
          <cell r="C478">
            <v>170</v>
          </cell>
        </row>
        <row r="479">
          <cell r="B479">
            <v>74</v>
          </cell>
          <cell r="C479">
            <v>100</v>
          </cell>
        </row>
        <row r="480">
          <cell r="B480">
            <v>85</v>
          </cell>
          <cell r="C480">
            <v>129</v>
          </cell>
        </row>
        <row r="481">
          <cell r="B481">
            <v>76</v>
          </cell>
          <cell r="C481">
            <v>144</v>
          </cell>
        </row>
        <row r="482">
          <cell r="B482">
            <v>82</v>
          </cell>
          <cell r="C482">
            <v>200</v>
          </cell>
        </row>
        <row r="483">
          <cell r="B483">
            <v>71</v>
          </cell>
          <cell r="C483">
            <v>152</v>
          </cell>
        </row>
        <row r="484">
          <cell r="B484">
            <v>88</v>
          </cell>
          <cell r="C484">
            <v>154</v>
          </cell>
        </row>
        <row r="485">
          <cell r="B485">
            <v>80</v>
          </cell>
          <cell r="C485">
            <v>166</v>
          </cell>
        </row>
        <row r="486">
          <cell r="B486">
            <v>68</v>
          </cell>
          <cell r="C486">
            <v>142</v>
          </cell>
        </row>
        <row r="487">
          <cell r="B487">
            <v>105</v>
          </cell>
          <cell r="C487">
            <v>183</v>
          </cell>
        </row>
        <row r="488">
          <cell r="B488">
            <v>71</v>
          </cell>
          <cell r="C488">
            <v>151</v>
          </cell>
        </row>
        <row r="489">
          <cell r="B489">
            <v>106</v>
          </cell>
          <cell r="C489">
            <v>118</v>
          </cell>
        </row>
        <row r="490">
          <cell r="B490">
            <v>89</v>
          </cell>
          <cell r="C490">
            <v>142</v>
          </cell>
        </row>
        <row r="491">
          <cell r="B491">
            <v>78</v>
          </cell>
          <cell r="C491">
            <v>158</v>
          </cell>
        </row>
        <row r="492">
          <cell r="B492">
            <v>15</v>
          </cell>
          <cell r="C492">
            <v>130</v>
          </cell>
        </row>
        <row r="493">
          <cell r="B493">
            <v>57</v>
          </cell>
          <cell r="C493">
            <v>138</v>
          </cell>
        </row>
        <row r="494">
          <cell r="B494">
            <v>54</v>
          </cell>
          <cell r="C494">
            <v>76</v>
          </cell>
        </row>
        <row r="495">
          <cell r="B495">
            <v>92</v>
          </cell>
          <cell r="C495">
            <v>164</v>
          </cell>
        </row>
        <row r="496">
          <cell r="B496">
            <v>72</v>
          </cell>
          <cell r="C496">
            <v>102</v>
          </cell>
        </row>
        <row r="497">
          <cell r="B497">
            <v>67</v>
          </cell>
          <cell r="C497">
            <v>113</v>
          </cell>
        </row>
        <row r="498">
          <cell r="B498">
            <v>105</v>
          </cell>
          <cell r="C498">
            <v>161</v>
          </cell>
        </row>
        <row r="499">
          <cell r="B499">
            <v>70</v>
          </cell>
          <cell r="C499">
            <v>149</v>
          </cell>
        </row>
        <row r="500">
          <cell r="B500">
            <v>77</v>
          </cell>
          <cell r="C500">
            <v>184</v>
          </cell>
        </row>
        <row r="501">
          <cell r="B501">
            <v>83</v>
          </cell>
          <cell r="C501">
            <v>152</v>
          </cell>
        </row>
        <row r="502">
          <cell r="B502">
            <v>131</v>
          </cell>
          <cell r="C502">
            <v>224</v>
          </cell>
        </row>
        <row r="503">
          <cell r="B503">
            <v>79</v>
          </cell>
          <cell r="C503">
            <v>193</v>
          </cell>
        </row>
        <row r="504">
          <cell r="B504">
            <v>86</v>
          </cell>
          <cell r="C504">
            <v>167</v>
          </cell>
        </row>
        <row r="505">
          <cell r="B505">
            <v>93</v>
          </cell>
          <cell r="C505">
            <v>191</v>
          </cell>
        </row>
        <row r="506">
          <cell r="B506">
            <v>75</v>
          </cell>
          <cell r="C506">
            <v>181</v>
          </cell>
        </row>
        <row r="507">
          <cell r="B507">
            <v>109</v>
          </cell>
          <cell r="C507">
            <v>143</v>
          </cell>
        </row>
        <row r="508">
          <cell r="B508">
            <v>92</v>
          </cell>
          <cell r="C508">
            <v>123</v>
          </cell>
        </row>
        <row r="509">
          <cell r="B509">
            <v>64</v>
          </cell>
          <cell r="C509">
            <v>168</v>
          </cell>
        </row>
        <row r="510">
          <cell r="B510">
            <v>104</v>
          </cell>
          <cell r="C510">
            <v>188</v>
          </cell>
        </row>
        <row r="511">
          <cell r="B511">
            <v>97</v>
          </cell>
          <cell r="C511">
            <v>177</v>
          </cell>
        </row>
        <row r="512">
          <cell r="B512">
            <v>79</v>
          </cell>
          <cell r="C512">
            <v>173</v>
          </cell>
        </row>
        <row r="513">
          <cell r="B513">
            <v>100</v>
          </cell>
          <cell r="C513">
            <v>167</v>
          </cell>
        </row>
        <row r="514">
          <cell r="B514">
            <v>76</v>
          </cell>
          <cell r="C514">
            <v>204</v>
          </cell>
        </row>
        <row r="515">
          <cell r="B515">
            <v>81</v>
          </cell>
          <cell r="C515">
            <v>148</v>
          </cell>
        </row>
        <row r="516">
          <cell r="B516">
            <v>82</v>
          </cell>
          <cell r="C516">
            <v>162</v>
          </cell>
        </row>
        <row r="517">
          <cell r="B517">
            <v>64</v>
          </cell>
          <cell r="C517">
            <v>133</v>
          </cell>
        </row>
        <row r="518">
          <cell r="B518">
            <v>78</v>
          </cell>
          <cell r="C518">
            <v>134</v>
          </cell>
        </row>
        <row r="519">
          <cell r="B519">
            <v>90</v>
          </cell>
          <cell r="C519">
            <v>175</v>
          </cell>
        </row>
        <row r="520">
          <cell r="B520">
            <v>92</v>
          </cell>
          <cell r="C520">
            <v>165</v>
          </cell>
        </row>
        <row r="521">
          <cell r="B521">
            <v>71</v>
          </cell>
          <cell r="C521">
            <v>144</v>
          </cell>
        </row>
        <row r="522">
          <cell r="B522">
            <v>86</v>
          </cell>
          <cell r="C522">
            <v>185</v>
          </cell>
        </row>
        <row r="523">
          <cell r="B523">
            <v>127</v>
          </cell>
          <cell r="C523">
            <v>205</v>
          </cell>
        </row>
        <row r="524">
          <cell r="B524">
            <v>114</v>
          </cell>
          <cell r="C524">
            <v>180</v>
          </cell>
        </row>
        <row r="525">
          <cell r="B525">
            <v>102</v>
          </cell>
          <cell r="C525">
            <v>157</v>
          </cell>
        </row>
        <row r="526">
          <cell r="B526">
            <v>100</v>
          </cell>
          <cell r="C526">
            <v>188</v>
          </cell>
        </row>
        <row r="527">
          <cell r="B527">
            <v>60</v>
          </cell>
          <cell r="C527">
            <v>178</v>
          </cell>
        </row>
        <row r="528">
          <cell r="B528">
            <v>63</v>
          </cell>
          <cell r="C528">
            <v>128</v>
          </cell>
        </row>
        <row r="529">
          <cell r="B529">
            <v>89</v>
          </cell>
          <cell r="C529">
            <v>196</v>
          </cell>
        </row>
        <row r="530">
          <cell r="B530">
            <v>80</v>
          </cell>
          <cell r="C530">
            <v>151</v>
          </cell>
        </row>
        <row r="531">
          <cell r="B531">
            <v>78</v>
          </cell>
          <cell r="C531">
            <v>132</v>
          </cell>
        </row>
        <row r="532">
          <cell r="B532">
            <v>51</v>
          </cell>
          <cell r="C532">
            <v>90</v>
          </cell>
        </row>
        <row r="533">
          <cell r="B533">
            <v>114</v>
          </cell>
          <cell r="C533">
            <v>181</v>
          </cell>
        </row>
        <row r="534">
          <cell r="B534">
            <v>73</v>
          </cell>
          <cell r="C534">
            <v>139</v>
          </cell>
        </row>
        <row r="535">
          <cell r="B535">
            <v>77</v>
          </cell>
          <cell r="C535">
            <v>150</v>
          </cell>
        </row>
        <row r="536">
          <cell r="B536">
            <v>53</v>
          </cell>
          <cell r="C536">
            <v>84</v>
          </cell>
        </row>
        <row r="537">
          <cell r="B537">
            <v>77</v>
          </cell>
          <cell r="C537">
            <v>150</v>
          </cell>
        </row>
        <row r="538">
          <cell r="B538">
            <v>102</v>
          </cell>
          <cell r="C538">
            <v>196</v>
          </cell>
        </row>
        <row r="539">
          <cell r="B539">
            <v>61</v>
          </cell>
          <cell r="C539">
            <v>125</v>
          </cell>
        </row>
        <row r="540">
          <cell r="B540">
            <v>89</v>
          </cell>
          <cell r="C540">
            <v>164</v>
          </cell>
        </row>
        <row r="541">
          <cell r="B541">
            <v>86</v>
          </cell>
          <cell r="C541">
            <v>134</v>
          </cell>
        </row>
        <row r="542">
          <cell r="B542">
            <v>58</v>
          </cell>
          <cell r="C542">
            <v>139</v>
          </cell>
        </row>
        <row r="543">
          <cell r="B543">
            <v>51</v>
          </cell>
          <cell r="C543">
            <v>105</v>
          </cell>
        </row>
        <row r="544">
          <cell r="B544">
            <v>82</v>
          </cell>
          <cell r="C544">
            <v>185</v>
          </cell>
        </row>
        <row r="545">
          <cell r="B545">
            <v>66</v>
          </cell>
          <cell r="C545">
            <v>138</v>
          </cell>
        </row>
        <row r="546">
          <cell r="B546">
            <v>67</v>
          </cell>
          <cell r="C546">
            <v>158</v>
          </cell>
        </row>
        <row r="547">
          <cell r="B547">
            <v>42</v>
          </cell>
          <cell r="C547">
            <v>130</v>
          </cell>
        </row>
        <row r="548">
          <cell r="B548">
            <v>73</v>
          </cell>
          <cell r="C548">
            <v>162</v>
          </cell>
        </row>
        <row r="549">
          <cell r="B549">
            <v>18</v>
          </cell>
          <cell r="C549">
            <v>153</v>
          </cell>
        </row>
        <row r="550">
          <cell r="B550">
            <v>70</v>
          </cell>
          <cell r="C550">
            <v>154</v>
          </cell>
        </row>
        <row r="551">
          <cell r="B551">
            <v>70</v>
          </cell>
          <cell r="C551">
            <v>152</v>
          </cell>
        </row>
        <row r="552">
          <cell r="B552">
            <v>82</v>
          </cell>
          <cell r="C552">
            <v>174</v>
          </cell>
        </row>
        <row r="553">
          <cell r="B553">
            <v>63</v>
          </cell>
          <cell r="C553">
            <v>134</v>
          </cell>
        </row>
        <row r="554">
          <cell r="B554">
            <v>91</v>
          </cell>
          <cell r="C554">
            <v>170</v>
          </cell>
        </row>
        <row r="555">
          <cell r="B555">
            <v>107</v>
          </cell>
          <cell r="C555">
            <v>205</v>
          </cell>
        </row>
        <row r="556">
          <cell r="B556">
            <v>68</v>
          </cell>
          <cell r="C556">
            <v>148</v>
          </cell>
        </row>
        <row r="557">
          <cell r="B557">
            <v>76</v>
          </cell>
          <cell r="C557">
            <v>139</v>
          </cell>
        </row>
        <row r="558">
          <cell r="B558">
            <v>88</v>
          </cell>
          <cell r="C558">
            <v>140</v>
          </cell>
        </row>
        <row r="559">
          <cell r="B559">
            <v>15</v>
          </cell>
          <cell r="C559">
            <v>86</v>
          </cell>
        </row>
        <row r="560">
          <cell r="B560">
            <v>66</v>
          </cell>
          <cell r="C560">
            <v>169</v>
          </cell>
        </row>
        <row r="561">
          <cell r="B561">
            <v>56</v>
          </cell>
          <cell r="C561">
            <v>138</v>
          </cell>
        </row>
        <row r="562">
          <cell r="B562">
            <v>128</v>
          </cell>
          <cell r="C562">
            <v>167</v>
          </cell>
        </row>
        <row r="563">
          <cell r="B563">
            <v>94</v>
          </cell>
          <cell r="C563">
            <v>234</v>
          </cell>
        </row>
        <row r="564">
          <cell r="B564">
            <v>66</v>
          </cell>
          <cell r="C564">
            <v>171</v>
          </cell>
        </row>
        <row r="565">
          <cell r="B565">
            <v>74</v>
          </cell>
          <cell r="C565">
            <v>125</v>
          </cell>
        </row>
        <row r="566">
          <cell r="B566">
            <v>84</v>
          </cell>
          <cell r="C566">
            <v>181</v>
          </cell>
        </row>
        <row r="567">
          <cell r="B567">
            <v>25</v>
          </cell>
          <cell r="C567">
            <v>111</v>
          </cell>
        </row>
        <row r="568">
          <cell r="B568">
            <v>78</v>
          </cell>
          <cell r="C568">
            <v>184</v>
          </cell>
        </row>
        <row r="569">
          <cell r="B569">
            <v>78</v>
          </cell>
          <cell r="C569">
            <v>180</v>
          </cell>
        </row>
        <row r="570">
          <cell r="B570">
            <v>103</v>
          </cell>
          <cell r="C570">
            <v>195</v>
          </cell>
        </row>
        <row r="571">
          <cell r="B571">
            <v>80</v>
          </cell>
          <cell r="C571">
            <v>130</v>
          </cell>
        </row>
        <row r="572">
          <cell r="B572">
            <v>84</v>
          </cell>
          <cell r="C572">
            <v>168</v>
          </cell>
        </row>
        <row r="573">
          <cell r="B573">
            <v>61</v>
          </cell>
          <cell r="C573">
            <v>118</v>
          </cell>
        </row>
        <row r="574">
          <cell r="B574">
            <v>109</v>
          </cell>
          <cell r="C574">
            <v>153</v>
          </cell>
        </row>
        <row r="575">
          <cell r="B575">
            <v>66</v>
          </cell>
          <cell r="C575">
            <v>142</v>
          </cell>
        </row>
        <row r="576">
          <cell r="B576">
            <v>68</v>
          </cell>
          <cell r="C576">
            <v>135</v>
          </cell>
        </row>
        <row r="577">
          <cell r="B577">
            <v>46</v>
          </cell>
          <cell r="C577">
            <v>150</v>
          </cell>
        </row>
        <row r="578">
          <cell r="B578">
            <v>95</v>
          </cell>
          <cell r="C578">
            <v>179</v>
          </cell>
        </row>
        <row r="579">
          <cell r="B579">
            <v>48</v>
          </cell>
          <cell r="C579">
            <v>166</v>
          </cell>
        </row>
        <row r="580">
          <cell r="B580">
            <v>93</v>
          </cell>
          <cell r="C580">
            <v>161</v>
          </cell>
        </row>
        <row r="581">
          <cell r="B581">
            <v>71</v>
          </cell>
          <cell r="C581">
            <v>152</v>
          </cell>
        </row>
        <row r="582">
          <cell r="B582">
            <v>95</v>
          </cell>
          <cell r="C582">
            <v>143</v>
          </cell>
        </row>
        <row r="583">
          <cell r="B583">
            <v>72</v>
          </cell>
          <cell r="C583">
            <v>151</v>
          </cell>
        </row>
        <row r="584">
          <cell r="B584">
            <v>58</v>
          </cell>
          <cell r="C584">
            <v>184</v>
          </cell>
        </row>
        <row r="585">
          <cell r="B585">
            <v>75</v>
          </cell>
          <cell r="C585">
            <v>166</v>
          </cell>
        </row>
        <row r="586">
          <cell r="B586">
            <v>96</v>
          </cell>
          <cell r="C586">
            <v>156</v>
          </cell>
        </row>
        <row r="587">
          <cell r="B587">
            <v>70</v>
          </cell>
          <cell r="C587">
            <v>132</v>
          </cell>
        </row>
        <row r="588">
          <cell r="B588">
            <v>54</v>
          </cell>
          <cell r="C588">
            <v>140</v>
          </cell>
        </row>
        <row r="589">
          <cell r="B589">
            <v>106</v>
          </cell>
          <cell r="C589">
            <v>161</v>
          </cell>
        </row>
        <row r="590">
          <cell r="B590">
            <v>125</v>
          </cell>
          <cell r="C590">
            <v>163</v>
          </cell>
        </row>
        <row r="591">
          <cell r="B591">
            <v>95</v>
          </cell>
          <cell r="C591">
            <v>136</v>
          </cell>
        </row>
        <row r="592">
          <cell r="B592">
            <v>84</v>
          </cell>
          <cell r="C592">
            <v>178</v>
          </cell>
        </row>
        <row r="593">
          <cell r="B593">
            <v>99</v>
          </cell>
          <cell r="C593">
            <v>190</v>
          </cell>
        </row>
        <row r="594">
          <cell r="B594">
            <v>80</v>
          </cell>
          <cell r="C594">
            <v>159</v>
          </cell>
        </row>
        <row r="595">
          <cell r="B595">
            <v>70</v>
          </cell>
          <cell r="C595">
            <v>144</v>
          </cell>
        </row>
        <row r="596">
          <cell r="B596">
            <v>42</v>
          </cell>
          <cell r="C596">
            <v>117</v>
          </cell>
        </row>
        <row r="597">
          <cell r="B597">
            <v>86</v>
          </cell>
          <cell r="C597">
            <v>157</v>
          </cell>
        </row>
        <row r="598">
          <cell r="B598">
            <v>107</v>
          </cell>
          <cell r="C598">
            <v>179</v>
          </cell>
        </row>
        <row r="599">
          <cell r="B599">
            <v>73</v>
          </cell>
          <cell r="C599">
            <v>150</v>
          </cell>
        </row>
        <row r="600">
          <cell r="B600">
            <v>115</v>
          </cell>
          <cell r="C600">
            <v>158</v>
          </cell>
        </row>
        <row r="601">
          <cell r="B601">
            <v>97</v>
          </cell>
          <cell r="C601">
            <v>150</v>
          </cell>
        </row>
        <row r="602">
          <cell r="B602">
            <v>104</v>
          </cell>
          <cell r="C602">
            <v>222</v>
          </cell>
        </row>
        <row r="603">
          <cell r="B603">
            <v>37</v>
          </cell>
          <cell r="C603">
            <v>140</v>
          </cell>
        </row>
        <row r="604">
          <cell r="B604">
            <v>77</v>
          </cell>
          <cell r="C604">
            <v>102</v>
          </cell>
        </row>
        <row r="605">
          <cell r="B605">
            <v>72</v>
          </cell>
          <cell r="C605">
            <v>127</v>
          </cell>
        </row>
        <row r="606">
          <cell r="B606">
            <v>60</v>
          </cell>
          <cell r="C606">
            <v>154</v>
          </cell>
        </row>
        <row r="607">
          <cell r="B607">
            <v>82</v>
          </cell>
          <cell r="C607">
            <v>153</v>
          </cell>
        </row>
        <row r="608">
          <cell r="B608">
            <v>97</v>
          </cell>
          <cell r="C608">
            <v>154</v>
          </cell>
        </row>
        <row r="609">
          <cell r="B609">
            <v>87</v>
          </cell>
          <cell r="C609">
            <v>127</v>
          </cell>
        </row>
        <row r="610">
          <cell r="B610">
            <v>61</v>
          </cell>
          <cell r="C610">
            <v>81</v>
          </cell>
        </row>
        <row r="611">
          <cell r="B611">
            <v>51</v>
          </cell>
          <cell r="C611">
            <v>168</v>
          </cell>
        </row>
        <row r="612">
          <cell r="B612">
            <v>53</v>
          </cell>
          <cell r="C612">
            <v>149</v>
          </cell>
        </row>
        <row r="613">
          <cell r="B613">
            <v>68</v>
          </cell>
          <cell r="C613">
            <v>142</v>
          </cell>
        </row>
        <row r="614">
          <cell r="B614">
            <v>78</v>
          </cell>
          <cell r="C614">
            <v>126</v>
          </cell>
        </row>
        <row r="615">
          <cell r="B615">
            <v>45</v>
          </cell>
          <cell r="C615">
            <v>145</v>
          </cell>
        </row>
        <row r="616">
          <cell r="B616">
            <v>56</v>
          </cell>
          <cell r="C616">
            <v>161</v>
          </cell>
        </row>
        <row r="617">
          <cell r="B617">
            <v>50</v>
          </cell>
          <cell r="C617">
            <v>138</v>
          </cell>
        </row>
        <row r="618">
          <cell r="B618">
            <v>64</v>
          </cell>
          <cell r="C618">
            <v>111</v>
          </cell>
        </row>
        <row r="619">
          <cell r="B619">
            <v>138</v>
          </cell>
          <cell r="C619">
            <v>184</v>
          </cell>
        </row>
        <row r="620">
          <cell r="B620">
            <v>64</v>
          </cell>
          <cell r="C620">
            <v>111</v>
          </cell>
        </row>
        <row r="621">
          <cell r="B621">
            <v>68</v>
          </cell>
          <cell r="C621">
            <v>136</v>
          </cell>
        </row>
        <row r="622">
          <cell r="B622">
            <v>36</v>
          </cell>
          <cell r="C622">
            <v>96</v>
          </cell>
        </row>
        <row r="623">
          <cell r="B623">
            <v>68</v>
          </cell>
          <cell r="C623">
            <v>196</v>
          </cell>
        </row>
        <row r="624">
          <cell r="B624">
            <v>40</v>
          </cell>
          <cell r="C624">
            <v>126</v>
          </cell>
        </row>
        <row r="625">
          <cell r="B625">
            <v>35</v>
          </cell>
          <cell r="C625">
            <v>109</v>
          </cell>
        </row>
        <row r="626">
          <cell r="B626">
            <v>78</v>
          </cell>
          <cell r="C626">
            <v>145</v>
          </cell>
        </row>
        <row r="627">
          <cell r="B627">
            <v>75</v>
          </cell>
          <cell r="C627">
            <v>167</v>
          </cell>
        </row>
        <row r="628">
          <cell r="B628">
            <v>78</v>
          </cell>
          <cell r="C628">
            <v>178</v>
          </cell>
        </row>
        <row r="629">
          <cell r="B629">
            <v>79</v>
          </cell>
          <cell r="C629">
            <v>170</v>
          </cell>
        </row>
        <row r="630">
          <cell r="B630">
            <v>81</v>
          </cell>
          <cell r="C630">
            <v>165</v>
          </cell>
        </row>
        <row r="631">
          <cell r="B631">
            <v>89</v>
          </cell>
          <cell r="C631">
            <v>218</v>
          </cell>
        </row>
        <row r="632">
          <cell r="B632">
            <v>98</v>
          </cell>
          <cell r="C632">
            <v>176</v>
          </cell>
        </row>
        <row r="633">
          <cell r="B633">
            <v>44</v>
          </cell>
          <cell r="C633">
            <v>80</v>
          </cell>
        </row>
        <row r="634">
          <cell r="B634">
            <v>58</v>
          </cell>
          <cell r="C634">
            <v>120</v>
          </cell>
        </row>
        <row r="635">
          <cell r="B635">
            <v>15</v>
          </cell>
          <cell r="C635">
            <v>116</v>
          </cell>
        </row>
        <row r="636">
          <cell r="B636">
            <v>67</v>
          </cell>
          <cell r="C636">
            <v>139</v>
          </cell>
        </row>
        <row r="637">
          <cell r="B637">
            <v>82</v>
          </cell>
          <cell r="C637">
            <v>163</v>
          </cell>
        </row>
        <row r="638">
          <cell r="B638">
            <v>92</v>
          </cell>
          <cell r="C638">
            <v>178</v>
          </cell>
        </row>
        <row r="639">
          <cell r="B639">
            <v>97</v>
          </cell>
          <cell r="C639">
            <v>155</v>
          </cell>
        </row>
        <row r="640">
          <cell r="B640">
            <v>112</v>
          </cell>
          <cell r="C640">
            <v>177</v>
          </cell>
        </row>
        <row r="641">
          <cell r="B641">
            <v>53</v>
          </cell>
          <cell r="C641">
            <v>152</v>
          </cell>
        </row>
        <row r="642">
          <cell r="B642">
            <v>62</v>
          </cell>
          <cell r="C642">
            <v>131</v>
          </cell>
        </row>
        <row r="643">
          <cell r="B643">
            <v>30</v>
          </cell>
          <cell r="C643">
            <v>59</v>
          </cell>
        </row>
        <row r="644">
          <cell r="B644">
            <v>52</v>
          </cell>
          <cell r="C644">
            <v>148</v>
          </cell>
        </row>
        <row r="645">
          <cell r="B645">
            <v>110</v>
          </cell>
          <cell r="C645">
            <v>201</v>
          </cell>
        </row>
        <row r="646">
          <cell r="B646">
            <v>83</v>
          </cell>
          <cell r="C646">
            <v>186</v>
          </cell>
        </row>
        <row r="647">
          <cell r="B647">
            <v>98</v>
          </cell>
          <cell r="C647">
            <v>191</v>
          </cell>
        </row>
        <row r="648">
          <cell r="B648">
            <v>86</v>
          </cell>
          <cell r="C648">
            <v>166</v>
          </cell>
        </row>
        <row r="649">
          <cell r="B649">
            <v>94</v>
          </cell>
          <cell r="C649">
            <v>187</v>
          </cell>
        </row>
        <row r="650">
          <cell r="B650">
            <v>43</v>
          </cell>
          <cell r="C650">
            <v>143</v>
          </cell>
        </row>
        <row r="651">
          <cell r="B651">
            <v>35</v>
          </cell>
          <cell r="C651">
            <v>113</v>
          </cell>
        </row>
        <row r="652">
          <cell r="B652">
            <v>87</v>
          </cell>
          <cell r="C652">
            <v>106</v>
          </cell>
        </row>
        <row r="653">
          <cell r="B653">
            <v>102</v>
          </cell>
          <cell r="C653">
            <v>194</v>
          </cell>
        </row>
        <row r="654">
          <cell r="B654">
            <v>93</v>
          </cell>
          <cell r="C654">
            <v>216</v>
          </cell>
        </row>
        <row r="655">
          <cell r="B655">
            <v>53</v>
          </cell>
          <cell r="C655">
            <v>122</v>
          </cell>
        </row>
        <row r="656">
          <cell r="B656">
            <v>94</v>
          </cell>
          <cell r="C656">
            <v>159</v>
          </cell>
        </row>
        <row r="657">
          <cell r="B657">
            <v>58</v>
          </cell>
          <cell r="C657">
            <v>147</v>
          </cell>
        </row>
        <row r="658">
          <cell r="B658">
            <v>26</v>
          </cell>
          <cell r="C658">
            <v>100</v>
          </cell>
        </row>
        <row r="659">
          <cell r="B659">
            <v>111</v>
          </cell>
          <cell r="C659">
            <v>205</v>
          </cell>
        </row>
        <row r="660">
          <cell r="B660">
            <v>84</v>
          </cell>
          <cell r="C660">
            <v>170</v>
          </cell>
        </row>
        <row r="661">
          <cell r="B661">
            <v>104</v>
          </cell>
          <cell r="C661">
            <v>164</v>
          </cell>
        </row>
        <row r="662">
          <cell r="B662">
            <v>61</v>
          </cell>
          <cell r="C662">
            <v>114</v>
          </cell>
        </row>
        <row r="663">
          <cell r="B663">
            <v>41</v>
          </cell>
          <cell r="C663">
            <v>113</v>
          </cell>
        </row>
        <row r="664">
          <cell r="B664">
            <v>95</v>
          </cell>
          <cell r="C664">
            <v>186</v>
          </cell>
        </row>
        <row r="665">
          <cell r="B665">
            <v>111</v>
          </cell>
          <cell r="C665">
            <v>146</v>
          </cell>
        </row>
        <row r="666">
          <cell r="B666">
            <v>76</v>
          </cell>
          <cell r="C666">
            <v>157</v>
          </cell>
        </row>
        <row r="667">
          <cell r="B667">
            <v>105</v>
          </cell>
          <cell r="C667">
            <v>161</v>
          </cell>
        </row>
        <row r="668">
          <cell r="B668">
            <v>126</v>
          </cell>
          <cell r="C668">
            <v>204</v>
          </cell>
        </row>
        <row r="669">
          <cell r="B669">
            <v>87</v>
          </cell>
          <cell r="C669">
            <v>137</v>
          </cell>
        </row>
        <row r="670">
          <cell r="B670">
            <v>84</v>
          </cell>
          <cell r="C670">
            <v>171</v>
          </cell>
        </row>
        <row r="671">
          <cell r="B671">
            <v>90</v>
          </cell>
          <cell r="C671">
            <v>134</v>
          </cell>
        </row>
        <row r="672">
          <cell r="B672">
            <v>154</v>
          </cell>
          <cell r="C672">
            <v>190</v>
          </cell>
        </row>
        <row r="673">
          <cell r="B673">
            <v>66</v>
          </cell>
          <cell r="C673">
            <v>112</v>
          </cell>
        </row>
        <row r="674">
          <cell r="B674">
            <v>66</v>
          </cell>
          <cell r="C674">
            <v>150</v>
          </cell>
        </row>
        <row r="675">
          <cell r="B675">
            <v>96</v>
          </cell>
          <cell r="C675">
            <v>110</v>
          </cell>
        </row>
        <row r="676">
          <cell r="B676">
            <v>77</v>
          </cell>
          <cell r="C676">
            <v>130</v>
          </cell>
        </row>
        <row r="677">
          <cell r="B677">
            <v>64</v>
          </cell>
          <cell r="C677">
            <v>167</v>
          </cell>
        </row>
        <row r="678">
          <cell r="B678">
            <v>73</v>
          </cell>
          <cell r="C678">
            <v>160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p7-2_初期状態"/>
      <sheetName val="chap7-2_制約なし"/>
      <sheetName val="chap7-2_制約なし_answer"/>
      <sheetName val="chap7-3_制約あり"/>
      <sheetName val="chap7-3_制約あり_answer"/>
    </sheetNames>
    <sheetDataSet>
      <sheetData sheetId="0">
        <row r="1">
          <cell r="C1" t="str">
            <v>仕入単価</v>
          </cell>
          <cell r="D1" t="str">
            <v>商品単価</v>
          </cell>
          <cell r="E1" t="str">
            <v>商品単価 - 仕入単価</v>
          </cell>
          <cell r="F1" t="str">
            <v>売上個数</v>
          </cell>
        </row>
        <row r="2">
          <cell r="C2">
            <v>85</v>
          </cell>
          <cell r="D2">
            <v>126</v>
          </cell>
          <cell r="E2">
            <v>41</v>
          </cell>
          <cell r="F2">
            <v>36</v>
          </cell>
        </row>
        <row r="3">
          <cell r="C3">
            <v>86</v>
          </cell>
          <cell r="D3">
            <v>167</v>
          </cell>
          <cell r="E3">
            <v>81</v>
          </cell>
          <cell r="F3">
            <v>24</v>
          </cell>
        </row>
        <row r="4">
          <cell r="C4">
            <v>84</v>
          </cell>
          <cell r="D4">
            <v>177</v>
          </cell>
          <cell r="E4">
            <v>93</v>
          </cell>
          <cell r="F4">
            <v>25</v>
          </cell>
        </row>
        <row r="5">
          <cell r="C5">
            <v>82</v>
          </cell>
          <cell r="D5">
            <v>112</v>
          </cell>
          <cell r="E5">
            <v>30</v>
          </cell>
          <cell r="F5">
            <v>30</v>
          </cell>
        </row>
        <row r="6">
          <cell r="C6">
            <v>109</v>
          </cell>
          <cell r="D6">
            <v>191</v>
          </cell>
          <cell r="E6">
            <v>82</v>
          </cell>
          <cell r="F6">
            <v>24</v>
          </cell>
        </row>
        <row r="7">
          <cell r="C7">
            <v>48</v>
          </cell>
          <cell r="D7">
            <v>127</v>
          </cell>
          <cell r="E7">
            <v>79</v>
          </cell>
          <cell r="F7">
            <v>36</v>
          </cell>
        </row>
        <row r="8">
          <cell r="C8">
            <v>93</v>
          </cell>
          <cell r="D8">
            <v>176</v>
          </cell>
          <cell r="E8">
            <v>83</v>
          </cell>
          <cell r="F8">
            <v>19</v>
          </cell>
        </row>
        <row r="9">
          <cell r="C9">
            <v>95</v>
          </cell>
          <cell r="D9">
            <v>192</v>
          </cell>
          <cell r="E9">
            <v>97</v>
          </cell>
          <cell r="F9">
            <v>27</v>
          </cell>
        </row>
        <row r="10">
          <cell r="C10">
            <v>42</v>
          </cell>
          <cell r="D10">
            <v>103</v>
          </cell>
          <cell r="E10">
            <v>61</v>
          </cell>
          <cell r="F10">
            <v>42</v>
          </cell>
        </row>
        <row r="11">
          <cell r="C11">
            <v>79</v>
          </cell>
          <cell r="D11">
            <v>168</v>
          </cell>
          <cell r="E11">
            <v>89</v>
          </cell>
          <cell r="F11">
            <v>33</v>
          </cell>
        </row>
        <row r="12">
          <cell r="C12">
            <v>72</v>
          </cell>
          <cell r="D12">
            <v>177</v>
          </cell>
          <cell r="E12">
            <v>105</v>
          </cell>
          <cell r="F12">
            <v>24</v>
          </cell>
        </row>
        <row r="13">
          <cell r="C13">
            <v>86</v>
          </cell>
          <cell r="D13">
            <v>177</v>
          </cell>
          <cell r="E13">
            <v>91</v>
          </cell>
          <cell r="F13">
            <v>31</v>
          </cell>
        </row>
        <row r="14">
          <cell r="C14">
            <v>119</v>
          </cell>
          <cell r="D14">
            <v>198</v>
          </cell>
          <cell r="E14">
            <v>79</v>
          </cell>
          <cell r="F14">
            <v>21</v>
          </cell>
        </row>
        <row r="15">
          <cell r="C15">
            <v>48</v>
          </cell>
          <cell r="D15">
            <v>134</v>
          </cell>
          <cell r="E15">
            <v>86</v>
          </cell>
          <cell r="F15">
            <v>26</v>
          </cell>
        </row>
        <row r="16">
          <cell r="C16">
            <v>63</v>
          </cell>
          <cell r="D16">
            <v>154</v>
          </cell>
          <cell r="E16">
            <v>91</v>
          </cell>
          <cell r="F16">
            <v>37</v>
          </cell>
        </row>
        <row r="17">
          <cell r="C17">
            <v>60</v>
          </cell>
          <cell r="D17">
            <v>104</v>
          </cell>
          <cell r="E17">
            <v>44</v>
          </cell>
          <cell r="F17">
            <v>46</v>
          </cell>
        </row>
        <row r="18">
          <cell r="C18">
            <v>60</v>
          </cell>
          <cell r="D18">
            <v>178</v>
          </cell>
          <cell r="E18">
            <v>118</v>
          </cell>
          <cell r="F18">
            <v>20</v>
          </cell>
        </row>
        <row r="19">
          <cell r="C19">
            <v>51</v>
          </cell>
          <cell r="D19">
            <v>142</v>
          </cell>
          <cell r="E19">
            <v>91</v>
          </cell>
          <cell r="F19">
            <v>11</v>
          </cell>
        </row>
        <row r="20">
          <cell r="C20">
            <v>79</v>
          </cell>
          <cell r="D20">
            <v>156</v>
          </cell>
          <cell r="E20">
            <v>77</v>
          </cell>
          <cell r="F20">
            <v>33</v>
          </cell>
        </row>
        <row r="21">
          <cell r="C21">
            <v>47</v>
          </cell>
          <cell r="D21">
            <v>116</v>
          </cell>
          <cell r="E21">
            <v>69</v>
          </cell>
          <cell r="F21">
            <v>42</v>
          </cell>
        </row>
        <row r="22">
          <cell r="C22">
            <v>106</v>
          </cell>
          <cell r="D22">
            <v>182</v>
          </cell>
          <cell r="E22">
            <v>76</v>
          </cell>
          <cell r="F22">
            <v>30</v>
          </cell>
        </row>
        <row r="23">
          <cell r="C23">
            <v>58</v>
          </cell>
          <cell r="D23">
            <v>109</v>
          </cell>
          <cell r="E23">
            <v>51</v>
          </cell>
          <cell r="F23">
            <v>39</v>
          </cell>
        </row>
        <row r="24">
          <cell r="C24">
            <v>88</v>
          </cell>
          <cell r="D24">
            <v>164</v>
          </cell>
          <cell r="E24">
            <v>76</v>
          </cell>
          <cell r="F24">
            <v>15</v>
          </cell>
        </row>
        <row r="25">
          <cell r="C25">
            <v>51</v>
          </cell>
          <cell r="D25">
            <v>130</v>
          </cell>
          <cell r="E25">
            <v>79</v>
          </cell>
          <cell r="F25">
            <v>33</v>
          </cell>
        </row>
        <row r="26">
          <cell r="C26">
            <v>36</v>
          </cell>
          <cell r="D26">
            <v>115</v>
          </cell>
          <cell r="E26">
            <v>79</v>
          </cell>
          <cell r="F26">
            <v>25</v>
          </cell>
        </row>
        <row r="27">
          <cell r="C27">
            <v>72</v>
          </cell>
          <cell r="D27">
            <v>136</v>
          </cell>
          <cell r="E27">
            <v>64</v>
          </cell>
          <cell r="F27">
            <v>23</v>
          </cell>
        </row>
        <row r="28">
          <cell r="C28">
            <v>60</v>
          </cell>
          <cell r="D28">
            <v>102</v>
          </cell>
          <cell r="E28">
            <v>42</v>
          </cell>
          <cell r="F28">
            <v>36</v>
          </cell>
        </row>
        <row r="29">
          <cell r="C29">
            <v>90</v>
          </cell>
          <cell r="D29">
            <v>142</v>
          </cell>
          <cell r="E29">
            <v>52</v>
          </cell>
          <cell r="F29">
            <v>32</v>
          </cell>
        </row>
        <row r="30">
          <cell r="C30">
            <v>78</v>
          </cell>
          <cell r="D30">
            <v>141</v>
          </cell>
          <cell r="E30">
            <v>63</v>
          </cell>
          <cell r="F30">
            <v>12</v>
          </cell>
        </row>
        <row r="31">
          <cell r="C31">
            <v>90</v>
          </cell>
          <cell r="D31">
            <v>164</v>
          </cell>
          <cell r="E31">
            <v>74</v>
          </cell>
          <cell r="F31">
            <v>32</v>
          </cell>
        </row>
        <row r="32">
          <cell r="C32">
            <v>105</v>
          </cell>
          <cell r="D32">
            <v>179</v>
          </cell>
          <cell r="E32">
            <v>74</v>
          </cell>
          <cell r="F32">
            <v>23</v>
          </cell>
        </row>
        <row r="33">
          <cell r="C33">
            <v>61</v>
          </cell>
          <cell r="D33">
            <v>130</v>
          </cell>
          <cell r="E33">
            <v>69</v>
          </cell>
          <cell r="F33">
            <v>36</v>
          </cell>
        </row>
        <row r="34">
          <cell r="C34">
            <v>68</v>
          </cell>
          <cell r="D34">
            <v>140</v>
          </cell>
          <cell r="E34">
            <v>72</v>
          </cell>
          <cell r="F34">
            <v>41</v>
          </cell>
        </row>
        <row r="35">
          <cell r="C35">
            <v>107</v>
          </cell>
          <cell r="D35">
            <v>177</v>
          </cell>
          <cell r="E35">
            <v>70</v>
          </cell>
          <cell r="F35">
            <v>20</v>
          </cell>
        </row>
        <row r="36">
          <cell r="C36">
            <v>109</v>
          </cell>
          <cell r="D36">
            <v>176</v>
          </cell>
          <cell r="E36">
            <v>67</v>
          </cell>
          <cell r="F36">
            <v>24</v>
          </cell>
        </row>
        <row r="37">
          <cell r="C37">
            <v>92</v>
          </cell>
          <cell r="D37">
            <v>152</v>
          </cell>
          <cell r="E37">
            <v>60</v>
          </cell>
          <cell r="F37">
            <v>43</v>
          </cell>
        </row>
        <row r="38">
          <cell r="C38">
            <v>60</v>
          </cell>
          <cell r="D38">
            <v>72</v>
          </cell>
          <cell r="E38">
            <v>12</v>
          </cell>
          <cell r="F38">
            <v>50</v>
          </cell>
        </row>
        <row r="39">
          <cell r="C39">
            <v>62</v>
          </cell>
          <cell r="D39">
            <v>104</v>
          </cell>
          <cell r="E39">
            <v>42</v>
          </cell>
          <cell r="F39">
            <v>35</v>
          </cell>
        </row>
        <row r="40">
          <cell r="C40">
            <v>98</v>
          </cell>
          <cell r="D40">
            <v>198</v>
          </cell>
          <cell r="E40">
            <v>100</v>
          </cell>
          <cell r="F40">
            <v>22</v>
          </cell>
        </row>
        <row r="41">
          <cell r="C41">
            <v>59</v>
          </cell>
          <cell r="D41">
            <v>145</v>
          </cell>
          <cell r="E41">
            <v>86</v>
          </cell>
          <cell r="F41">
            <v>22</v>
          </cell>
        </row>
        <row r="42">
          <cell r="C42">
            <v>74</v>
          </cell>
          <cell r="D42">
            <v>120</v>
          </cell>
          <cell r="E42">
            <v>46</v>
          </cell>
          <cell r="F42">
            <v>41</v>
          </cell>
        </row>
        <row r="43">
          <cell r="C43">
            <v>89</v>
          </cell>
          <cell r="D43">
            <v>194</v>
          </cell>
          <cell r="E43">
            <v>105</v>
          </cell>
          <cell r="F43">
            <v>20</v>
          </cell>
        </row>
        <row r="44">
          <cell r="C44">
            <v>62</v>
          </cell>
          <cell r="D44">
            <v>119</v>
          </cell>
          <cell r="E44">
            <v>57</v>
          </cell>
          <cell r="F44">
            <v>38</v>
          </cell>
        </row>
        <row r="45">
          <cell r="C45">
            <v>58</v>
          </cell>
          <cell r="D45">
            <v>140</v>
          </cell>
          <cell r="E45">
            <v>82</v>
          </cell>
          <cell r="F45">
            <v>20</v>
          </cell>
        </row>
        <row r="46">
          <cell r="C46">
            <v>71</v>
          </cell>
          <cell r="D46">
            <v>110</v>
          </cell>
          <cell r="E46">
            <v>39</v>
          </cell>
          <cell r="F46">
            <v>38</v>
          </cell>
        </row>
        <row r="47">
          <cell r="C47">
            <v>71</v>
          </cell>
          <cell r="D47">
            <v>124</v>
          </cell>
          <cell r="E47">
            <v>53</v>
          </cell>
          <cell r="F47">
            <v>25</v>
          </cell>
        </row>
        <row r="48">
          <cell r="C48">
            <v>98</v>
          </cell>
          <cell r="D48">
            <v>176</v>
          </cell>
          <cell r="E48">
            <v>78</v>
          </cell>
          <cell r="F48">
            <v>22</v>
          </cell>
        </row>
        <row r="49">
          <cell r="C49">
            <v>64</v>
          </cell>
          <cell r="D49">
            <v>135</v>
          </cell>
          <cell r="E49">
            <v>71</v>
          </cell>
          <cell r="F49">
            <v>27</v>
          </cell>
        </row>
        <row r="50">
          <cell r="C50">
            <v>51</v>
          </cell>
          <cell r="D50">
            <v>138</v>
          </cell>
          <cell r="E50">
            <v>87</v>
          </cell>
          <cell r="F50">
            <v>26</v>
          </cell>
        </row>
        <row r="51">
          <cell r="C51">
            <v>76</v>
          </cell>
          <cell r="D51">
            <v>146</v>
          </cell>
          <cell r="E51">
            <v>70</v>
          </cell>
          <cell r="F51">
            <v>32</v>
          </cell>
        </row>
        <row r="52">
          <cell r="C52">
            <v>78</v>
          </cell>
          <cell r="D52">
            <v>188</v>
          </cell>
          <cell r="E52">
            <v>110</v>
          </cell>
          <cell r="F52">
            <v>16</v>
          </cell>
        </row>
        <row r="53">
          <cell r="C53">
            <v>53</v>
          </cell>
          <cell r="D53">
            <v>114</v>
          </cell>
          <cell r="E53">
            <v>61</v>
          </cell>
          <cell r="F53">
            <v>40</v>
          </cell>
        </row>
        <row r="54">
          <cell r="C54">
            <v>80</v>
          </cell>
          <cell r="D54">
            <v>148</v>
          </cell>
          <cell r="E54">
            <v>68</v>
          </cell>
          <cell r="F54">
            <v>33</v>
          </cell>
        </row>
        <row r="55">
          <cell r="C55">
            <v>44</v>
          </cell>
          <cell r="D55">
            <v>115</v>
          </cell>
          <cell r="E55">
            <v>71</v>
          </cell>
          <cell r="F55">
            <v>35</v>
          </cell>
        </row>
        <row r="56">
          <cell r="C56">
            <v>106</v>
          </cell>
          <cell r="D56">
            <v>222</v>
          </cell>
          <cell r="E56">
            <v>116</v>
          </cell>
          <cell r="F56">
            <v>13</v>
          </cell>
        </row>
        <row r="57">
          <cell r="C57">
            <v>75</v>
          </cell>
          <cell r="D57">
            <v>172</v>
          </cell>
          <cell r="E57">
            <v>97</v>
          </cell>
          <cell r="F57">
            <v>11</v>
          </cell>
        </row>
        <row r="58">
          <cell r="C58">
            <v>67</v>
          </cell>
          <cell r="D58">
            <v>126</v>
          </cell>
          <cell r="E58">
            <v>59</v>
          </cell>
          <cell r="F58">
            <v>35</v>
          </cell>
        </row>
        <row r="59">
          <cell r="C59">
            <v>79</v>
          </cell>
          <cell r="D59">
            <v>169</v>
          </cell>
          <cell r="E59">
            <v>90</v>
          </cell>
          <cell r="F59">
            <v>24</v>
          </cell>
        </row>
        <row r="60">
          <cell r="C60">
            <v>73</v>
          </cell>
          <cell r="D60">
            <v>172</v>
          </cell>
          <cell r="E60">
            <v>99</v>
          </cell>
          <cell r="F60">
            <v>26</v>
          </cell>
        </row>
        <row r="61">
          <cell r="C61">
            <v>85</v>
          </cell>
          <cell r="D61">
            <v>162</v>
          </cell>
          <cell r="E61">
            <v>77</v>
          </cell>
          <cell r="F61">
            <v>26</v>
          </cell>
        </row>
        <row r="62">
          <cell r="C62">
            <v>44</v>
          </cell>
          <cell r="D62">
            <v>130</v>
          </cell>
          <cell r="E62">
            <v>86</v>
          </cell>
          <cell r="F62">
            <v>39</v>
          </cell>
        </row>
        <row r="63">
          <cell r="C63">
            <v>39</v>
          </cell>
          <cell r="D63">
            <v>76</v>
          </cell>
          <cell r="E63">
            <v>37</v>
          </cell>
          <cell r="F63">
            <v>46</v>
          </cell>
        </row>
        <row r="64">
          <cell r="C64">
            <v>67</v>
          </cell>
          <cell r="D64">
            <v>134</v>
          </cell>
          <cell r="E64">
            <v>67</v>
          </cell>
          <cell r="F64">
            <v>24</v>
          </cell>
        </row>
        <row r="65">
          <cell r="C65">
            <v>56</v>
          </cell>
          <cell r="D65">
            <v>130</v>
          </cell>
          <cell r="E65">
            <v>74</v>
          </cell>
          <cell r="F65">
            <v>19</v>
          </cell>
        </row>
        <row r="66">
          <cell r="C66">
            <v>40</v>
          </cell>
          <cell r="D66">
            <v>135</v>
          </cell>
          <cell r="E66">
            <v>95</v>
          </cell>
          <cell r="F66">
            <v>29</v>
          </cell>
        </row>
        <row r="67">
          <cell r="C67">
            <v>39</v>
          </cell>
          <cell r="D67">
            <v>108</v>
          </cell>
          <cell r="E67">
            <v>69</v>
          </cell>
          <cell r="F67">
            <v>34</v>
          </cell>
        </row>
        <row r="68">
          <cell r="C68">
            <v>23</v>
          </cell>
          <cell r="D68">
            <v>102</v>
          </cell>
          <cell r="E68">
            <v>79</v>
          </cell>
          <cell r="F68">
            <v>33</v>
          </cell>
        </row>
        <row r="69">
          <cell r="C69">
            <v>101</v>
          </cell>
          <cell r="D69">
            <v>223</v>
          </cell>
          <cell r="E69">
            <v>122</v>
          </cell>
          <cell r="F69">
            <v>7</v>
          </cell>
        </row>
        <row r="70">
          <cell r="C70">
            <v>29</v>
          </cell>
          <cell r="D70">
            <v>102</v>
          </cell>
          <cell r="E70">
            <v>73</v>
          </cell>
          <cell r="F70">
            <v>36</v>
          </cell>
        </row>
        <row r="71">
          <cell r="C71">
            <v>82</v>
          </cell>
          <cell r="D71">
            <v>148</v>
          </cell>
          <cell r="E71">
            <v>66</v>
          </cell>
          <cell r="F71">
            <v>49</v>
          </cell>
        </row>
        <row r="72">
          <cell r="C72">
            <v>42</v>
          </cell>
          <cell r="D72">
            <v>92</v>
          </cell>
          <cell r="E72">
            <v>50</v>
          </cell>
          <cell r="F72">
            <v>37</v>
          </cell>
        </row>
        <row r="73">
          <cell r="C73">
            <v>59</v>
          </cell>
          <cell r="D73">
            <v>165</v>
          </cell>
          <cell r="E73">
            <v>106</v>
          </cell>
          <cell r="F73">
            <v>10</v>
          </cell>
        </row>
        <row r="74">
          <cell r="C74">
            <v>78</v>
          </cell>
          <cell r="D74">
            <v>150</v>
          </cell>
          <cell r="E74">
            <v>72</v>
          </cell>
          <cell r="F74">
            <v>24</v>
          </cell>
        </row>
        <row r="75">
          <cell r="C75">
            <v>83</v>
          </cell>
          <cell r="D75">
            <v>146</v>
          </cell>
          <cell r="E75">
            <v>63</v>
          </cell>
          <cell r="F75">
            <v>25</v>
          </cell>
        </row>
        <row r="76">
          <cell r="C76">
            <v>47</v>
          </cell>
          <cell r="D76">
            <v>94</v>
          </cell>
          <cell r="E76">
            <v>47</v>
          </cell>
          <cell r="F76">
            <v>44</v>
          </cell>
        </row>
        <row r="77">
          <cell r="C77">
            <v>81</v>
          </cell>
          <cell r="D77">
            <v>152</v>
          </cell>
          <cell r="E77">
            <v>71</v>
          </cell>
          <cell r="F77">
            <v>18</v>
          </cell>
        </row>
        <row r="78">
          <cell r="C78">
            <v>25</v>
          </cell>
          <cell r="D78">
            <v>126</v>
          </cell>
          <cell r="E78">
            <v>101</v>
          </cell>
          <cell r="F78">
            <v>41</v>
          </cell>
        </row>
        <row r="79">
          <cell r="C79">
            <v>65</v>
          </cell>
          <cell r="D79">
            <v>166</v>
          </cell>
          <cell r="E79">
            <v>101</v>
          </cell>
          <cell r="F79">
            <v>21</v>
          </cell>
        </row>
        <row r="80">
          <cell r="C80">
            <v>107</v>
          </cell>
          <cell r="D80">
            <v>186</v>
          </cell>
          <cell r="E80">
            <v>79</v>
          </cell>
          <cell r="F80">
            <v>27</v>
          </cell>
        </row>
        <row r="81">
          <cell r="C81">
            <v>48</v>
          </cell>
          <cell r="D81">
            <v>97</v>
          </cell>
          <cell r="E81">
            <v>49</v>
          </cell>
          <cell r="F81">
            <v>34</v>
          </cell>
        </row>
        <row r="82">
          <cell r="C82">
            <v>83</v>
          </cell>
          <cell r="D82">
            <v>180</v>
          </cell>
          <cell r="E82">
            <v>97</v>
          </cell>
          <cell r="F82">
            <v>11</v>
          </cell>
        </row>
        <row r="83">
          <cell r="C83">
            <v>91</v>
          </cell>
          <cell r="D83">
            <v>171</v>
          </cell>
          <cell r="E83">
            <v>80</v>
          </cell>
          <cell r="F83">
            <v>27</v>
          </cell>
        </row>
        <row r="84">
          <cell r="C84">
            <v>53</v>
          </cell>
          <cell r="D84">
            <v>156</v>
          </cell>
          <cell r="E84">
            <v>103</v>
          </cell>
          <cell r="F84">
            <v>36</v>
          </cell>
        </row>
        <row r="85">
          <cell r="C85">
            <v>94</v>
          </cell>
          <cell r="D85">
            <v>187</v>
          </cell>
          <cell r="E85">
            <v>93</v>
          </cell>
          <cell r="F85">
            <v>17</v>
          </cell>
        </row>
        <row r="86">
          <cell r="C86">
            <v>86</v>
          </cell>
          <cell r="D86">
            <v>193</v>
          </cell>
          <cell r="E86">
            <v>107</v>
          </cell>
          <cell r="F86">
            <v>14</v>
          </cell>
        </row>
        <row r="87">
          <cell r="C87">
            <v>90</v>
          </cell>
          <cell r="D87">
            <v>146</v>
          </cell>
          <cell r="E87">
            <v>56</v>
          </cell>
          <cell r="F87">
            <v>30</v>
          </cell>
        </row>
        <row r="88">
          <cell r="C88">
            <v>93</v>
          </cell>
          <cell r="D88">
            <v>170</v>
          </cell>
          <cell r="E88">
            <v>77</v>
          </cell>
          <cell r="F88">
            <v>27</v>
          </cell>
        </row>
        <row r="89">
          <cell r="C89">
            <v>81</v>
          </cell>
          <cell r="D89">
            <v>172</v>
          </cell>
          <cell r="E89">
            <v>91</v>
          </cell>
          <cell r="F89">
            <v>37</v>
          </cell>
        </row>
        <row r="90">
          <cell r="C90">
            <v>66</v>
          </cell>
          <cell r="D90">
            <v>152</v>
          </cell>
          <cell r="E90">
            <v>86</v>
          </cell>
          <cell r="F90">
            <v>28</v>
          </cell>
        </row>
        <row r="91">
          <cell r="C91">
            <v>104</v>
          </cell>
          <cell r="D91">
            <v>196</v>
          </cell>
          <cell r="E91">
            <v>92</v>
          </cell>
          <cell r="F91">
            <v>28</v>
          </cell>
        </row>
        <row r="92">
          <cell r="C92">
            <v>88</v>
          </cell>
          <cell r="D92">
            <v>169</v>
          </cell>
          <cell r="E92">
            <v>81</v>
          </cell>
          <cell r="F92">
            <v>20</v>
          </cell>
        </row>
        <row r="93">
          <cell r="C93">
            <v>45</v>
          </cell>
          <cell r="D93">
            <v>168</v>
          </cell>
          <cell r="E93">
            <v>123</v>
          </cell>
          <cell r="F93">
            <v>25</v>
          </cell>
        </row>
        <row r="94">
          <cell r="C94">
            <v>42</v>
          </cell>
          <cell r="D94">
            <v>103</v>
          </cell>
          <cell r="E94">
            <v>61</v>
          </cell>
          <cell r="F94">
            <v>31</v>
          </cell>
        </row>
        <row r="95">
          <cell r="C95">
            <v>128</v>
          </cell>
          <cell r="D95">
            <v>173</v>
          </cell>
          <cell r="E95">
            <v>45</v>
          </cell>
          <cell r="F95">
            <v>26</v>
          </cell>
        </row>
        <row r="96">
          <cell r="C96">
            <v>75</v>
          </cell>
          <cell r="D96">
            <v>127</v>
          </cell>
          <cell r="E96">
            <v>52</v>
          </cell>
          <cell r="F96">
            <v>43</v>
          </cell>
        </row>
        <row r="97">
          <cell r="C97">
            <v>49</v>
          </cell>
          <cell r="D97">
            <v>101</v>
          </cell>
          <cell r="E97">
            <v>52</v>
          </cell>
          <cell r="F97">
            <v>36</v>
          </cell>
        </row>
        <row r="98">
          <cell r="C98">
            <v>74</v>
          </cell>
          <cell r="D98">
            <v>113</v>
          </cell>
          <cell r="E98">
            <v>39</v>
          </cell>
          <cell r="F98">
            <v>38</v>
          </cell>
        </row>
        <row r="99">
          <cell r="C99">
            <v>97</v>
          </cell>
          <cell r="D99">
            <v>162</v>
          </cell>
          <cell r="E99">
            <v>65</v>
          </cell>
          <cell r="F99">
            <v>28</v>
          </cell>
        </row>
        <row r="100">
          <cell r="C100">
            <v>58</v>
          </cell>
          <cell r="D100">
            <v>144</v>
          </cell>
          <cell r="E100">
            <v>86</v>
          </cell>
          <cell r="F100">
            <v>27</v>
          </cell>
        </row>
        <row r="101">
          <cell r="C101">
            <v>78</v>
          </cell>
          <cell r="D101">
            <v>126</v>
          </cell>
          <cell r="E101">
            <v>48</v>
          </cell>
          <cell r="F101">
            <v>36</v>
          </cell>
        </row>
        <row r="102">
          <cell r="C102">
            <v>112</v>
          </cell>
          <cell r="D102">
            <v>226</v>
          </cell>
          <cell r="E102">
            <v>114</v>
          </cell>
          <cell r="F102">
            <v>9</v>
          </cell>
        </row>
        <row r="103">
          <cell r="C103">
            <v>114</v>
          </cell>
          <cell r="D103">
            <v>176</v>
          </cell>
          <cell r="E103">
            <v>62</v>
          </cell>
          <cell r="F103">
            <v>19</v>
          </cell>
        </row>
        <row r="104">
          <cell r="C104">
            <v>94</v>
          </cell>
          <cell r="D104">
            <v>184</v>
          </cell>
          <cell r="E104">
            <v>90</v>
          </cell>
          <cell r="F104">
            <v>35</v>
          </cell>
        </row>
        <row r="105">
          <cell r="C105">
            <v>98</v>
          </cell>
          <cell r="D105">
            <v>137</v>
          </cell>
          <cell r="E105">
            <v>39</v>
          </cell>
          <cell r="F105">
            <v>43</v>
          </cell>
        </row>
        <row r="106">
          <cell r="C106">
            <v>65</v>
          </cell>
          <cell r="D106">
            <v>138</v>
          </cell>
          <cell r="E106">
            <v>73</v>
          </cell>
          <cell r="F106">
            <v>28</v>
          </cell>
        </row>
        <row r="107">
          <cell r="C107">
            <v>67</v>
          </cell>
          <cell r="D107">
            <v>133</v>
          </cell>
          <cell r="E107">
            <v>66</v>
          </cell>
          <cell r="F107">
            <v>17</v>
          </cell>
        </row>
        <row r="108">
          <cell r="C108">
            <v>88</v>
          </cell>
          <cell r="D108">
            <v>159</v>
          </cell>
          <cell r="E108">
            <v>71</v>
          </cell>
          <cell r="F108">
            <v>21</v>
          </cell>
        </row>
        <row r="109">
          <cell r="C109">
            <v>85</v>
          </cell>
          <cell r="D109">
            <v>129</v>
          </cell>
          <cell r="E109">
            <v>44</v>
          </cell>
          <cell r="F109">
            <v>19</v>
          </cell>
        </row>
        <row r="110">
          <cell r="C110">
            <v>88</v>
          </cell>
          <cell r="D110">
            <v>154</v>
          </cell>
          <cell r="E110">
            <v>66</v>
          </cell>
          <cell r="F110">
            <v>27</v>
          </cell>
        </row>
        <row r="111">
          <cell r="C111">
            <v>80</v>
          </cell>
          <cell r="D111">
            <v>166</v>
          </cell>
          <cell r="E111">
            <v>86</v>
          </cell>
          <cell r="F111">
            <v>13</v>
          </cell>
        </row>
        <row r="112">
          <cell r="C112">
            <v>89</v>
          </cell>
          <cell r="D112">
            <v>142</v>
          </cell>
          <cell r="E112">
            <v>53</v>
          </cell>
          <cell r="F112">
            <v>22</v>
          </cell>
        </row>
        <row r="113">
          <cell r="C113">
            <v>78</v>
          </cell>
          <cell r="D113">
            <v>158</v>
          </cell>
          <cell r="E113">
            <v>80</v>
          </cell>
          <cell r="F113">
            <v>17</v>
          </cell>
        </row>
        <row r="114">
          <cell r="C114">
            <v>67</v>
          </cell>
          <cell r="D114">
            <v>113</v>
          </cell>
          <cell r="E114">
            <v>46</v>
          </cell>
          <cell r="F114">
            <v>40</v>
          </cell>
        </row>
        <row r="115">
          <cell r="C115">
            <v>105</v>
          </cell>
          <cell r="D115">
            <v>161</v>
          </cell>
          <cell r="E115">
            <v>56</v>
          </cell>
          <cell r="F115">
            <v>19</v>
          </cell>
        </row>
        <row r="116">
          <cell r="C116">
            <v>93</v>
          </cell>
          <cell r="D116">
            <v>191</v>
          </cell>
          <cell r="E116">
            <v>98</v>
          </cell>
          <cell r="F116">
            <v>19</v>
          </cell>
        </row>
        <row r="117">
          <cell r="C117">
            <v>76</v>
          </cell>
          <cell r="D117">
            <v>204</v>
          </cell>
          <cell r="E117">
            <v>128</v>
          </cell>
          <cell r="F117">
            <v>22</v>
          </cell>
        </row>
        <row r="118">
          <cell r="C118">
            <v>81</v>
          </cell>
          <cell r="D118">
            <v>148</v>
          </cell>
          <cell r="E118">
            <v>67</v>
          </cell>
          <cell r="F118">
            <v>39</v>
          </cell>
        </row>
        <row r="119">
          <cell r="C119">
            <v>90</v>
          </cell>
          <cell r="D119">
            <v>175</v>
          </cell>
          <cell r="E119">
            <v>85</v>
          </cell>
          <cell r="F119">
            <v>24</v>
          </cell>
        </row>
        <row r="120">
          <cell r="C120">
            <v>114</v>
          </cell>
          <cell r="D120">
            <v>180</v>
          </cell>
          <cell r="E120">
            <v>66</v>
          </cell>
          <cell r="F120">
            <v>30</v>
          </cell>
        </row>
        <row r="121">
          <cell r="C121">
            <v>89</v>
          </cell>
          <cell r="D121">
            <v>196</v>
          </cell>
          <cell r="E121">
            <v>107</v>
          </cell>
          <cell r="F121">
            <v>23</v>
          </cell>
        </row>
        <row r="122">
          <cell r="C122">
            <v>73</v>
          </cell>
          <cell r="D122">
            <v>139</v>
          </cell>
          <cell r="E122">
            <v>66</v>
          </cell>
          <cell r="F122">
            <v>23</v>
          </cell>
        </row>
        <row r="123">
          <cell r="C123">
            <v>89</v>
          </cell>
          <cell r="D123">
            <v>164</v>
          </cell>
          <cell r="E123">
            <v>75</v>
          </cell>
          <cell r="F123">
            <v>34</v>
          </cell>
        </row>
        <row r="124">
          <cell r="C124">
            <v>42</v>
          </cell>
          <cell r="D124">
            <v>130</v>
          </cell>
          <cell r="E124">
            <v>88</v>
          </cell>
          <cell r="F124">
            <v>19</v>
          </cell>
        </row>
        <row r="125">
          <cell r="C125">
            <v>68</v>
          </cell>
          <cell r="D125">
            <v>148</v>
          </cell>
          <cell r="E125">
            <v>80</v>
          </cell>
          <cell r="F125">
            <v>30</v>
          </cell>
        </row>
        <row r="126">
          <cell r="C126">
            <v>128</v>
          </cell>
          <cell r="D126">
            <v>167</v>
          </cell>
          <cell r="E126">
            <v>39</v>
          </cell>
          <cell r="F126">
            <v>30</v>
          </cell>
        </row>
        <row r="127">
          <cell r="C127">
            <v>78</v>
          </cell>
          <cell r="D127">
            <v>180</v>
          </cell>
          <cell r="E127">
            <v>102</v>
          </cell>
          <cell r="F127">
            <v>36</v>
          </cell>
        </row>
        <row r="128">
          <cell r="C128">
            <v>103</v>
          </cell>
          <cell r="D128">
            <v>195</v>
          </cell>
          <cell r="E128">
            <v>92</v>
          </cell>
          <cell r="F128">
            <v>22</v>
          </cell>
        </row>
        <row r="129">
          <cell r="C129">
            <v>61</v>
          </cell>
          <cell r="D129">
            <v>118</v>
          </cell>
          <cell r="E129">
            <v>57</v>
          </cell>
          <cell r="F129">
            <v>28</v>
          </cell>
        </row>
        <row r="130">
          <cell r="C130">
            <v>109</v>
          </cell>
          <cell r="D130">
            <v>153</v>
          </cell>
          <cell r="E130">
            <v>44</v>
          </cell>
          <cell r="F130">
            <v>15</v>
          </cell>
        </row>
        <row r="131">
          <cell r="C131">
            <v>48</v>
          </cell>
          <cell r="D131">
            <v>166</v>
          </cell>
          <cell r="E131">
            <v>118</v>
          </cell>
          <cell r="F131">
            <v>27</v>
          </cell>
        </row>
        <row r="132">
          <cell r="C132">
            <v>93</v>
          </cell>
          <cell r="D132">
            <v>161</v>
          </cell>
          <cell r="E132">
            <v>68</v>
          </cell>
          <cell r="F132">
            <v>45</v>
          </cell>
        </row>
        <row r="133">
          <cell r="C133">
            <v>75</v>
          </cell>
          <cell r="D133">
            <v>166</v>
          </cell>
          <cell r="E133">
            <v>91</v>
          </cell>
          <cell r="F133">
            <v>30</v>
          </cell>
        </row>
        <row r="134">
          <cell r="C134">
            <v>84</v>
          </cell>
          <cell r="D134">
            <v>178</v>
          </cell>
          <cell r="E134">
            <v>94</v>
          </cell>
          <cell r="F134">
            <v>34</v>
          </cell>
        </row>
        <row r="135">
          <cell r="C135">
            <v>86</v>
          </cell>
          <cell r="D135">
            <v>157</v>
          </cell>
          <cell r="E135">
            <v>71</v>
          </cell>
          <cell r="F135">
            <v>28</v>
          </cell>
        </row>
        <row r="136">
          <cell r="C136">
            <v>107</v>
          </cell>
          <cell r="D136">
            <v>179</v>
          </cell>
          <cell r="E136">
            <v>72</v>
          </cell>
          <cell r="F136">
            <v>19</v>
          </cell>
        </row>
      </sheetData>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tabuchi-go/Downloads/data_20201208.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tabuchi-go/Downloads/data_20201208%20(1).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tabuchi-go/Downloads/data_20201208%20(1).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tabuchi-go/Downloads/data_20201208%20(1).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tabuchi-go/Downloads/data_20201208%20(1).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石黒将太郎" refreshedDate="46013.41103599537" createdVersion="8" refreshedVersion="8" minRefreshableVersion="3" recordCount="683" xr:uid="{306137D0-E295-40F5-B2E2-8940371A9A71}">
  <cacheSource type="worksheet">
    <worksheetSource ref="A1:D1048576" sheet="CP2_2"/>
  </cacheSource>
  <cacheFields count="4">
    <cacheField name="商品ID" numFmtId="0">
      <sharedItems containsBlank="1" count="683">
        <s v="ID_CI31"/>
        <s v="ID_CJ19"/>
        <s v="ID_CJ31"/>
        <s v="ID_CK31"/>
        <s v="ID_CL07"/>
        <s v="ID_CL31"/>
        <s v="ID_CM07"/>
        <s v="ID_CM19"/>
        <s v="ID_CM43"/>
        <s v="ID_CN14"/>
        <s v="ID_CN43"/>
        <s v="ID_CO02"/>
        <s v="ID_CO55"/>
        <s v="ID_CP50"/>
        <s v="ID_CQ43"/>
        <s v="ID_DA01"/>
        <s v="ID_DA02"/>
        <s v="ID_DA03"/>
        <s v="ID_DA04"/>
        <s v="ID_DA07"/>
        <s v="ID_DA08"/>
        <s v="ID_DA10"/>
        <s v="ID_DA13"/>
        <s v="ID_DA15"/>
        <s v="ID_DA16"/>
        <s v="ID_DA20"/>
        <s v="ID_DA26"/>
        <s v="ID_DA28"/>
        <s v="ID_DA39"/>
        <s v="ID_DA43"/>
        <s v="ID_DA44"/>
        <s v="ID_DA45"/>
        <s v="ID_DA46"/>
        <s v="ID_DA49"/>
        <s v="ID_DA50"/>
        <s v="ID_DA51"/>
        <s v="ID_DA52"/>
        <s v="ID_DA55"/>
        <s v="ID_DA56"/>
        <s v="ID_DA57"/>
        <s v="ID_DB02"/>
        <s v="ID_DB04"/>
        <s v="ID_DB05"/>
        <s v="ID_DB08"/>
        <s v="ID_DB14"/>
        <s v="ID_DB17"/>
        <s v="ID_DB21"/>
        <s v="ID_DB22"/>
        <s v="ID_DB26"/>
        <s v="ID_DB27"/>
        <s v="ID_DB32"/>
        <s v="ID_DB34"/>
        <s v="ID_DB38"/>
        <s v="ID_DB40"/>
        <s v="ID_DB44"/>
        <s v="ID_DB52"/>
        <s v="ID_DB53"/>
        <s v="ID_DB56"/>
        <s v="ID_DB57"/>
        <s v="ID_DB58"/>
        <s v="ID_DB59"/>
        <s v="ID_DC02"/>
        <s v="ID_DC04"/>
        <s v="ID_DC08"/>
        <s v="ID_DC10"/>
        <s v="ID_DC14"/>
        <s v="ID_DC16"/>
        <s v="ID_DC17"/>
        <s v="ID_DC28"/>
        <s v="ID_DC29"/>
        <s v="ID_DC32"/>
        <s v="ID_DC33"/>
        <s v="ID_DC41"/>
        <s v="ID_DC44"/>
        <s v="ID_DC45"/>
        <s v="ID_DC46"/>
        <s v="ID_DC50"/>
        <s v="ID_DC53"/>
        <s v="ID_DC58"/>
        <s v="ID_DD05"/>
        <s v="ID_DD08"/>
        <s v="ID_DD09"/>
        <s v="ID_DD10"/>
        <s v="ID_DD20"/>
        <s v="ID_DD26"/>
        <s v="ID_DD28"/>
        <s v="ID_DD29"/>
        <s v="ID_DD33"/>
        <s v="ID_DD38"/>
        <s v="ID_DD39"/>
        <s v="ID_DD40"/>
        <s v="ID_DD41"/>
        <s v="ID_DD46"/>
        <s v="ID_DD50"/>
        <s v="ID_DD51"/>
        <s v="ID_DD52"/>
        <s v="ID_DD53"/>
        <s v="ID_DD57"/>
        <s v="ID_DE02"/>
        <s v="ID_DE05"/>
        <s v="ID_DE08"/>
        <s v="ID_DE09"/>
        <s v="ID_DE10"/>
        <s v="ID_DE16"/>
        <s v="ID_DE21"/>
        <s v="ID_DE29"/>
        <s v="ID_DE32"/>
        <s v="ID_DE33"/>
        <s v="ID_DE38"/>
        <s v="ID_DE40"/>
        <s v="ID_DE46"/>
        <s v="ID_DE50"/>
        <s v="ID_DE51"/>
        <s v="ID_DE52"/>
        <s v="ID_DE53"/>
        <s v="ID_DE56"/>
        <s v="ID_DE57"/>
        <s v="ID_DE58"/>
        <s v="ID_DF05"/>
        <s v="ID_DF09"/>
        <s v="ID_DF16"/>
        <s v="ID_DF20"/>
        <s v="ID_DF21"/>
        <s v="ID_DF26"/>
        <s v="ID_DF28"/>
        <s v="ID_DF29"/>
        <s v="ID_DF33"/>
        <s v="ID_DF34"/>
        <s v="ID_DF40"/>
        <s v="ID_DF41"/>
        <s v="ID_DF44"/>
        <s v="ID_DF46"/>
        <s v="ID_DF50"/>
        <s v="ID_DF52"/>
        <s v="ID_DF56"/>
        <s v="ID_DF57"/>
        <s v="ID_DF58"/>
        <s v="ID_DG02"/>
        <s v="ID_DG05"/>
        <s v="ID_DG09"/>
        <s v="ID_DG10"/>
        <s v="ID_DG14"/>
        <s v="ID_DG17"/>
        <s v="ID_DG21"/>
        <s v="ID_DG22"/>
        <s v="ID_DG29"/>
        <s v="ID_DG31"/>
        <s v="ID_DG32"/>
        <s v="ID_DG33"/>
        <s v="ID_DG34"/>
        <s v="ID_DG38"/>
        <s v="ID_DG40"/>
        <s v="ID_DG44"/>
        <s v="ID_DG46"/>
        <s v="ID_DG52"/>
        <s v="ID_DG56"/>
        <s v="ID_DH02"/>
        <s v="ID_DH05"/>
        <s v="ID_DH08"/>
        <s v="ID_DH09"/>
        <s v="ID_DH10"/>
        <s v="ID_DH16"/>
        <s v="ID_DH19"/>
        <s v="ID_DH21"/>
        <s v="ID_DH26"/>
        <s v="ID_DH28"/>
        <s v="ID_DH31"/>
        <s v="ID_DH32"/>
        <s v="ID_DH33"/>
        <s v="ID_DH34"/>
        <s v="ID_DH40"/>
        <s v="ID_DH41"/>
        <s v="ID_DH50"/>
        <s v="ID_DH52"/>
        <s v="ID_DH57"/>
        <s v="ID_DI04"/>
        <s v="ID_DI07"/>
        <s v="ID_DI10"/>
        <s v="ID_DI14"/>
        <s v="ID_DI16"/>
        <s v="ID_DI19"/>
        <s v="ID_DI20"/>
        <s v="ID_DI21"/>
        <s v="ID_DI22"/>
        <s v="ID_DI26"/>
        <s v="ID_DI27"/>
        <s v="ID_DI28"/>
        <s v="ID_DI32"/>
        <s v="ID_DI33"/>
        <s v="ID_DI41"/>
        <s v="ID_DI44"/>
        <s v="ID_DI46"/>
        <s v="ID_DI50"/>
        <s v="ID_DI56"/>
        <s v="ID_DI57"/>
        <s v="ID_DJ07"/>
        <s v="ID_DJ10"/>
        <s v="ID_DJ15"/>
        <s v="ID_DJ21"/>
        <s v="ID_DJ22"/>
        <s v="ID_DJ26"/>
        <s v="ID_DJ28"/>
        <s v="ID_DJ32"/>
        <s v="ID_DJ33"/>
        <s v="ID_DJ34"/>
        <s v="ID_DJ40"/>
        <s v="ID_DJ44"/>
        <s v="ID_DJ45"/>
        <s v="ID_DJ46"/>
        <s v="ID_DJ53"/>
        <s v="ID_DJ55"/>
        <s v="ID_DJ56"/>
        <s v="ID_DJ58"/>
        <s v="ID_DK03"/>
        <s v="ID_DK04"/>
        <s v="ID_DK08"/>
        <s v="ID_DK09"/>
        <s v="ID_DK10"/>
        <s v="ID_DK15"/>
        <s v="ID_DK16"/>
        <s v="ID_DK20"/>
        <s v="ID_DK22"/>
        <s v="ID_DK27"/>
        <s v="ID_DK28"/>
        <s v="ID_DK32"/>
        <s v="ID_DK33"/>
        <s v="ID_DK34"/>
        <s v="ID_DK38"/>
        <s v="ID_DK40"/>
        <s v="ID_DK41"/>
        <s v="ID_DK44"/>
        <s v="ID_DK51"/>
        <s v="ID_DK52"/>
        <s v="ID_DK57"/>
        <s v="ID_DK58"/>
        <s v="ID_DL03"/>
        <s v="ID_DL04"/>
        <s v="ID_DL08"/>
        <s v="ID_DL09"/>
        <s v="ID_DL10"/>
        <s v="ID_DL20"/>
        <s v="ID_DL22"/>
        <s v="ID_DL26"/>
        <s v="ID_DL33"/>
        <s v="ID_DL34"/>
        <s v="ID_DL38"/>
        <s v="ID_DL39"/>
        <s v="ID_DL40"/>
        <s v="ID_DL43"/>
        <s v="ID_DL44"/>
        <s v="ID_DL45"/>
        <s v="ID_DL46"/>
        <s v="ID_DL52"/>
        <s v="ID_DL56"/>
        <s v="ID_DM03"/>
        <s v="ID_DM10"/>
        <s v="ID_DM14"/>
        <s v="ID_DM15"/>
        <s v="ID_DM20"/>
        <s v="ID_DM21"/>
        <s v="ID_DM22"/>
        <s v="ID_DM27"/>
        <s v="ID_DM34"/>
        <s v="ID_DM39"/>
        <s v="ID_DM46"/>
        <s v="ID_DM50"/>
        <s v="ID_DM56"/>
        <s v="ID_DM58"/>
        <s v="ID_DN02"/>
        <s v="ID_DN03"/>
        <s v="ID_DN04"/>
        <s v="ID_DN08"/>
        <s v="ID_DN09"/>
        <s v="ID_DN10"/>
        <s v="ID_DN15"/>
        <s v="ID_DN20"/>
        <s v="ID_DN21"/>
        <s v="ID_DN23"/>
        <s v="ID_DN27"/>
        <s v="ID_DN32"/>
        <s v="ID_DN33"/>
        <s v="ID_DN34"/>
        <s v="ID_DN39"/>
        <s v="ID_DN44"/>
        <s v="ID_DN45"/>
        <s v="ID_DN50"/>
        <s v="ID_DN52"/>
        <s v="ID_DN56"/>
        <s v="ID_DN57"/>
        <s v="ID_DN58"/>
        <s v="ID_DO03"/>
        <s v="ID_DO04"/>
        <s v="ID_DO09"/>
        <s v="ID_DO10"/>
        <s v="ID_DO11"/>
        <s v="ID_DO15"/>
        <s v="ID_DO19"/>
        <s v="ID_DO23"/>
        <s v="ID_DO25"/>
        <s v="ID_DO27"/>
        <s v="ID_DO28"/>
        <s v="ID_DO31"/>
        <s v="ID_DO32"/>
        <s v="ID_DO34"/>
        <s v="ID_DO38"/>
        <s v="ID_DO39"/>
        <s v="ID_DO40"/>
        <s v="ID_DO44"/>
        <s v="ID_DO45"/>
        <s v="ID_DO46"/>
        <s v="ID_DO50"/>
        <s v="ID_DO51"/>
        <s v="ID_DO52"/>
        <s v="ID_DO58"/>
        <s v="ID_DP04"/>
        <s v="ID_DP09"/>
        <s v="ID_DP10"/>
        <s v="ID_DP11"/>
        <s v="ID_DP13"/>
        <s v="ID_DP15"/>
        <s v="ID_DP21"/>
        <s v="ID_DP22"/>
        <s v="ID_DP23"/>
        <s v="ID_DP25"/>
        <s v="ID_DP27"/>
        <s v="ID_DP31"/>
        <s v="ID_DP33"/>
        <s v="ID_DP38"/>
        <s v="ID_DP39"/>
        <s v="ID_DP45"/>
        <s v="ID_DP52"/>
        <s v="ID_DP56"/>
        <s v="ID_DP59"/>
        <s v="ID_DQ07"/>
        <s v="ID_DQ08"/>
        <s v="ID_DQ09"/>
        <s v="ID_DQ10"/>
        <s v="ID_DQ11"/>
        <s v="ID_DQ13"/>
        <s v="ID_DQ15"/>
        <s v="ID_DQ19"/>
        <s v="ID_DQ20"/>
        <s v="ID_DQ22"/>
        <s v="ID_DQ23"/>
        <s v="ID_DQ25"/>
        <s v="ID_DQ26"/>
        <s v="ID_DQ28"/>
        <s v="ID_DQ31"/>
        <s v="ID_DQ32"/>
        <s v="ID_DQ33"/>
        <s v="ID_DQ39"/>
        <s v="ID_DQ40"/>
        <s v="ID_DQ45"/>
        <s v="ID_DQ51"/>
        <s v="ID_DQ52"/>
        <s v="ID_DQ55"/>
        <s v="ID_DQ56"/>
        <s v="ID_DQ57"/>
        <s v="ID_DQ59"/>
        <s v="ID_DR01"/>
        <s v="ID_DR04"/>
        <s v="ID_DR07"/>
        <s v="ID_DR09"/>
        <s v="ID_DR14"/>
        <s v="ID_DR15"/>
        <s v="ID_DR19"/>
        <s v="ID_DR21"/>
        <s v="ID_DR22"/>
        <s v="ID_DR23"/>
        <s v="ID_DR25"/>
        <s v="ID_DR27"/>
        <s v="ID_DR31"/>
        <s v="ID_DR32"/>
        <s v="ID_DR35"/>
        <s v="ID_DR40"/>
        <s v="ID_DR43"/>
        <s v="ID_DR44"/>
        <s v="ID_DR45"/>
        <s v="ID_DR46"/>
        <s v="ID_DR47"/>
        <s v="ID_DR51"/>
        <s v="ID_DR52"/>
        <s v="ID_DR55"/>
        <s v="ID_DR56"/>
        <s v="ID_DR58"/>
        <s v="ID_DR59"/>
        <s v="ID_DS01"/>
        <s v="ID_DS02"/>
        <s v="ID_DS03"/>
        <s v="ID_DS08"/>
        <s v="ID_DS09"/>
        <s v="ID_DS10"/>
        <s v="ID_DS11"/>
        <s v="ID_DS16"/>
        <s v="ID_DS25"/>
        <s v="ID_DS26"/>
        <s v="ID_DS28"/>
        <s v="ID_DS31"/>
        <s v="ID_DS32"/>
        <s v="ID_DS33"/>
        <s v="ID_DS34"/>
        <s v="ID_DS35"/>
        <s v="ID_DS39"/>
        <s v="ID_DS40"/>
        <s v="ID_DS43"/>
        <s v="ID_DS44"/>
        <s v="ID_DS47"/>
        <s v="ID_DS51"/>
        <s v="ID_DS52"/>
        <s v="ID_DS55"/>
        <s v="ID_DS57"/>
        <s v="ID_DS59"/>
        <s v="ID_DT03"/>
        <s v="ID_DT07"/>
        <s v="ID_DT08"/>
        <s v="ID_DT09"/>
        <s v="ID_DT11"/>
        <s v="ID_DT14"/>
        <s v="ID_DT16"/>
        <s v="ID_DT19"/>
        <s v="ID_DT20"/>
        <s v="ID_DT21"/>
        <s v="ID_DT22"/>
        <s v="ID_DT26"/>
        <s v="ID_DT27"/>
        <s v="ID_DT32"/>
        <s v="ID_DT40"/>
        <s v="ID_DT46"/>
        <s v="ID_DT47"/>
        <s v="ID_DT49"/>
        <s v="ID_DT50"/>
        <s v="ID_DT55"/>
        <s v="ID_DT56"/>
        <s v="ID_DT57"/>
        <s v="ID_DT58"/>
        <s v="ID_DT59"/>
        <s v="ID_DU01"/>
        <s v="ID_DU08"/>
        <s v="ID_DU09"/>
        <s v="ID_DU11"/>
        <s v="ID_DU14"/>
        <s v="ID_DU19"/>
        <s v="ID_DU20"/>
        <s v="ID_DU21"/>
        <s v="ID_DU23"/>
        <s v="ID_DU25"/>
        <s v="ID_DU26"/>
        <s v="ID_DU27"/>
        <s v="ID_DU28"/>
        <s v="ID_DU32"/>
        <s v="ID_DU33"/>
        <s v="ID_DU34"/>
        <s v="ID_DU35"/>
        <s v="ID_DU37"/>
        <s v="ID_DU38"/>
        <s v="ID_DU39"/>
        <s v="ID_DU43"/>
        <s v="ID_DU44"/>
        <s v="ID_DU45"/>
        <s v="ID_DU46"/>
        <s v="ID_DU50"/>
        <s v="ID_DU51"/>
        <s v="ID_DU52"/>
        <s v="ID_DU55"/>
        <s v="ID_DU56"/>
        <s v="ID_DU57"/>
        <s v="ID_DU58"/>
        <s v="ID_DU59"/>
        <s v="ID_DV01"/>
        <s v="ID_DV02"/>
        <s v="ID_DV03"/>
        <s v="ID_DV04"/>
        <s v="ID_DV07"/>
        <s v="ID_DV08"/>
        <s v="ID_DV13"/>
        <s v="ID_DV15"/>
        <s v="ID_DV20"/>
        <s v="ID_DV21"/>
        <s v="ID_DV23"/>
        <s v="ID_DV26"/>
        <s v="ID_DV28"/>
        <s v="ID_DV37"/>
        <s v="ID_DV38"/>
        <s v="ID_DV43"/>
        <s v="ID_DV45"/>
        <s v="ID_DV49"/>
        <s v="ID_DV51"/>
        <s v="ID_DV55"/>
        <s v="ID_DV56"/>
        <s v="ID_DV57"/>
        <s v="ID_DW01"/>
        <s v="ID_DW02"/>
        <s v="ID_DW04"/>
        <s v="ID_DW07"/>
        <s v="ID_DW08"/>
        <s v="ID_DW09"/>
        <s v="ID_DW11"/>
        <s v="ID_DW13"/>
        <s v="ID_DW15"/>
        <s v="ID_DW16"/>
        <s v="ID_DW19"/>
        <s v="ID_DW20"/>
        <s v="ID_DW21"/>
        <s v="ID_DW22"/>
        <s v="ID_DW25"/>
        <s v="ID_DW26"/>
        <s v="ID_DW27"/>
        <s v="ID_DW28"/>
        <s v="ID_DW31"/>
        <s v="ID_DW34"/>
        <s v="ID_DW37"/>
        <s v="ID_DW38"/>
        <s v="ID_DW39"/>
        <s v="ID_DW45"/>
        <s v="ID_DW49"/>
        <s v="ID_DW51"/>
        <s v="ID_DW52"/>
        <s v="ID_DW55"/>
        <s v="ID_DW56"/>
        <s v="ID_DX01"/>
        <s v="ID_DX03"/>
        <s v="ID_DX04"/>
        <s v="ID_DX07"/>
        <s v="ID_DX09"/>
        <s v="ID_DX10"/>
        <s v="ID_DX13"/>
        <s v="ID_DX15"/>
        <s v="ID_DX20"/>
        <s v="ID_DX21"/>
        <s v="ID_DX25"/>
        <s v="ID_DX26"/>
        <s v="ID_DX28"/>
        <s v="ID_DX31"/>
        <s v="ID_DX33"/>
        <s v="ID_DX34"/>
        <s v="ID_DX37"/>
        <s v="ID_DX39"/>
        <s v="ID_DX44"/>
        <s v="ID_DX45"/>
        <s v="ID_DX46"/>
        <s v="ID_DX47"/>
        <s v="ID_DX49"/>
        <s v="ID_DX50"/>
        <s v="ID_DX56"/>
        <s v="ID_DX57"/>
        <s v="ID_DX58"/>
        <s v="ID_DX59"/>
        <s v="ID_DY02"/>
        <s v="ID_DY03"/>
        <s v="ID_DY04"/>
        <s v="ID_DY07"/>
        <s v="ID_DY08"/>
        <s v="ID_DY10"/>
        <s v="ID_DY15"/>
        <s v="ID_DY16"/>
        <s v="ID_DY21"/>
        <s v="ID_DY25"/>
        <s v="ID_DY26"/>
        <s v="ID_DY27"/>
        <s v="ID_DY31"/>
        <s v="ID_DY33"/>
        <s v="ID_DY34"/>
        <s v="ID_DY35"/>
        <s v="ID_DY37"/>
        <s v="ID_DY39"/>
        <s v="ID_DY44"/>
        <s v="ID_DY45"/>
        <s v="ID_DY46"/>
        <s v="ID_DY47"/>
        <s v="ID_DY49"/>
        <s v="ID_DY50"/>
        <s v="ID_DY51"/>
        <s v="ID_DY55"/>
        <s v="ID_DY56"/>
        <s v="ID_DZ01"/>
        <s v="ID_DZ02"/>
        <s v="ID_DZ07"/>
        <s v="ID_DZ08"/>
        <s v="ID_DZ10"/>
        <s v="ID_DZ14"/>
        <s v="ID_DZ15"/>
        <s v="ID_DZ16"/>
        <s v="ID_DZ19"/>
        <s v="ID_DZ20"/>
        <s v="ID_DZ21"/>
        <s v="ID_DZ22"/>
        <s v="ID_DZ25"/>
        <s v="ID_DZ26"/>
        <s v="ID_DZ31"/>
        <s v="ID_DZ33"/>
        <s v="ID_DZ35"/>
        <s v="ID_DZ37"/>
        <s v="ID_DZ38"/>
        <s v="ID_DZ39"/>
        <s v="ID_DZ40"/>
        <s v="ID_DZ43"/>
        <s v="ID_DZ49"/>
        <s v="ID_DZ50"/>
        <s v="ID_DZ51"/>
        <s v="ID_DZ52"/>
        <s v="ID_DZ55"/>
        <s v="ID_DZ56"/>
        <s v="ID_DZ58"/>
        <s v="ID_RA24"/>
        <s v="ID_RA59"/>
        <s v="ID_RB01"/>
        <s v="ID_RB25"/>
        <s v="ID_RB48"/>
        <s v="ID_RC01"/>
        <s v="ID_RC25"/>
        <s v="ID_RC36"/>
        <s v="ID_RC49"/>
        <s v="ID_RD12"/>
        <s v="ID_RD13"/>
        <s v="ID_RD24"/>
        <s v="ID_RD25"/>
        <s v="ID_RE12"/>
        <s v="ID_RE13"/>
        <s v="ID_RE15"/>
        <s v="ID_RE25"/>
        <s v="ID_RE48"/>
        <s v="ID_RE49"/>
        <s v="ID_RF01"/>
        <s v="ID_RF03"/>
        <s v="ID_RF23"/>
        <s v="ID_RF25"/>
        <s v="ID_RF27"/>
        <s v="ID_RF36"/>
        <s v="ID_RG01"/>
        <s v="ID_RG03"/>
        <s v="ID_RG13"/>
        <s v="ID_RG23"/>
        <s v="ID_RG36"/>
        <s v="ID_RG48"/>
        <s v="ID_RG49"/>
        <s v="ID_RH01"/>
        <s v="ID_RH11"/>
        <s v="ID_RH25"/>
        <s v="ID_RH39"/>
        <s v="ID_RH51"/>
        <s v="ID_RI01"/>
        <s v="ID_RI03"/>
        <s v="ID_RI11"/>
        <s v="ID_RI23"/>
        <s v="ID_RI25"/>
        <s v="ID_RI37"/>
        <s v="ID_RI39"/>
        <s v="ID_RI51"/>
        <s v="ID_RI59"/>
        <s v="ID_RJ01"/>
        <s v="ID_RJ23"/>
        <s v="ID_RJ37"/>
        <s v="ID_RJ39"/>
        <s v="ID_RJ47"/>
        <s v="ID_RJ59"/>
        <s v="ID_RK12"/>
        <s v="ID_RK13"/>
        <s v="ID_RK23"/>
        <s v="ID_RK35"/>
        <s v="ID_RK37"/>
        <s v="ID_RK39"/>
        <s v="ID_RK49"/>
        <s v="ID_RK59"/>
        <s v="ID_RL01"/>
        <s v="ID_RL11"/>
        <s v="ID_RL35"/>
        <s v="ID_RL37"/>
        <s v="ID_RL47"/>
        <s v="ID_RM23"/>
        <s v="ID_RM35"/>
        <s v="ID_RM37"/>
        <s v="ID_RM47"/>
        <s v="ID_RM48"/>
        <s v="ID_RM59"/>
        <s v="ID_RN36"/>
        <s v="ID_RN47"/>
        <s v="ID_RN59"/>
        <s v="ID_RP35"/>
        <s v="ID_RQ35"/>
        <s v="ID_RY23"/>
        <s v="ID_RZ11"/>
        <s v="ID_RZ24"/>
        <m/>
      </sharedItems>
    </cacheField>
    <cacheField name="タイプ" numFmtId="0">
      <sharedItems containsBlank="1" count="12">
        <s v="その他"/>
        <s v="缶類"/>
        <s v="日用品"/>
        <s v="冷凍食品"/>
        <s v="青果物"/>
        <s v="スナック食品"/>
        <m/>
        <s v="肉類"/>
        <s v="魚介類"/>
        <s v="パン類"/>
        <s v="ソフトドリンク"/>
        <s v="アルコール類"/>
      </sharedItems>
    </cacheField>
    <cacheField name="価格表示" numFmtId="0">
      <sharedItems containsBlank="1" count="5">
        <s v="定価"/>
        <s v="割引価格"/>
        <s v="割引"/>
        <s v="通常価格"/>
        <m/>
      </sharedItems>
    </cacheField>
    <cacheField name="売上個数" numFmtId="0">
      <sharedItems containsString="0" containsBlank="1" containsNumber="1" containsInteger="1" minValue="2" maxValue="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goMiyoshi" refreshedDate="43965.448689467594" createdVersion="6" refreshedVersion="6" minRefreshableVersion="3" recordCount="683" xr:uid="{29CC179E-A77F-4F84-A33E-2D3736A50005}">
  <cacheSource type="worksheet">
    <worksheetSource ref="B1:D1048576" sheet="chap3-3_answer" r:id="rId2"/>
  </cacheSource>
  <cacheFields count="3">
    <cacheField name="タイプ" numFmtId="0">
      <sharedItems containsBlank="1" count="12">
        <s v="パン類"/>
        <s v="缶類"/>
        <s v="日用品"/>
        <s v="冷凍食品"/>
        <s v="青果物"/>
        <m/>
        <s v="アルコール類"/>
        <s v="肉類"/>
        <s v="その他"/>
        <s v="魚介類"/>
        <s v="スナック食品"/>
        <s v="ソフトドリンク"/>
      </sharedItems>
    </cacheField>
    <cacheField name="価格表示" numFmtId="0">
      <sharedItems containsBlank="1" count="5">
        <s v="定価"/>
        <s v="割引"/>
        <s v="通常価格"/>
        <s v="割引価格"/>
        <m/>
      </sharedItems>
    </cacheField>
    <cacheField name="売上個数" numFmtId="0">
      <sharedItems containsString="0" containsBlank="1" containsNumber="1" containsInteger="1" minValue="2" maxValue="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goMiyoshi" refreshedDate="43965.647970370374" createdVersion="6" refreshedVersion="6" minRefreshableVersion="3" recordCount="683" xr:uid="{D27FA897-90C5-45DF-B3C9-AF1CA0368F52}">
  <cacheSource type="worksheet">
    <worksheetSource ref="A1:B1048576" sheet="chap5-1-1_answer" r:id="rId2"/>
  </cacheSource>
  <cacheFields count="2">
    <cacheField name="商品ID" numFmtId="0">
      <sharedItems containsBlank="1"/>
    </cacheField>
    <cacheField name="タイプ" numFmtId="0">
      <sharedItems containsBlank="1" count="12">
        <s v="パン類"/>
        <s v="缶類"/>
        <s v="日用品"/>
        <s v="冷凍食品"/>
        <s v="青果物"/>
        <m/>
        <s v="アルコール類"/>
        <s v="肉類"/>
        <s v="その他"/>
        <s v="魚介類"/>
        <s v="スナック食品"/>
        <s v="ソフトドリンク"/>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goMiyoshi" refreshedDate="43965.675310300925" createdVersion="6" refreshedVersion="6" minRefreshableVersion="3" recordCount="684" xr:uid="{4BB09124-4B06-46DE-B027-42EEC001F608}">
  <cacheSource type="worksheet">
    <worksheetSource ref="A1:B1048576" sheet="chap5-2_answer" r:id="rId2"/>
  </cacheSource>
  <cacheFields count="2">
    <cacheField name="商品ID" numFmtId="0">
      <sharedItems containsBlank="1"/>
    </cacheField>
    <cacheField name="価格表示" numFmtId="0">
      <sharedItems containsBlank="1" count="5">
        <s v="定価"/>
        <s v="割引価格"/>
        <s v="割引"/>
        <s v="通常価格"/>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石黒将太郎" refreshedDate="46014.646063425927" createdVersion="8" refreshedVersion="8" minRefreshableVersion="3" recordCount="682" xr:uid="{B5D094E4-3EA7-42B3-981E-11F1222AAD10}">
  <cacheSource type="worksheet">
    <worksheetSource ref="A1:C683" sheet="CP5_2"/>
  </cacheSource>
  <cacheFields count="3">
    <cacheField name="商品ID" numFmtId="0">
      <sharedItems count="682">
        <s v="ID_CI31"/>
        <s v="ID_CJ19"/>
        <s v="ID_CJ31"/>
        <s v="ID_CK31"/>
        <s v="ID_CL07"/>
        <s v="ID_CL31"/>
        <s v="ID_CM07"/>
        <s v="ID_CM19"/>
        <s v="ID_CM43"/>
        <s v="ID_CN14"/>
        <s v="ID_CN43"/>
        <s v="ID_CO02"/>
        <s v="ID_CO55"/>
        <s v="ID_CP50"/>
        <s v="ID_CQ43"/>
        <s v="ID_DA01"/>
        <s v="ID_DA02"/>
        <s v="ID_DA03"/>
        <s v="ID_DA04"/>
        <s v="ID_DA07"/>
        <s v="ID_DA08"/>
        <s v="ID_DA10"/>
        <s v="ID_DA13"/>
        <s v="ID_DA15"/>
        <s v="ID_DA16"/>
        <s v="ID_DA20"/>
        <s v="ID_DA26"/>
        <s v="ID_DA28"/>
        <s v="ID_DA39"/>
        <s v="ID_DA43"/>
        <s v="ID_DA44"/>
        <s v="ID_DA45"/>
        <s v="ID_DA46"/>
        <s v="ID_DA49"/>
        <s v="ID_DA50"/>
        <s v="ID_DA51"/>
        <s v="ID_DA52"/>
        <s v="ID_DA55"/>
        <s v="ID_DA56"/>
        <s v="ID_DA57"/>
        <s v="ID_DB02"/>
        <s v="ID_DB04"/>
        <s v="ID_DB05"/>
        <s v="ID_DB08"/>
        <s v="ID_DB14"/>
        <s v="ID_DB17"/>
        <s v="ID_DB21"/>
        <s v="ID_DB22"/>
        <s v="ID_DB26"/>
        <s v="ID_DB27"/>
        <s v="ID_DB32"/>
        <s v="ID_DB34"/>
        <s v="ID_DB38"/>
        <s v="ID_DB40"/>
        <s v="ID_DB44"/>
        <s v="ID_DB52"/>
        <s v="ID_DB53"/>
        <s v="ID_DB56"/>
        <s v="ID_DB57"/>
        <s v="ID_DB58"/>
        <s v="ID_DB59"/>
        <s v="ID_DC02"/>
        <s v="ID_DC04"/>
        <s v="ID_DC08"/>
        <s v="ID_DC10"/>
        <s v="ID_DC14"/>
        <s v="ID_DC16"/>
        <s v="ID_DC17"/>
        <s v="ID_DC28"/>
        <s v="ID_DC29"/>
        <s v="ID_DC32"/>
        <s v="ID_DC33"/>
        <s v="ID_DC41"/>
        <s v="ID_DC44"/>
        <s v="ID_DC45"/>
        <s v="ID_DC46"/>
        <s v="ID_DC50"/>
        <s v="ID_DC53"/>
        <s v="ID_DC58"/>
        <s v="ID_DD05"/>
        <s v="ID_DD08"/>
        <s v="ID_DD09"/>
        <s v="ID_DD10"/>
        <s v="ID_DD20"/>
        <s v="ID_DD26"/>
        <s v="ID_DD28"/>
        <s v="ID_DD29"/>
        <s v="ID_DD33"/>
        <s v="ID_DD38"/>
        <s v="ID_DD39"/>
        <s v="ID_DD40"/>
        <s v="ID_DD41"/>
        <s v="ID_DD46"/>
        <s v="ID_DD50"/>
        <s v="ID_DD51"/>
        <s v="ID_DD52"/>
        <s v="ID_DD53"/>
        <s v="ID_DD57"/>
        <s v="ID_DE02"/>
        <s v="ID_DE05"/>
        <s v="ID_DE08"/>
        <s v="ID_DE09"/>
        <s v="ID_DE10"/>
        <s v="ID_DE16"/>
        <s v="ID_DE21"/>
        <s v="ID_DE29"/>
        <s v="ID_DE32"/>
        <s v="ID_DE33"/>
        <s v="ID_DE38"/>
        <s v="ID_DE40"/>
        <s v="ID_DE46"/>
        <s v="ID_DE50"/>
        <s v="ID_DE51"/>
        <s v="ID_DE52"/>
        <s v="ID_DE53"/>
        <s v="ID_DE56"/>
        <s v="ID_DE57"/>
        <s v="ID_DE58"/>
        <s v="ID_DF05"/>
        <s v="ID_DF09"/>
        <s v="ID_DF16"/>
        <s v="ID_DF20"/>
        <s v="ID_DF21"/>
        <s v="ID_DF26"/>
        <s v="ID_DF28"/>
        <s v="ID_DF29"/>
        <s v="ID_DF33"/>
        <s v="ID_DF34"/>
        <s v="ID_DF40"/>
        <s v="ID_DF41"/>
        <s v="ID_DF44"/>
        <s v="ID_DF46"/>
        <s v="ID_DF50"/>
        <s v="ID_DF52"/>
        <s v="ID_DF56"/>
        <s v="ID_DF57"/>
        <s v="ID_DF58"/>
        <s v="ID_DG02"/>
        <s v="ID_DG05"/>
        <s v="ID_DG09"/>
        <s v="ID_DG10"/>
        <s v="ID_DG14"/>
        <s v="ID_DG17"/>
        <s v="ID_DG21"/>
        <s v="ID_DG22"/>
        <s v="ID_DG29"/>
        <s v="ID_DG31"/>
        <s v="ID_DG32"/>
        <s v="ID_DG33"/>
        <s v="ID_DG34"/>
        <s v="ID_DG38"/>
        <s v="ID_DG40"/>
        <s v="ID_DG44"/>
        <s v="ID_DG46"/>
        <s v="ID_DG52"/>
        <s v="ID_DG56"/>
        <s v="ID_DH02"/>
        <s v="ID_DH05"/>
        <s v="ID_DH08"/>
        <s v="ID_DH09"/>
        <s v="ID_DH10"/>
        <s v="ID_DH16"/>
        <s v="ID_DH19"/>
        <s v="ID_DH21"/>
        <s v="ID_DH26"/>
        <s v="ID_DH28"/>
        <s v="ID_DH31"/>
        <s v="ID_DH32"/>
        <s v="ID_DH33"/>
        <s v="ID_DH34"/>
        <s v="ID_DH40"/>
        <s v="ID_DH41"/>
        <s v="ID_DH50"/>
        <s v="ID_DH52"/>
        <s v="ID_DH57"/>
        <s v="ID_DI04"/>
        <s v="ID_DI07"/>
        <s v="ID_DI10"/>
        <s v="ID_DI14"/>
        <s v="ID_DI16"/>
        <s v="ID_DI19"/>
        <s v="ID_DI20"/>
        <s v="ID_DI21"/>
        <s v="ID_DI22"/>
        <s v="ID_DI26"/>
        <s v="ID_DI27"/>
        <s v="ID_DI28"/>
        <s v="ID_DI32"/>
        <s v="ID_DI33"/>
        <s v="ID_DI41"/>
        <s v="ID_DI44"/>
        <s v="ID_DI46"/>
        <s v="ID_DI50"/>
        <s v="ID_DI56"/>
        <s v="ID_DI57"/>
        <s v="ID_DJ07"/>
        <s v="ID_DJ10"/>
        <s v="ID_DJ15"/>
        <s v="ID_DJ21"/>
        <s v="ID_DJ22"/>
        <s v="ID_DJ26"/>
        <s v="ID_DJ28"/>
        <s v="ID_DJ32"/>
        <s v="ID_DJ33"/>
        <s v="ID_DJ34"/>
        <s v="ID_DJ40"/>
        <s v="ID_DJ44"/>
        <s v="ID_DJ45"/>
        <s v="ID_DJ46"/>
        <s v="ID_DJ53"/>
        <s v="ID_DJ55"/>
        <s v="ID_DJ56"/>
        <s v="ID_DJ58"/>
        <s v="ID_DK03"/>
        <s v="ID_DK04"/>
        <s v="ID_DK08"/>
        <s v="ID_DK09"/>
        <s v="ID_DK10"/>
        <s v="ID_DK15"/>
        <s v="ID_DK16"/>
        <s v="ID_DK20"/>
        <s v="ID_DK22"/>
        <s v="ID_DK27"/>
        <s v="ID_DK28"/>
        <s v="ID_DK32"/>
        <s v="ID_DK33"/>
        <s v="ID_DK34"/>
        <s v="ID_DK38"/>
        <s v="ID_DK40"/>
        <s v="ID_DK41"/>
        <s v="ID_DK44"/>
        <s v="ID_DK51"/>
        <s v="ID_DK52"/>
        <s v="ID_DK57"/>
        <s v="ID_DK58"/>
        <s v="ID_DL03"/>
        <s v="ID_DL04"/>
        <s v="ID_DL08"/>
        <s v="ID_DL09"/>
        <s v="ID_DL10"/>
        <s v="ID_DL20"/>
        <s v="ID_DL22"/>
        <s v="ID_DL26"/>
        <s v="ID_DL33"/>
        <s v="ID_DL34"/>
        <s v="ID_DL38"/>
        <s v="ID_DL39"/>
        <s v="ID_DL40"/>
        <s v="ID_DL43"/>
        <s v="ID_DL44"/>
        <s v="ID_DL45"/>
        <s v="ID_DL46"/>
        <s v="ID_DL52"/>
        <s v="ID_DL56"/>
        <s v="ID_DM03"/>
        <s v="ID_DM10"/>
        <s v="ID_DM14"/>
        <s v="ID_DM15"/>
        <s v="ID_DM20"/>
        <s v="ID_DM21"/>
        <s v="ID_DM22"/>
        <s v="ID_DM27"/>
        <s v="ID_DM34"/>
        <s v="ID_DM39"/>
        <s v="ID_DM46"/>
        <s v="ID_DM50"/>
        <s v="ID_DM56"/>
        <s v="ID_DM58"/>
        <s v="ID_DN02"/>
        <s v="ID_DN03"/>
        <s v="ID_DN04"/>
        <s v="ID_DN08"/>
        <s v="ID_DN09"/>
        <s v="ID_DN10"/>
        <s v="ID_DN15"/>
        <s v="ID_DN20"/>
        <s v="ID_DN21"/>
        <s v="ID_DN23"/>
        <s v="ID_DN27"/>
        <s v="ID_DN32"/>
        <s v="ID_DN33"/>
        <s v="ID_DN34"/>
        <s v="ID_DN39"/>
        <s v="ID_DN44"/>
        <s v="ID_DN45"/>
        <s v="ID_DN50"/>
        <s v="ID_DN52"/>
        <s v="ID_DN56"/>
        <s v="ID_DN57"/>
        <s v="ID_DN58"/>
        <s v="ID_DO03"/>
        <s v="ID_DO04"/>
        <s v="ID_DO09"/>
        <s v="ID_DO10"/>
        <s v="ID_DO11"/>
        <s v="ID_DO15"/>
        <s v="ID_DO19"/>
        <s v="ID_DO23"/>
        <s v="ID_DO25"/>
        <s v="ID_DO27"/>
        <s v="ID_DO28"/>
        <s v="ID_DO31"/>
        <s v="ID_DO32"/>
        <s v="ID_DO34"/>
        <s v="ID_DO38"/>
        <s v="ID_DO39"/>
        <s v="ID_DO40"/>
        <s v="ID_DO44"/>
        <s v="ID_DO45"/>
        <s v="ID_DO46"/>
        <s v="ID_DO50"/>
        <s v="ID_DO51"/>
        <s v="ID_DO52"/>
        <s v="ID_DO58"/>
        <s v="ID_DP04"/>
        <s v="ID_DP09"/>
        <s v="ID_DP10"/>
        <s v="ID_DP11"/>
        <s v="ID_DP13"/>
        <s v="ID_DP15"/>
        <s v="ID_DP21"/>
        <s v="ID_DP22"/>
        <s v="ID_DP23"/>
        <s v="ID_DP25"/>
        <s v="ID_DP27"/>
        <s v="ID_DP31"/>
        <s v="ID_DP33"/>
        <s v="ID_DP38"/>
        <s v="ID_DP39"/>
        <s v="ID_DP45"/>
        <s v="ID_DP52"/>
        <s v="ID_DP56"/>
        <s v="ID_DP59"/>
        <s v="ID_DQ07"/>
        <s v="ID_DQ08"/>
        <s v="ID_DQ09"/>
        <s v="ID_DQ10"/>
        <s v="ID_DQ11"/>
        <s v="ID_DQ13"/>
        <s v="ID_DQ15"/>
        <s v="ID_DQ19"/>
        <s v="ID_DQ20"/>
        <s v="ID_DQ22"/>
        <s v="ID_DQ23"/>
        <s v="ID_DQ25"/>
        <s v="ID_DQ26"/>
        <s v="ID_DQ28"/>
        <s v="ID_DQ31"/>
        <s v="ID_DQ32"/>
        <s v="ID_DQ33"/>
        <s v="ID_DQ39"/>
        <s v="ID_DQ40"/>
        <s v="ID_DQ45"/>
        <s v="ID_DQ51"/>
        <s v="ID_DQ52"/>
        <s v="ID_DQ55"/>
        <s v="ID_DQ56"/>
        <s v="ID_DQ57"/>
        <s v="ID_DQ59"/>
        <s v="ID_DR01"/>
        <s v="ID_DR04"/>
        <s v="ID_DR07"/>
        <s v="ID_DR09"/>
        <s v="ID_DR14"/>
        <s v="ID_DR15"/>
        <s v="ID_DR19"/>
        <s v="ID_DR21"/>
        <s v="ID_DR22"/>
        <s v="ID_DR23"/>
        <s v="ID_DR25"/>
        <s v="ID_DR27"/>
        <s v="ID_DR31"/>
        <s v="ID_DR32"/>
        <s v="ID_DR35"/>
        <s v="ID_DR40"/>
        <s v="ID_DR43"/>
        <s v="ID_DR44"/>
        <s v="ID_DR45"/>
        <s v="ID_DR46"/>
        <s v="ID_DR47"/>
        <s v="ID_DR51"/>
        <s v="ID_DR52"/>
        <s v="ID_DR55"/>
        <s v="ID_DR56"/>
        <s v="ID_DR58"/>
        <s v="ID_DR59"/>
        <s v="ID_DS01"/>
        <s v="ID_DS02"/>
        <s v="ID_DS03"/>
        <s v="ID_DS08"/>
        <s v="ID_DS09"/>
        <s v="ID_DS10"/>
        <s v="ID_DS11"/>
        <s v="ID_DS16"/>
        <s v="ID_DS25"/>
        <s v="ID_DS26"/>
        <s v="ID_DS28"/>
        <s v="ID_DS31"/>
        <s v="ID_DS32"/>
        <s v="ID_DS33"/>
        <s v="ID_DS34"/>
        <s v="ID_DS35"/>
        <s v="ID_DS39"/>
        <s v="ID_DS40"/>
        <s v="ID_DS43"/>
        <s v="ID_DS44"/>
        <s v="ID_DS47"/>
        <s v="ID_DS51"/>
        <s v="ID_DS52"/>
        <s v="ID_DS55"/>
        <s v="ID_DS57"/>
        <s v="ID_DS59"/>
        <s v="ID_DT03"/>
        <s v="ID_DT07"/>
        <s v="ID_DT08"/>
        <s v="ID_DT09"/>
        <s v="ID_DT11"/>
        <s v="ID_DT14"/>
        <s v="ID_DT16"/>
        <s v="ID_DT19"/>
        <s v="ID_DT20"/>
        <s v="ID_DT21"/>
        <s v="ID_DT22"/>
        <s v="ID_DT26"/>
        <s v="ID_DT27"/>
        <s v="ID_DT32"/>
        <s v="ID_DT40"/>
        <s v="ID_DT46"/>
        <s v="ID_DT47"/>
        <s v="ID_DT49"/>
        <s v="ID_DT50"/>
        <s v="ID_DT55"/>
        <s v="ID_DT56"/>
        <s v="ID_DT57"/>
        <s v="ID_DT58"/>
        <s v="ID_DT59"/>
        <s v="ID_DU01"/>
        <s v="ID_DU08"/>
        <s v="ID_DU09"/>
        <s v="ID_DU11"/>
        <s v="ID_DU14"/>
        <s v="ID_DU19"/>
        <s v="ID_DU20"/>
        <s v="ID_DU21"/>
        <s v="ID_DU23"/>
        <s v="ID_DU25"/>
        <s v="ID_DU26"/>
        <s v="ID_DU27"/>
        <s v="ID_DU28"/>
        <s v="ID_DU32"/>
        <s v="ID_DU33"/>
        <s v="ID_DU34"/>
        <s v="ID_DU35"/>
        <s v="ID_DU37"/>
        <s v="ID_DU38"/>
        <s v="ID_DU39"/>
        <s v="ID_DU43"/>
        <s v="ID_DU44"/>
        <s v="ID_DU45"/>
        <s v="ID_DU46"/>
        <s v="ID_DU50"/>
        <s v="ID_DU51"/>
        <s v="ID_DU52"/>
        <s v="ID_DU55"/>
        <s v="ID_DU56"/>
        <s v="ID_DU57"/>
        <s v="ID_DU58"/>
        <s v="ID_DU59"/>
        <s v="ID_DV01"/>
        <s v="ID_DV02"/>
        <s v="ID_DV03"/>
        <s v="ID_DV04"/>
        <s v="ID_DV07"/>
        <s v="ID_DV08"/>
        <s v="ID_DV13"/>
        <s v="ID_DV15"/>
        <s v="ID_DV20"/>
        <s v="ID_DV21"/>
        <s v="ID_DV23"/>
        <s v="ID_DV26"/>
        <s v="ID_DV28"/>
        <s v="ID_DV37"/>
        <s v="ID_DV38"/>
        <s v="ID_DV43"/>
        <s v="ID_DV45"/>
        <s v="ID_DV49"/>
        <s v="ID_DV51"/>
        <s v="ID_DV55"/>
        <s v="ID_DV56"/>
        <s v="ID_DV57"/>
        <s v="ID_DW01"/>
        <s v="ID_DW02"/>
        <s v="ID_DW04"/>
        <s v="ID_DW07"/>
        <s v="ID_DW08"/>
        <s v="ID_DW09"/>
        <s v="ID_DW11"/>
        <s v="ID_DW13"/>
        <s v="ID_DW15"/>
        <s v="ID_DW16"/>
        <s v="ID_DW19"/>
        <s v="ID_DW20"/>
        <s v="ID_DW21"/>
        <s v="ID_DW22"/>
        <s v="ID_DW25"/>
        <s v="ID_DW26"/>
        <s v="ID_DW27"/>
        <s v="ID_DW28"/>
        <s v="ID_DW31"/>
        <s v="ID_DW34"/>
        <s v="ID_DW37"/>
        <s v="ID_DW38"/>
        <s v="ID_DW39"/>
        <s v="ID_DW45"/>
        <s v="ID_DW49"/>
        <s v="ID_DW51"/>
        <s v="ID_DW52"/>
        <s v="ID_DW55"/>
        <s v="ID_DW56"/>
        <s v="ID_DX01"/>
        <s v="ID_DX03"/>
        <s v="ID_DX04"/>
        <s v="ID_DX07"/>
        <s v="ID_DX09"/>
        <s v="ID_DX10"/>
        <s v="ID_DX13"/>
        <s v="ID_DX15"/>
        <s v="ID_DX20"/>
        <s v="ID_DX21"/>
        <s v="ID_DX25"/>
        <s v="ID_DX26"/>
        <s v="ID_DX28"/>
        <s v="ID_DX31"/>
        <s v="ID_DX33"/>
        <s v="ID_DX34"/>
        <s v="ID_DX37"/>
        <s v="ID_DX39"/>
        <s v="ID_DX44"/>
        <s v="ID_DX45"/>
        <s v="ID_DX46"/>
        <s v="ID_DX47"/>
        <s v="ID_DX49"/>
        <s v="ID_DX50"/>
        <s v="ID_DX56"/>
        <s v="ID_DX57"/>
        <s v="ID_DX58"/>
        <s v="ID_DX59"/>
        <s v="ID_DY02"/>
        <s v="ID_DY03"/>
        <s v="ID_DY04"/>
        <s v="ID_DY07"/>
        <s v="ID_DY08"/>
        <s v="ID_DY10"/>
        <s v="ID_DY15"/>
        <s v="ID_DY16"/>
        <s v="ID_DY21"/>
        <s v="ID_DY25"/>
        <s v="ID_DY26"/>
        <s v="ID_DY27"/>
        <s v="ID_DY31"/>
        <s v="ID_DY33"/>
        <s v="ID_DY34"/>
        <s v="ID_DY35"/>
        <s v="ID_DY37"/>
        <s v="ID_DY39"/>
        <s v="ID_DY44"/>
        <s v="ID_DY45"/>
        <s v="ID_DY46"/>
        <s v="ID_DY47"/>
        <s v="ID_DY49"/>
        <s v="ID_DY50"/>
        <s v="ID_DY51"/>
        <s v="ID_DY55"/>
        <s v="ID_DY56"/>
        <s v="ID_DZ01"/>
        <s v="ID_DZ02"/>
        <s v="ID_DZ07"/>
        <s v="ID_DZ08"/>
        <s v="ID_DZ10"/>
        <s v="ID_DZ14"/>
        <s v="ID_DZ15"/>
        <s v="ID_DZ16"/>
        <s v="ID_DZ19"/>
        <s v="ID_DZ20"/>
        <s v="ID_DZ21"/>
        <s v="ID_DZ22"/>
        <s v="ID_DZ25"/>
        <s v="ID_DZ26"/>
        <s v="ID_DZ31"/>
        <s v="ID_DZ33"/>
        <s v="ID_DZ35"/>
        <s v="ID_DZ37"/>
        <s v="ID_DZ38"/>
        <s v="ID_DZ39"/>
        <s v="ID_DZ40"/>
        <s v="ID_DZ43"/>
        <s v="ID_DZ49"/>
        <s v="ID_DZ50"/>
        <s v="ID_DZ51"/>
        <s v="ID_DZ52"/>
        <s v="ID_DZ55"/>
        <s v="ID_DZ56"/>
        <s v="ID_DZ58"/>
        <s v="ID_RA24"/>
        <s v="ID_RA59"/>
        <s v="ID_RB01"/>
        <s v="ID_RB25"/>
        <s v="ID_RB48"/>
        <s v="ID_RC01"/>
        <s v="ID_RC25"/>
        <s v="ID_RC36"/>
        <s v="ID_RC49"/>
        <s v="ID_RD12"/>
        <s v="ID_RD13"/>
        <s v="ID_RD24"/>
        <s v="ID_RD25"/>
        <s v="ID_RE12"/>
        <s v="ID_RE13"/>
        <s v="ID_RE15"/>
        <s v="ID_RE25"/>
        <s v="ID_RE48"/>
        <s v="ID_RE49"/>
        <s v="ID_RF01"/>
        <s v="ID_RF03"/>
        <s v="ID_RF23"/>
        <s v="ID_RF25"/>
        <s v="ID_RF27"/>
        <s v="ID_RF36"/>
        <s v="ID_RG01"/>
        <s v="ID_RG03"/>
        <s v="ID_RG13"/>
        <s v="ID_RG23"/>
        <s v="ID_RG36"/>
        <s v="ID_RG48"/>
        <s v="ID_RG49"/>
        <s v="ID_RH01"/>
        <s v="ID_RH11"/>
        <s v="ID_RH25"/>
        <s v="ID_RH39"/>
        <s v="ID_RH51"/>
        <s v="ID_RI01"/>
        <s v="ID_RI03"/>
        <s v="ID_RI11"/>
        <s v="ID_RI23"/>
        <s v="ID_RI25"/>
        <s v="ID_RI37"/>
        <s v="ID_RI39"/>
        <s v="ID_RI51"/>
        <s v="ID_RI59"/>
        <s v="ID_RJ01"/>
        <s v="ID_RJ23"/>
        <s v="ID_RJ37"/>
        <s v="ID_RJ39"/>
        <s v="ID_RJ47"/>
        <s v="ID_RJ59"/>
        <s v="ID_RK12"/>
        <s v="ID_RK13"/>
        <s v="ID_RK23"/>
        <s v="ID_RK35"/>
        <s v="ID_RK37"/>
        <s v="ID_RK39"/>
        <s v="ID_RK49"/>
        <s v="ID_RK59"/>
        <s v="ID_RL01"/>
        <s v="ID_RL11"/>
        <s v="ID_RL35"/>
        <s v="ID_RL37"/>
        <s v="ID_RL47"/>
        <s v="ID_RM23"/>
        <s v="ID_RM35"/>
        <s v="ID_RM37"/>
        <s v="ID_RM47"/>
        <s v="ID_RM48"/>
        <s v="ID_RM59"/>
        <s v="ID_RN36"/>
        <s v="ID_RN47"/>
        <s v="ID_RN59"/>
        <s v="ID_RP35"/>
        <s v="ID_RQ35"/>
        <s v="ID_RY23"/>
        <s v="ID_RZ11"/>
        <s v="ID_RZ24"/>
      </sharedItems>
    </cacheField>
    <cacheField name="価格表示" numFmtId="0">
      <sharedItems/>
    </cacheField>
    <cacheField name="価格表示_修正後" numFmtId="0">
      <sharedItems count="2">
        <s v="定価"/>
        <s v="割引"/>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goMiyoshi" refreshedDate="43965.743954513891" createdVersion="6" refreshedVersion="6" minRefreshableVersion="3" recordCount="683" xr:uid="{DAB6BD95-F97A-416F-B611-3F4B367CE6F2}">
  <cacheSource type="worksheet">
    <worksheetSource ref="B1:B1048576" sheet="chap5-4_answer" r:id="rId2"/>
  </cacheSource>
  <cacheFields count="1">
    <cacheField name="タイプ" numFmtId="0">
      <sharedItems containsBlank="1" count="12">
        <s v="その他"/>
        <s v="缶類"/>
        <s v="日用品"/>
        <s v="冷凍食品"/>
        <s v="青果物"/>
        <s v="スナック食品"/>
        <s v="肉類"/>
        <s v="魚介類"/>
        <s v="パン類"/>
        <s v="ソフトドリンク"/>
        <s v="アルコール類"/>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goMiyoshi" refreshedDate="43965.744093981484" createdVersion="6" refreshedVersion="6" minRefreshableVersion="3" recordCount="683" xr:uid="{4603BD4C-6B5D-46F6-8FBB-96BBA2C08FF5}">
  <cacheSource type="worksheet">
    <worksheetSource ref="C1:C1048576" sheet="chap5-4_answer" r:id="rId2"/>
  </cacheSource>
  <cacheFields count="1">
    <cacheField name="価格表示" numFmtId="0">
      <sharedItems containsBlank="1" count="3">
        <s v="定価"/>
        <s v="割引"/>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x v="0"/>
    <x v="0"/>
    <n v="22"/>
  </r>
  <r>
    <x v="1"/>
    <x v="0"/>
    <x v="0"/>
    <n v="49"/>
  </r>
  <r>
    <x v="2"/>
    <x v="0"/>
    <x v="1"/>
    <n v="19"/>
  </r>
  <r>
    <x v="3"/>
    <x v="0"/>
    <x v="0"/>
    <n v="14"/>
  </r>
  <r>
    <x v="4"/>
    <x v="0"/>
    <x v="0"/>
    <n v="19"/>
  </r>
  <r>
    <x v="5"/>
    <x v="0"/>
    <x v="2"/>
    <n v="25"/>
  </r>
  <r>
    <x v="6"/>
    <x v="0"/>
    <x v="0"/>
    <n v="27"/>
  </r>
  <r>
    <x v="7"/>
    <x v="0"/>
    <x v="2"/>
    <n v="51"/>
  </r>
  <r>
    <x v="8"/>
    <x v="0"/>
    <x v="2"/>
    <n v="33"/>
  </r>
  <r>
    <x v="9"/>
    <x v="0"/>
    <x v="0"/>
    <n v="14"/>
  </r>
  <r>
    <x v="10"/>
    <x v="0"/>
    <x v="2"/>
    <n v="25"/>
  </r>
  <r>
    <x v="11"/>
    <x v="0"/>
    <x v="0"/>
    <n v="34"/>
  </r>
  <r>
    <x v="12"/>
    <x v="0"/>
    <x v="0"/>
    <n v="21"/>
  </r>
  <r>
    <x v="13"/>
    <x v="0"/>
    <x v="0"/>
    <n v="26"/>
  </r>
  <r>
    <x v="14"/>
    <x v="0"/>
    <x v="0"/>
    <n v="15"/>
  </r>
  <r>
    <x v="15"/>
    <x v="1"/>
    <x v="3"/>
    <n v="18"/>
  </r>
  <r>
    <x v="16"/>
    <x v="2"/>
    <x v="0"/>
    <n v="26"/>
  </r>
  <r>
    <x v="17"/>
    <x v="2"/>
    <x v="3"/>
    <n v="23"/>
  </r>
  <r>
    <x v="18"/>
    <x v="3"/>
    <x v="0"/>
    <n v="21"/>
  </r>
  <r>
    <x v="19"/>
    <x v="4"/>
    <x v="0"/>
    <n v="36"/>
  </r>
  <r>
    <x v="20"/>
    <x v="4"/>
    <x v="0"/>
    <n v="24"/>
  </r>
  <r>
    <x v="21"/>
    <x v="5"/>
    <x v="2"/>
    <n v="35"/>
  </r>
  <r>
    <x v="22"/>
    <x v="1"/>
    <x v="0"/>
    <n v="18"/>
  </r>
  <r>
    <x v="23"/>
    <x v="2"/>
    <x v="0"/>
    <n v="25"/>
  </r>
  <r>
    <x v="24"/>
    <x v="3"/>
    <x v="0"/>
    <n v="31"/>
  </r>
  <r>
    <x v="25"/>
    <x v="6"/>
    <x v="2"/>
    <n v="33"/>
  </r>
  <r>
    <x v="26"/>
    <x v="2"/>
    <x v="0"/>
    <n v="15"/>
  </r>
  <r>
    <x v="27"/>
    <x v="3"/>
    <x v="0"/>
    <n v="24"/>
  </r>
  <r>
    <x v="28"/>
    <x v="7"/>
    <x v="0"/>
    <n v="26"/>
  </r>
  <r>
    <x v="29"/>
    <x v="4"/>
    <x v="0"/>
    <n v="25"/>
  </r>
  <r>
    <x v="30"/>
    <x v="4"/>
    <x v="0"/>
    <n v="30"/>
  </r>
  <r>
    <x v="31"/>
    <x v="5"/>
    <x v="0"/>
    <n v="37"/>
  </r>
  <r>
    <x v="32"/>
    <x v="5"/>
    <x v="0"/>
    <n v="38"/>
  </r>
  <r>
    <x v="33"/>
    <x v="1"/>
    <x v="0"/>
    <n v="25"/>
  </r>
  <r>
    <x v="34"/>
    <x v="2"/>
    <x v="0"/>
    <n v="17"/>
  </r>
  <r>
    <x v="35"/>
    <x v="2"/>
    <x v="0"/>
    <n v="30"/>
  </r>
  <r>
    <x v="36"/>
    <x v="3"/>
    <x v="2"/>
    <n v="25"/>
  </r>
  <r>
    <x v="37"/>
    <x v="4"/>
    <x v="0"/>
    <n v="24"/>
  </r>
  <r>
    <x v="38"/>
    <x v="4"/>
    <x v="0"/>
    <n v="36"/>
  </r>
  <r>
    <x v="39"/>
    <x v="5"/>
    <x v="0"/>
    <n v="40"/>
  </r>
  <r>
    <x v="40"/>
    <x v="1"/>
    <x v="0"/>
    <n v="37"/>
  </r>
  <r>
    <x v="41"/>
    <x v="2"/>
    <x v="0"/>
    <n v="39"/>
  </r>
  <r>
    <x v="42"/>
    <x v="3"/>
    <x v="2"/>
    <n v="19"/>
  </r>
  <r>
    <x v="43"/>
    <x v="4"/>
    <x v="0"/>
    <n v="19"/>
  </r>
  <r>
    <x v="44"/>
    <x v="1"/>
    <x v="2"/>
    <n v="33"/>
  </r>
  <r>
    <x v="45"/>
    <x v="3"/>
    <x v="0"/>
    <n v="33"/>
  </r>
  <r>
    <x v="46"/>
    <x v="4"/>
    <x v="0"/>
    <n v="27"/>
  </r>
  <r>
    <x v="47"/>
    <x v="5"/>
    <x v="0"/>
    <n v="23"/>
  </r>
  <r>
    <x v="48"/>
    <x v="1"/>
    <x v="2"/>
    <n v="27"/>
  </r>
  <r>
    <x v="49"/>
    <x v="2"/>
    <x v="0"/>
    <n v="30"/>
  </r>
  <r>
    <x v="50"/>
    <x v="4"/>
    <x v="2"/>
    <n v="42"/>
  </r>
  <r>
    <x v="51"/>
    <x v="5"/>
    <x v="2"/>
    <n v="28"/>
  </r>
  <r>
    <x v="52"/>
    <x v="1"/>
    <x v="0"/>
    <n v="22"/>
  </r>
  <r>
    <x v="53"/>
    <x v="2"/>
    <x v="0"/>
    <n v="29"/>
  </r>
  <r>
    <x v="54"/>
    <x v="4"/>
    <x v="2"/>
    <n v="33"/>
  </r>
  <r>
    <x v="55"/>
    <x v="2"/>
    <x v="2"/>
    <n v="16"/>
  </r>
  <r>
    <x v="56"/>
    <x v="3"/>
    <x v="0"/>
    <n v="35"/>
  </r>
  <r>
    <x v="57"/>
    <x v="4"/>
    <x v="0"/>
    <n v="24"/>
  </r>
  <r>
    <x v="58"/>
    <x v="4"/>
    <x v="0"/>
    <n v="31"/>
  </r>
  <r>
    <x v="59"/>
    <x v="5"/>
    <x v="0"/>
    <n v="38"/>
  </r>
  <r>
    <x v="60"/>
    <x v="5"/>
    <x v="2"/>
    <n v="26"/>
  </r>
  <r>
    <x v="61"/>
    <x v="1"/>
    <x v="0"/>
    <n v="16"/>
  </r>
  <r>
    <x v="62"/>
    <x v="2"/>
    <x v="0"/>
    <n v="18"/>
  </r>
  <r>
    <x v="63"/>
    <x v="4"/>
    <x v="0"/>
    <n v="21"/>
  </r>
  <r>
    <x v="64"/>
    <x v="5"/>
    <x v="0"/>
    <n v="19"/>
  </r>
  <r>
    <x v="65"/>
    <x v="1"/>
    <x v="2"/>
    <n v="32"/>
  </r>
  <r>
    <x v="66"/>
    <x v="2"/>
    <x v="0"/>
    <n v="28"/>
  </r>
  <r>
    <x v="67"/>
    <x v="3"/>
    <x v="0"/>
    <n v="46"/>
  </r>
  <r>
    <x v="68"/>
    <x v="3"/>
    <x v="0"/>
    <n v="22"/>
  </r>
  <r>
    <x v="69"/>
    <x v="3"/>
    <x v="2"/>
    <n v="16"/>
  </r>
  <r>
    <x v="70"/>
    <x v="4"/>
    <x v="0"/>
    <n v="26"/>
  </r>
  <r>
    <x v="71"/>
    <x v="4"/>
    <x v="2"/>
    <n v="37"/>
  </r>
  <r>
    <x v="72"/>
    <x v="3"/>
    <x v="0"/>
    <n v="32"/>
  </r>
  <r>
    <x v="73"/>
    <x v="4"/>
    <x v="0"/>
    <n v="46"/>
  </r>
  <r>
    <x v="74"/>
    <x v="4"/>
    <x v="0"/>
    <n v="20"/>
  </r>
  <r>
    <x v="75"/>
    <x v="5"/>
    <x v="0"/>
    <n v="45"/>
  </r>
  <r>
    <x v="76"/>
    <x v="1"/>
    <x v="0"/>
    <n v="34"/>
  </r>
  <r>
    <x v="77"/>
    <x v="3"/>
    <x v="0"/>
    <n v="30"/>
  </r>
  <r>
    <x v="78"/>
    <x v="5"/>
    <x v="2"/>
    <n v="19"/>
  </r>
  <r>
    <x v="79"/>
    <x v="3"/>
    <x v="2"/>
    <n v="24"/>
  </r>
  <r>
    <x v="80"/>
    <x v="4"/>
    <x v="0"/>
    <n v="11"/>
  </r>
  <r>
    <x v="81"/>
    <x v="4"/>
    <x v="0"/>
    <n v="33"/>
  </r>
  <r>
    <x v="82"/>
    <x v="5"/>
    <x v="0"/>
    <n v="21"/>
  </r>
  <r>
    <x v="83"/>
    <x v="4"/>
    <x v="0"/>
    <n v="42"/>
  </r>
  <r>
    <x v="84"/>
    <x v="1"/>
    <x v="2"/>
    <n v="27"/>
  </r>
  <r>
    <x v="85"/>
    <x v="3"/>
    <x v="2"/>
    <n v="27"/>
  </r>
  <r>
    <x v="86"/>
    <x v="3"/>
    <x v="0"/>
    <n v="18"/>
  </r>
  <r>
    <x v="87"/>
    <x v="4"/>
    <x v="2"/>
    <n v="30"/>
  </r>
  <r>
    <x v="88"/>
    <x v="1"/>
    <x v="2"/>
    <n v="18"/>
  </r>
  <r>
    <x v="89"/>
    <x v="2"/>
    <x v="0"/>
    <n v="20"/>
  </r>
  <r>
    <x v="90"/>
    <x v="2"/>
    <x v="0"/>
    <n v="26"/>
  </r>
  <r>
    <x v="91"/>
    <x v="3"/>
    <x v="0"/>
    <n v="19"/>
  </r>
  <r>
    <x v="92"/>
    <x v="5"/>
    <x v="0"/>
    <n v="26"/>
  </r>
  <r>
    <x v="93"/>
    <x v="1"/>
    <x v="2"/>
    <n v="23"/>
  </r>
  <r>
    <x v="94"/>
    <x v="2"/>
    <x v="0"/>
    <n v="20"/>
  </r>
  <r>
    <x v="95"/>
    <x v="2"/>
    <x v="0"/>
    <n v="17"/>
  </r>
  <r>
    <x v="96"/>
    <x v="3"/>
    <x v="2"/>
    <n v="15"/>
  </r>
  <r>
    <x v="97"/>
    <x v="4"/>
    <x v="2"/>
    <n v="39"/>
  </r>
  <r>
    <x v="98"/>
    <x v="1"/>
    <x v="0"/>
    <n v="30"/>
  </r>
  <r>
    <x v="99"/>
    <x v="3"/>
    <x v="3"/>
    <n v="37"/>
  </r>
  <r>
    <x v="100"/>
    <x v="6"/>
    <x v="0"/>
    <n v="31"/>
  </r>
  <r>
    <x v="101"/>
    <x v="4"/>
    <x v="0"/>
    <n v="15"/>
  </r>
  <r>
    <x v="102"/>
    <x v="5"/>
    <x v="0"/>
    <n v="33"/>
  </r>
  <r>
    <x v="103"/>
    <x v="3"/>
    <x v="0"/>
    <n v="32"/>
  </r>
  <r>
    <x v="104"/>
    <x v="4"/>
    <x v="1"/>
    <n v="33"/>
  </r>
  <r>
    <x v="105"/>
    <x v="3"/>
    <x v="0"/>
    <n v="24"/>
  </r>
  <r>
    <x v="106"/>
    <x v="4"/>
    <x v="2"/>
    <n v="25"/>
  </r>
  <r>
    <x v="107"/>
    <x v="4"/>
    <x v="0"/>
    <n v="23"/>
  </r>
  <r>
    <x v="108"/>
    <x v="1"/>
    <x v="0"/>
    <n v="27"/>
  </r>
  <r>
    <x v="109"/>
    <x v="2"/>
    <x v="0"/>
    <n v="33"/>
  </r>
  <r>
    <x v="110"/>
    <x v="5"/>
    <x v="0"/>
    <n v="11"/>
  </r>
  <r>
    <x v="111"/>
    <x v="1"/>
    <x v="0"/>
    <n v="11"/>
  </r>
  <r>
    <x v="112"/>
    <x v="2"/>
    <x v="0"/>
    <n v="29"/>
  </r>
  <r>
    <x v="113"/>
    <x v="2"/>
    <x v="1"/>
    <n v="38"/>
  </r>
  <r>
    <x v="114"/>
    <x v="3"/>
    <x v="2"/>
    <n v="26"/>
  </r>
  <r>
    <x v="115"/>
    <x v="4"/>
    <x v="0"/>
    <n v="36"/>
  </r>
  <r>
    <x v="116"/>
    <x v="4"/>
    <x v="0"/>
    <n v="32"/>
  </r>
  <r>
    <x v="117"/>
    <x v="5"/>
    <x v="2"/>
    <n v="18"/>
  </r>
  <r>
    <x v="118"/>
    <x v="3"/>
    <x v="1"/>
    <n v="21"/>
  </r>
  <r>
    <x v="119"/>
    <x v="4"/>
    <x v="3"/>
    <n v="12"/>
  </r>
  <r>
    <x v="120"/>
    <x v="3"/>
    <x v="0"/>
    <n v="12"/>
  </r>
  <r>
    <x v="121"/>
    <x v="4"/>
    <x v="0"/>
    <n v="32"/>
  </r>
  <r>
    <x v="122"/>
    <x v="4"/>
    <x v="3"/>
    <n v="23"/>
  </r>
  <r>
    <x v="123"/>
    <x v="1"/>
    <x v="0"/>
    <n v="26"/>
  </r>
  <r>
    <x v="124"/>
    <x v="3"/>
    <x v="0"/>
    <n v="30"/>
  </r>
  <r>
    <x v="125"/>
    <x v="3"/>
    <x v="0"/>
    <n v="13"/>
  </r>
  <r>
    <x v="126"/>
    <x v="8"/>
    <x v="0"/>
    <n v="16"/>
  </r>
  <r>
    <x v="127"/>
    <x v="5"/>
    <x v="0"/>
    <n v="34"/>
  </r>
  <r>
    <x v="128"/>
    <x v="2"/>
    <x v="0"/>
    <n v="32"/>
  </r>
  <r>
    <x v="129"/>
    <x v="3"/>
    <x v="0"/>
    <n v="31"/>
  </r>
  <r>
    <x v="130"/>
    <x v="4"/>
    <x v="0"/>
    <n v="36"/>
  </r>
  <r>
    <x v="131"/>
    <x v="5"/>
    <x v="2"/>
    <n v="48"/>
  </r>
  <r>
    <x v="132"/>
    <x v="1"/>
    <x v="0"/>
    <n v="23"/>
  </r>
  <r>
    <x v="133"/>
    <x v="3"/>
    <x v="2"/>
    <n v="24"/>
  </r>
  <r>
    <x v="134"/>
    <x v="4"/>
    <x v="0"/>
    <n v="41"/>
  </r>
  <r>
    <x v="135"/>
    <x v="4"/>
    <x v="2"/>
    <n v="20"/>
  </r>
  <r>
    <x v="136"/>
    <x v="5"/>
    <x v="0"/>
    <n v="24"/>
  </r>
  <r>
    <x v="137"/>
    <x v="1"/>
    <x v="0"/>
    <n v="20"/>
  </r>
  <r>
    <x v="138"/>
    <x v="3"/>
    <x v="2"/>
    <n v="19"/>
  </r>
  <r>
    <x v="139"/>
    <x v="4"/>
    <x v="0"/>
    <n v="24"/>
  </r>
  <r>
    <x v="140"/>
    <x v="5"/>
    <x v="2"/>
    <n v="20"/>
  </r>
  <r>
    <x v="141"/>
    <x v="1"/>
    <x v="2"/>
    <n v="32"/>
  </r>
  <r>
    <x v="142"/>
    <x v="3"/>
    <x v="0"/>
    <n v="32"/>
  </r>
  <r>
    <x v="143"/>
    <x v="8"/>
    <x v="0"/>
    <n v="12"/>
  </r>
  <r>
    <x v="144"/>
    <x v="5"/>
    <x v="2"/>
    <n v="25"/>
  </r>
  <r>
    <x v="145"/>
    <x v="3"/>
    <x v="0"/>
    <n v="10"/>
  </r>
  <r>
    <x v="146"/>
    <x v="7"/>
    <x v="2"/>
    <n v="39"/>
  </r>
  <r>
    <x v="147"/>
    <x v="4"/>
    <x v="0"/>
    <n v="43"/>
  </r>
  <r>
    <x v="148"/>
    <x v="8"/>
    <x v="2"/>
    <n v="20"/>
  </r>
  <r>
    <x v="149"/>
    <x v="5"/>
    <x v="0"/>
    <n v="16"/>
  </r>
  <r>
    <x v="150"/>
    <x v="1"/>
    <x v="0"/>
    <n v="41"/>
  </r>
  <r>
    <x v="151"/>
    <x v="3"/>
    <x v="0"/>
    <n v="30"/>
  </r>
  <r>
    <x v="152"/>
    <x v="4"/>
    <x v="0"/>
    <n v="50"/>
  </r>
  <r>
    <x v="153"/>
    <x v="5"/>
    <x v="0"/>
    <n v="53"/>
  </r>
  <r>
    <x v="154"/>
    <x v="3"/>
    <x v="0"/>
    <n v="32"/>
  </r>
  <r>
    <x v="155"/>
    <x v="4"/>
    <x v="0"/>
    <n v="35"/>
  </r>
  <r>
    <x v="156"/>
    <x v="1"/>
    <x v="0"/>
    <n v="29"/>
  </r>
  <r>
    <x v="157"/>
    <x v="3"/>
    <x v="0"/>
    <n v="26"/>
  </r>
  <r>
    <x v="158"/>
    <x v="4"/>
    <x v="0"/>
    <n v="22"/>
  </r>
  <r>
    <x v="159"/>
    <x v="8"/>
    <x v="0"/>
    <n v="23"/>
  </r>
  <r>
    <x v="160"/>
    <x v="5"/>
    <x v="0"/>
    <n v="52"/>
  </r>
  <r>
    <x v="161"/>
    <x v="3"/>
    <x v="0"/>
    <n v="24"/>
  </r>
  <r>
    <x v="162"/>
    <x v="7"/>
    <x v="0"/>
    <n v="42"/>
  </r>
  <r>
    <x v="163"/>
    <x v="8"/>
    <x v="2"/>
    <n v="36"/>
  </r>
  <r>
    <x v="164"/>
    <x v="1"/>
    <x v="0"/>
    <n v="16"/>
  </r>
  <r>
    <x v="165"/>
    <x v="3"/>
    <x v="0"/>
    <n v="26"/>
  </r>
  <r>
    <x v="166"/>
    <x v="7"/>
    <x v="2"/>
    <n v="28"/>
  </r>
  <r>
    <x v="167"/>
    <x v="4"/>
    <x v="2"/>
    <n v="22"/>
  </r>
  <r>
    <x v="168"/>
    <x v="5"/>
    <x v="3"/>
    <n v="36"/>
  </r>
  <r>
    <x v="169"/>
    <x v="5"/>
    <x v="0"/>
    <n v="25"/>
  </r>
  <r>
    <x v="170"/>
    <x v="3"/>
    <x v="0"/>
    <n v="17"/>
  </r>
  <r>
    <x v="171"/>
    <x v="3"/>
    <x v="0"/>
    <n v="27"/>
  </r>
  <r>
    <x v="172"/>
    <x v="1"/>
    <x v="0"/>
    <n v="31"/>
  </r>
  <r>
    <x v="173"/>
    <x v="3"/>
    <x v="0"/>
    <n v="28"/>
  </r>
  <r>
    <x v="174"/>
    <x v="4"/>
    <x v="2"/>
    <n v="41"/>
  </r>
  <r>
    <x v="175"/>
    <x v="3"/>
    <x v="0"/>
    <n v="18"/>
  </r>
  <r>
    <x v="176"/>
    <x v="7"/>
    <x v="0"/>
    <n v="16"/>
  </r>
  <r>
    <x v="177"/>
    <x v="5"/>
    <x v="0"/>
    <n v="26"/>
  </r>
  <r>
    <x v="178"/>
    <x v="1"/>
    <x v="0"/>
    <n v="14"/>
  </r>
  <r>
    <x v="179"/>
    <x v="3"/>
    <x v="0"/>
    <n v="43"/>
  </r>
  <r>
    <x v="180"/>
    <x v="7"/>
    <x v="3"/>
    <n v="23"/>
  </r>
  <r>
    <x v="181"/>
    <x v="4"/>
    <x v="0"/>
    <n v="20"/>
  </r>
  <r>
    <x v="182"/>
    <x v="5"/>
    <x v="0"/>
    <n v="31"/>
  </r>
  <r>
    <x v="183"/>
    <x v="5"/>
    <x v="0"/>
    <n v="38"/>
  </r>
  <r>
    <x v="184"/>
    <x v="1"/>
    <x v="0"/>
    <n v="33"/>
  </r>
  <r>
    <x v="185"/>
    <x v="2"/>
    <x v="0"/>
    <n v="27"/>
  </r>
  <r>
    <x v="186"/>
    <x v="3"/>
    <x v="0"/>
    <n v="24"/>
  </r>
  <r>
    <x v="187"/>
    <x v="4"/>
    <x v="0"/>
    <n v="38"/>
  </r>
  <r>
    <x v="188"/>
    <x v="5"/>
    <x v="0"/>
    <n v="47"/>
  </r>
  <r>
    <x v="189"/>
    <x v="3"/>
    <x v="2"/>
    <n v="31"/>
  </r>
  <r>
    <x v="190"/>
    <x v="4"/>
    <x v="0"/>
    <n v="20"/>
  </r>
  <r>
    <x v="191"/>
    <x v="5"/>
    <x v="0"/>
    <n v="19"/>
  </r>
  <r>
    <x v="192"/>
    <x v="1"/>
    <x v="2"/>
    <n v="45"/>
  </r>
  <r>
    <x v="193"/>
    <x v="4"/>
    <x v="0"/>
    <n v="38"/>
  </r>
  <r>
    <x v="194"/>
    <x v="8"/>
    <x v="0"/>
    <n v="18"/>
  </r>
  <r>
    <x v="195"/>
    <x v="7"/>
    <x v="0"/>
    <n v="14"/>
  </r>
  <r>
    <x v="196"/>
    <x v="5"/>
    <x v="0"/>
    <n v="42"/>
  </r>
  <r>
    <x v="197"/>
    <x v="2"/>
    <x v="1"/>
    <n v="33"/>
  </r>
  <r>
    <x v="198"/>
    <x v="5"/>
    <x v="2"/>
    <n v="34"/>
  </r>
  <r>
    <x v="199"/>
    <x v="5"/>
    <x v="0"/>
    <n v="15"/>
  </r>
  <r>
    <x v="200"/>
    <x v="1"/>
    <x v="0"/>
    <n v="22"/>
  </r>
  <r>
    <x v="201"/>
    <x v="3"/>
    <x v="0"/>
    <n v="30"/>
  </r>
  <r>
    <x v="202"/>
    <x v="4"/>
    <x v="2"/>
    <n v="25"/>
  </r>
  <r>
    <x v="203"/>
    <x v="5"/>
    <x v="0"/>
    <n v="26"/>
  </r>
  <r>
    <x v="204"/>
    <x v="5"/>
    <x v="0"/>
    <n v="11"/>
  </r>
  <r>
    <x v="205"/>
    <x v="3"/>
    <x v="0"/>
    <n v="28"/>
  </r>
  <r>
    <x v="206"/>
    <x v="4"/>
    <x v="2"/>
    <n v="22"/>
  </r>
  <r>
    <x v="207"/>
    <x v="8"/>
    <x v="2"/>
    <n v="37"/>
  </r>
  <r>
    <x v="208"/>
    <x v="5"/>
    <x v="0"/>
    <n v="31"/>
  </r>
  <r>
    <x v="209"/>
    <x v="3"/>
    <x v="0"/>
    <n v="19"/>
  </r>
  <r>
    <x v="210"/>
    <x v="7"/>
    <x v="0"/>
    <n v="32"/>
  </r>
  <r>
    <x v="211"/>
    <x v="4"/>
    <x v="0"/>
    <n v="27"/>
  </r>
  <r>
    <x v="212"/>
    <x v="5"/>
    <x v="2"/>
    <n v="13"/>
  </r>
  <r>
    <x v="213"/>
    <x v="2"/>
    <x v="0"/>
    <n v="31"/>
  </r>
  <r>
    <x v="214"/>
    <x v="3"/>
    <x v="0"/>
    <n v="20"/>
  </r>
  <r>
    <x v="215"/>
    <x v="4"/>
    <x v="0"/>
    <n v="26"/>
  </r>
  <r>
    <x v="216"/>
    <x v="5"/>
    <x v="0"/>
    <n v="42"/>
  </r>
  <r>
    <x v="217"/>
    <x v="5"/>
    <x v="0"/>
    <n v="24"/>
  </r>
  <r>
    <x v="218"/>
    <x v="7"/>
    <x v="2"/>
    <n v="50"/>
  </r>
  <r>
    <x v="219"/>
    <x v="3"/>
    <x v="0"/>
    <n v="41"/>
  </r>
  <r>
    <x v="220"/>
    <x v="4"/>
    <x v="0"/>
    <n v="22"/>
  </r>
  <r>
    <x v="221"/>
    <x v="5"/>
    <x v="0"/>
    <n v="29"/>
  </r>
  <r>
    <x v="222"/>
    <x v="7"/>
    <x v="2"/>
    <n v="23"/>
  </r>
  <r>
    <x v="223"/>
    <x v="3"/>
    <x v="0"/>
    <n v="13"/>
  </r>
  <r>
    <x v="224"/>
    <x v="4"/>
    <x v="0"/>
    <n v="32"/>
  </r>
  <r>
    <x v="225"/>
    <x v="5"/>
    <x v="0"/>
    <n v="24"/>
  </r>
  <r>
    <x v="226"/>
    <x v="5"/>
    <x v="0"/>
    <n v="33"/>
  </r>
  <r>
    <x v="227"/>
    <x v="1"/>
    <x v="1"/>
    <n v="29"/>
  </r>
  <r>
    <x v="228"/>
    <x v="3"/>
    <x v="2"/>
    <n v="24"/>
  </r>
  <r>
    <x v="229"/>
    <x v="3"/>
    <x v="0"/>
    <n v="40"/>
  </r>
  <r>
    <x v="230"/>
    <x v="4"/>
    <x v="0"/>
    <n v="16"/>
  </r>
  <r>
    <x v="231"/>
    <x v="2"/>
    <x v="0"/>
    <n v="11"/>
  </r>
  <r>
    <x v="232"/>
    <x v="3"/>
    <x v="0"/>
    <n v="19"/>
  </r>
  <r>
    <x v="233"/>
    <x v="5"/>
    <x v="2"/>
    <n v="42"/>
  </r>
  <r>
    <x v="234"/>
    <x v="5"/>
    <x v="0"/>
    <n v="27"/>
  </r>
  <r>
    <x v="235"/>
    <x v="7"/>
    <x v="2"/>
    <n v="24"/>
  </r>
  <r>
    <x v="236"/>
    <x v="3"/>
    <x v="0"/>
    <n v="27"/>
  </r>
  <r>
    <x v="237"/>
    <x v="6"/>
    <x v="0"/>
    <n v="14"/>
  </r>
  <r>
    <x v="238"/>
    <x v="5"/>
    <x v="0"/>
    <n v="12"/>
  </r>
  <r>
    <x v="239"/>
    <x v="5"/>
    <x v="2"/>
    <n v="23"/>
  </r>
  <r>
    <x v="240"/>
    <x v="4"/>
    <x v="2"/>
    <n v="40"/>
  </r>
  <r>
    <x v="241"/>
    <x v="5"/>
    <x v="2"/>
    <n v="33"/>
  </r>
  <r>
    <x v="242"/>
    <x v="1"/>
    <x v="2"/>
    <n v="33"/>
  </r>
  <r>
    <x v="243"/>
    <x v="5"/>
    <x v="0"/>
    <n v="30"/>
  </r>
  <r>
    <x v="244"/>
    <x v="5"/>
    <x v="2"/>
    <n v="35"/>
  </r>
  <r>
    <x v="245"/>
    <x v="1"/>
    <x v="0"/>
    <n v="26"/>
  </r>
  <r>
    <x v="246"/>
    <x v="2"/>
    <x v="3"/>
    <n v="6"/>
  </r>
  <r>
    <x v="247"/>
    <x v="3"/>
    <x v="2"/>
    <n v="17"/>
  </r>
  <r>
    <x v="248"/>
    <x v="7"/>
    <x v="2"/>
    <n v="41"/>
  </r>
  <r>
    <x v="249"/>
    <x v="4"/>
    <x v="0"/>
    <n v="33"/>
  </r>
  <r>
    <x v="250"/>
    <x v="5"/>
    <x v="2"/>
    <n v="39"/>
  </r>
  <r>
    <x v="251"/>
    <x v="5"/>
    <x v="0"/>
    <n v="17"/>
  </r>
  <r>
    <x v="252"/>
    <x v="3"/>
    <x v="0"/>
    <n v="24"/>
  </r>
  <r>
    <x v="253"/>
    <x v="4"/>
    <x v="2"/>
    <n v="35"/>
  </r>
  <r>
    <x v="254"/>
    <x v="7"/>
    <x v="0"/>
    <n v="18"/>
  </r>
  <r>
    <x v="255"/>
    <x v="5"/>
    <x v="0"/>
    <n v="20"/>
  </r>
  <r>
    <x v="256"/>
    <x v="1"/>
    <x v="0"/>
    <n v="24"/>
  </r>
  <r>
    <x v="257"/>
    <x v="7"/>
    <x v="0"/>
    <n v="40"/>
  </r>
  <r>
    <x v="258"/>
    <x v="4"/>
    <x v="2"/>
    <n v="13"/>
  </r>
  <r>
    <x v="259"/>
    <x v="5"/>
    <x v="0"/>
    <n v="32"/>
  </r>
  <r>
    <x v="260"/>
    <x v="5"/>
    <x v="2"/>
    <n v="34"/>
  </r>
  <r>
    <x v="261"/>
    <x v="7"/>
    <x v="2"/>
    <n v="34"/>
  </r>
  <r>
    <x v="262"/>
    <x v="5"/>
    <x v="0"/>
    <n v="31"/>
  </r>
  <r>
    <x v="263"/>
    <x v="2"/>
    <x v="0"/>
    <n v="47"/>
  </r>
  <r>
    <x v="264"/>
    <x v="5"/>
    <x v="0"/>
    <n v="43"/>
  </r>
  <r>
    <x v="265"/>
    <x v="1"/>
    <x v="0"/>
    <n v="27"/>
  </r>
  <r>
    <x v="266"/>
    <x v="4"/>
    <x v="0"/>
    <n v="11"/>
  </r>
  <r>
    <x v="267"/>
    <x v="5"/>
    <x v="0"/>
    <n v="37"/>
  </r>
  <r>
    <x v="268"/>
    <x v="1"/>
    <x v="0"/>
    <n v="26"/>
  </r>
  <r>
    <x v="269"/>
    <x v="7"/>
    <x v="0"/>
    <n v="27"/>
  </r>
  <r>
    <x v="270"/>
    <x v="3"/>
    <x v="0"/>
    <n v="21"/>
  </r>
  <r>
    <x v="271"/>
    <x v="4"/>
    <x v="0"/>
    <n v="35"/>
  </r>
  <r>
    <x v="272"/>
    <x v="5"/>
    <x v="2"/>
    <n v="25"/>
  </r>
  <r>
    <x v="273"/>
    <x v="5"/>
    <x v="0"/>
    <n v="28"/>
  </r>
  <r>
    <x v="274"/>
    <x v="7"/>
    <x v="0"/>
    <n v="21"/>
  </r>
  <r>
    <x v="275"/>
    <x v="4"/>
    <x v="0"/>
    <n v="24"/>
  </r>
  <r>
    <x v="276"/>
    <x v="5"/>
    <x v="0"/>
    <n v="19"/>
  </r>
  <r>
    <x v="277"/>
    <x v="9"/>
    <x v="0"/>
    <n v="25"/>
  </r>
  <r>
    <x v="278"/>
    <x v="7"/>
    <x v="0"/>
    <n v="33"/>
  </r>
  <r>
    <x v="279"/>
    <x v="4"/>
    <x v="0"/>
    <n v="26"/>
  </r>
  <r>
    <x v="280"/>
    <x v="5"/>
    <x v="0"/>
    <n v="31"/>
  </r>
  <r>
    <x v="281"/>
    <x v="5"/>
    <x v="0"/>
    <n v="33"/>
  </r>
  <r>
    <x v="282"/>
    <x v="7"/>
    <x v="0"/>
    <n v="30"/>
  </r>
  <r>
    <x v="283"/>
    <x v="4"/>
    <x v="0"/>
    <n v="26"/>
  </r>
  <r>
    <x v="284"/>
    <x v="5"/>
    <x v="0"/>
    <n v="23"/>
  </r>
  <r>
    <x v="285"/>
    <x v="1"/>
    <x v="0"/>
    <n v="28"/>
  </r>
  <r>
    <x v="286"/>
    <x v="3"/>
    <x v="0"/>
    <n v="18"/>
  </r>
  <r>
    <x v="287"/>
    <x v="4"/>
    <x v="0"/>
    <n v="39"/>
  </r>
  <r>
    <x v="288"/>
    <x v="5"/>
    <x v="0"/>
    <n v="28"/>
  </r>
  <r>
    <x v="289"/>
    <x v="5"/>
    <x v="0"/>
    <n v="47"/>
  </r>
  <r>
    <x v="290"/>
    <x v="7"/>
    <x v="0"/>
    <n v="41"/>
  </r>
  <r>
    <x v="291"/>
    <x v="3"/>
    <x v="0"/>
    <n v="11"/>
  </r>
  <r>
    <x v="292"/>
    <x v="5"/>
    <x v="0"/>
    <n v="26"/>
  </r>
  <r>
    <x v="293"/>
    <x v="5"/>
    <x v="2"/>
    <n v="24"/>
  </r>
  <r>
    <x v="294"/>
    <x v="9"/>
    <x v="0"/>
    <n v="14"/>
  </r>
  <r>
    <x v="295"/>
    <x v="7"/>
    <x v="0"/>
    <n v="34"/>
  </r>
  <r>
    <x v="296"/>
    <x v="4"/>
    <x v="2"/>
    <n v="46"/>
  </r>
  <r>
    <x v="297"/>
    <x v="9"/>
    <x v="0"/>
    <n v="24"/>
  </r>
  <r>
    <x v="298"/>
    <x v="1"/>
    <x v="0"/>
    <n v="22"/>
  </r>
  <r>
    <x v="299"/>
    <x v="7"/>
    <x v="0"/>
    <n v="41"/>
  </r>
  <r>
    <x v="300"/>
    <x v="3"/>
    <x v="0"/>
    <n v="3"/>
  </r>
  <r>
    <x v="301"/>
    <x v="4"/>
    <x v="0"/>
    <n v="24"/>
  </r>
  <r>
    <x v="302"/>
    <x v="4"/>
    <x v="0"/>
    <n v="19"/>
  </r>
  <r>
    <x v="303"/>
    <x v="5"/>
    <x v="2"/>
    <n v="39"/>
  </r>
  <r>
    <x v="304"/>
    <x v="1"/>
    <x v="2"/>
    <n v="28"/>
  </r>
  <r>
    <x v="305"/>
    <x v="7"/>
    <x v="0"/>
    <n v="32"/>
  </r>
  <r>
    <x v="306"/>
    <x v="3"/>
    <x v="0"/>
    <n v="25"/>
  </r>
  <r>
    <x v="307"/>
    <x v="4"/>
    <x v="2"/>
    <n v="29"/>
  </r>
  <r>
    <x v="308"/>
    <x v="5"/>
    <x v="0"/>
    <n v="25"/>
  </r>
  <r>
    <x v="309"/>
    <x v="5"/>
    <x v="0"/>
    <n v="21"/>
  </r>
  <r>
    <x v="310"/>
    <x v="1"/>
    <x v="2"/>
    <n v="31"/>
  </r>
  <r>
    <x v="311"/>
    <x v="7"/>
    <x v="0"/>
    <n v="25"/>
  </r>
  <r>
    <x v="312"/>
    <x v="3"/>
    <x v="0"/>
    <n v="14"/>
  </r>
  <r>
    <x v="313"/>
    <x v="5"/>
    <x v="0"/>
    <n v="21"/>
  </r>
  <r>
    <x v="314"/>
    <x v="3"/>
    <x v="0"/>
    <n v="24"/>
  </r>
  <r>
    <x v="315"/>
    <x v="5"/>
    <x v="0"/>
    <n v="25"/>
  </r>
  <r>
    <x v="316"/>
    <x v="5"/>
    <x v="2"/>
    <n v="42"/>
  </r>
  <r>
    <x v="317"/>
    <x v="9"/>
    <x v="2"/>
    <n v="20"/>
  </r>
  <r>
    <x v="318"/>
    <x v="1"/>
    <x v="0"/>
    <n v="22"/>
  </r>
  <r>
    <x v="319"/>
    <x v="7"/>
    <x v="0"/>
    <n v="36"/>
  </r>
  <r>
    <x v="320"/>
    <x v="5"/>
    <x v="0"/>
    <n v="38"/>
  </r>
  <r>
    <x v="321"/>
    <x v="5"/>
    <x v="0"/>
    <n v="18"/>
  </r>
  <r>
    <x v="322"/>
    <x v="9"/>
    <x v="0"/>
    <n v="16"/>
  </r>
  <r>
    <x v="323"/>
    <x v="1"/>
    <x v="0"/>
    <n v="31"/>
  </r>
  <r>
    <x v="324"/>
    <x v="7"/>
    <x v="0"/>
    <n v="28"/>
  </r>
  <r>
    <x v="325"/>
    <x v="4"/>
    <x v="0"/>
    <n v="34"/>
  </r>
  <r>
    <x v="326"/>
    <x v="5"/>
    <x v="2"/>
    <n v="48"/>
  </r>
  <r>
    <x v="327"/>
    <x v="1"/>
    <x v="0"/>
    <n v="35"/>
  </r>
  <r>
    <x v="328"/>
    <x v="7"/>
    <x v="2"/>
    <n v="24"/>
  </r>
  <r>
    <x v="329"/>
    <x v="5"/>
    <x v="0"/>
    <n v="25"/>
  </r>
  <r>
    <x v="330"/>
    <x v="3"/>
    <x v="0"/>
    <n v="32"/>
  </r>
  <r>
    <x v="331"/>
    <x v="4"/>
    <x v="2"/>
    <n v="33"/>
  </r>
  <r>
    <x v="332"/>
    <x v="9"/>
    <x v="2"/>
    <n v="19"/>
  </r>
  <r>
    <x v="333"/>
    <x v="4"/>
    <x v="0"/>
    <n v="7"/>
  </r>
  <r>
    <x v="334"/>
    <x v="4"/>
    <x v="2"/>
    <n v="36"/>
  </r>
  <r>
    <x v="335"/>
    <x v="5"/>
    <x v="1"/>
    <n v="44"/>
  </r>
  <r>
    <x v="336"/>
    <x v="5"/>
    <x v="3"/>
    <n v="35"/>
  </r>
  <r>
    <x v="337"/>
    <x v="9"/>
    <x v="0"/>
    <n v="11"/>
  </r>
  <r>
    <x v="338"/>
    <x v="1"/>
    <x v="0"/>
    <n v="43"/>
  </r>
  <r>
    <x v="339"/>
    <x v="7"/>
    <x v="0"/>
    <n v="22"/>
  </r>
  <r>
    <x v="340"/>
    <x v="4"/>
    <x v="2"/>
    <n v="49"/>
  </r>
  <r>
    <x v="341"/>
    <x v="4"/>
    <x v="3"/>
    <n v="37"/>
  </r>
  <r>
    <x v="342"/>
    <x v="5"/>
    <x v="0"/>
    <n v="26"/>
  </r>
  <r>
    <x v="343"/>
    <x v="9"/>
    <x v="0"/>
    <n v="19"/>
  </r>
  <r>
    <x v="344"/>
    <x v="1"/>
    <x v="0"/>
    <n v="20"/>
  </r>
  <r>
    <x v="345"/>
    <x v="2"/>
    <x v="2"/>
    <n v="36"/>
  </r>
  <r>
    <x v="346"/>
    <x v="3"/>
    <x v="2"/>
    <n v="39"/>
  </r>
  <r>
    <x v="347"/>
    <x v="4"/>
    <x v="0"/>
    <n v="10"/>
  </r>
  <r>
    <x v="348"/>
    <x v="4"/>
    <x v="0"/>
    <n v="24"/>
  </r>
  <r>
    <x v="349"/>
    <x v="5"/>
    <x v="0"/>
    <n v="35"/>
  </r>
  <r>
    <x v="350"/>
    <x v="7"/>
    <x v="0"/>
    <n v="32"/>
  </r>
  <r>
    <x v="351"/>
    <x v="3"/>
    <x v="0"/>
    <n v="20"/>
  </r>
  <r>
    <x v="352"/>
    <x v="5"/>
    <x v="2"/>
    <n v="34"/>
  </r>
  <r>
    <x v="353"/>
    <x v="7"/>
    <x v="0"/>
    <n v="29"/>
  </r>
  <r>
    <x v="354"/>
    <x v="3"/>
    <x v="2"/>
    <n v="26"/>
  </r>
  <r>
    <x v="355"/>
    <x v="4"/>
    <x v="1"/>
    <n v="25"/>
  </r>
  <r>
    <x v="356"/>
    <x v="4"/>
    <x v="0"/>
    <n v="44"/>
  </r>
  <r>
    <x v="357"/>
    <x v="5"/>
    <x v="0"/>
    <n v="28"/>
  </r>
  <r>
    <x v="358"/>
    <x v="9"/>
    <x v="2"/>
    <n v="35"/>
  </r>
  <r>
    <x v="359"/>
    <x v="1"/>
    <x v="0"/>
    <n v="30"/>
  </r>
  <r>
    <x v="360"/>
    <x v="3"/>
    <x v="0"/>
    <n v="24"/>
  </r>
  <r>
    <x v="361"/>
    <x v="4"/>
    <x v="2"/>
    <n v="18"/>
  </r>
  <r>
    <x v="362"/>
    <x v="5"/>
    <x v="2"/>
    <n v="34"/>
  </r>
  <r>
    <x v="363"/>
    <x v="2"/>
    <x v="0"/>
    <n v="20"/>
  </r>
  <r>
    <x v="364"/>
    <x v="7"/>
    <x v="0"/>
    <n v="24"/>
  </r>
  <r>
    <x v="365"/>
    <x v="4"/>
    <x v="2"/>
    <n v="41"/>
  </r>
  <r>
    <x v="366"/>
    <x v="5"/>
    <x v="0"/>
    <n v="26"/>
  </r>
  <r>
    <x v="367"/>
    <x v="5"/>
    <x v="2"/>
    <n v="53"/>
  </r>
  <r>
    <x v="368"/>
    <x v="9"/>
    <x v="0"/>
    <n v="35"/>
  </r>
  <r>
    <x v="369"/>
    <x v="1"/>
    <x v="0"/>
    <n v="5"/>
  </r>
  <r>
    <x v="370"/>
    <x v="7"/>
    <x v="2"/>
    <n v="23"/>
  </r>
  <r>
    <x v="371"/>
    <x v="4"/>
    <x v="0"/>
    <n v="21"/>
  </r>
  <r>
    <x v="372"/>
    <x v="4"/>
    <x v="2"/>
    <n v="27"/>
  </r>
  <r>
    <x v="373"/>
    <x v="9"/>
    <x v="0"/>
    <n v="44"/>
  </r>
  <r>
    <x v="374"/>
    <x v="3"/>
    <x v="0"/>
    <n v="28"/>
  </r>
  <r>
    <x v="375"/>
    <x v="4"/>
    <x v="0"/>
    <n v="34"/>
  </r>
  <r>
    <x v="376"/>
    <x v="4"/>
    <x v="0"/>
    <n v="11"/>
  </r>
  <r>
    <x v="377"/>
    <x v="5"/>
    <x v="0"/>
    <n v="22"/>
  </r>
  <r>
    <x v="378"/>
    <x v="5"/>
    <x v="0"/>
    <n v="29"/>
  </r>
  <r>
    <x v="379"/>
    <x v="9"/>
    <x v="0"/>
    <n v="31"/>
  </r>
  <r>
    <x v="380"/>
    <x v="7"/>
    <x v="2"/>
    <n v="25"/>
  </r>
  <r>
    <x v="381"/>
    <x v="3"/>
    <x v="0"/>
    <n v="46"/>
  </r>
  <r>
    <x v="382"/>
    <x v="4"/>
    <x v="2"/>
    <n v="27"/>
  </r>
  <r>
    <x v="383"/>
    <x v="4"/>
    <x v="0"/>
    <n v="36"/>
  </r>
  <r>
    <x v="384"/>
    <x v="5"/>
    <x v="0"/>
    <n v="36"/>
  </r>
  <r>
    <x v="385"/>
    <x v="9"/>
    <x v="0"/>
    <n v="12"/>
  </r>
  <r>
    <x v="386"/>
    <x v="1"/>
    <x v="0"/>
    <n v="33"/>
  </r>
  <r>
    <x v="387"/>
    <x v="2"/>
    <x v="0"/>
    <n v="29"/>
  </r>
  <r>
    <x v="388"/>
    <x v="7"/>
    <x v="2"/>
    <n v="24"/>
  </r>
  <r>
    <x v="389"/>
    <x v="4"/>
    <x v="0"/>
    <n v="17"/>
  </r>
  <r>
    <x v="390"/>
    <x v="5"/>
    <x v="0"/>
    <n v="18"/>
  </r>
  <r>
    <x v="391"/>
    <x v="5"/>
    <x v="0"/>
    <n v="37"/>
  </r>
  <r>
    <x v="392"/>
    <x v="9"/>
    <x v="0"/>
    <n v="32"/>
  </r>
  <r>
    <x v="393"/>
    <x v="3"/>
    <x v="0"/>
    <n v="36"/>
  </r>
  <r>
    <x v="394"/>
    <x v="1"/>
    <x v="0"/>
    <n v="31"/>
  </r>
  <r>
    <x v="395"/>
    <x v="2"/>
    <x v="2"/>
    <n v="35"/>
  </r>
  <r>
    <x v="396"/>
    <x v="3"/>
    <x v="0"/>
    <n v="23"/>
  </r>
  <r>
    <x v="397"/>
    <x v="4"/>
    <x v="0"/>
    <n v="14"/>
  </r>
  <r>
    <x v="398"/>
    <x v="4"/>
    <x v="0"/>
    <n v="30"/>
  </r>
  <r>
    <x v="399"/>
    <x v="5"/>
    <x v="2"/>
    <n v="43"/>
  </r>
  <r>
    <x v="400"/>
    <x v="6"/>
    <x v="0"/>
    <n v="39"/>
  </r>
  <r>
    <x v="401"/>
    <x v="9"/>
    <x v="3"/>
    <n v="16"/>
  </r>
  <r>
    <x v="402"/>
    <x v="7"/>
    <x v="0"/>
    <n v="34"/>
  </r>
  <r>
    <x v="403"/>
    <x v="3"/>
    <x v="2"/>
    <n v="16"/>
  </r>
  <r>
    <x v="404"/>
    <x v="4"/>
    <x v="0"/>
    <n v="27"/>
  </r>
  <r>
    <x v="405"/>
    <x v="4"/>
    <x v="0"/>
    <n v="37"/>
  </r>
  <r>
    <x v="406"/>
    <x v="9"/>
    <x v="0"/>
    <n v="21"/>
  </r>
  <r>
    <x v="407"/>
    <x v="7"/>
    <x v="2"/>
    <n v="29"/>
  </r>
  <r>
    <x v="408"/>
    <x v="3"/>
    <x v="0"/>
    <n v="34"/>
  </r>
  <r>
    <x v="409"/>
    <x v="4"/>
    <x v="2"/>
    <n v="28"/>
  </r>
  <r>
    <x v="410"/>
    <x v="5"/>
    <x v="0"/>
    <n v="24"/>
  </r>
  <r>
    <x v="411"/>
    <x v="9"/>
    <x v="0"/>
    <n v="20"/>
  </r>
  <r>
    <x v="412"/>
    <x v="7"/>
    <x v="0"/>
    <n v="17"/>
  </r>
  <r>
    <x v="413"/>
    <x v="4"/>
    <x v="0"/>
    <n v="28"/>
  </r>
  <r>
    <x v="414"/>
    <x v="4"/>
    <x v="0"/>
    <n v="20"/>
  </r>
  <r>
    <x v="415"/>
    <x v="5"/>
    <x v="0"/>
    <n v="38"/>
  </r>
  <r>
    <x v="416"/>
    <x v="9"/>
    <x v="0"/>
    <n v="18"/>
  </r>
  <r>
    <x v="417"/>
    <x v="2"/>
    <x v="0"/>
    <n v="22"/>
  </r>
  <r>
    <x v="418"/>
    <x v="3"/>
    <x v="2"/>
    <n v="21"/>
  </r>
  <r>
    <x v="419"/>
    <x v="4"/>
    <x v="2"/>
    <n v="25"/>
  </r>
  <r>
    <x v="420"/>
    <x v="4"/>
    <x v="0"/>
    <n v="31"/>
  </r>
  <r>
    <x v="421"/>
    <x v="5"/>
    <x v="2"/>
    <n v="32"/>
  </r>
  <r>
    <x v="422"/>
    <x v="5"/>
    <x v="0"/>
    <n v="33"/>
  </r>
  <r>
    <x v="423"/>
    <x v="2"/>
    <x v="0"/>
    <n v="8"/>
  </r>
  <r>
    <x v="424"/>
    <x v="7"/>
    <x v="0"/>
    <n v="15"/>
  </r>
  <r>
    <x v="425"/>
    <x v="4"/>
    <x v="0"/>
    <n v="26"/>
  </r>
  <r>
    <x v="426"/>
    <x v="3"/>
    <x v="0"/>
    <n v="20"/>
  </r>
  <r>
    <x v="427"/>
    <x v="5"/>
    <x v="2"/>
    <n v="26"/>
  </r>
  <r>
    <x v="428"/>
    <x v="9"/>
    <x v="0"/>
    <n v="33"/>
  </r>
  <r>
    <x v="429"/>
    <x v="1"/>
    <x v="2"/>
    <n v="23"/>
  </r>
  <r>
    <x v="430"/>
    <x v="2"/>
    <x v="0"/>
    <n v="21"/>
  </r>
  <r>
    <x v="431"/>
    <x v="4"/>
    <x v="2"/>
    <n v="43"/>
  </r>
  <r>
    <x v="432"/>
    <x v="4"/>
    <x v="0"/>
    <n v="36"/>
  </r>
  <r>
    <x v="433"/>
    <x v="5"/>
    <x v="2"/>
    <n v="34"/>
  </r>
  <r>
    <x v="434"/>
    <x v="5"/>
    <x v="0"/>
    <n v="25"/>
  </r>
  <r>
    <x v="435"/>
    <x v="9"/>
    <x v="0"/>
    <n v="14"/>
  </r>
  <r>
    <x v="436"/>
    <x v="1"/>
    <x v="0"/>
    <n v="24"/>
  </r>
  <r>
    <x v="437"/>
    <x v="4"/>
    <x v="0"/>
    <n v="38"/>
  </r>
  <r>
    <x v="438"/>
    <x v="5"/>
    <x v="0"/>
    <n v="61"/>
  </r>
  <r>
    <x v="439"/>
    <x v="9"/>
    <x v="0"/>
    <n v="30"/>
  </r>
  <r>
    <x v="440"/>
    <x v="2"/>
    <x v="0"/>
    <n v="41"/>
  </r>
  <r>
    <x v="441"/>
    <x v="4"/>
    <x v="0"/>
    <n v="28"/>
  </r>
  <r>
    <x v="442"/>
    <x v="4"/>
    <x v="0"/>
    <n v="27"/>
  </r>
  <r>
    <x v="443"/>
    <x v="5"/>
    <x v="2"/>
    <n v="28"/>
  </r>
  <r>
    <x v="444"/>
    <x v="9"/>
    <x v="0"/>
    <n v="14"/>
  </r>
  <r>
    <x v="445"/>
    <x v="1"/>
    <x v="2"/>
    <n v="30"/>
  </r>
  <r>
    <x v="446"/>
    <x v="2"/>
    <x v="0"/>
    <n v="13"/>
  </r>
  <r>
    <x v="447"/>
    <x v="7"/>
    <x v="2"/>
    <n v="45"/>
  </r>
  <r>
    <x v="448"/>
    <x v="3"/>
    <x v="0"/>
    <n v="11"/>
  </r>
  <r>
    <x v="449"/>
    <x v="4"/>
    <x v="0"/>
    <n v="36"/>
  </r>
  <r>
    <x v="450"/>
    <x v="5"/>
    <x v="0"/>
    <n v="27"/>
  </r>
  <r>
    <x v="451"/>
    <x v="5"/>
    <x v="2"/>
    <n v="41"/>
  </r>
  <r>
    <x v="452"/>
    <x v="9"/>
    <x v="2"/>
    <n v="34"/>
  </r>
  <r>
    <x v="453"/>
    <x v="1"/>
    <x v="2"/>
    <n v="51"/>
  </r>
  <r>
    <x v="454"/>
    <x v="2"/>
    <x v="2"/>
    <n v="38"/>
  </r>
  <r>
    <x v="455"/>
    <x v="7"/>
    <x v="2"/>
    <n v="19"/>
  </r>
  <r>
    <x v="456"/>
    <x v="4"/>
    <x v="0"/>
    <n v="9"/>
  </r>
  <r>
    <x v="457"/>
    <x v="4"/>
    <x v="0"/>
    <n v="19"/>
  </r>
  <r>
    <x v="458"/>
    <x v="5"/>
    <x v="0"/>
    <n v="24"/>
  </r>
  <r>
    <x v="459"/>
    <x v="6"/>
    <x v="0"/>
    <n v="29"/>
  </r>
  <r>
    <x v="460"/>
    <x v="2"/>
    <x v="0"/>
    <n v="30"/>
  </r>
  <r>
    <x v="461"/>
    <x v="7"/>
    <x v="0"/>
    <n v="25"/>
  </r>
  <r>
    <x v="462"/>
    <x v="3"/>
    <x v="0"/>
    <n v="10"/>
  </r>
  <r>
    <x v="463"/>
    <x v="4"/>
    <x v="0"/>
    <n v="35"/>
  </r>
  <r>
    <x v="464"/>
    <x v="4"/>
    <x v="0"/>
    <n v="43"/>
  </r>
  <r>
    <x v="465"/>
    <x v="5"/>
    <x v="0"/>
    <n v="30"/>
  </r>
  <r>
    <x v="466"/>
    <x v="5"/>
    <x v="0"/>
    <n v="13"/>
  </r>
  <r>
    <x v="467"/>
    <x v="9"/>
    <x v="1"/>
    <n v="34"/>
  </r>
  <r>
    <x v="468"/>
    <x v="1"/>
    <x v="2"/>
    <n v="42"/>
  </r>
  <r>
    <x v="469"/>
    <x v="2"/>
    <x v="0"/>
    <n v="18"/>
  </r>
  <r>
    <x v="470"/>
    <x v="7"/>
    <x v="3"/>
    <n v="18"/>
  </r>
  <r>
    <x v="471"/>
    <x v="3"/>
    <x v="0"/>
    <n v="18"/>
  </r>
  <r>
    <x v="472"/>
    <x v="4"/>
    <x v="0"/>
    <n v="28"/>
  </r>
  <r>
    <x v="473"/>
    <x v="4"/>
    <x v="0"/>
    <n v="17"/>
  </r>
  <r>
    <x v="474"/>
    <x v="1"/>
    <x v="2"/>
    <n v="36"/>
  </r>
  <r>
    <x v="475"/>
    <x v="7"/>
    <x v="0"/>
    <n v="24"/>
  </r>
  <r>
    <x v="476"/>
    <x v="4"/>
    <x v="0"/>
    <n v="21"/>
  </r>
  <r>
    <x v="477"/>
    <x v="5"/>
    <x v="0"/>
    <n v="24"/>
  </r>
  <r>
    <x v="478"/>
    <x v="9"/>
    <x v="0"/>
    <n v="25"/>
  </r>
  <r>
    <x v="479"/>
    <x v="2"/>
    <x v="2"/>
    <n v="43"/>
  </r>
  <r>
    <x v="480"/>
    <x v="3"/>
    <x v="0"/>
    <n v="32"/>
  </r>
  <r>
    <x v="481"/>
    <x v="1"/>
    <x v="0"/>
    <n v="29"/>
  </r>
  <r>
    <x v="482"/>
    <x v="2"/>
    <x v="2"/>
    <n v="36"/>
  </r>
  <r>
    <x v="483"/>
    <x v="4"/>
    <x v="0"/>
    <n v="19"/>
  </r>
  <r>
    <x v="484"/>
    <x v="5"/>
    <x v="0"/>
    <n v="46"/>
  </r>
  <r>
    <x v="485"/>
    <x v="1"/>
    <x v="2"/>
    <n v="27"/>
  </r>
  <r>
    <x v="486"/>
    <x v="7"/>
    <x v="0"/>
    <n v="32"/>
  </r>
  <r>
    <x v="487"/>
    <x v="4"/>
    <x v="0"/>
    <n v="27"/>
  </r>
  <r>
    <x v="488"/>
    <x v="4"/>
    <x v="0"/>
    <n v="13"/>
  </r>
  <r>
    <x v="489"/>
    <x v="5"/>
    <x v="0"/>
    <n v="45"/>
  </r>
  <r>
    <x v="490"/>
    <x v="1"/>
    <x v="0"/>
    <n v="14"/>
  </r>
  <r>
    <x v="491"/>
    <x v="2"/>
    <x v="0"/>
    <n v="24"/>
  </r>
  <r>
    <x v="492"/>
    <x v="3"/>
    <x v="2"/>
    <n v="42"/>
  </r>
  <r>
    <x v="493"/>
    <x v="4"/>
    <x v="0"/>
    <n v="22"/>
  </r>
  <r>
    <x v="494"/>
    <x v="4"/>
    <x v="2"/>
    <n v="17"/>
  </r>
  <r>
    <x v="495"/>
    <x v="5"/>
    <x v="0"/>
    <n v="33"/>
  </r>
  <r>
    <x v="496"/>
    <x v="9"/>
    <x v="0"/>
    <n v="18"/>
  </r>
  <r>
    <x v="497"/>
    <x v="1"/>
    <x v="2"/>
    <n v="47"/>
  </r>
  <r>
    <x v="498"/>
    <x v="7"/>
    <x v="3"/>
    <n v="22"/>
  </r>
  <r>
    <x v="499"/>
    <x v="3"/>
    <x v="2"/>
    <n v="42"/>
  </r>
  <r>
    <x v="500"/>
    <x v="4"/>
    <x v="0"/>
    <n v="40"/>
  </r>
  <r>
    <x v="501"/>
    <x v="4"/>
    <x v="1"/>
    <n v="19"/>
  </r>
  <r>
    <x v="502"/>
    <x v="5"/>
    <x v="0"/>
    <n v="25"/>
  </r>
  <r>
    <x v="503"/>
    <x v="5"/>
    <x v="0"/>
    <n v="33"/>
  </r>
  <r>
    <x v="504"/>
    <x v="1"/>
    <x v="0"/>
    <n v="16"/>
  </r>
  <r>
    <x v="505"/>
    <x v="2"/>
    <x v="0"/>
    <n v="7"/>
  </r>
  <r>
    <x v="506"/>
    <x v="7"/>
    <x v="0"/>
    <n v="9"/>
  </r>
  <r>
    <x v="507"/>
    <x v="3"/>
    <x v="2"/>
    <n v="30"/>
  </r>
  <r>
    <x v="508"/>
    <x v="4"/>
    <x v="2"/>
    <n v="19"/>
  </r>
  <r>
    <x v="509"/>
    <x v="5"/>
    <x v="2"/>
    <n v="37"/>
  </r>
  <r>
    <x v="510"/>
    <x v="1"/>
    <x v="0"/>
    <n v="21"/>
  </r>
  <r>
    <x v="511"/>
    <x v="2"/>
    <x v="2"/>
    <n v="24"/>
  </r>
  <r>
    <x v="512"/>
    <x v="7"/>
    <x v="2"/>
    <n v="26"/>
  </r>
  <r>
    <x v="513"/>
    <x v="5"/>
    <x v="0"/>
    <n v="15"/>
  </r>
  <r>
    <x v="514"/>
    <x v="1"/>
    <x v="0"/>
    <n v="22"/>
  </r>
  <r>
    <x v="515"/>
    <x v="7"/>
    <x v="0"/>
    <n v="31"/>
  </r>
  <r>
    <x v="516"/>
    <x v="3"/>
    <x v="0"/>
    <n v="24"/>
  </r>
  <r>
    <x v="517"/>
    <x v="4"/>
    <x v="2"/>
    <n v="22"/>
  </r>
  <r>
    <x v="518"/>
    <x v="4"/>
    <x v="0"/>
    <n v="39"/>
  </r>
  <r>
    <x v="519"/>
    <x v="1"/>
    <x v="0"/>
    <n v="17"/>
  </r>
  <r>
    <x v="520"/>
    <x v="7"/>
    <x v="0"/>
    <n v="17"/>
  </r>
  <r>
    <x v="521"/>
    <x v="3"/>
    <x v="0"/>
    <n v="17"/>
  </r>
  <r>
    <x v="522"/>
    <x v="4"/>
    <x v="0"/>
    <n v="24"/>
  </r>
  <r>
    <x v="523"/>
    <x v="5"/>
    <x v="0"/>
    <n v="33"/>
  </r>
  <r>
    <x v="524"/>
    <x v="5"/>
    <x v="0"/>
    <n v="16"/>
  </r>
  <r>
    <x v="525"/>
    <x v="1"/>
    <x v="0"/>
    <n v="32"/>
  </r>
  <r>
    <x v="526"/>
    <x v="7"/>
    <x v="0"/>
    <n v="4"/>
  </r>
  <r>
    <x v="527"/>
    <x v="4"/>
    <x v="0"/>
    <n v="30"/>
  </r>
  <r>
    <x v="528"/>
    <x v="5"/>
    <x v="0"/>
    <n v="24"/>
  </r>
  <r>
    <x v="529"/>
    <x v="1"/>
    <x v="2"/>
    <n v="17"/>
  </r>
  <r>
    <x v="530"/>
    <x v="2"/>
    <x v="0"/>
    <n v="22"/>
  </r>
  <r>
    <x v="531"/>
    <x v="3"/>
    <x v="0"/>
    <n v="31"/>
  </r>
  <r>
    <x v="532"/>
    <x v="4"/>
    <x v="0"/>
    <n v="23"/>
  </r>
  <r>
    <x v="533"/>
    <x v="5"/>
    <x v="2"/>
    <n v="35"/>
  </r>
  <r>
    <x v="534"/>
    <x v="5"/>
    <x v="0"/>
    <n v="39"/>
  </r>
  <r>
    <x v="535"/>
    <x v="1"/>
    <x v="0"/>
    <n v="50"/>
  </r>
  <r>
    <x v="536"/>
    <x v="7"/>
    <x v="2"/>
    <n v="26"/>
  </r>
  <r>
    <x v="537"/>
    <x v="4"/>
    <x v="0"/>
    <n v="23"/>
  </r>
  <r>
    <x v="538"/>
    <x v="5"/>
    <x v="2"/>
    <n v="37"/>
  </r>
  <r>
    <x v="539"/>
    <x v="5"/>
    <x v="2"/>
    <n v="50"/>
  </r>
  <r>
    <x v="540"/>
    <x v="9"/>
    <x v="2"/>
    <n v="31"/>
  </r>
  <r>
    <x v="541"/>
    <x v="1"/>
    <x v="3"/>
    <n v="23"/>
  </r>
  <r>
    <x v="542"/>
    <x v="2"/>
    <x v="2"/>
    <n v="34"/>
  </r>
  <r>
    <x v="543"/>
    <x v="4"/>
    <x v="2"/>
    <n v="34"/>
  </r>
  <r>
    <x v="544"/>
    <x v="5"/>
    <x v="0"/>
    <n v="33"/>
  </r>
  <r>
    <x v="545"/>
    <x v="5"/>
    <x v="0"/>
    <n v="48"/>
  </r>
  <r>
    <x v="546"/>
    <x v="9"/>
    <x v="0"/>
    <n v="29"/>
  </r>
  <r>
    <x v="547"/>
    <x v="2"/>
    <x v="2"/>
    <n v="35"/>
  </r>
  <r>
    <x v="548"/>
    <x v="7"/>
    <x v="2"/>
    <n v="28"/>
  </r>
  <r>
    <x v="549"/>
    <x v="3"/>
    <x v="0"/>
    <n v="28"/>
  </r>
  <r>
    <x v="550"/>
    <x v="4"/>
    <x v="0"/>
    <n v="19"/>
  </r>
  <r>
    <x v="551"/>
    <x v="6"/>
    <x v="0"/>
    <n v="22"/>
  </r>
  <r>
    <x v="552"/>
    <x v="5"/>
    <x v="0"/>
    <n v="26"/>
  </r>
  <r>
    <x v="553"/>
    <x v="2"/>
    <x v="0"/>
    <n v="29"/>
  </r>
  <r>
    <x v="554"/>
    <x v="3"/>
    <x v="0"/>
    <n v="35"/>
  </r>
  <r>
    <x v="555"/>
    <x v="5"/>
    <x v="0"/>
    <n v="32"/>
  </r>
  <r>
    <x v="556"/>
    <x v="1"/>
    <x v="0"/>
    <n v="44"/>
  </r>
  <r>
    <x v="557"/>
    <x v="2"/>
    <x v="2"/>
    <n v="32"/>
  </r>
  <r>
    <x v="558"/>
    <x v="2"/>
    <x v="0"/>
    <n v="8"/>
  </r>
  <r>
    <x v="559"/>
    <x v="4"/>
    <x v="0"/>
    <n v="30"/>
  </r>
  <r>
    <x v="560"/>
    <x v="5"/>
    <x v="2"/>
    <n v="42"/>
  </r>
  <r>
    <x v="561"/>
    <x v="5"/>
    <x v="0"/>
    <n v="44"/>
  </r>
  <r>
    <x v="562"/>
    <x v="9"/>
    <x v="2"/>
    <n v="41"/>
  </r>
  <r>
    <x v="563"/>
    <x v="1"/>
    <x v="2"/>
    <n v="19"/>
  </r>
  <r>
    <x v="564"/>
    <x v="7"/>
    <x v="0"/>
    <n v="42"/>
  </r>
  <r>
    <x v="565"/>
    <x v="4"/>
    <x v="0"/>
    <n v="30"/>
  </r>
  <r>
    <x v="566"/>
    <x v="5"/>
    <x v="0"/>
    <n v="13"/>
  </r>
  <r>
    <x v="567"/>
    <x v="5"/>
    <x v="0"/>
    <n v="34"/>
  </r>
  <r>
    <x v="568"/>
    <x v="9"/>
    <x v="2"/>
    <n v="38"/>
  </r>
  <r>
    <x v="569"/>
    <x v="1"/>
    <x v="0"/>
    <n v="17"/>
  </r>
  <r>
    <x v="570"/>
    <x v="2"/>
    <x v="0"/>
    <n v="37"/>
  </r>
  <r>
    <x v="571"/>
    <x v="7"/>
    <x v="0"/>
    <n v="27"/>
  </r>
  <r>
    <x v="572"/>
    <x v="4"/>
    <x v="2"/>
    <n v="36"/>
  </r>
  <r>
    <x v="573"/>
    <x v="4"/>
    <x v="2"/>
    <n v="22"/>
  </r>
  <r>
    <x v="574"/>
    <x v="1"/>
    <x v="0"/>
    <n v="30"/>
  </r>
  <r>
    <x v="575"/>
    <x v="2"/>
    <x v="2"/>
    <n v="10"/>
  </r>
  <r>
    <x v="576"/>
    <x v="4"/>
    <x v="0"/>
    <n v="28"/>
  </r>
  <r>
    <x v="577"/>
    <x v="4"/>
    <x v="2"/>
    <n v="15"/>
  </r>
  <r>
    <x v="578"/>
    <x v="5"/>
    <x v="0"/>
    <n v="35"/>
  </r>
  <r>
    <x v="579"/>
    <x v="2"/>
    <x v="2"/>
    <n v="32"/>
  </r>
  <r>
    <x v="580"/>
    <x v="2"/>
    <x v="2"/>
    <n v="23"/>
  </r>
  <r>
    <x v="581"/>
    <x v="3"/>
    <x v="2"/>
    <n v="24"/>
  </r>
  <r>
    <x v="582"/>
    <x v="4"/>
    <x v="0"/>
    <n v="27"/>
  </r>
  <r>
    <x v="583"/>
    <x v="4"/>
    <x v="2"/>
    <n v="45"/>
  </r>
  <r>
    <x v="584"/>
    <x v="5"/>
    <x v="0"/>
    <n v="25"/>
  </r>
  <r>
    <x v="585"/>
    <x v="5"/>
    <x v="3"/>
    <n v="25"/>
  </r>
  <r>
    <x v="586"/>
    <x v="1"/>
    <x v="0"/>
    <n v="33"/>
  </r>
  <r>
    <x v="587"/>
    <x v="2"/>
    <x v="0"/>
    <n v="30"/>
  </r>
  <r>
    <x v="588"/>
    <x v="4"/>
    <x v="2"/>
    <n v="30"/>
  </r>
  <r>
    <x v="589"/>
    <x v="5"/>
    <x v="0"/>
    <n v="32"/>
  </r>
  <r>
    <x v="590"/>
    <x v="9"/>
    <x v="0"/>
    <n v="30"/>
  </r>
  <r>
    <x v="591"/>
    <x v="1"/>
    <x v="0"/>
    <n v="22"/>
  </r>
  <r>
    <x v="592"/>
    <x v="2"/>
    <x v="0"/>
    <n v="29"/>
  </r>
  <r>
    <x v="593"/>
    <x v="7"/>
    <x v="0"/>
    <n v="14"/>
  </r>
  <r>
    <x v="594"/>
    <x v="3"/>
    <x v="2"/>
    <n v="18"/>
  </r>
  <r>
    <x v="595"/>
    <x v="4"/>
    <x v="0"/>
    <n v="34"/>
  </r>
  <r>
    <x v="596"/>
    <x v="1"/>
    <x v="2"/>
    <n v="24"/>
  </r>
  <r>
    <x v="597"/>
    <x v="2"/>
    <x v="0"/>
    <n v="32"/>
  </r>
  <r>
    <x v="598"/>
    <x v="7"/>
    <x v="0"/>
    <n v="22"/>
  </r>
  <r>
    <x v="599"/>
    <x v="3"/>
    <x v="0"/>
    <n v="38"/>
  </r>
  <r>
    <x v="600"/>
    <x v="4"/>
    <x v="0"/>
    <n v="28"/>
  </r>
  <r>
    <x v="601"/>
    <x v="4"/>
    <x v="0"/>
    <n v="19"/>
  </r>
  <r>
    <x v="602"/>
    <x v="5"/>
    <x v="0"/>
    <n v="29"/>
  </r>
  <r>
    <x v="603"/>
    <x v="10"/>
    <x v="2"/>
    <n v="29"/>
  </r>
  <r>
    <x v="604"/>
    <x v="10"/>
    <x v="2"/>
    <n v="37"/>
  </r>
  <r>
    <x v="605"/>
    <x v="10"/>
    <x v="0"/>
    <n v="2"/>
  </r>
  <r>
    <x v="606"/>
    <x v="10"/>
    <x v="0"/>
    <n v="26"/>
  </r>
  <r>
    <x v="607"/>
    <x v="10"/>
    <x v="0"/>
    <n v="32"/>
  </r>
  <r>
    <x v="608"/>
    <x v="10"/>
    <x v="0"/>
    <n v="21"/>
  </r>
  <r>
    <x v="609"/>
    <x v="10"/>
    <x v="0"/>
    <n v="15"/>
  </r>
  <r>
    <x v="610"/>
    <x v="10"/>
    <x v="0"/>
    <n v="33"/>
  </r>
  <r>
    <x v="611"/>
    <x v="10"/>
    <x v="0"/>
    <n v="27"/>
  </r>
  <r>
    <x v="612"/>
    <x v="10"/>
    <x v="2"/>
    <n v="29"/>
  </r>
  <r>
    <x v="613"/>
    <x v="10"/>
    <x v="2"/>
    <n v="47"/>
  </r>
  <r>
    <x v="614"/>
    <x v="10"/>
    <x v="0"/>
    <n v="19"/>
  </r>
  <r>
    <x v="615"/>
    <x v="10"/>
    <x v="2"/>
    <n v="23"/>
  </r>
  <r>
    <x v="616"/>
    <x v="10"/>
    <x v="0"/>
    <n v="26"/>
  </r>
  <r>
    <x v="617"/>
    <x v="10"/>
    <x v="0"/>
    <n v="29"/>
  </r>
  <r>
    <x v="618"/>
    <x v="2"/>
    <x v="0"/>
    <n v="17"/>
  </r>
  <r>
    <x v="619"/>
    <x v="10"/>
    <x v="2"/>
    <n v="13"/>
  </r>
  <r>
    <x v="620"/>
    <x v="10"/>
    <x v="2"/>
    <n v="45"/>
  </r>
  <r>
    <x v="621"/>
    <x v="10"/>
    <x v="2"/>
    <n v="50"/>
  </r>
  <r>
    <x v="622"/>
    <x v="10"/>
    <x v="0"/>
    <n v="12"/>
  </r>
  <r>
    <x v="623"/>
    <x v="2"/>
    <x v="0"/>
    <n v="27"/>
  </r>
  <r>
    <x v="624"/>
    <x v="11"/>
    <x v="3"/>
    <n v="50"/>
  </r>
  <r>
    <x v="625"/>
    <x v="10"/>
    <x v="2"/>
    <n v="34"/>
  </r>
  <r>
    <x v="626"/>
    <x v="2"/>
    <x v="0"/>
    <n v="7"/>
  </r>
  <r>
    <x v="627"/>
    <x v="10"/>
    <x v="0"/>
    <n v="50"/>
  </r>
  <r>
    <x v="628"/>
    <x v="10"/>
    <x v="2"/>
    <n v="35"/>
  </r>
  <r>
    <x v="629"/>
    <x v="2"/>
    <x v="0"/>
    <n v="33"/>
  </r>
  <r>
    <x v="630"/>
    <x v="10"/>
    <x v="0"/>
    <n v="24"/>
  </r>
  <r>
    <x v="631"/>
    <x v="11"/>
    <x v="0"/>
    <n v="24"/>
  </r>
  <r>
    <x v="632"/>
    <x v="10"/>
    <x v="0"/>
    <n v="24"/>
  </r>
  <r>
    <x v="633"/>
    <x v="10"/>
    <x v="2"/>
    <n v="21"/>
  </r>
  <r>
    <x v="634"/>
    <x v="10"/>
    <x v="2"/>
    <n v="14"/>
  </r>
  <r>
    <x v="635"/>
    <x v="10"/>
    <x v="0"/>
    <n v="21"/>
  </r>
  <r>
    <x v="636"/>
    <x v="11"/>
    <x v="0"/>
    <n v="57"/>
  </r>
  <r>
    <x v="637"/>
    <x v="10"/>
    <x v="0"/>
    <n v="25"/>
  </r>
  <r>
    <x v="638"/>
    <x v="2"/>
    <x v="2"/>
    <n v="32"/>
  </r>
  <r>
    <x v="639"/>
    <x v="2"/>
    <x v="0"/>
    <n v="23"/>
  </r>
  <r>
    <x v="640"/>
    <x v="10"/>
    <x v="0"/>
    <n v="28"/>
  </r>
  <r>
    <x v="641"/>
    <x v="2"/>
    <x v="0"/>
    <n v="21"/>
  </r>
  <r>
    <x v="642"/>
    <x v="11"/>
    <x v="2"/>
    <n v="26"/>
  </r>
  <r>
    <x v="643"/>
    <x v="11"/>
    <x v="0"/>
    <n v="28"/>
  </r>
  <r>
    <x v="644"/>
    <x v="10"/>
    <x v="0"/>
    <n v="10"/>
  </r>
  <r>
    <x v="645"/>
    <x v="10"/>
    <x v="0"/>
    <n v="21"/>
  </r>
  <r>
    <x v="646"/>
    <x v="2"/>
    <x v="2"/>
    <n v="56"/>
  </r>
  <r>
    <x v="647"/>
    <x v="2"/>
    <x v="0"/>
    <n v="35"/>
  </r>
  <r>
    <x v="648"/>
    <x v="11"/>
    <x v="0"/>
    <n v="23"/>
  </r>
  <r>
    <x v="649"/>
    <x v="10"/>
    <x v="0"/>
    <n v="14"/>
  </r>
  <r>
    <x v="650"/>
    <x v="11"/>
    <x v="0"/>
    <n v="29"/>
  </r>
  <r>
    <x v="651"/>
    <x v="10"/>
    <x v="3"/>
    <n v="22"/>
  </r>
  <r>
    <x v="652"/>
    <x v="2"/>
    <x v="0"/>
    <n v="25"/>
  </r>
  <r>
    <x v="653"/>
    <x v="11"/>
    <x v="0"/>
    <n v="44"/>
  </r>
  <r>
    <x v="654"/>
    <x v="11"/>
    <x v="0"/>
    <n v="32"/>
  </r>
  <r>
    <x v="655"/>
    <x v="10"/>
    <x v="0"/>
    <n v="28"/>
  </r>
  <r>
    <x v="656"/>
    <x v="10"/>
    <x v="0"/>
    <n v="17"/>
  </r>
  <r>
    <x v="657"/>
    <x v="11"/>
    <x v="0"/>
    <n v="22"/>
  </r>
  <r>
    <x v="658"/>
    <x v="11"/>
    <x v="0"/>
    <n v="32"/>
  </r>
  <r>
    <x v="659"/>
    <x v="10"/>
    <x v="3"/>
    <n v="33"/>
  </r>
  <r>
    <x v="660"/>
    <x v="2"/>
    <x v="0"/>
    <n v="18"/>
  </r>
  <r>
    <x v="661"/>
    <x v="10"/>
    <x v="0"/>
    <n v="33"/>
  </r>
  <r>
    <x v="662"/>
    <x v="11"/>
    <x v="2"/>
    <n v="29"/>
  </r>
  <r>
    <x v="663"/>
    <x v="10"/>
    <x v="0"/>
    <n v="36"/>
  </r>
  <r>
    <x v="664"/>
    <x v="11"/>
    <x v="2"/>
    <n v="33"/>
  </r>
  <r>
    <x v="665"/>
    <x v="11"/>
    <x v="0"/>
    <n v="35"/>
  </r>
  <r>
    <x v="666"/>
    <x v="10"/>
    <x v="0"/>
    <n v="27"/>
  </r>
  <r>
    <x v="667"/>
    <x v="11"/>
    <x v="0"/>
    <n v="14"/>
  </r>
  <r>
    <x v="668"/>
    <x v="11"/>
    <x v="0"/>
    <n v="43"/>
  </r>
  <r>
    <x v="669"/>
    <x v="11"/>
    <x v="2"/>
    <n v="42"/>
  </r>
  <r>
    <x v="670"/>
    <x v="10"/>
    <x v="0"/>
    <n v="34"/>
  </r>
  <r>
    <x v="671"/>
    <x v="11"/>
    <x v="0"/>
    <n v="21"/>
  </r>
  <r>
    <x v="672"/>
    <x v="10"/>
    <x v="1"/>
    <n v="14"/>
  </r>
  <r>
    <x v="673"/>
    <x v="11"/>
    <x v="0"/>
    <n v="30"/>
  </r>
  <r>
    <x v="674"/>
    <x v="10"/>
    <x v="0"/>
    <n v="27"/>
  </r>
  <r>
    <x v="675"/>
    <x v="11"/>
    <x v="0"/>
    <n v="25"/>
  </r>
  <r>
    <x v="676"/>
    <x v="11"/>
    <x v="2"/>
    <n v="34"/>
  </r>
  <r>
    <x v="677"/>
    <x v="11"/>
    <x v="2"/>
    <n v="34"/>
  </r>
  <r>
    <x v="678"/>
    <x v="11"/>
    <x v="0"/>
    <n v="55"/>
  </r>
  <r>
    <x v="679"/>
    <x v="10"/>
    <x v="0"/>
    <n v="18"/>
  </r>
  <r>
    <x v="680"/>
    <x v="10"/>
    <x v="0"/>
    <n v="16"/>
  </r>
  <r>
    <x v="681"/>
    <x v="10"/>
    <x v="2"/>
    <n v="19"/>
  </r>
  <r>
    <x v="682"/>
    <x v="6"/>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x v="0"/>
    <n v="25"/>
  </r>
  <r>
    <x v="0"/>
    <x v="0"/>
    <n v="14"/>
  </r>
  <r>
    <x v="0"/>
    <x v="0"/>
    <n v="24"/>
  </r>
  <r>
    <x v="0"/>
    <x v="1"/>
    <n v="20"/>
  </r>
  <r>
    <x v="0"/>
    <x v="0"/>
    <n v="16"/>
  </r>
  <r>
    <x v="0"/>
    <x v="1"/>
    <n v="19"/>
  </r>
  <r>
    <x v="0"/>
    <x v="0"/>
    <n v="11"/>
  </r>
  <r>
    <x v="0"/>
    <x v="0"/>
    <n v="19"/>
  </r>
  <r>
    <x v="0"/>
    <x v="1"/>
    <n v="35"/>
  </r>
  <r>
    <x v="0"/>
    <x v="0"/>
    <n v="35"/>
  </r>
  <r>
    <x v="0"/>
    <x v="0"/>
    <n v="44"/>
  </r>
  <r>
    <x v="0"/>
    <x v="0"/>
    <n v="31"/>
  </r>
  <r>
    <x v="0"/>
    <x v="0"/>
    <n v="12"/>
  </r>
  <r>
    <x v="0"/>
    <x v="0"/>
    <n v="32"/>
  </r>
  <r>
    <x v="0"/>
    <x v="2"/>
    <n v="16"/>
  </r>
  <r>
    <x v="0"/>
    <x v="0"/>
    <n v="21"/>
  </r>
  <r>
    <x v="0"/>
    <x v="0"/>
    <n v="20"/>
  </r>
  <r>
    <x v="0"/>
    <x v="0"/>
    <n v="18"/>
  </r>
  <r>
    <x v="0"/>
    <x v="0"/>
    <n v="33"/>
  </r>
  <r>
    <x v="0"/>
    <x v="0"/>
    <n v="14"/>
  </r>
  <r>
    <x v="0"/>
    <x v="0"/>
    <n v="30"/>
  </r>
  <r>
    <x v="0"/>
    <x v="0"/>
    <n v="14"/>
  </r>
  <r>
    <x v="0"/>
    <x v="1"/>
    <n v="34"/>
  </r>
  <r>
    <x v="0"/>
    <x v="3"/>
    <n v="34"/>
  </r>
  <r>
    <x v="0"/>
    <x v="0"/>
    <n v="25"/>
  </r>
  <r>
    <x v="0"/>
    <x v="0"/>
    <n v="18"/>
  </r>
  <r>
    <x v="0"/>
    <x v="1"/>
    <n v="31"/>
  </r>
  <r>
    <x v="0"/>
    <x v="0"/>
    <n v="29"/>
  </r>
  <r>
    <x v="0"/>
    <x v="1"/>
    <n v="41"/>
  </r>
  <r>
    <x v="0"/>
    <x v="1"/>
    <n v="38"/>
  </r>
  <r>
    <x v="0"/>
    <x v="0"/>
    <n v="30"/>
  </r>
  <r>
    <x v="1"/>
    <x v="2"/>
    <n v="18"/>
  </r>
  <r>
    <x v="1"/>
    <x v="0"/>
    <n v="18"/>
  </r>
  <r>
    <x v="1"/>
    <x v="0"/>
    <n v="25"/>
  </r>
  <r>
    <x v="1"/>
    <x v="0"/>
    <n v="37"/>
  </r>
  <r>
    <x v="1"/>
    <x v="1"/>
    <n v="33"/>
  </r>
  <r>
    <x v="1"/>
    <x v="1"/>
    <n v="27"/>
  </r>
  <r>
    <x v="1"/>
    <x v="0"/>
    <n v="22"/>
  </r>
  <r>
    <x v="1"/>
    <x v="0"/>
    <n v="16"/>
  </r>
  <r>
    <x v="1"/>
    <x v="1"/>
    <n v="32"/>
  </r>
  <r>
    <x v="1"/>
    <x v="0"/>
    <n v="34"/>
  </r>
  <r>
    <x v="1"/>
    <x v="1"/>
    <n v="27"/>
  </r>
  <r>
    <x v="1"/>
    <x v="1"/>
    <n v="18"/>
  </r>
  <r>
    <x v="1"/>
    <x v="1"/>
    <n v="23"/>
  </r>
  <r>
    <x v="1"/>
    <x v="0"/>
    <n v="30"/>
  </r>
  <r>
    <x v="1"/>
    <x v="0"/>
    <n v="27"/>
  </r>
  <r>
    <x v="1"/>
    <x v="0"/>
    <n v="11"/>
  </r>
  <r>
    <x v="1"/>
    <x v="0"/>
    <n v="26"/>
  </r>
  <r>
    <x v="1"/>
    <x v="0"/>
    <n v="23"/>
  </r>
  <r>
    <x v="1"/>
    <x v="0"/>
    <n v="20"/>
  </r>
  <r>
    <x v="1"/>
    <x v="1"/>
    <n v="32"/>
  </r>
  <r>
    <x v="1"/>
    <x v="0"/>
    <n v="41"/>
  </r>
  <r>
    <x v="1"/>
    <x v="0"/>
    <n v="29"/>
  </r>
  <r>
    <x v="1"/>
    <x v="0"/>
    <n v="16"/>
  </r>
  <r>
    <x v="1"/>
    <x v="0"/>
    <n v="31"/>
  </r>
  <r>
    <x v="1"/>
    <x v="0"/>
    <n v="14"/>
  </r>
  <r>
    <x v="1"/>
    <x v="0"/>
    <n v="33"/>
  </r>
  <r>
    <x v="1"/>
    <x v="1"/>
    <n v="45"/>
  </r>
  <r>
    <x v="1"/>
    <x v="0"/>
    <n v="22"/>
  </r>
  <r>
    <x v="1"/>
    <x v="3"/>
    <n v="29"/>
  </r>
  <r>
    <x v="1"/>
    <x v="1"/>
    <n v="33"/>
  </r>
  <r>
    <x v="1"/>
    <x v="0"/>
    <n v="26"/>
  </r>
  <r>
    <x v="1"/>
    <x v="0"/>
    <n v="24"/>
  </r>
  <r>
    <x v="1"/>
    <x v="0"/>
    <n v="27"/>
  </r>
  <r>
    <x v="1"/>
    <x v="0"/>
    <n v="26"/>
  </r>
  <r>
    <x v="1"/>
    <x v="0"/>
    <n v="28"/>
  </r>
  <r>
    <x v="1"/>
    <x v="0"/>
    <n v="22"/>
  </r>
  <r>
    <x v="1"/>
    <x v="1"/>
    <n v="28"/>
  </r>
  <r>
    <x v="1"/>
    <x v="1"/>
    <n v="31"/>
  </r>
  <r>
    <x v="1"/>
    <x v="0"/>
    <n v="22"/>
  </r>
  <r>
    <x v="1"/>
    <x v="0"/>
    <n v="31"/>
  </r>
  <r>
    <x v="1"/>
    <x v="0"/>
    <n v="35"/>
  </r>
  <r>
    <x v="1"/>
    <x v="0"/>
    <n v="43"/>
  </r>
  <r>
    <x v="1"/>
    <x v="0"/>
    <n v="20"/>
  </r>
  <r>
    <x v="1"/>
    <x v="0"/>
    <n v="30"/>
  </r>
  <r>
    <x v="1"/>
    <x v="0"/>
    <n v="5"/>
  </r>
  <r>
    <x v="1"/>
    <x v="0"/>
    <n v="33"/>
  </r>
  <r>
    <x v="1"/>
    <x v="0"/>
    <n v="31"/>
  </r>
  <r>
    <x v="1"/>
    <x v="1"/>
    <n v="23"/>
  </r>
  <r>
    <x v="1"/>
    <x v="0"/>
    <n v="24"/>
  </r>
  <r>
    <x v="1"/>
    <x v="1"/>
    <n v="30"/>
  </r>
  <r>
    <x v="1"/>
    <x v="1"/>
    <n v="51"/>
  </r>
  <r>
    <x v="1"/>
    <x v="1"/>
    <n v="42"/>
  </r>
  <r>
    <x v="1"/>
    <x v="1"/>
    <n v="36"/>
  </r>
  <r>
    <x v="1"/>
    <x v="0"/>
    <n v="29"/>
  </r>
  <r>
    <x v="1"/>
    <x v="1"/>
    <n v="27"/>
  </r>
  <r>
    <x v="1"/>
    <x v="0"/>
    <n v="14"/>
  </r>
  <r>
    <x v="1"/>
    <x v="1"/>
    <n v="47"/>
  </r>
  <r>
    <x v="1"/>
    <x v="0"/>
    <n v="16"/>
  </r>
  <r>
    <x v="1"/>
    <x v="0"/>
    <n v="21"/>
  </r>
  <r>
    <x v="1"/>
    <x v="0"/>
    <n v="22"/>
  </r>
  <r>
    <x v="1"/>
    <x v="0"/>
    <n v="17"/>
  </r>
  <r>
    <x v="1"/>
    <x v="0"/>
    <n v="32"/>
  </r>
  <r>
    <x v="1"/>
    <x v="1"/>
    <n v="17"/>
  </r>
  <r>
    <x v="1"/>
    <x v="0"/>
    <n v="50"/>
  </r>
  <r>
    <x v="1"/>
    <x v="2"/>
    <n v="23"/>
  </r>
  <r>
    <x v="1"/>
    <x v="0"/>
    <n v="44"/>
  </r>
  <r>
    <x v="1"/>
    <x v="1"/>
    <n v="19"/>
  </r>
  <r>
    <x v="1"/>
    <x v="0"/>
    <n v="17"/>
  </r>
  <r>
    <x v="1"/>
    <x v="0"/>
    <n v="30"/>
  </r>
  <r>
    <x v="1"/>
    <x v="0"/>
    <n v="33"/>
  </r>
  <r>
    <x v="1"/>
    <x v="0"/>
    <n v="22"/>
  </r>
  <r>
    <x v="1"/>
    <x v="1"/>
    <n v="24"/>
  </r>
  <r>
    <x v="2"/>
    <x v="0"/>
    <n v="17"/>
  </r>
  <r>
    <x v="2"/>
    <x v="0"/>
    <n v="27"/>
  </r>
  <r>
    <x v="2"/>
    <x v="0"/>
    <n v="7"/>
  </r>
  <r>
    <x v="2"/>
    <x v="0"/>
    <n v="33"/>
  </r>
  <r>
    <x v="2"/>
    <x v="1"/>
    <n v="32"/>
  </r>
  <r>
    <x v="2"/>
    <x v="0"/>
    <n v="23"/>
  </r>
  <r>
    <x v="2"/>
    <x v="0"/>
    <n v="21"/>
  </r>
  <r>
    <x v="2"/>
    <x v="1"/>
    <n v="56"/>
  </r>
  <r>
    <x v="2"/>
    <x v="0"/>
    <n v="35"/>
  </r>
  <r>
    <x v="2"/>
    <x v="0"/>
    <n v="25"/>
  </r>
  <r>
    <x v="2"/>
    <x v="0"/>
    <n v="18"/>
  </r>
  <r>
    <x v="2"/>
    <x v="0"/>
    <n v="26"/>
  </r>
  <r>
    <x v="2"/>
    <x v="2"/>
    <n v="23"/>
  </r>
  <r>
    <x v="2"/>
    <x v="0"/>
    <n v="25"/>
  </r>
  <r>
    <x v="2"/>
    <x v="0"/>
    <n v="15"/>
  </r>
  <r>
    <x v="2"/>
    <x v="0"/>
    <n v="17"/>
  </r>
  <r>
    <x v="2"/>
    <x v="0"/>
    <n v="30"/>
  </r>
  <r>
    <x v="2"/>
    <x v="0"/>
    <n v="39"/>
  </r>
  <r>
    <x v="2"/>
    <x v="0"/>
    <n v="30"/>
  </r>
  <r>
    <x v="2"/>
    <x v="0"/>
    <n v="29"/>
  </r>
  <r>
    <x v="2"/>
    <x v="1"/>
    <n v="16"/>
  </r>
  <r>
    <x v="2"/>
    <x v="0"/>
    <n v="18"/>
  </r>
  <r>
    <x v="2"/>
    <x v="0"/>
    <n v="28"/>
  </r>
  <r>
    <x v="2"/>
    <x v="0"/>
    <n v="20"/>
  </r>
  <r>
    <x v="2"/>
    <x v="0"/>
    <n v="26"/>
  </r>
  <r>
    <x v="2"/>
    <x v="0"/>
    <n v="20"/>
  </r>
  <r>
    <x v="2"/>
    <x v="0"/>
    <n v="17"/>
  </r>
  <r>
    <x v="2"/>
    <x v="0"/>
    <n v="33"/>
  </r>
  <r>
    <x v="2"/>
    <x v="0"/>
    <n v="29"/>
  </r>
  <r>
    <x v="2"/>
    <x v="3"/>
    <n v="38"/>
  </r>
  <r>
    <x v="2"/>
    <x v="0"/>
    <n v="32"/>
  </r>
  <r>
    <x v="2"/>
    <x v="0"/>
    <n v="27"/>
  </r>
  <r>
    <x v="2"/>
    <x v="3"/>
    <n v="33"/>
  </r>
  <r>
    <x v="2"/>
    <x v="0"/>
    <n v="31"/>
  </r>
  <r>
    <x v="2"/>
    <x v="0"/>
    <n v="11"/>
  </r>
  <r>
    <x v="2"/>
    <x v="2"/>
    <n v="6"/>
  </r>
  <r>
    <x v="2"/>
    <x v="0"/>
    <n v="47"/>
  </r>
  <r>
    <x v="2"/>
    <x v="1"/>
    <n v="36"/>
  </r>
  <r>
    <x v="2"/>
    <x v="0"/>
    <n v="20"/>
  </r>
  <r>
    <x v="2"/>
    <x v="0"/>
    <n v="29"/>
  </r>
  <r>
    <x v="2"/>
    <x v="1"/>
    <n v="35"/>
  </r>
  <r>
    <x v="2"/>
    <x v="0"/>
    <n v="22"/>
  </r>
  <r>
    <x v="2"/>
    <x v="0"/>
    <n v="8"/>
  </r>
  <r>
    <x v="2"/>
    <x v="0"/>
    <n v="21"/>
  </r>
  <r>
    <x v="2"/>
    <x v="0"/>
    <n v="41"/>
  </r>
  <r>
    <x v="2"/>
    <x v="0"/>
    <n v="13"/>
  </r>
  <r>
    <x v="2"/>
    <x v="1"/>
    <n v="38"/>
  </r>
  <r>
    <x v="2"/>
    <x v="0"/>
    <n v="30"/>
  </r>
  <r>
    <x v="2"/>
    <x v="0"/>
    <n v="18"/>
  </r>
  <r>
    <x v="2"/>
    <x v="1"/>
    <n v="43"/>
  </r>
  <r>
    <x v="2"/>
    <x v="1"/>
    <n v="36"/>
  </r>
  <r>
    <x v="2"/>
    <x v="0"/>
    <n v="24"/>
  </r>
  <r>
    <x v="2"/>
    <x v="0"/>
    <n v="7"/>
  </r>
  <r>
    <x v="2"/>
    <x v="1"/>
    <n v="24"/>
  </r>
  <r>
    <x v="2"/>
    <x v="0"/>
    <n v="22"/>
  </r>
  <r>
    <x v="2"/>
    <x v="1"/>
    <n v="34"/>
  </r>
  <r>
    <x v="2"/>
    <x v="1"/>
    <n v="35"/>
  </r>
  <r>
    <x v="2"/>
    <x v="0"/>
    <n v="29"/>
  </r>
  <r>
    <x v="2"/>
    <x v="1"/>
    <n v="32"/>
  </r>
  <r>
    <x v="2"/>
    <x v="0"/>
    <n v="8"/>
  </r>
  <r>
    <x v="2"/>
    <x v="0"/>
    <n v="37"/>
  </r>
  <r>
    <x v="2"/>
    <x v="1"/>
    <n v="10"/>
  </r>
  <r>
    <x v="2"/>
    <x v="1"/>
    <n v="32"/>
  </r>
  <r>
    <x v="2"/>
    <x v="1"/>
    <n v="23"/>
  </r>
  <r>
    <x v="2"/>
    <x v="0"/>
    <n v="30"/>
  </r>
  <r>
    <x v="2"/>
    <x v="0"/>
    <n v="29"/>
  </r>
  <r>
    <x v="2"/>
    <x v="0"/>
    <n v="32"/>
  </r>
  <r>
    <x v="3"/>
    <x v="0"/>
    <n v="21"/>
  </r>
  <r>
    <x v="3"/>
    <x v="0"/>
    <n v="31"/>
  </r>
  <r>
    <x v="3"/>
    <x v="0"/>
    <n v="24"/>
  </r>
  <r>
    <x v="3"/>
    <x v="1"/>
    <n v="25"/>
  </r>
  <r>
    <x v="3"/>
    <x v="1"/>
    <n v="19"/>
  </r>
  <r>
    <x v="3"/>
    <x v="0"/>
    <n v="33"/>
  </r>
  <r>
    <x v="3"/>
    <x v="0"/>
    <n v="35"/>
  </r>
  <r>
    <x v="3"/>
    <x v="0"/>
    <n v="46"/>
  </r>
  <r>
    <x v="3"/>
    <x v="0"/>
    <n v="22"/>
  </r>
  <r>
    <x v="3"/>
    <x v="1"/>
    <n v="16"/>
  </r>
  <r>
    <x v="3"/>
    <x v="0"/>
    <n v="32"/>
  </r>
  <r>
    <x v="3"/>
    <x v="0"/>
    <n v="30"/>
  </r>
  <r>
    <x v="3"/>
    <x v="1"/>
    <n v="24"/>
  </r>
  <r>
    <x v="3"/>
    <x v="1"/>
    <n v="27"/>
  </r>
  <r>
    <x v="3"/>
    <x v="0"/>
    <n v="18"/>
  </r>
  <r>
    <x v="3"/>
    <x v="0"/>
    <n v="19"/>
  </r>
  <r>
    <x v="3"/>
    <x v="1"/>
    <n v="15"/>
  </r>
  <r>
    <x v="3"/>
    <x v="2"/>
    <n v="37"/>
  </r>
  <r>
    <x v="3"/>
    <x v="0"/>
    <n v="32"/>
  </r>
  <r>
    <x v="3"/>
    <x v="0"/>
    <n v="24"/>
  </r>
  <r>
    <x v="3"/>
    <x v="1"/>
    <n v="26"/>
  </r>
  <r>
    <x v="3"/>
    <x v="3"/>
    <n v="21"/>
  </r>
  <r>
    <x v="3"/>
    <x v="0"/>
    <n v="12"/>
  </r>
  <r>
    <x v="3"/>
    <x v="0"/>
    <n v="30"/>
  </r>
  <r>
    <x v="3"/>
    <x v="0"/>
    <n v="13"/>
  </r>
  <r>
    <x v="3"/>
    <x v="0"/>
    <n v="31"/>
  </r>
  <r>
    <x v="3"/>
    <x v="1"/>
    <n v="24"/>
  </r>
  <r>
    <x v="3"/>
    <x v="1"/>
    <n v="19"/>
  </r>
  <r>
    <x v="3"/>
    <x v="0"/>
    <n v="32"/>
  </r>
  <r>
    <x v="3"/>
    <x v="0"/>
    <n v="10"/>
  </r>
  <r>
    <x v="3"/>
    <x v="0"/>
    <n v="30"/>
  </r>
  <r>
    <x v="3"/>
    <x v="0"/>
    <n v="32"/>
  </r>
  <r>
    <x v="3"/>
    <x v="0"/>
    <n v="26"/>
  </r>
  <r>
    <x v="3"/>
    <x v="0"/>
    <n v="24"/>
  </r>
  <r>
    <x v="3"/>
    <x v="0"/>
    <n v="26"/>
  </r>
  <r>
    <x v="3"/>
    <x v="0"/>
    <n v="17"/>
  </r>
  <r>
    <x v="3"/>
    <x v="0"/>
    <n v="27"/>
  </r>
  <r>
    <x v="3"/>
    <x v="0"/>
    <n v="28"/>
  </r>
  <r>
    <x v="3"/>
    <x v="0"/>
    <n v="18"/>
  </r>
  <r>
    <x v="3"/>
    <x v="0"/>
    <n v="43"/>
  </r>
  <r>
    <x v="3"/>
    <x v="0"/>
    <n v="24"/>
  </r>
  <r>
    <x v="3"/>
    <x v="1"/>
    <n v="31"/>
  </r>
  <r>
    <x v="3"/>
    <x v="0"/>
    <n v="30"/>
  </r>
  <r>
    <x v="3"/>
    <x v="0"/>
    <n v="28"/>
  </r>
  <r>
    <x v="3"/>
    <x v="0"/>
    <n v="19"/>
  </r>
  <r>
    <x v="3"/>
    <x v="0"/>
    <n v="20"/>
  </r>
  <r>
    <x v="3"/>
    <x v="0"/>
    <n v="41"/>
  </r>
  <r>
    <x v="3"/>
    <x v="0"/>
    <n v="13"/>
  </r>
  <r>
    <x v="3"/>
    <x v="1"/>
    <n v="24"/>
  </r>
  <r>
    <x v="3"/>
    <x v="0"/>
    <n v="40"/>
  </r>
  <r>
    <x v="3"/>
    <x v="0"/>
    <n v="19"/>
  </r>
  <r>
    <x v="3"/>
    <x v="0"/>
    <n v="27"/>
  </r>
  <r>
    <x v="3"/>
    <x v="1"/>
    <n v="17"/>
  </r>
  <r>
    <x v="3"/>
    <x v="0"/>
    <n v="24"/>
  </r>
  <r>
    <x v="3"/>
    <x v="0"/>
    <n v="21"/>
  </r>
  <r>
    <x v="3"/>
    <x v="0"/>
    <n v="18"/>
  </r>
  <r>
    <x v="3"/>
    <x v="0"/>
    <n v="11"/>
  </r>
  <r>
    <x v="3"/>
    <x v="0"/>
    <n v="3"/>
  </r>
  <r>
    <x v="3"/>
    <x v="0"/>
    <n v="25"/>
  </r>
  <r>
    <x v="3"/>
    <x v="0"/>
    <n v="14"/>
  </r>
  <r>
    <x v="3"/>
    <x v="0"/>
    <n v="24"/>
  </r>
  <r>
    <x v="3"/>
    <x v="0"/>
    <n v="32"/>
  </r>
  <r>
    <x v="3"/>
    <x v="1"/>
    <n v="39"/>
  </r>
  <r>
    <x v="3"/>
    <x v="0"/>
    <n v="20"/>
  </r>
  <r>
    <x v="3"/>
    <x v="1"/>
    <n v="26"/>
  </r>
  <r>
    <x v="3"/>
    <x v="0"/>
    <n v="24"/>
  </r>
  <r>
    <x v="3"/>
    <x v="0"/>
    <n v="28"/>
  </r>
  <r>
    <x v="3"/>
    <x v="0"/>
    <n v="46"/>
  </r>
  <r>
    <x v="3"/>
    <x v="0"/>
    <n v="36"/>
  </r>
  <r>
    <x v="3"/>
    <x v="0"/>
    <n v="23"/>
  </r>
  <r>
    <x v="3"/>
    <x v="1"/>
    <n v="16"/>
  </r>
  <r>
    <x v="3"/>
    <x v="0"/>
    <n v="34"/>
  </r>
  <r>
    <x v="3"/>
    <x v="1"/>
    <n v="21"/>
  </r>
  <r>
    <x v="3"/>
    <x v="0"/>
    <n v="20"/>
  </r>
  <r>
    <x v="3"/>
    <x v="0"/>
    <n v="11"/>
  </r>
  <r>
    <x v="3"/>
    <x v="0"/>
    <n v="10"/>
  </r>
  <r>
    <x v="3"/>
    <x v="0"/>
    <n v="18"/>
  </r>
  <r>
    <x v="3"/>
    <x v="0"/>
    <n v="32"/>
  </r>
  <r>
    <x v="3"/>
    <x v="1"/>
    <n v="42"/>
  </r>
  <r>
    <x v="3"/>
    <x v="1"/>
    <n v="42"/>
  </r>
  <r>
    <x v="3"/>
    <x v="1"/>
    <n v="30"/>
  </r>
  <r>
    <x v="3"/>
    <x v="0"/>
    <n v="24"/>
  </r>
  <r>
    <x v="3"/>
    <x v="0"/>
    <n v="17"/>
  </r>
  <r>
    <x v="3"/>
    <x v="0"/>
    <n v="31"/>
  </r>
  <r>
    <x v="3"/>
    <x v="0"/>
    <n v="28"/>
  </r>
  <r>
    <x v="3"/>
    <x v="0"/>
    <n v="35"/>
  </r>
  <r>
    <x v="3"/>
    <x v="1"/>
    <n v="24"/>
  </r>
  <r>
    <x v="3"/>
    <x v="1"/>
    <n v="18"/>
  </r>
  <r>
    <x v="3"/>
    <x v="0"/>
    <n v="38"/>
  </r>
  <r>
    <x v="4"/>
    <x v="0"/>
    <n v="36"/>
  </r>
  <r>
    <x v="4"/>
    <x v="0"/>
    <n v="24"/>
  </r>
  <r>
    <x v="5"/>
    <x v="1"/>
    <n v="33"/>
  </r>
  <r>
    <x v="4"/>
    <x v="0"/>
    <n v="25"/>
  </r>
  <r>
    <x v="4"/>
    <x v="0"/>
    <n v="30"/>
  </r>
  <r>
    <x v="4"/>
    <x v="0"/>
    <n v="24"/>
  </r>
  <r>
    <x v="4"/>
    <x v="0"/>
    <n v="36"/>
  </r>
  <r>
    <x v="4"/>
    <x v="0"/>
    <n v="19"/>
  </r>
  <r>
    <x v="4"/>
    <x v="0"/>
    <n v="27"/>
  </r>
  <r>
    <x v="4"/>
    <x v="1"/>
    <n v="42"/>
  </r>
  <r>
    <x v="4"/>
    <x v="1"/>
    <n v="33"/>
  </r>
  <r>
    <x v="4"/>
    <x v="0"/>
    <n v="24"/>
  </r>
  <r>
    <x v="4"/>
    <x v="0"/>
    <n v="31"/>
  </r>
  <r>
    <x v="4"/>
    <x v="0"/>
    <n v="21"/>
  </r>
  <r>
    <x v="4"/>
    <x v="0"/>
    <n v="26"/>
  </r>
  <r>
    <x v="4"/>
    <x v="1"/>
    <n v="37"/>
  </r>
  <r>
    <x v="4"/>
    <x v="0"/>
    <n v="46"/>
  </r>
  <r>
    <x v="4"/>
    <x v="0"/>
    <n v="20"/>
  </r>
  <r>
    <x v="4"/>
    <x v="0"/>
    <n v="11"/>
  </r>
  <r>
    <x v="4"/>
    <x v="0"/>
    <n v="33"/>
  </r>
  <r>
    <x v="4"/>
    <x v="0"/>
    <n v="42"/>
  </r>
  <r>
    <x v="4"/>
    <x v="1"/>
    <n v="30"/>
  </r>
  <r>
    <x v="4"/>
    <x v="1"/>
    <n v="39"/>
  </r>
  <r>
    <x v="5"/>
    <x v="0"/>
    <n v="31"/>
  </r>
  <r>
    <x v="4"/>
    <x v="0"/>
    <n v="15"/>
  </r>
  <r>
    <x v="4"/>
    <x v="3"/>
    <n v="33"/>
  </r>
  <r>
    <x v="4"/>
    <x v="1"/>
    <n v="25"/>
  </r>
  <r>
    <x v="4"/>
    <x v="0"/>
    <n v="23"/>
  </r>
  <r>
    <x v="4"/>
    <x v="0"/>
    <n v="36"/>
  </r>
  <r>
    <x v="4"/>
    <x v="0"/>
    <n v="32"/>
  </r>
  <r>
    <x v="4"/>
    <x v="2"/>
    <n v="12"/>
  </r>
  <r>
    <x v="4"/>
    <x v="0"/>
    <n v="32"/>
  </r>
  <r>
    <x v="4"/>
    <x v="2"/>
    <n v="23"/>
  </r>
  <r>
    <x v="4"/>
    <x v="0"/>
    <n v="36"/>
  </r>
  <r>
    <x v="4"/>
    <x v="0"/>
    <n v="41"/>
  </r>
  <r>
    <x v="4"/>
    <x v="1"/>
    <n v="20"/>
  </r>
  <r>
    <x v="4"/>
    <x v="0"/>
    <n v="24"/>
  </r>
  <r>
    <x v="4"/>
    <x v="0"/>
    <n v="43"/>
  </r>
  <r>
    <x v="4"/>
    <x v="0"/>
    <n v="50"/>
  </r>
  <r>
    <x v="4"/>
    <x v="0"/>
    <n v="35"/>
  </r>
  <r>
    <x v="4"/>
    <x v="0"/>
    <n v="22"/>
  </r>
  <r>
    <x v="4"/>
    <x v="1"/>
    <n v="22"/>
  </r>
  <r>
    <x v="4"/>
    <x v="1"/>
    <n v="41"/>
  </r>
  <r>
    <x v="4"/>
    <x v="0"/>
    <n v="20"/>
  </r>
  <r>
    <x v="4"/>
    <x v="0"/>
    <n v="38"/>
  </r>
  <r>
    <x v="4"/>
    <x v="0"/>
    <n v="20"/>
  </r>
  <r>
    <x v="4"/>
    <x v="0"/>
    <n v="38"/>
  </r>
  <r>
    <x v="4"/>
    <x v="1"/>
    <n v="25"/>
  </r>
  <r>
    <x v="4"/>
    <x v="1"/>
    <n v="22"/>
  </r>
  <r>
    <x v="4"/>
    <x v="0"/>
    <n v="27"/>
  </r>
  <r>
    <x v="4"/>
    <x v="0"/>
    <n v="26"/>
  </r>
  <r>
    <x v="4"/>
    <x v="0"/>
    <n v="22"/>
  </r>
  <r>
    <x v="4"/>
    <x v="0"/>
    <n v="32"/>
  </r>
  <r>
    <x v="4"/>
    <x v="0"/>
    <n v="16"/>
  </r>
  <r>
    <x v="5"/>
    <x v="0"/>
    <n v="14"/>
  </r>
  <r>
    <x v="4"/>
    <x v="1"/>
    <n v="40"/>
  </r>
  <r>
    <x v="4"/>
    <x v="0"/>
    <n v="33"/>
  </r>
  <r>
    <x v="4"/>
    <x v="1"/>
    <n v="35"/>
  </r>
  <r>
    <x v="4"/>
    <x v="1"/>
    <n v="13"/>
  </r>
  <r>
    <x v="4"/>
    <x v="0"/>
    <n v="11"/>
  </r>
  <r>
    <x v="4"/>
    <x v="0"/>
    <n v="35"/>
  </r>
  <r>
    <x v="4"/>
    <x v="0"/>
    <n v="24"/>
  </r>
  <r>
    <x v="4"/>
    <x v="0"/>
    <n v="26"/>
  </r>
  <r>
    <x v="4"/>
    <x v="0"/>
    <n v="26"/>
  </r>
  <r>
    <x v="4"/>
    <x v="0"/>
    <n v="39"/>
  </r>
  <r>
    <x v="4"/>
    <x v="1"/>
    <n v="46"/>
  </r>
  <r>
    <x v="4"/>
    <x v="0"/>
    <n v="24"/>
  </r>
  <r>
    <x v="4"/>
    <x v="0"/>
    <n v="19"/>
  </r>
  <r>
    <x v="4"/>
    <x v="1"/>
    <n v="29"/>
  </r>
  <r>
    <x v="4"/>
    <x v="0"/>
    <n v="34"/>
  </r>
  <r>
    <x v="4"/>
    <x v="1"/>
    <n v="33"/>
  </r>
  <r>
    <x v="4"/>
    <x v="0"/>
    <n v="7"/>
  </r>
  <r>
    <x v="4"/>
    <x v="1"/>
    <n v="36"/>
  </r>
  <r>
    <x v="4"/>
    <x v="1"/>
    <n v="49"/>
  </r>
  <r>
    <x v="4"/>
    <x v="2"/>
    <n v="37"/>
  </r>
  <r>
    <x v="4"/>
    <x v="0"/>
    <n v="10"/>
  </r>
  <r>
    <x v="4"/>
    <x v="0"/>
    <n v="24"/>
  </r>
  <r>
    <x v="4"/>
    <x v="3"/>
    <n v="25"/>
  </r>
  <r>
    <x v="4"/>
    <x v="0"/>
    <n v="44"/>
  </r>
  <r>
    <x v="4"/>
    <x v="1"/>
    <n v="18"/>
  </r>
  <r>
    <x v="4"/>
    <x v="1"/>
    <n v="41"/>
  </r>
  <r>
    <x v="4"/>
    <x v="0"/>
    <n v="21"/>
  </r>
  <r>
    <x v="4"/>
    <x v="1"/>
    <n v="27"/>
  </r>
  <r>
    <x v="4"/>
    <x v="0"/>
    <n v="34"/>
  </r>
  <r>
    <x v="4"/>
    <x v="0"/>
    <n v="11"/>
  </r>
  <r>
    <x v="4"/>
    <x v="1"/>
    <n v="27"/>
  </r>
  <r>
    <x v="4"/>
    <x v="0"/>
    <n v="36"/>
  </r>
  <r>
    <x v="4"/>
    <x v="0"/>
    <n v="17"/>
  </r>
  <r>
    <x v="4"/>
    <x v="0"/>
    <n v="14"/>
  </r>
  <r>
    <x v="4"/>
    <x v="0"/>
    <n v="30"/>
  </r>
  <r>
    <x v="4"/>
    <x v="0"/>
    <n v="27"/>
  </r>
  <r>
    <x v="4"/>
    <x v="0"/>
    <n v="37"/>
  </r>
  <r>
    <x v="4"/>
    <x v="1"/>
    <n v="28"/>
  </r>
  <r>
    <x v="4"/>
    <x v="0"/>
    <n v="28"/>
  </r>
  <r>
    <x v="4"/>
    <x v="0"/>
    <n v="20"/>
  </r>
  <r>
    <x v="4"/>
    <x v="1"/>
    <n v="25"/>
  </r>
  <r>
    <x v="4"/>
    <x v="0"/>
    <n v="31"/>
  </r>
  <r>
    <x v="4"/>
    <x v="0"/>
    <n v="26"/>
  </r>
  <r>
    <x v="4"/>
    <x v="1"/>
    <n v="43"/>
  </r>
  <r>
    <x v="4"/>
    <x v="0"/>
    <n v="36"/>
  </r>
  <r>
    <x v="4"/>
    <x v="0"/>
    <n v="38"/>
  </r>
  <r>
    <x v="4"/>
    <x v="0"/>
    <n v="28"/>
  </r>
  <r>
    <x v="4"/>
    <x v="0"/>
    <n v="27"/>
  </r>
  <r>
    <x v="4"/>
    <x v="0"/>
    <n v="36"/>
  </r>
  <r>
    <x v="4"/>
    <x v="0"/>
    <n v="9"/>
  </r>
  <r>
    <x v="4"/>
    <x v="0"/>
    <n v="19"/>
  </r>
  <r>
    <x v="4"/>
    <x v="0"/>
    <n v="35"/>
  </r>
  <r>
    <x v="4"/>
    <x v="0"/>
    <n v="43"/>
  </r>
  <r>
    <x v="4"/>
    <x v="0"/>
    <n v="28"/>
  </r>
  <r>
    <x v="4"/>
    <x v="0"/>
    <n v="17"/>
  </r>
  <r>
    <x v="4"/>
    <x v="0"/>
    <n v="21"/>
  </r>
  <r>
    <x v="4"/>
    <x v="0"/>
    <n v="19"/>
  </r>
  <r>
    <x v="4"/>
    <x v="0"/>
    <n v="27"/>
  </r>
  <r>
    <x v="4"/>
    <x v="0"/>
    <n v="13"/>
  </r>
  <r>
    <x v="4"/>
    <x v="0"/>
    <n v="22"/>
  </r>
  <r>
    <x v="4"/>
    <x v="1"/>
    <n v="17"/>
  </r>
  <r>
    <x v="4"/>
    <x v="0"/>
    <n v="40"/>
  </r>
  <r>
    <x v="4"/>
    <x v="3"/>
    <n v="19"/>
  </r>
  <r>
    <x v="4"/>
    <x v="1"/>
    <n v="19"/>
  </r>
  <r>
    <x v="4"/>
    <x v="1"/>
    <n v="22"/>
  </r>
  <r>
    <x v="4"/>
    <x v="0"/>
    <n v="39"/>
  </r>
  <r>
    <x v="4"/>
    <x v="0"/>
    <n v="24"/>
  </r>
  <r>
    <x v="4"/>
    <x v="0"/>
    <n v="30"/>
  </r>
  <r>
    <x v="4"/>
    <x v="0"/>
    <n v="23"/>
  </r>
  <r>
    <x v="4"/>
    <x v="0"/>
    <n v="23"/>
  </r>
  <r>
    <x v="4"/>
    <x v="1"/>
    <n v="34"/>
  </r>
  <r>
    <x v="4"/>
    <x v="0"/>
    <n v="19"/>
  </r>
  <r>
    <x v="5"/>
    <x v="0"/>
    <n v="22"/>
  </r>
  <r>
    <x v="4"/>
    <x v="0"/>
    <n v="30"/>
  </r>
  <r>
    <x v="4"/>
    <x v="0"/>
    <n v="30"/>
  </r>
  <r>
    <x v="4"/>
    <x v="1"/>
    <n v="36"/>
  </r>
  <r>
    <x v="4"/>
    <x v="1"/>
    <n v="22"/>
  </r>
  <r>
    <x v="4"/>
    <x v="0"/>
    <n v="28"/>
  </r>
  <r>
    <x v="4"/>
    <x v="1"/>
    <n v="15"/>
  </r>
  <r>
    <x v="4"/>
    <x v="0"/>
    <n v="27"/>
  </r>
  <r>
    <x v="4"/>
    <x v="1"/>
    <n v="45"/>
  </r>
  <r>
    <x v="4"/>
    <x v="1"/>
    <n v="30"/>
  </r>
  <r>
    <x v="4"/>
    <x v="0"/>
    <n v="34"/>
  </r>
  <r>
    <x v="4"/>
    <x v="0"/>
    <n v="28"/>
  </r>
  <r>
    <x v="4"/>
    <x v="0"/>
    <n v="19"/>
  </r>
  <r>
    <x v="6"/>
    <x v="2"/>
    <n v="50"/>
  </r>
  <r>
    <x v="6"/>
    <x v="0"/>
    <n v="24"/>
  </r>
  <r>
    <x v="6"/>
    <x v="0"/>
    <n v="57"/>
  </r>
  <r>
    <x v="6"/>
    <x v="1"/>
    <n v="26"/>
  </r>
  <r>
    <x v="6"/>
    <x v="0"/>
    <n v="28"/>
  </r>
  <r>
    <x v="6"/>
    <x v="0"/>
    <n v="23"/>
  </r>
  <r>
    <x v="6"/>
    <x v="0"/>
    <n v="29"/>
  </r>
  <r>
    <x v="6"/>
    <x v="0"/>
    <n v="44"/>
  </r>
  <r>
    <x v="6"/>
    <x v="0"/>
    <n v="32"/>
  </r>
  <r>
    <x v="6"/>
    <x v="0"/>
    <n v="22"/>
  </r>
  <r>
    <x v="6"/>
    <x v="0"/>
    <n v="32"/>
  </r>
  <r>
    <x v="6"/>
    <x v="1"/>
    <n v="29"/>
  </r>
  <r>
    <x v="6"/>
    <x v="1"/>
    <n v="33"/>
  </r>
  <r>
    <x v="6"/>
    <x v="0"/>
    <n v="35"/>
  </r>
  <r>
    <x v="6"/>
    <x v="0"/>
    <n v="14"/>
  </r>
  <r>
    <x v="6"/>
    <x v="0"/>
    <n v="43"/>
  </r>
  <r>
    <x v="6"/>
    <x v="1"/>
    <n v="42"/>
  </r>
  <r>
    <x v="6"/>
    <x v="0"/>
    <n v="21"/>
  </r>
  <r>
    <x v="6"/>
    <x v="0"/>
    <n v="30"/>
  </r>
  <r>
    <x v="6"/>
    <x v="0"/>
    <n v="25"/>
  </r>
  <r>
    <x v="6"/>
    <x v="1"/>
    <n v="34"/>
  </r>
  <r>
    <x v="6"/>
    <x v="1"/>
    <n v="34"/>
  </r>
  <r>
    <x v="6"/>
    <x v="0"/>
    <n v="55"/>
  </r>
  <r>
    <x v="7"/>
    <x v="0"/>
    <n v="26"/>
  </r>
  <r>
    <x v="7"/>
    <x v="1"/>
    <n v="39"/>
  </r>
  <r>
    <x v="7"/>
    <x v="0"/>
    <n v="42"/>
  </r>
  <r>
    <x v="7"/>
    <x v="1"/>
    <n v="28"/>
  </r>
  <r>
    <x v="7"/>
    <x v="0"/>
    <n v="16"/>
  </r>
  <r>
    <x v="7"/>
    <x v="2"/>
    <n v="23"/>
  </r>
  <r>
    <x v="7"/>
    <x v="0"/>
    <n v="14"/>
  </r>
  <r>
    <x v="7"/>
    <x v="0"/>
    <n v="32"/>
  </r>
  <r>
    <x v="7"/>
    <x v="1"/>
    <n v="50"/>
  </r>
  <r>
    <x v="7"/>
    <x v="1"/>
    <n v="23"/>
  </r>
  <r>
    <x v="7"/>
    <x v="1"/>
    <n v="24"/>
  </r>
  <r>
    <x v="7"/>
    <x v="1"/>
    <n v="41"/>
  </r>
  <r>
    <x v="7"/>
    <x v="0"/>
    <n v="18"/>
  </r>
  <r>
    <x v="7"/>
    <x v="0"/>
    <n v="40"/>
  </r>
  <r>
    <x v="7"/>
    <x v="1"/>
    <n v="34"/>
  </r>
  <r>
    <x v="7"/>
    <x v="0"/>
    <n v="27"/>
  </r>
  <r>
    <x v="7"/>
    <x v="0"/>
    <n v="21"/>
  </r>
  <r>
    <x v="7"/>
    <x v="0"/>
    <n v="33"/>
  </r>
  <r>
    <x v="7"/>
    <x v="0"/>
    <n v="30"/>
  </r>
  <r>
    <x v="7"/>
    <x v="0"/>
    <n v="41"/>
  </r>
  <r>
    <x v="7"/>
    <x v="0"/>
    <n v="34"/>
  </r>
  <r>
    <x v="7"/>
    <x v="0"/>
    <n v="41"/>
  </r>
  <r>
    <x v="7"/>
    <x v="0"/>
    <n v="32"/>
  </r>
  <r>
    <x v="7"/>
    <x v="0"/>
    <n v="25"/>
  </r>
  <r>
    <x v="7"/>
    <x v="0"/>
    <n v="36"/>
  </r>
  <r>
    <x v="7"/>
    <x v="0"/>
    <n v="28"/>
  </r>
  <r>
    <x v="7"/>
    <x v="1"/>
    <n v="24"/>
  </r>
  <r>
    <x v="7"/>
    <x v="0"/>
    <n v="22"/>
  </r>
  <r>
    <x v="7"/>
    <x v="0"/>
    <n v="32"/>
  </r>
  <r>
    <x v="7"/>
    <x v="0"/>
    <n v="29"/>
  </r>
  <r>
    <x v="7"/>
    <x v="0"/>
    <n v="24"/>
  </r>
  <r>
    <x v="7"/>
    <x v="1"/>
    <n v="23"/>
  </r>
  <r>
    <x v="7"/>
    <x v="1"/>
    <n v="25"/>
  </r>
  <r>
    <x v="7"/>
    <x v="1"/>
    <n v="24"/>
  </r>
  <r>
    <x v="7"/>
    <x v="0"/>
    <n v="34"/>
  </r>
  <r>
    <x v="7"/>
    <x v="1"/>
    <n v="29"/>
  </r>
  <r>
    <x v="7"/>
    <x v="0"/>
    <n v="17"/>
  </r>
  <r>
    <x v="7"/>
    <x v="0"/>
    <n v="15"/>
  </r>
  <r>
    <x v="7"/>
    <x v="1"/>
    <n v="45"/>
  </r>
  <r>
    <x v="7"/>
    <x v="1"/>
    <n v="19"/>
  </r>
  <r>
    <x v="7"/>
    <x v="0"/>
    <n v="25"/>
  </r>
  <r>
    <x v="7"/>
    <x v="2"/>
    <n v="18"/>
  </r>
  <r>
    <x v="7"/>
    <x v="0"/>
    <n v="24"/>
  </r>
  <r>
    <x v="7"/>
    <x v="0"/>
    <n v="32"/>
  </r>
  <r>
    <x v="7"/>
    <x v="2"/>
    <n v="22"/>
  </r>
  <r>
    <x v="7"/>
    <x v="0"/>
    <n v="9"/>
  </r>
  <r>
    <x v="7"/>
    <x v="1"/>
    <n v="26"/>
  </r>
  <r>
    <x v="7"/>
    <x v="0"/>
    <n v="31"/>
  </r>
  <r>
    <x v="7"/>
    <x v="0"/>
    <n v="17"/>
  </r>
  <r>
    <x v="7"/>
    <x v="0"/>
    <n v="4"/>
  </r>
  <r>
    <x v="7"/>
    <x v="1"/>
    <n v="26"/>
  </r>
  <r>
    <x v="7"/>
    <x v="1"/>
    <n v="28"/>
  </r>
  <r>
    <x v="7"/>
    <x v="0"/>
    <n v="42"/>
  </r>
  <r>
    <x v="7"/>
    <x v="0"/>
    <n v="27"/>
  </r>
  <r>
    <x v="7"/>
    <x v="0"/>
    <n v="14"/>
  </r>
  <r>
    <x v="7"/>
    <x v="0"/>
    <n v="22"/>
  </r>
  <r>
    <x v="8"/>
    <x v="0"/>
    <n v="22"/>
  </r>
  <r>
    <x v="8"/>
    <x v="0"/>
    <n v="49"/>
  </r>
  <r>
    <x v="8"/>
    <x v="3"/>
    <n v="19"/>
  </r>
  <r>
    <x v="8"/>
    <x v="0"/>
    <n v="14"/>
  </r>
  <r>
    <x v="8"/>
    <x v="0"/>
    <n v="19"/>
  </r>
  <r>
    <x v="8"/>
    <x v="1"/>
    <n v="25"/>
  </r>
  <r>
    <x v="8"/>
    <x v="0"/>
    <n v="27"/>
  </r>
  <r>
    <x v="8"/>
    <x v="1"/>
    <n v="51"/>
  </r>
  <r>
    <x v="8"/>
    <x v="1"/>
    <n v="33"/>
  </r>
  <r>
    <x v="8"/>
    <x v="0"/>
    <n v="14"/>
  </r>
  <r>
    <x v="8"/>
    <x v="1"/>
    <n v="25"/>
  </r>
  <r>
    <x v="8"/>
    <x v="0"/>
    <n v="34"/>
  </r>
  <r>
    <x v="8"/>
    <x v="0"/>
    <n v="21"/>
  </r>
  <r>
    <x v="8"/>
    <x v="0"/>
    <n v="26"/>
  </r>
  <r>
    <x v="8"/>
    <x v="0"/>
    <n v="15"/>
  </r>
  <r>
    <x v="9"/>
    <x v="0"/>
    <n v="16"/>
  </r>
  <r>
    <x v="9"/>
    <x v="0"/>
    <n v="12"/>
  </r>
  <r>
    <x v="9"/>
    <x v="1"/>
    <n v="20"/>
  </r>
  <r>
    <x v="9"/>
    <x v="0"/>
    <n v="23"/>
  </r>
  <r>
    <x v="9"/>
    <x v="1"/>
    <n v="36"/>
  </r>
  <r>
    <x v="9"/>
    <x v="0"/>
    <n v="18"/>
  </r>
  <r>
    <x v="9"/>
    <x v="1"/>
    <n v="37"/>
  </r>
  <r>
    <x v="10"/>
    <x v="1"/>
    <n v="35"/>
  </r>
  <r>
    <x v="10"/>
    <x v="0"/>
    <n v="37"/>
  </r>
  <r>
    <x v="10"/>
    <x v="0"/>
    <n v="38"/>
  </r>
  <r>
    <x v="10"/>
    <x v="0"/>
    <n v="40"/>
  </r>
  <r>
    <x v="10"/>
    <x v="0"/>
    <n v="23"/>
  </r>
  <r>
    <x v="10"/>
    <x v="1"/>
    <n v="28"/>
  </r>
  <r>
    <x v="10"/>
    <x v="0"/>
    <n v="38"/>
  </r>
  <r>
    <x v="10"/>
    <x v="1"/>
    <n v="26"/>
  </r>
  <r>
    <x v="10"/>
    <x v="0"/>
    <n v="19"/>
  </r>
  <r>
    <x v="10"/>
    <x v="0"/>
    <n v="45"/>
  </r>
  <r>
    <x v="10"/>
    <x v="1"/>
    <n v="19"/>
  </r>
  <r>
    <x v="10"/>
    <x v="0"/>
    <n v="21"/>
  </r>
  <r>
    <x v="10"/>
    <x v="0"/>
    <n v="26"/>
  </r>
  <r>
    <x v="10"/>
    <x v="0"/>
    <n v="33"/>
  </r>
  <r>
    <x v="10"/>
    <x v="0"/>
    <n v="11"/>
  </r>
  <r>
    <x v="10"/>
    <x v="1"/>
    <n v="18"/>
  </r>
  <r>
    <x v="10"/>
    <x v="0"/>
    <n v="34"/>
  </r>
  <r>
    <x v="10"/>
    <x v="1"/>
    <n v="48"/>
  </r>
  <r>
    <x v="10"/>
    <x v="0"/>
    <n v="24"/>
  </r>
  <r>
    <x v="10"/>
    <x v="1"/>
    <n v="20"/>
  </r>
  <r>
    <x v="10"/>
    <x v="1"/>
    <n v="25"/>
  </r>
  <r>
    <x v="10"/>
    <x v="0"/>
    <n v="16"/>
  </r>
  <r>
    <x v="10"/>
    <x v="0"/>
    <n v="53"/>
  </r>
  <r>
    <x v="10"/>
    <x v="0"/>
    <n v="52"/>
  </r>
  <r>
    <x v="10"/>
    <x v="2"/>
    <n v="36"/>
  </r>
  <r>
    <x v="10"/>
    <x v="0"/>
    <n v="25"/>
  </r>
  <r>
    <x v="10"/>
    <x v="0"/>
    <n v="26"/>
  </r>
  <r>
    <x v="10"/>
    <x v="0"/>
    <n v="31"/>
  </r>
  <r>
    <x v="10"/>
    <x v="0"/>
    <n v="38"/>
  </r>
  <r>
    <x v="10"/>
    <x v="0"/>
    <n v="47"/>
  </r>
  <r>
    <x v="10"/>
    <x v="0"/>
    <n v="19"/>
  </r>
  <r>
    <x v="10"/>
    <x v="0"/>
    <n v="42"/>
  </r>
  <r>
    <x v="10"/>
    <x v="1"/>
    <n v="34"/>
  </r>
  <r>
    <x v="10"/>
    <x v="0"/>
    <n v="15"/>
  </r>
  <r>
    <x v="10"/>
    <x v="0"/>
    <n v="26"/>
  </r>
  <r>
    <x v="10"/>
    <x v="0"/>
    <n v="11"/>
  </r>
  <r>
    <x v="10"/>
    <x v="0"/>
    <n v="31"/>
  </r>
  <r>
    <x v="10"/>
    <x v="1"/>
    <n v="13"/>
  </r>
  <r>
    <x v="10"/>
    <x v="0"/>
    <n v="42"/>
  </r>
  <r>
    <x v="10"/>
    <x v="0"/>
    <n v="24"/>
  </r>
  <r>
    <x v="10"/>
    <x v="0"/>
    <n v="29"/>
  </r>
  <r>
    <x v="10"/>
    <x v="0"/>
    <n v="24"/>
  </r>
  <r>
    <x v="10"/>
    <x v="0"/>
    <n v="33"/>
  </r>
  <r>
    <x v="10"/>
    <x v="1"/>
    <n v="42"/>
  </r>
  <r>
    <x v="10"/>
    <x v="0"/>
    <n v="27"/>
  </r>
  <r>
    <x v="10"/>
    <x v="0"/>
    <n v="12"/>
  </r>
  <r>
    <x v="10"/>
    <x v="1"/>
    <n v="23"/>
  </r>
  <r>
    <x v="10"/>
    <x v="1"/>
    <n v="33"/>
  </r>
  <r>
    <x v="10"/>
    <x v="0"/>
    <n v="30"/>
  </r>
  <r>
    <x v="10"/>
    <x v="1"/>
    <n v="35"/>
  </r>
  <r>
    <x v="10"/>
    <x v="1"/>
    <n v="39"/>
  </r>
  <r>
    <x v="10"/>
    <x v="0"/>
    <n v="17"/>
  </r>
  <r>
    <x v="10"/>
    <x v="0"/>
    <n v="20"/>
  </r>
  <r>
    <x v="10"/>
    <x v="0"/>
    <n v="32"/>
  </r>
  <r>
    <x v="10"/>
    <x v="1"/>
    <n v="34"/>
  </r>
  <r>
    <x v="10"/>
    <x v="0"/>
    <n v="31"/>
  </r>
  <r>
    <x v="10"/>
    <x v="0"/>
    <n v="43"/>
  </r>
  <r>
    <x v="10"/>
    <x v="0"/>
    <n v="37"/>
  </r>
  <r>
    <x v="10"/>
    <x v="1"/>
    <n v="25"/>
  </r>
  <r>
    <x v="10"/>
    <x v="0"/>
    <n v="28"/>
  </r>
  <r>
    <x v="10"/>
    <x v="0"/>
    <n v="19"/>
  </r>
  <r>
    <x v="10"/>
    <x v="0"/>
    <n v="31"/>
  </r>
  <r>
    <x v="10"/>
    <x v="0"/>
    <n v="33"/>
  </r>
  <r>
    <x v="10"/>
    <x v="0"/>
    <n v="23"/>
  </r>
  <r>
    <x v="10"/>
    <x v="0"/>
    <n v="28"/>
  </r>
  <r>
    <x v="10"/>
    <x v="0"/>
    <n v="47"/>
  </r>
  <r>
    <x v="10"/>
    <x v="0"/>
    <n v="26"/>
  </r>
  <r>
    <x v="10"/>
    <x v="1"/>
    <n v="24"/>
  </r>
  <r>
    <x v="10"/>
    <x v="1"/>
    <n v="39"/>
  </r>
  <r>
    <x v="10"/>
    <x v="0"/>
    <n v="25"/>
  </r>
  <r>
    <x v="10"/>
    <x v="0"/>
    <n v="21"/>
  </r>
  <r>
    <x v="10"/>
    <x v="0"/>
    <n v="21"/>
  </r>
  <r>
    <x v="10"/>
    <x v="0"/>
    <n v="25"/>
  </r>
  <r>
    <x v="10"/>
    <x v="1"/>
    <n v="42"/>
  </r>
  <r>
    <x v="10"/>
    <x v="0"/>
    <n v="38"/>
  </r>
  <r>
    <x v="10"/>
    <x v="0"/>
    <n v="18"/>
  </r>
  <r>
    <x v="10"/>
    <x v="1"/>
    <n v="48"/>
  </r>
  <r>
    <x v="10"/>
    <x v="0"/>
    <n v="25"/>
  </r>
  <r>
    <x v="10"/>
    <x v="3"/>
    <n v="44"/>
  </r>
  <r>
    <x v="10"/>
    <x v="2"/>
    <n v="35"/>
  </r>
  <r>
    <x v="10"/>
    <x v="0"/>
    <n v="26"/>
  </r>
  <r>
    <x v="10"/>
    <x v="0"/>
    <n v="35"/>
  </r>
  <r>
    <x v="10"/>
    <x v="1"/>
    <n v="34"/>
  </r>
  <r>
    <x v="10"/>
    <x v="0"/>
    <n v="28"/>
  </r>
  <r>
    <x v="10"/>
    <x v="1"/>
    <n v="34"/>
  </r>
  <r>
    <x v="10"/>
    <x v="0"/>
    <n v="26"/>
  </r>
  <r>
    <x v="10"/>
    <x v="1"/>
    <n v="53"/>
  </r>
  <r>
    <x v="10"/>
    <x v="0"/>
    <n v="22"/>
  </r>
  <r>
    <x v="10"/>
    <x v="0"/>
    <n v="29"/>
  </r>
  <r>
    <x v="10"/>
    <x v="0"/>
    <n v="36"/>
  </r>
  <r>
    <x v="10"/>
    <x v="0"/>
    <n v="18"/>
  </r>
  <r>
    <x v="10"/>
    <x v="0"/>
    <n v="37"/>
  </r>
  <r>
    <x v="10"/>
    <x v="1"/>
    <n v="43"/>
  </r>
  <r>
    <x v="5"/>
    <x v="0"/>
    <n v="39"/>
  </r>
  <r>
    <x v="10"/>
    <x v="0"/>
    <n v="24"/>
  </r>
  <r>
    <x v="10"/>
    <x v="0"/>
    <n v="38"/>
  </r>
  <r>
    <x v="10"/>
    <x v="1"/>
    <n v="32"/>
  </r>
  <r>
    <x v="10"/>
    <x v="0"/>
    <n v="33"/>
  </r>
  <r>
    <x v="10"/>
    <x v="1"/>
    <n v="26"/>
  </r>
  <r>
    <x v="10"/>
    <x v="1"/>
    <n v="34"/>
  </r>
  <r>
    <x v="10"/>
    <x v="0"/>
    <n v="25"/>
  </r>
  <r>
    <x v="10"/>
    <x v="0"/>
    <n v="61"/>
  </r>
  <r>
    <x v="10"/>
    <x v="1"/>
    <n v="28"/>
  </r>
  <r>
    <x v="10"/>
    <x v="0"/>
    <n v="27"/>
  </r>
  <r>
    <x v="10"/>
    <x v="1"/>
    <n v="41"/>
  </r>
  <r>
    <x v="10"/>
    <x v="0"/>
    <n v="24"/>
  </r>
  <r>
    <x v="5"/>
    <x v="0"/>
    <n v="29"/>
  </r>
  <r>
    <x v="10"/>
    <x v="0"/>
    <n v="30"/>
  </r>
  <r>
    <x v="10"/>
    <x v="0"/>
    <n v="13"/>
  </r>
  <r>
    <x v="10"/>
    <x v="0"/>
    <n v="24"/>
  </r>
  <r>
    <x v="10"/>
    <x v="0"/>
    <n v="46"/>
  </r>
  <r>
    <x v="10"/>
    <x v="0"/>
    <n v="45"/>
  </r>
  <r>
    <x v="10"/>
    <x v="0"/>
    <n v="33"/>
  </r>
  <r>
    <x v="10"/>
    <x v="0"/>
    <n v="25"/>
  </r>
  <r>
    <x v="10"/>
    <x v="0"/>
    <n v="33"/>
  </r>
  <r>
    <x v="10"/>
    <x v="1"/>
    <n v="37"/>
  </r>
  <r>
    <x v="10"/>
    <x v="0"/>
    <n v="15"/>
  </r>
  <r>
    <x v="10"/>
    <x v="0"/>
    <n v="33"/>
  </r>
  <r>
    <x v="10"/>
    <x v="0"/>
    <n v="16"/>
  </r>
  <r>
    <x v="10"/>
    <x v="0"/>
    <n v="24"/>
  </r>
  <r>
    <x v="10"/>
    <x v="1"/>
    <n v="35"/>
  </r>
  <r>
    <x v="10"/>
    <x v="0"/>
    <n v="39"/>
  </r>
  <r>
    <x v="10"/>
    <x v="1"/>
    <n v="37"/>
  </r>
  <r>
    <x v="10"/>
    <x v="1"/>
    <n v="50"/>
  </r>
  <r>
    <x v="10"/>
    <x v="0"/>
    <n v="33"/>
  </r>
  <r>
    <x v="10"/>
    <x v="0"/>
    <n v="48"/>
  </r>
  <r>
    <x v="10"/>
    <x v="0"/>
    <n v="26"/>
  </r>
  <r>
    <x v="10"/>
    <x v="0"/>
    <n v="32"/>
  </r>
  <r>
    <x v="10"/>
    <x v="1"/>
    <n v="42"/>
  </r>
  <r>
    <x v="10"/>
    <x v="0"/>
    <n v="44"/>
  </r>
  <r>
    <x v="10"/>
    <x v="0"/>
    <n v="13"/>
  </r>
  <r>
    <x v="10"/>
    <x v="0"/>
    <n v="34"/>
  </r>
  <r>
    <x v="10"/>
    <x v="0"/>
    <n v="35"/>
  </r>
  <r>
    <x v="10"/>
    <x v="0"/>
    <n v="25"/>
  </r>
  <r>
    <x v="10"/>
    <x v="2"/>
    <n v="25"/>
  </r>
  <r>
    <x v="10"/>
    <x v="0"/>
    <n v="32"/>
  </r>
  <r>
    <x v="10"/>
    <x v="0"/>
    <n v="29"/>
  </r>
  <r>
    <x v="11"/>
    <x v="1"/>
    <n v="29"/>
  </r>
  <r>
    <x v="11"/>
    <x v="1"/>
    <n v="37"/>
  </r>
  <r>
    <x v="11"/>
    <x v="0"/>
    <n v="2"/>
  </r>
  <r>
    <x v="11"/>
    <x v="0"/>
    <n v="26"/>
  </r>
  <r>
    <x v="11"/>
    <x v="0"/>
    <n v="32"/>
  </r>
  <r>
    <x v="11"/>
    <x v="0"/>
    <n v="21"/>
  </r>
  <r>
    <x v="11"/>
    <x v="0"/>
    <n v="15"/>
  </r>
  <r>
    <x v="11"/>
    <x v="0"/>
    <n v="33"/>
  </r>
  <r>
    <x v="11"/>
    <x v="0"/>
    <n v="27"/>
  </r>
  <r>
    <x v="11"/>
    <x v="1"/>
    <n v="29"/>
  </r>
  <r>
    <x v="11"/>
    <x v="1"/>
    <n v="47"/>
  </r>
  <r>
    <x v="11"/>
    <x v="0"/>
    <n v="19"/>
  </r>
  <r>
    <x v="11"/>
    <x v="1"/>
    <n v="23"/>
  </r>
  <r>
    <x v="11"/>
    <x v="0"/>
    <n v="26"/>
  </r>
  <r>
    <x v="11"/>
    <x v="0"/>
    <n v="29"/>
  </r>
  <r>
    <x v="11"/>
    <x v="1"/>
    <n v="13"/>
  </r>
  <r>
    <x v="11"/>
    <x v="1"/>
    <n v="45"/>
  </r>
  <r>
    <x v="11"/>
    <x v="1"/>
    <n v="50"/>
  </r>
  <r>
    <x v="11"/>
    <x v="0"/>
    <n v="12"/>
  </r>
  <r>
    <x v="11"/>
    <x v="1"/>
    <n v="34"/>
  </r>
  <r>
    <x v="11"/>
    <x v="0"/>
    <n v="50"/>
  </r>
  <r>
    <x v="11"/>
    <x v="1"/>
    <n v="35"/>
  </r>
  <r>
    <x v="11"/>
    <x v="0"/>
    <n v="24"/>
  </r>
  <r>
    <x v="11"/>
    <x v="0"/>
    <n v="24"/>
  </r>
  <r>
    <x v="11"/>
    <x v="1"/>
    <n v="21"/>
  </r>
  <r>
    <x v="11"/>
    <x v="1"/>
    <n v="14"/>
  </r>
  <r>
    <x v="11"/>
    <x v="0"/>
    <n v="21"/>
  </r>
  <r>
    <x v="11"/>
    <x v="0"/>
    <n v="25"/>
  </r>
  <r>
    <x v="11"/>
    <x v="0"/>
    <n v="28"/>
  </r>
  <r>
    <x v="11"/>
    <x v="0"/>
    <n v="10"/>
  </r>
  <r>
    <x v="11"/>
    <x v="0"/>
    <n v="21"/>
  </r>
  <r>
    <x v="11"/>
    <x v="0"/>
    <n v="14"/>
  </r>
  <r>
    <x v="11"/>
    <x v="2"/>
    <n v="22"/>
  </r>
  <r>
    <x v="11"/>
    <x v="0"/>
    <n v="28"/>
  </r>
  <r>
    <x v="11"/>
    <x v="0"/>
    <n v="17"/>
  </r>
  <r>
    <x v="11"/>
    <x v="2"/>
    <n v="33"/>
  </r>
  <r>
    <x v="11"/>
    <x v="0"/>
    <n v="33"/>
  </r>
  <r>
    <x v="11"/>
    <x v="0"/>
    <n v="36"/>
  </r>
  <r>
    <x v="11"/>
    <x v="0"/>
    <n v="27"/>
  </r>
  <r>
    <x v="11"/>
    <x v="0"/>
    <n v="34"/>
  </r>
  <r>
    <x v="11"/>
    <x v="3"/>
    <n v="14"/>
  </r>
  <r>
    <x v="11"/>
    <x v="0"/>
    <n v="27"/>
  </r>
  <r>
    <x v="11"/>
    <x v="0"/>
    <n v="18"/>
  </r>
  <r>
    <x v="11"/>
    <x v="0"/>
    <n v="16"/>
  </r>
  <r>
    <x v="11"/>
    <x v="1"/>
    <n v="19"/>
  </r>
  <r>
    <x v="5"/>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s v="ID_DN23"/>
    <x v="0"/>
  </r>
  <r>
    <s v="ID_DO11"/>
    <x v="0"/>
  </r>
  <r>
    <s v="ID_DO23"/>
    <x v="0"/>
  </r>
  <r>
    <s v="ID_DP11"/>
    <x v="0"/>
  </r>
  <r>
    <s v="ID_DP23"/>
    <x v="0"/>
  </r>
  <r>
    <s v="ID_DP59"/>
    <x v="0"/>
  </r>
  <r>
    <s v="ID_DQ11"/>
    <x v="0"/>
  </r>
  <r>
    <s v="ID_DQ23"/>
    <x v="0"/>
  </r>
  <r>
    <s v="ID_DQ59"/>
    <x v="0"/>
  </r>
  <r>
    <s v="ID_DR23"/>
    <x v="0"/>
  </r>
  <r>
    <s v="ID_DR35"/>
    <x v="0"/>
  </r>
  <r>
    <s v="ID_DR47"/>
    <x v="0"/>
  </r>
  <r>
    <s v="ID_DR59"/>
    <x v="0"/>
  </r>
  <r>
    <s v="ID_DS11"/>
    <x v="0"/>
  </r>
  <r>
    <s v="ID_DS35"/>
    <x v="0"/>
  </r>
  <r>
    <s v="ID_DS47"/>
    <x v="0"/>
  </r>
  <r>
    <s v="ID_DS59"/>
    <x v="0"/>
  </r>
  <r>
    <s v="ID_DT11"/>
    <x v="0"/>
  </r>
  <r>
    <s v="ID_DT47"/>
    <x v="0"/>
  </r>
  <r>
    <s v="ID_DT59"/>
    <x v="0"/>
  </r>
  <r>
    <s v="ID_DU11"/>
    <x v="0"/>
  </r>
  <r>
    <s v="ID_DU23"/>
    <x v="0"/>
  </r>
  <r>
    <s v="ID_DU35"/>
    <x v="0"/>
  </r>
  <r>
    <s v="ID_DU59"/>
    <x v="0"/>
  </r>
  <r>
    <s v="ID_DV23"/>
    <x v="0"/>
  </r>
  <r>
    <s v="ID_DW11"/>
    <x v="0"/>
  </r>
  <r>
    <s v="ID_DX47"/>
    <x v="0"/>
  </r>
  <r>
    <s v="ID_DX59"/>
    <x v="0"/>
  </r>
  <r>
    <s v="ID_DY35"/>
    <x v="0"/>
  </r>
  <r>
    <s v="ID_DY47"/>
    <x v="0"/>
  </r>
  <r>
    <s v="ID_DZ35"/>
    <x v="0"/>
  </r>
  <r>
    <s v="ID_DA01"/>
    <x v="1"/>
  </r>
  <r>
    <s v="ID_DA13"/>
    <x v="1"/>
  </r>
  <r>
    <s v="ID_DA49"/>
    <x v="1"/>
  </r>
  <r>
    <s v="ID_DB02"/>
    <x v="1"/>
  </r>
  <r>
    <s v="ID_DB14"/>
    <x v="1"/>
  </r>
  <r>
    <s v="ID_DB26"/>
    <x v="1"/>
  </r>
  <r>
    <s v="ID_DB38"/>
    <x v="1"/>
  </r>
  <r>
    <s v="ID_DC02"/>
    <x v="1"/>
  </r>
  <r>
    <s v="ID_DC14"/>
    <x v="1"/>
  </r>
  <r>
    <s v="ID_DC50"/>
    <x v="1"/>
  </r>
  <r>
    <s v="ID_DD26"/>
    <x v="1"/>
  </r>
  <r>
    <s v="ID_DD38"/>
    <x v="1"/>
  </r>
  <r>
    <s v="ID_DD50"/>
    <x v="1"/>
  </r>
  <r>
    <s v="ID_DE02"/>
    <x v="1"/>
  </r>
  <r>
    <s v="ID_DE38"/>
    <x v="1"/>
  </r>
  <r>
    <s v="ID_DE50"/>
    <x v="1"/>
  </r>
  <r>
    <s v="ID_DF26"/>
    <x v="1"/>
  </r>
  <r>
    <s v="ID_DF50"/>
    <x v="1"/>
  </r>
  <r>
    <s v="ID_DG02"/>
    <x v="1"/>
  </r>
  <r>
    <s v="ID_DG14"/>
    <x v="1"/>
  </r>
  <r>
    <s v="ID_DG38"/>
    <x v="1"/>
  </r>
  <r>
    <s v="ID_DH02"/>
    <x v="1"/>
  </r>
  <r>
    <s v="ID_DH26"/>
    <x v="1"/>
  </r>
  <r>
    <s v="ID_DH50"/>
    <x v="1"/>
  </r>
  <r>
    <s v="ID_DI14"/>
    <x v="1"/>
  </r>
  <r>
    <s v="ID_DI26"/>
    <x v="1"/>
  </r>
  <r>
    <s v="ID_DI50"/>
    <x v="1"/>
  </r>
  <r>
    <s v="ID_DJ26"/>
    <x v="1"/>
  </r>
  <r>
    <s v="ID_DK38"/>
    <x v="1"/>
  </r>
  <r>
    <s v="ID_DL26"/>
    <x v="1"/>
  </r>
  <r>
    <s v="ID_DL38"/>
    <x v="1"/>
  </r>
  <r>
    <s v="ID_DM14"/>
    <x v="1"/>
  </r>
  <r>
    <s v="ID_DM50"/>
    <x v="1"/>
  </r>
  <r>
    <s v="ID_DN02"/>
    <x v="1"/>
  </r>
  <r>
    <s v="ID_DN50"/>
    <x v="1"/>
  </r>
  <r>
    <s v="ID_DO25"/>
    <x v="1"/>
  </r>
  <r>
    <s v="ID_DO38"/>
    <x v="1"/>
  </r>
  <r>
    <s v="ID_DO50"/>
    <x v="1"/>
  </r>
  <r>
    <s v="ID_DP13"/>
    <x v="1"/>
  </r>
  <r>
    <s v="ID_DP25"/>
    <x v="1"/>
  </r>
  <r>
    <s v="ID_DP38"/>
    <x v="1"/>
  </r>
  <r>
    <s v="ID_DQ13"/>
    <x v="1"/>
  </r>
  <r>
    <s v="ID_DQ25"/>
    <x v="1"/>
  </r>
  <r>
    <s v="ID_DR01"/>
    <x v="1"/>
  </r>
  <r>
    <s v="ID_DR25"/>
    <x v="1"/>
  </r>
  <r>
    <s v="ID_DS01"/>
    <x v="1"/>
  </r>
  <r>
    <s v="ID_DS25"/>
    <x v="1"/>
  </r>
  <r>
    <s v="ID_DT49"/>
    <x v="1"/>
  </r>
  <r>
    <s v="ID_DU01"/>
    <x v="1"/>
  </r>
  <r>
    <s v="ID_DU25"/>
    <x v="1"/>
  </r>
  <r>
    <s v="ID_DU37"/>
    <x v="1"/>
  </r>
  <r>
    <s v="ID_DV01"/>
    <x v="1"/>
  </r>
  <r>
    <s v="ID_DV13"/>
    <x v="1"/>
  </r>
  <r>
    <s v="ID_DV37"/>
    <x v="1"/>
  </r>
  <r>
    <s v="ID_DV49"/>
    <x v="1"/>
  </r>
  <r>
    <s v="ID_DW01"/>
    <x v="1"/>
  </r>
  <r>
    <s v="ID_DW13"/>
    <x v="1"/>
  </r>
  <r>
    <s v="ID_DW25"/>
    <x v="1"/>
  </r>
  <r>
    <s v="ID_DW37"/>
    <x v="1"/>
  </r>
  <r>
    <s v="ID_DW49"/>
    <x v="1"/>
  </r>
  <r>
    <s v="ID_DX01"/>
    <x v="1"/>
  </r>
  <r>
    <s v="ID_DX13"/>
    <x v="1"/>
  </r>
  <r>
    <s v="ID_DX25"/>
    <x v="1"/>
  </r>
  <r>
    <s v="ID_DX37"/>
    <x v="1"/>
  </r>
  <r>
    <s v="ID_DX49"/>
    <x v="1"/>
  </r>
  <r>
    <s v="ID_DY25"/>
    <x v="1"/>
  </r>
  <r>
    <s v="ID_DY37"/>
    <x v="1"/>
  </r>
  <r>
    <s v="ID_DY49"/>
    <x v="1"/>
  </r>
  <r>
    <s v="ID_DZ01"/>
    <x v="1"/>
  </r>
  <r>
    <s v="ID_DZ25"/>
    <x v="1"/>
  </r>
  <r>
    <s v="ID_DZ37"/>
    <x v="1"/>
  </r>
  <r>
    <s v="ID_DZ49"/>
    <x v="1"/>
  </r>
  <r>
    <s v="ID_RE15"/>
    <x v="2"/>
  </r>
  <r>
    <s v="ID_RF03"/>
    <x v="2"/>
  </r>
  <r>
    <s v="ID_RF27"/>
    <x v="2"/>
  </r>
  <r>
    <s v="ID_RG03"/>
    <x v="2"/>
  </r>
  <r>
    <s v="ID_RH39"/>
    <x v="2"/>
  </r>
  <r>
    <s v="ID_RH51"/>
    <x v="2"/>
  </r>
  <r>
    <s v="ID_RI03"/>
    <x v="2"/>
  </r>
  <r>
    <s v="ID_RI39"/>
    <x v="2"/>
  </r>
  <r>
    <s v="ID_RI51"/>
    <x v="2"/>
  </r>
  <r>
    <s v="ID_RJ39"/>
    <x v="2"/>
  </r>
  <r>
    <s v="ID_RK39"/>
    <x v="2"/>
  </r>
  <r>
    <s v="ID_DA02"/>
    <x v="2"/>
  </r>
  <r>
    <s v="ID_DA03"/>
    <x v="2"/>
  </r>
  <r>
    <s v="ID_DA15"/>
    <x v="2"/>
  </r>
  <r>
    <s v="ID_DA26"/>
    <x v="2"/>
  </r>
  <r>
    <s v="ID_DA50"/>
    <x v="2"/>
  </r>
  <r>
    <s v="ID_DA51"/>
    <x v="2"/>
  </r>
  <r>
    <s v="ID_DB04"/>
    <x v="2"/>
  </r>
  <r>
    <s v="ID_DB27"/>
    <x v="2"/>
  </r>
  <r>
    <s v="ID_DB40"/>
    <x v="2"/>
  </r>
  <r>
    <s v="ID_DB52"/>
    <x v="2"/>
  </r>
  <r>
    <s v="ID_DC04"/>
    <x v="2"/>
  </r>
  <r>
    <s v="ID_DC16"/>
    <x v="2"/>
  </r>
  <r>
    <s v="ID_DD39"/>
    <x v="2"/>
  </r>
  <r>
    <s v="ID_DD40"/>
    <x v="2"/>
  </r>
  <r>
    <s v="ID_DD51"/>
    <x v="2"/>
  </r>
  <r>
    <s v="ID_DD52"/>
    <x v="2"/>
  </r>
  <r>
    <s v="ID_DE40"/>
    <x v="2"/>
  </r>
  <r>
    <s v="ID_DE51"/>
    <x v="2"/>
  </r>
  <r>
    <s v="ID_DE52"/>
    <x v="2"/>
  </r>
  <r>
    <s v="ID_DF40"/>
    <x v="2"/>
  </r>
  <r>
    <s v="ID_DI27"/>
    <x v="2"/>
  </r>
  <r>
    <s v="ID_DJ15"/>
    <x v="2"/>
  </r>
  <r>
    <s v="ID_DK03"/>
    <x v="2"/>
  </r>
  <r>
    <s v="ID_DK51"/>
    <x v="2"/>
  </r>
  <r>
    <s v="ID_DL39"/>
    <x v="2"/>
  </r>
  <r>
    <s v="ID_DM39"/>
    <x v="2"/>
  </r>
  <r>
    <s v="ID_DQ26"/>
    <x v="2"/>
  </r>
  <r>
    <s v="ID_DR14"/>
    <x v="2"/>
  </r>
  <r>
    <s v="ID_DS02"/>
    <x v="2"/>
  </r>
  <r>
    <s v="ID_DS26"/>
    <x v="2"/>
  </r>
  <r>
    <s v="ID_DT14"/>
    <x v="2"/>
  </r>
  <r>
    <s v="ID_DT26"/>
    <x v="2"/>
  </r>
  <r>
    <s v="ID_DT50"/>
    <x v="2"/>
  </r>
  <r>
    <s v="ID_DU14"/>
    <x v="2"/>
  </r>
  <r>
    <s v="ID_DU26"/>
    <x v="2"/>
  </r>
  <r>
    <s v="ID_DU38"/>
    <x v="2"/>
  </r>
  <r>
    <s v="ID_DU50"/>
    <x v="2"/>
  </r>
  <r>
    <s v="ID_DV02"/>
    <x v="2"/>
  </r>
  <r>
    <s v="ID_DV26"/>
    <x v="2"/>
  </r>
  <r>
    <s v="ID_DV38"/>
    <x v="2"/>
  </r>
  <r>
    <s v="ID_DW02"/>
    <x v="2"/>
  </r>
  <r>
    <s v="ID_DW26"/>
    <x v="2"/>
  </r>
  <r>
    <s v="ID_DW38"/>
    <x v="2"/>
  </r>
  <r>
    <s v="ID_DX26"/>
    <x v="2"/>
  </r>
  <r>
    <s v="ID_DX50"/>
    <x v="2"/>
  </r>
  <r>
    <s v="ID_DY02"/>
    <x v="2"/>
  </r>
  <r>
    <s v="ID_DY15"/>
    <x v="2"/>
  </r>
  <r>
    <s v="ID_DY26"/>
    <x v="2"/>
  </r>
  <r>
    <s v="ID_DY27"/>
    <x v="2"/>
  </r>
  <r>
    <s v="ID_DY50"/>
    <x v="2"/>
  </r>
  <r>
    <s v="ID_DZ02"/>
    <x v="2"/>
  </r>
  <r>
    <s v="ID_DZ14"/>
    <x v="2"/>
  </r>
  <r>
    <s v="ID_DZ15"/>
    <x v="2"/>
  </r>
  <r>
    <s v="ID_DZ26"/>
    <x v="2"/>
  </r>
  <r>
    <s v="ID_DZ38"/>
    <x v="2"/>
  </r>
  <r>
    <s v="ID_DZ50"/>
    <x v="2"/>
  </r>
  <r>
    <s v="ID_DA04"/>
    <x v="3"/>
  </r>
  <r>
    <s v="ID_DA16"/>
    <x v="3"/>
  </r>
  <r>
    <s v="ID_DA28"/>
    <x v="3"/>
  </r>
  <r>
    <s v="ID_DA52"/>
    <x v="3"/>
  </r>
  <r>
    <s v="ID_DB05"/>
    <x v="3"/>
  </r>
  <r>
    <s v="ID_DB17"/>
    <x v="3"/>
  </r>
  <r>
    <s v="ID_DB53"/>
    <x v="3"/>
  </r>
  <r>
    <s v="ID_DC17"/>
    <x v="3"/>
  </r>
  <r>
    <s v="ID_DC28"/>
    <x v="3"/>
  </r>
  <r>
    <s v="ID_DC29"/>
    <x v="3"/>
  </r>
  <r>
    <s v="ID_DC41"/>
    <x v="3"/>
  </r>
  <r>
    <s v="ID_DC53"/>
    <x v="3"/>
  </r>
  <r>
    <s v="ID_DD05"/>
    <x v="3"/>
  </r>
  <r>
    <s v="ID_DD28"/>
    <x v="3"/>
  </r>
  <r>
    <s v="ID_DD29"/>
    <x v="3"/>
  </r>
  <r>
    <s v="ID_DD41"/>
    <x v="3"/>
  </r>
  <r>
    <s v="ID_DD53"/>
    <x v="3"/>
  </r>
  <r>
    <s v="ID_DE05"/>
    <x v="3"/>
  </r>
  <r>
    <s v="ID_DE16"/>
    <x v="3"/>
  </r>
  <r>
    <s v="ID_DE29"/>
    <x v="3"/>
  </r>
  <r>
    <s v="ID_DE53"/>
    <x v="3"/>
  </r>
  <r>
    <s v="ID_DF05"/>
    <x v="3"/>
  </r>
  <r>
    <s v="ID_DF16"/>
    <x v="3"/>
  </r>
  <r>
    <s v="ID_DF28"/>
    <x v="3"/>
  </r>
  <r>
    <s v="ID_DF29"/>
    <x v="3"/>
  </r>
  <r>
    <s v="ID_DF41"/>
    <x v="3"/>
  </r>
  <r>
    <s v="ID_DF52"/>
    <x v="3"/>
  </r>
  <r>
    <s v="ID_DG05"/>
    <x v="3"/>
  </r>
  <r>
    <s v="ID_DG17"/>
    <x v="3"/>
  </r>
  <r>
    <s v="ID_DG29"/>
    <x v="3"/>
  </r>
  <r>
    <s v="ID_DG40"/>
    <x v="3"/>
  </r>
  <r>
    <s v="ID_DG52"/>
    <x v="3"/>
  </r>
  <r>
    <s v="ID_DH05"/>
    <x v="3"/>
  </r>
  <r>
    <s v="ID_DH16"/>
    <x v="3"/>
  </r>
  <r>
    <s v="ID_DH28"/>
    <x v="3"/>
  </r>
  <r>
    <s v="ID_DH40"/>
    <x v="3"/>
  </r>
  <r>
    <s v="ID_DH41"/>
    <x v="3"/>
  </r>
  <r>
    <s v="ID_DH52"/>
    <x v="3"/>
  </r>
  <r>
    <s v="ID_DI04"/>
    <x v="3"/>
  </r>
  <r>
    <s v="ID_DI16"/>
    <x v="3"/>
  </r>
  <r>
    <s v="ID_DI28"/>
    <x v="3"/>
  </r>
  <r>
    <s v="ID_DI41"/>
    <x v="3"/>
  </r>
  <r>
    <s v="ID_DJ28"/>
    <x v="3"/>
  </r>
  <r>
    <s v="ID_DJ40"/>
    <x v="3"/>
  </r>
  <r>
    <s v="ID_DJ53"/>
    <x v="3"/>
  </r>
  <r>
    <s v="ID_DK04"/>
    <x v="3"/>
  </r>
  <r>
    <s v="ID_DK16"/>
    <x v="3"/>
  </r>
  <r>
    <s v="ID_DK28"/>
    <x v="3"/>
  </r>
  <r>
    <s v="ID_DK40"/>
    <x v="3"/>
  </r>
  <r>
    <s v="ID_DK41"/>
    <x v="3"/>
  </r>
  <r>
    <s v="ID_DK52"/>
    <x v="3"/>
  </r>
  <r>
    <s v="ID_DL04"/>
    <x v="3"/>
  </r>
  <r>
    <s v="ID_DL40"/>
    <x v="3"/>
  </r>
  <r>
    <s v="ID_DL52"/>
    <x v="3"/>
  </r>
  <r>
    <s v="ID_DN04"/>
    <x v="3"/>
  </r>
  <r>
    <s v="ID_DN52"/>
    <x v="3"/>
  </r>
  <r>
    <s v="ID_DO04"/>
    <x v="3"/>
  </r>
  <r>
    <s v="ID_DO28"/>
    <x v="3"/>
  </r>
  <r>
    <s v="ID_DO40"/>
    <x v="3"/>
  </r>
  <r>
    <s v="ID_DO52"/>
    <x v="3"/>
  </r>
  <r>
    <s v="ID_DP04"/>
    <x v="3"/>
  </r>
  <r>
    <s v="ID_DP52"/>
    <x v="3"/>
  </r>
  <r>
    <s v="ID_DQ28"/>
    <x v="3"/>
  </r>
  <r>
    <s v="ID_DQ40"/>
    <x v="3"/>
  </r>
  <r>
    <s v="ID_DQ52"/>
    <x v="3"/>
  </r>
  <r>
    <s v="ID_DR04"/>
    <x v="3"/>
  </r>
  <r>
    <s v="ID_DR40"/>
    <x v="3"/>
  </r>
  <r>
    <s v="ID_DR52"/>
    <x v="3"/>
  </r>
  <r>
    <s v="ID_DS16"/>
    <x v="3"/>
  </r>
  <r>
    <s v="ID_DS28"/>
    <x v="3"/>
  </r>
  <r>
    <s v="ID_DS40"/>
    <x v="3"/>
  </r>
  <r>
    <s v="ID_DS52"/>
    <x v="3"/>
  </r>
  <r>
    <s v="ID_DT16"/>
    <x v="3"/>
  </r>
  <r>
    <s v="ID_DT40"/>
    <x v="3"/>
  </r>
  <r>
    <s v="ID_DU28"/>
    <x v="3"/>
  </r>
  <r>
    <s v="ID_DU52"/>
    <x v="3"/>
  </r>
  <r>
    <s v="ID_DV04"/>
    <x v="3"/>
  </r>
  <r>
    <s v="ID_DV28"/>
    <x v="3"/>
  </r>
  <r>
    <s v="ID_DW04"/>
    <x v="3"/>
  </r>
  <r>
    <s v="ID_DW16"/>
    <x v="3"/>
  </r>
  <r>
    <s v="ID_DW28"/>
    <x v="3"/>
  </r>
  <r>
    <s v="ID_DW52"/>
    <x v="3"/>
  </r>
  <r>
    <s v="ID_DX04"/>
    <x v="3"/>
  </r>
  <r>
    <s v="ID_DX28"/>
    <x v="3"/>
  </r>
  <r>
    <s v="ID_DY04"/>
    <x v="3"/>
  </r>
  <r>
    <s v="ID_DY16"/>
    <x v="3"/>
  </r>
  <r>
    <s v="ID_DZ16"/>
    <x v="3"/>
  </r>
  <r>
    <s v="ID_DZ40"/>
    <x v="3"/>
  </r>
  <r>
    <s v="ID_DZ52"/>
    <x v="3"/>
  </r>
  <r>
    <s v="ID_DA07"/>
    <x v="4"/>
  </r>
  <r>
    <s v="ID_DA08"/>
    <x v="4"/>
  </r>
  <r>
    <s v="ID_DA20"/>
    <x v="5"/>
  </r>
  <r>
    <s v="ID_DA43"/>
    <x v="4"/>
  </r>
  <r>
    <s v="ID_DA44"/>
    <x v="4"/>
  </r>
  <r>
    <s v="ID_DA55"/>
    <x v="4"/>
  </r>
  <r>
    <s v="ID_DA56"/>
    <x v="4"/>
  </r>
  <r>
    <s v="ID_DB08"/>
    <x v="4"/>
  </r>
  <r>
    <s v="ID_DB21"/>
    <x v="4"/>
  </r>
  <r>
    <s v="ID_DB32"/>
    <x v="4"/>
  </r>
  <r>
    <s v="ID_DB44"/>
    <x v="4"/>
  </r>
  <r>
    <s v="ID_DB56"/>
    <x v="4"/>
  </r>
  <r>
    <s v="ID_DB57"/>
    <x v="4"/>
  </r>
  <r>
    <s v="ID_DC08"/>
    <x v="4"/>
  </r>
  <r>
    <s v="ID_DC32"/>
    <x v="4"/>
  </r>
  <r>
    <s v="ID_DC33"/>
    <x v="4"/>
  </r>
  <r>
    <s v="ID_DC44"/>
    <x v="4"/>
  </r>
  <r>
    <s v="ID_DC45"/>
    <x v="4"/>
  </r>
  <r>
    <s v="ID_DD08"/>
    <x v="4"/>
  </r>
  <r>
    <s v="ID_DD09"/>
    <x v="4"/>
  </r>
  <r>
    <s v="ID_DD20"/>
    <x v="4"/>
  </r>
  <r>
    <s v="ID_DD33"/>
    <x v="4"/>
  </r>
  <r>
    <s v="ID_DD57"/>
    <x v="4"/>
  </r>
  <r>
    <s v="ID_DE08"/>
    <x v="5"/>
  </r>
  <r>
    <s v="ID_DE09"/>
    <x v="4"/>
  </r>
  <r>
    <s v="ID_DE21"/>
    <x v="4"/>
  </r>
  <r>
    <s v="ID_DE32"/>
    <x v="4"/>
  </r>
  <r>
    <s v="ID_DE33"/>
    <x v="4"/>
  </r>
  <r>
    <s v="ID_DE56"/>
    <x v="4"/>
  </r>
  <r>
    <s v="ID_DE57"/>
    <x v="4"/>
  </r>
  <r>
    <s v="ID_DF09"/>
    <x v="4"/>
  </r>
  <r>
    <s v="ID_DF20"/>
    <x v="4"/>
  </r>
  <r>
    <s v="ID_DF21"/>
    <x v="4"/>
  </r>
  <r>
    <s v="ID_DF44"/>
    <x v="4"/>
  </r>
  <r>
    <s v="ID_DF56"/>
    <x v="4"/>
  </r>
  <r>
    <s v="ID_DF57"/>
    <x v="4"/>
  </r>
  <r>
    <s v="ID_DG09"/>
    <x v="4"/>
  </r>
  <r>
    <s v="ID_DG32"/>
    <x v="4"/>
  </r>
  <r>
    <s v="ID_DG44"/>
    <x v="4"/>
  </r>
  <r>
    <s v="ID_DG56"/>
    <x v="4"/>
  </r>
  <r>
    <s v="ID_DH08"/>
    <x v="4"/>
  </r>
  <r>
    <s v="ID_DH32"/>
    <x v="4"/>
  </r>
  <r>
    <s v="ID_DH57"/>
    <x v="4"/>
  </r>
  <r>
    <s v="ID_DI20"/>
    <x v="4"/>
  </r>
  <r>
    <s v="ID_DI32"/>
    <x v="4"/>
  </r>
  <r>
    <s v="ID_DI44"/>
    <x v="4"/>
  </r>
  <r>
    <s v="ID_DI56"/>
    <x v="4"/>
  </r>
  <r>
    <s v="ID_DJ32"/>
    <x v="4"/>
  </r>
  <r>
    <s v="ID_DJ44"/>
    <x v="4"/>
  </r>
  <r>
    <s v="ID_DJ56"/>
    <x v="4"/>
  </r>
  <r>
    <s v="ID_DK08"/>
    <x v="4"/>
  </r>
  <r>
    <s v="ID_DK20"/>
    <x v="4"/>
  </r>
  <r>
    <s v="ID_DK32"/>
    <x v="4"/>
  </r>
  <r>
    <s v="ID_DK44"/>
    <x v="4"/>
  </r>
  <r>
    <s v="ID_DL08"/>
    <x v="5"/>
  </r>
  <r>
    <s v="ID_DL20"/>
    <x v="4"/>
  </r>
  <r>
    <s v="ID_DL44"/>
    <x v="4"/>
  </r>
  <r>
    <s v="ID_DL56"/>
    <x v="4"/>
  </r>
  <r>
    <s v="ID_DM20"/>
    <x v="4"/>
  </r>
  <r>
    <s v="ID_DM56"/>
    <x v="4"/>
  </r>
  <r>
    <s v="ID_DN08"/>
    <x v="4"/>
  </r>
  <r>
    <s v="ID_DN20"/>
    <x v="4"/>
  </r>
  <r>
    <s v="ID_DN32"/>
    <x v="4"/>
  </r>
  <r>
    <s v="ID_DN44"/>
    <x v="4"/>
  </r>
  <r>
    <s v="ID_DN56"/>
    <x v="4"/>
  </r>
  <r>
    <s v="ID_DO19"/>
    <x v="4"/>
  </r>
  <r>
    <s v="ID_DO31"/>
    <x v="4"/>
  </r>
  <r>
    <s v="ID_DO32"/>
    <x v="4"/>
  </r>
  <r>
    <s v="ID_DO44"/>
    <x v="4"/>
  </r>
  <r>
    <s v="ID_DP31"/>
    <x v="4"/>
  </r>
  <r>
    <s v="ID_DP56"/>
    <x v="4"/>
  </r>
  <r>
    <s v="ID_DQ07"/>
    <x v="4"/>
  </r>
  <r>
    <s v="ID_DQ08"/>
    <x v="4"/>
  </r>
  <r>
    <s v="ID_DQ19"/>
    <x v="4"/>
  </r>
  <r>
    <s v="ID_DQ20"/>
    <x v="4"/>
  </r>
  <r>
    <s v="ID_DQ31"/>
    <x v="4"/>
  </r>
  <r>
    <s v="ID_DQ32"/>
    <x v="4"/>
  </r>
  <r>
    <s v="ID_DQ55"/>
    <x v="4"/>
  </r>
  <r>
    <s v="ID_DQ56"/>
    <x v="4"/>
  </r>
  <r>
    <s v="ID_DR07"/>
    <x v="4"/>
  </r>
  <r>
    <s v="ID_DR19"/>
    <x v="4"/>
  </r>
  <r>
    <s v="ID_DR31"/>
    <x v="4"/>
  </r>
  <r>
    <s v="ID_DR32"/>
    <x v="4"/>
  </r>
  <r>
    <s v="ID_DR43"/>
    <x v="4"/>
  </r>
  <r>
    <s v="ID_DR44"/>
    <x v="4"/>
  </r>
  <r>
    <s v="ID_DR55"/>
    <x v="4"/>
  </r>
  <r>
    <s v="ID_DR56"/>
    <x v="4"/>
  </r>
  <r>
    <s v="ID_DS08"/>
    <x v="4"/>
  </r>
  <r>
    <s v="ID_DS31"/>
    <x v="4"/>
  </r>
  <r>
    <s v="ID_DS32"/>
    <x v="4"/>
  </r>
  <r>
    <s v="ID_DS43"/>
    <x v="4"/>
  </r>
  <r>
    <s v="ID_DS44"/>
    <x v="4"/>
  </r>
  <r>
    <s v="ID_DS55"/>
    <x v="4"/>
  </r>
  <r>
    <s v="ID_DT07"/>
    <x v="4"/>
  </r>
  <r>
    <s v="ID_DT08"/>
    <x v="4"/>
  </r>
  <r>
    <s v="ID_DT19"/>
    <x v="4"/>
  </r>
  <r>
    <s v="ID_DT20"/>
    <x v="4"/>
  </r>
  <r>
    <s v="ID_DT32"/>
    <x v="4"/>
  </r>
  <r>
    <s v="ID_DT55"/>
    <x v="4"/>
  </r>
  <r>
    <s v="ID_DT56"/>
    <x v="4"/>
  </r>
  <r>
    <s v="ID_DU08"/>
    <x v="4"/>
  </r>
  <r>
    <s v="ID_DU19"/>
    <x v="4"/>
  </r>
  <r>
    <s v="ID_DU20"/>
    <x v="4"/>
  </r>
  <r>
    <s v="ID_DU32"/>
    <x v="4"/>
  </r>
  <r>
    <s v="ID_DU43"/>
    <x v="4"/>
  </r>
  <r>
    <s v="ID_DU44"/>
    <x v="4"/>
  </r>
  <r>
    <s v="ID_DU55"/>
    <x v="4"/>
  </r>
  <r>
    <s v="ID_DU56"/>
    <x v="4"/>
  </r>
  <r>
    <s v="ID_DV07"/>
    <x v="4"/>
  </r>
  <r>
    <s v="ID_DV08"/>
    <x v="4"/>
  </r>
  <r>
    <s v="ID_DV20"/>
    <x v="4"/>
  </r>
  <r>
    <s v="ID_DV43"/>
    <x v="4"/>
  </r>
  <r>
    <s v="ID_DV55"/>
    <x v="4"/>
  </r>
  <r>
    <s v="ID_DV56"/>
    <x v="4"/>
  </r>
  <r>
    <s v="ID_DW07"/>
    <x v="4"/>
  </r>
  <r>
    <s v="ID_DW08"/>
    <x v="4"/>
  </r>
  <r>
    <s v="ID_DW19"/>
    <x v="4"/>
  </r>
  <r>
    <s v="ID_DW20"/>
    <x v="4"/>
  </r>
  <r>
    <s v="ID_DW31"/>
    <x v="4"/>
  </r>
  <r>
    <s v="ID_DW55"/>
    <x v="4"/>
  </r>
  <r>
    <s v="ID_DW56"/>
    <x v="4"/>
  </r>
  <r>
    <s v="ID_DX07"/>
    <x v="4"/>
  </r>
  <r>
    <s v="ID_DX20"/>
    <x v="4"/>
  </r>
  <r>
    <s v="ID_DX31"/>
    <x v="4"/>
  </r>
  <r>
    <s v="ID_DX44"/>
    <x v="4"/>
  </r>
  <r>
    <s v="ID_DX56"/>
    <x v="4"/>
  </r>
  <r>
    <s v="ID_DY07"/>
    <x v="4"/>
  </r>
  <r>
    <s v="ID_DY08"/>
    <x v="5"/>
  </r>
  <r>
    <s v="ID_DY31"/>
    <x v="4"/>
  </r>
  <r>
    <s v="ID_DY44"/>
    <x v="4"/>
  </r>
  <r>
    <s v="ID_DY55"/>
    <x v="4"/>
  </r>
  <r>
    <s v="ID_DY56"/>
    <x v="4"/>
  </r>
  <r>
    <s v="ID_DZ07"/>
    <x v="4"/>
  </r>
  <r>
    <s v="ID_DZ08"/>
    <x v="4"/>
  </r>
  <r>
    <s v="ID_DZ19"/>
    <x v="4"/>
  </r>
  <r>
    <s v="ID_DZ20"/>
    <x v="4"/>
  </r>
  <r>
    <s v="ID_DZ31"/>
    <x v="4"/>
  </r>
  <r>
    <s v="ID_DZ43"/>
    <x v="4"/>
  </r>
  <r>
    <s v="ID_DZ55"/>
    <x v="4"/>
  </r>
  <r>
    <s v="ID_DZ56"/>
    <x v="4"/>
  </r>
  <r>
    <s v="ID_RF23"/>
    <x v="6"/>
  </r>
  <r>
    <s v="ID_RG23"/>
    <x v="6"/>
  </r>
  <r>
    <s v="ID_RH11"/>
    <x v="6"/>
  </r>
  <r>
    <s v="ID_RI11"/>
    <x v="6"/>
  </r>
  <r>
    <s v="ID_RI23"/>
    <x v="6"/>
  </r>
  <r>
    <s v="ID_RI59"/>
    <x v="6"/>
  </r>
  <r>
    <s v="ID_RJ23"/>
    <x v="6"/>
  </r>
  <r>
    <s v="ID_RJ47"/>
    <x v="6"/>
  </r>
  <r>
    <s v="ID_RJ59"/>
    <x v="6"/>
  </r>
  <r>
    <s v="ID_RK23"/>
    <x v="6"/>
  </r>
  <r>
    <s v="ID_RK35"/>
    <x v="6"/>
  </r>
  <r>
    <s v="ID_RK59"/>
    <x v="6"/>
  </r>
  <r>
    <s v="ID_RL11"/>
    <x v="6"/>
  </r>
  <r>
    <s v="ID_RL35"/>
    <x v="6"/>
  </r>
  <r>
    <s v="ID_RL47"/>
    <x v="6"/>
  </r>
  <r>
    <s v="ID_RM23"/>
    <x v="6"/>
  </r>
  <r>
    <s v="ID_RM35"/>
    <x v="6"/>
  </r>
  <r>
    <s v="ID_RM47"/>
    <x v="6"/>
  </r>
  <r>
    <s v="ID_RM59"/>
    <x v="6"/>
  </r>
  <r>
    <s v="ID_RN47"/>
    <x v="6"/>
  </r>
  <r>
    <s v="ID_RN59"/>
    <x v="6"/>
  </r>
  <r>
    <s v="ID_RP35"/>
    <x v="6"/>
  </r>
  <r>
    <s v="ID_RQ35"/>
    <x v="6"/>
  </r>
  <r>
    <s v="ID_DA39"/>
    <x v="7"/>
  </r>
  <r>
    <s v="ID_DG31"/>
    <x v="7"/>
  </r>
  <r>
    <s v="ID_DH19"/>
    <x v="7"/>
  </r>
  <r>
    <s v="ID_DH31"/>
    <x v="7"/>
  </r>
  <r>
    <s v="ID_DI07"/>
    <x v="7"/>
  </r>
  <r>
    <s v="ID_DI19"/>
    <x v="7"/>
  </r>
  <r>
    <s v="ID_DJ07"/>
    <x v="7"/>
  </r>
  <r>
    <s v="ID_DJ55"/>
    <x v="7"/>
  </r>
  <r>
    <s v="ID_DK15"/>
    <x v="7"/>
  </r>
  <r>
    <s v="ID_DK27"/>
    <x v="7"/>
  </r>
  <r>
    <s v="ID_DL03"/>
    <x v="7"/>
  </r>
  <r>
    <s v="ID_DL43"/>
    <x v="7"/>
  </r>
  <r>
    <s v="ID_DM03"/>
    <x v="7"/>
  </r>
  <r>
    <s v="ID_DM15"/>
    <x v="7"/>
  </r>
  <r>
    <s v="ID_DM27"/>
    <x v="7"/>
  </r>
  <r>
    <s v="ID_DN03"/>
    <x v="7"/>
  </r>
  <r>
    <s v="ID_DN15"/>
    <x v="7"/>
  </r>
  <r>
    <s v="ID_DN27"/>
    <x v="7"/>
  </r>
  <r>
    <s v="ID_DN39"/>
    <x v="7"/>
  </r>
  <r>
    <s v="ID_DO03"/>
    <x v="7"/>
  </r>
  <r>
    <s v="ID_DO15"/>
    <x v="7"/>
  </r>
  <r>
    <s v="ID_DO27"/>
    <x v="7"/>
  </r>
  <r>
    <s v="ID_DO39"/>
    <x v="7"/>
  </r>
  <r>
    <s v="ID_DO51"/>
    <x v="7"/>
  </r>
  <r>
    <s v="ID_DP15"/>
    <x v="7"/>
  </r>
  <r>
    <s v="ID_DP27"/>
    <x v="7"/>
  </r>
  <r>
    <s v="ID_DP39"/>
    <x v="7"/>
  </r>
  <r>
    <s v="ID_DQ15"/>
    <x v="7"/>
  </r>
  <r>
    <s v="ID_DQ39"/>
    <x v="7"/>
  </r>
  <r>
    <s v="ID_DQ51"/>
    <x v="7"/>
  </r>
  <r>
    <s v="ID_DR15"/>
    <x v="7"/>
  </r>
  <r>
    <s v="ID_DR27"/>
    <x v="7"/>
  </r>
  <r>
    <s v="ID_DR51"/>
    <x v="7"/>
  </r>
  <r>
    <s v="ID_DS03"/>
    <x v="7"/>
  </r>
  <r>
    <s v="ID_DS39"/>
    <x v="7"/>
  </r>
  <r>
    <s v="ID_DS51"/>
    <x v="7"/>
  </r>
  <r>
    <s v="ID_DT03"/>
    <x v="7"/>
  </r>
  <r>
    <s v="ID_DT27"/>
    <x v="7"/>
  </r>
  <r>
    <s v="ID_DU27"/>
    <x v="7"/>
  </r>
  <r>
    <s v="ID_DU39"/>
    <x v="7"/>
  </r>
  <r>
    <s v="ID_DU51"/>
    <x v="7"/>
  </r>
  <r>
    <s v="ID_DV03"/>
    <x v="7"/>
  </r>
  <r>
    <s v="ID_DV15"/>
    <x v="7"/>
  </r>
  <r>
    <s v="ID_DV51"/>
    <x v="7"/>
  </r>
  <r>
    <s v="ID_DW15"/>
    <x v="7"/>
  </r>
  <r>
    <s v="ID_DW27"/>
    <x v="7"/>
  </r>
  <r>
    <s v="ID_DW39"/>
    <x v="7"/>
  </r>
  <r>
    <s v="ID_DW51"/>
    <x v="7"/>
  </r>
  <r>
    <s v="ID_DX03"/>
    <x v="7"/>
  </r>
  <r>
    <s v="ID_DX15"/>
    <x v="7"/>
  </r>
  <r>
    <s v="ID_DX39"/>
    <x v="7"/>
  </r>
  <r>
    <s v="ID_DY03"/>
    <x v="7"/>
  </r>
  <r>
    <s v="ID_DY39"/>
    <x v="7"/>
  </r>
  <r>
    <s v="ID_DY51"/>
    <x v="7"/>
  </r>
  <r>
    <s v="ID_DZ39"/>
    <x v="7"/>
  </r>
  <r>
    <s v="ID_DZ51"/>
    <x v="7"/>
  </r>
  <r>
    <s v="ID_CI31"/>
    <x v="8"/>
  </r>
  <r>
    <s v="ID_CJ19"/>
    <x v="8"/>
  </r>
  <r>
    <s v="ID_CJ31"/>
    <x v="8"/>
  </r>
  <r>
    <s v="ID_CK31"/>
    <x v="8"/>
  </r>
  <r>
    <s v="ID_CL07"/>
    <x v="8"/>
  </r>
  <r>
    <s v="ID_CL31"/>
    <x v="8"/>
  </r>
  <r>
    <s v="ID_CM07"/>
    <x v="8"/>
  </r>
  <r>
    <s v="ID_CM19"/>
    <x v="8"/>
  </r>
  <r>
    <s v="ID_CM43"/>
    <x v="8"/>
  </r>
  <r>
    <s v="ID_CN14"/>
    <x v="8"/>
  </r>
  <r>
    <s v="ID_CN43"/>
    <x v="8"/>
  </r>
  <r>
    <s v="ID_CO02"/>
    <x v="8"/>
  </r>
  <r>
    <s v="ID_CO55"/>
    <x v="8"/>
  </r>
  <r>
    <s v="ID_CP50"/>
    <x v="8"/>
  </r>
  <r>
    <s v="ID_CQ43"/>
    <x v="8"/>
  </r>
  <r>
    <s v="ID_DF33"/>
    <x v="9"/>
  </r>
  <r>
    <s v="ID_DG21"/>
    <x v="9"/>
  </r>
  <r>
    <s v="ID_DG33"/>
    <x v="9"/>
  </r>
  <r>
    <s v="ID_DH09"/>
    <x v="9"/>
  </r>
  <r>
    <s v="ID_DH21"/>
    <x v="9"/>
  </r>
  <r>
    <s v="ID_DI57"/>
    <x v="9"/>
  </r>
  <r>
    <s v="ID_DJ45"/>
    <x v="9"/>
  </r>
  <r>
    <s v="ID_DA10"/>
    <x v="10"/>
  </r>
  <r>
    <s v="ID_DA45"/>
    <x v="10"/>
  </r>
  <r>
    <s v="ID_DA46"/>
    <x v="10"/>
  </r>
  <r>
    <s v="ID_DA57"/>
    <x v="10"/>
  </r>
  <r>
    <s v="ID_DB22"/>
    <x v="10"/>
  </r>
  <r>
    <s v="ID_DB34"/>
    <x v="10"/>
  </r>
  <r>
    <s v="ID_DB58"/>
    <x v="10"/>
  </r>
  <r>
    <s v="ID_DB59"/>
    <x v="10"/>
  </r>
  <r>
    <s v="ID_DC10"/>
    <x v="10"/>
  </r>
  <r>
    <s v="ID_DC46"/>
    <x v="10"/>
  </r>
  <r>
    <s v="ID_DC58"/>
    <x v="10"/>
  </r>
  <r>
    <s v="ID_DD10"/>
    <x v="10"/>
  </r>
  <r>
    <s v="ID_DD46"/>
    <x v="10"/>
  </r>
  <r>
    <s v="ID_DE10"/>
    <x v="10"/>
  </r>
  <r>
    <s v="ID_DE46"/>
    <x v="10"/>
  </r>
  <r>
    <s v="ID_DE58"/>
    <x v="10"/>
  </r>
  <r>
    <s v="ID_DF34"/>
    <x v="10"/>
  </r>
  <r>
    <s v="ID_DF46"/>
    <x v="10"/>
  </r>
  <r>
    <s v="ID_DF58"/>
    <x v="10"/>
  </r>
  <r>
    <s v="ID_DG10"/>
    <x v="10"/>
  </r>
  <r>
    <s v="ID_DG22"/>
    <x v="10"/>
  </r>
  <r>
    <s v="ID_DG34"/>
    <x v="10"/>
  </r>
  <r>
    <s v="ID_DG46"/>
    <x v="10"/>
  </r>
  <r>
    <s v="ID_DH10"/>
    <x v="10"/>
  </r>
  <r>
    <s v="ID_DH33"/>
    <x v="10"/>
  </r>
  <r>
    <s v="ID_DH34"/>
    <x v="10"/>
  </r>
  <r>
    <s v="ID_DI10"/>
    <x v="10"/>
  </r>
  <r>
    <s v="ID_DI21"/>
    <x v="10"/>
  </r>
  <r>
    <s v="ID_DI22"/>
    <x v="10"/>
  </r>
  <r>
    <s v="ID_DI33"/>
    <x v="10"/>
  </r>
  <r>
    <s v="ID_DI46"/>
    <x v="10"/>
  </r>
  <r>
    <s v="ID_DJ10"/>
    <x v="10"/>
  </r>
  <r>
    <s v="ID_DJ21"/>
    <x v="10"/>
  </r>
  <r>
    <s v="ID_DJ22"/>
    <x v="10"/>
  </r>
  <r>
    <s v="ID_DJ33"/>
    <x v="10"/>
  </r>
  <r>
    <s v="ID_DJ34"/>
    <x v="10"/>
  </r>
  <r>
    <s v="ID_DJ46"/>
    <x v="10"/>
  </r>
  <r>
    <s v="ID_DJ58"/>
    <x v="10"/>
  </r>
  <r>
    <s v="ID_DK09"/>
    <x v="10"/>
  </r>
  <r>
    <s v="ID_DK10"/>
    <x v="10"/>
  </r>
  <r>
    <s v="ID_DK22"/>
    <x v="10"/>
  </r>
  <r>
    <s v="ID_DK33"/>
    <x v="10"/>
  </r>
  <r>
    <s v="ID_DK34"/>
    <x v="10"/>
  </r>
  <r>
    <s v="ID_DK57"/>
    <x v="10"/>
  </r>
  <r>
    <s v="ID_DK58"/>
    <x v="10"/>
  </r>
  <r>
    <s v="ID_DL09"/>
    <x v="10"/>
  </r>
  <r>
    <s v="ID_DL10"/>
    <x v="10"/>
  </r>
  <r>
    <s v="ID_DL22"/>
    <x v="10"/>
  </r>
  <r>
    <s v="ID_DL33"/>
    <x v="10"/>
  </r>
  <r>
    <s v="ID_DL34"/>
    <x v="10"/>
  </r>
  <r>
    <s v="ID_DL45"/>
    <x v="10"/>
  </r>
  <r>
    <s v="ID_DL46"/>
    <x v="10"/>
  </r>
  <r>
    <s v="ID_DM10"/>
    <x v="10"/>
  </r>
  <r>
    <s v="ID_DM21"/>
    <x v="10"/>
  </r>
  <r>
    <s v="ID_DM22"/>
    <x v="10"/>
  </r>
  <r>
    <s v="ID_DM34"/>
    <x v="10"/>
  </r>
  <r>
    <s v="ID_DM46"/>
    <x v="10"/>
  </r>
  <r>
    <s v="ID_DM58"/>
    <x v="10"/>
  </r>
  <r>
    <s v="ID_DN09"/>
    <x v="10"/>
  </r>
  <r>
    <s v="ID_DN10"/>
    <x v="10"/>
  </r>
  <r>
    <s v="ID_DN21"/>
    <x v="10"/>
  </r>
  <r>
    <s v="ID_DN33"/>
    <x v="10"/>
  </r>
  <r>
    <s v="ID_DN34"/>
    <x v="10"/>
  </r>
  <r>
    <s v="ID_DN45"/>
    <x v="10"/>
  </r>
  <r>
    <s v="ID_DN57"/>
    <x v="10"/>
  </r>
  <r>
    <s v="ID_DN58"/>
    <x v="10"/>
  </r>
  <r>
    <s v="ID_DO09"/>
    <x v="10"/>
  </r>
  <r>
    <s v="ID_DO10"/>
    <x v="10"/>
  </r>
  <r>
    <s v="ID_DO34"/>
    <x v="10"/>
  </r>
  <r>
    <s v="ID_DO45"/>
    <x v="10"/>
  </r>
  <r>
    <s v="ID_DO46"/>
    <x v="10"/>
  </r>
  <r>
    <s v="ID_DO58"/>
    <x v="10"/>
  </r>
  <r>
    <s v="ID_DP09"/>
    <x v="10"/>
  </r>
  <r>
    <s v="ID_DP10"/>
    <x v="10"/>
  </r>
  <r>
    <s v="ID_DP21"/>
    <x v="10"/>
  </r>
  <r>
    <s v="ID_DP22"/>
    <x v="10"/>
  </r>
  <r>
    <s v="ID_DP33"/>
    <x v="10"/>
  </r>
  <r>
    <s v="ID_DP45"/>
    <x v="10"/>
  </r>
  <r>
    <s v="ID_DQ09"/>
    <x v="10"/>
  </r>
  <r>
    <s v="ID_DQ10"/>
    <x v="10"/>
  </r>
  <r>
    <s v="ID_DQ22"/>
    <x v="10"/>
  </r>
  <r>
    <s v="ID_DQ33"/>
    <x v="10"/>
  </r>
  <r>
    <s v="ID_DQ45"/>
    <x v="10"/>
  </r>
  <r>
    <s v="ID_DQ57"/>
    <x v="10"/>
  </r>
  <r>
    <s v="ID_DR09"/>
    <x v="10"/>
  </r>
  <r>
    <s v="ID_DR21"/>
    <x v="10"/>
  </r>
  <r>
    <s v="ID_DR22"/>
    <x v="10"/>
  </r>
  <r>
    <s v="ID_DR45"/>
    <x v="10"/>
  </r>
  <r>
    <s v="ID_DR46"/>
    <x v="10"/>
  </r>
  <r>
    <s v="ID_DR58"/>
    <x v="10"/>
  </r>
  <r>
    <s v="ID_DS09"/>
    <x v="10"/>
  </r>
  <r>
    <s v="ID_DS10"/>
    <x v="10"/>
  </r>
  <r>
    <s v="ID_DS33"/>
    <x v="10"/>
  </r>
  <r>
    <s v="ID_DS34"/>
    <x v="5"/>
  </r>
  <r>
    <s v="ID_DS57"/>
    <x v="10"/>
  </r>
  <r>
    <s v="ID_DT09"/>
    <x v="10"/>
  </r>
  <r>
    <s v="ID_DT21"/>
    <x v="10"/>
  </r>
  <r>
    <s v="ID_DT22"/>
    <x v="10"/>
  </r>
  <r>
    <s v="ID_DT46"/>
    <x v="10"/>
  </r>
  <r>
    <s v="ID_DT57"/>
    <x v="10"/>
  </r>
  <r>
    <s v="ID_DT58"/>
    <x v="10"/>
  </r>
  <r>
    <s v="ID_DU09"/>
    <x v="10"/>
  </r>
  <r>
    <s v="ID_DU21"/>
    <x v="10"/>
  </r>
  <r>
    <s v="ID_DU33"/>
    <x v="10"/>
  </r>
  <r>
    <s v="ID_DU34"/>
    <x v="10"/>
  </r>
  <r>
    <s v="ID_DU45"/>
    <x v="10"/>
  </r>
  <r>
    <s v="ID_DU46"/>
    <x v="5"/>
  </r>
  <r>
    <s v="ID_DU57"/>
    <x v="10"/>
  </r>
  <r>
    <s v="ID_DU58"/>
    <x v="10"/>
  </r>
  <r>
    <s v="ID_DV21"/>
    <x v="10"/>
  </r>
  <r>
    <s v="ID_DV45"/>
    <x v="10"/>
  </r>
  <r>
    <s v="ID_DV57"/>
    <x v="10"/>
  </r>
  <r>
    <s v="ID_DW09"/>
    <x v="10"/>
  </r>
  <r>
    <s v="ID_DW21"/>
    <x v="10"/>
  </r>
  <r>
    <s v="ID_DW22"/>
    <x v="10"/>
  </r>
  <r>
    <s v="ID_DW34"/>
    <x v="10"/>
  </r>
  <r>
    <s v="ID_DW45"/>
    <x v="10"/>
  </r>
  <r>
    <s v="ID_DX09"/>
    <x v="10"/>
  </r>
  <r>
    <s v="ID_DX10"/>
    <x v="10"/>
  </r>
  <r>
    <s v="ID_DX21"/>
    <x v="10"/>
  </r>
  <r>
    <s v="ID_DX33"/>
    <x v="10"/>
  </r>
  <r>
    <s v="ID_DX34"/>
    <x v="10"/>
  </r>
  <r>
    <s v="ID_DX45"/>
    <x v="10"/>
  </r>
  <r>
    <s v="ID_DX46"/>
    <x v="10"/>
  </r>
  <r>
    <s v="ID_DX57"/>
    <x v="10"/>
  </r>
  <r>
    <s v="ID_DX58"/>
    <x v="10"/>
  </r>
  <r>
    <s v="ID_DY10"/>
    <x v="10"/>
  </r>
  <r>
    <s v="ID_DY21"/>
    <x v="10"/>
  </r>
  <r>
    <s v="ID_DY33"/>
    <x v="10"/>
  </r>
  <r>
    <s v="ID_DY34"/>
    <x v="10"/>
  </r>
  <r>
    <s v="ID_DY45"/>
    <x v="10"/>
  </r>
  <r>
    <s v="ID_DY46"/>
    <x v="10"/>
  </r>
  <r>
    <s v="ID_DZ10"/>
    <x v="10"/>
  </r>
  <r>
    <s v="ID_DZ21"/>
    <x v="10"/>
  </r>
  <r>
    <s v="ID_DZ22"/>
    <x v="10"/>
  </r>
  <r>
    <s v="ID_DZ33"/>
    <x v="10"/>
  </r>
  <r>
    <s v="ID_DZ58"/>
    <x v="10"/>
  </r>
  <r>
    <s v="ID_RA24"/>
    <x v="11"/>
  </r>
  <r>
    <s v="ID_RA59"/>
    <x v="11"/>
  </r>
  <r>
    <s v="ID_RB01"/>
    <x v="11"/>
  </r>
  <r>
    <s v="ID_RB25"/>
    <x v="11"/>
  </r>
  <r>
    <s v="ID_RB48"/>
    <x v="11"/>
  </r>
  <r>
    <s v="ID_RC01"/>
    <x v="11"/>
  </r>
  <r>
    <s v="ID_RC25"/>
    <x v="11"/>
  </r>
  <r>
    <s v="ID_RC36"/>
    <x v="11"/>
  </r>
  <r>
    <s v="ID_RC49"/>
    <x v="11"/>
  </r>
  <r>
    <s v="ID_RD12"/>
    <x v="11"/>
  </r>
  <r>
    <s v="ID_RD13"/>
    <x v="11"/>
  </r>
  <r>
    <s v="ID_RD24"/>
    <x v="11"/>
  </r>
  <r>
    <s v="ID_RD25"/>
    <x v="11"/>
  </r>
  <r>
    <s v="ID_RE12"/>
    <x v="11"/>
  </r>
  <r>
    <s v="ID_RE13"/>
    <x v="11"/>
  </r>
  <r>
    <s v="ID_RE25"/>
    <x v="11"/>
  </r>
  <r>
    <s v="ID_RE48"/>
    <x v="11"/>
  </r>
  <r>
    <s v="ID_RE49"/>
    <x v="11"/>
  </r>
  <r>
    <s v="ID_RF01"/>
    <x v="11"/>
  </r>
  <r>
    <s v="ID_RF25"/>
    <x v="11"/>
  </r>
  <r>
    <s v="ID_RF36"/>
    <x v="11"/>
  </r>
  <r>
    <s v="ID_RG01"/>
    <x v="11"/>
  </r>
  <r>
    <s v="ID_RG13"/>
    <x v="11"/>
  </r>
  <r>
    <s v="ID_RG36"/>
    <x v="11"/>
  </r>
  <r>
    <s v="ID_RG48"/>
    <x v="11"/>
  </r>
  <r>
    <s v="ID_RG49"/>
    <x v="11"/>
  </r>
  <r>
    <s v="ID_RH01"/>
    <x v="11"/>
  </r>
  <r>
    <s v="ID_RH25"/>
    <x v="11"/>
  </r>
  <r>
    <s v="ID_RI01"/>
    <x v="11"/>
  </r>
  <r>
    <s v="ID_RI25"/>
    <x v="11"/>
  </r>
  <r>
    <s v="ID_RI37"/>
    <x v="11"/>
  </r>
  <r>
    <s v="ID_RJ01"/>
    <x v="11"/>
  </r>
  <r>
    <s v="ID_RJ37"/>
    <x v="11"/>
  </r>
  <r>
    <s v="ID_RK12"/>
    <x v="11"/>
  </r>
  <r>
    <s v="ID_RK13"/>
    <x v="11"/>
  </r>
  <r>
    <s v="ID_RK37"/>
    <x v="11"/>
  </r>
  <r>
    <s v="ID_RK49"/>
    <x v="11"/>
  </r>
  <r>
    <s v="ID_RL01"/>
    <x v="11"/>
  </r>
  <r>
    <s v="ID_RL37"/>
    <x v="11"/>
  </r>
  <r>
    <s v="ID_RM37"/>
    <x v="11"/>
  </r>
  <r>
    <s v="ID_RM48"/>
    <x v="11"/>
  </r>
  <r>
    <s v="ID_RN36"/>
    <x v="11"/>
  </r>
  <r>
    <s v="ID_RY23"/>
    <x v="11"/>
  </r>
  <r>
    <s v="ID_RZ11"/>
    <x v="11"/>
  </r>
  <r>
    <s v="ID_RZ24"/>
    <x v="11"/>
  </r>
  <r>
    <m/>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
  <r>
    <s v="ID_CI31"/>
    <x v="0"/>
  </r>
  <r>
    <s v="ID_CJ19"/>
    <x v="0"/>
  </r>
  <r>
    <s v="ID_CJ31"/>
    <x v="1"/>
  </r>
  <r>
    <s v="ID_CK31"/>
    <x v="0"/>
  </r>
  <r>
    <s v="ID_CL07"/>
    <x v="0"/>
  </r>
  <r>
    <s v="ID_CL31"/>
    <x v="2"/>
  </r>
  <r>
    <s v="ID_CM07"/>
    <x v="0"/>
  </r>
  <r>
    <s v="ID_CM19"/>
    <x v="2"/>
  </r>
  <r>
    <s v="ID_CM43"/>
    <x v="2"/>
  </r>
  <r>
    <s v="ID_CN14"/>
    <x v="0"/>
  </r>
  <r>
    <s v="ID_CN43"/>
    <x v="2"/>
  </r>
  <r>
    <s v="ID_CO02"/>
    <x v="0"/>
  </r>
  <r>
    <s v="ID_CO55"/>
    <x v="0"/>
  </r>
  <r>
    <s v="ID_CP50"/>
    <x v="0"/>
  </r>
  <r>
    <s v="ID_CQ43"/>
    <x v="0"/>
  </r>
  <r>
    <s v="ID_DA01"/>
    <x v="3"/>
  </r>
  <r>
    <s v="ID_DA02"/>
    <x v="0"/>
  </r>
  <r>
    <s v="ID_DA03"/>
    <x v="3"/>
  </r>
  <r>
    <s v="ID_DA04"/>
    <x v="0"/>
  </r>
  <r>
    <s v="ID_DA07"/>
    <x v="0"/>
  </r>
  <r>
    <s v="ID_DA08"/>
    <x v="0"/>
  </r>
  <r>
    <s v="ID_DA10"/>
    <x v="2"/>
  </r>
  <r>
    <s v="ID_DA13"/>
    <x v="0"/>
  </r>
  <r>
    <s v="ID_DA15"/>
    <x v="0"/>
  </r>
  <r>
    <s v="ID_DA16"/>
    <x v="0"/>
  </r>
  <r>
    <s v="ID_DA20"/>
    <x v="2"/>
  </r>
  <r>
    <s v="ID_DA26"/>
    <x v="0"/>
  </r>
  <r>
    <s v="ID_DA28"/>
    <x v="0"/>
  </r>
  <r>
    <s v="ID_DA39"/>
    <x v="0"/>
  </r>
  <r>
    <s v="ID_DA43"/>
    <x v="0"/>
  </r>
  <r>
    <s v="ID_DA44"/>
    <x v="0"/>
  </r>
  <r>
    <s v="ID_DA45"/>
    <x v="0"/>
  </r>
  <r>
    <s v="ID_DA46"/>
    <x v="0"/>
  </r>
  <r>
    <s v="ID_DA49"/>
    <x v="0"/>
  </r>
  <r>
    <s v="ID_DA50"/>
    <x v="0"/>
  </r>
  <r>
    <s v="ID_DA51"/>
    <x v="0"/>
  </r>
  <r>
    <s v="ID_DA52"/>
    <x v="2"/>
  </r>
  <r>
    <s v="ID_DA55"/>
    <x v="0"/>
  </r>
  <r>
    <s v="ID_DA56"/>
    <x v="0"/>
  </r>
  <r>
    <s v="ID_DA57"/>
    <x v="0"/>
  </r>
  <r>
    <s v="ID_DB02"/>
    <x v="0"/>
  </r>
  <r>
    <s v="ID_DB04"/>
    <x v="0"/>
  </r>
  <r>
    <s v="ID_DB05"/>
    <x v="2"/>
  </r>
  <r>
    <s v="ID_DB08"/>
    <x v="0"/>
  </r>
  <r>
    <s v="ID_DB14"/>
    <x v="2"/>
  </r>
  <r>
    <s v="ID_DB17"/>
    <x v="0"/>
  </r>
  <r>
    <s v="ID_DB21"/>
    <x v="0"/>
  </r>
  <r>
    <s v="ID_DB22"/>
    <x v="0"/>
  </r>
  <r>
    <s v="ID_DB26"/>
    <x v="2"/>
  </r>
  <r>
    <s v="ID_DB27"/>
    <x v="0"/>
  </r>
  <r>
    <s v="ID_DB32"/>
    <x v="2"/>
  </r>
  <r>
    <s v="ID_DB34"/>
    <x v="2"/>
  </r>
  <r>
    <s v="ID_DB38"/>
    <x v="0"/>
  </r>
  <r>
    <s v="ID_DB40"/>
    <x v="0"/>
  </r>
  <r>
    <s v="ID_DB44"/>
    <x v="2"/>
  </r>
  <r>
    <s v="ID_DB52"/>
    <x v="2"/>
  </r>
  <r>
    <s v="ID_DB53"/>
    <x v="0"/>
  </r>
  <r>
    <s v="ID_DB56"/>
    <x v="0"/>
  </r>
  <r>
    <s v="ID_DB57"/>
    <x v="0"/>
  </r>
  <r>
    <s v="ID_DB58"/>
    <x v="0"/>
  </r>
  <r>
    <s v="ID_DB59"/>
    <x v="2"/>
  </r>
  <r>
    <s v="ID_DC02"/>
    <x v="0"/>
  </r>
  <r>
    <s v="ID_DC04"/>
    <x v="0"/>
  </r>
  <r>
    <s v="ID_DC08"/>
    <x v="0"/>
  </r>
  <r>
    <s v="ID_DC10"/>
    <x v="0"/>
  </r>
  <r>
    <s v="ID_DC14"/>
    <x v="2"/>
  </r>
  <r>
    <s v="ID_DC16"/>
    <x v="0"/>
  </r>
  <r>
    <s v="ID_DC17"/>
    <x v="0"/>
  </r>
  <r>
    <s v="ID_DC28"/>
    <x v="0"/>
  </r>
  <r>
    <s v="ID_DC29"/>
    <x v="2"/>
  </r>
  <r>
    <s v="ID_DC32"/>
    <x v="0"/>
  </r>
  <r>
    <s v="ID_DC33"/>
    <x v="2"/>
  </r>
  <r>
    <s v="ID_DC41"/>
    <x v="0"/>
  </r>
  <r>
    <s v="ID_DC44"/>
    <x v="0"/>
  </r>
  <r>
    <s v="ID_DC45"/>
    <x v="0"/>
  </r>
  <r>
    <s v="ID_DC46"/>
    <x v="0"/>
  </r>
  <r>
    <s v="ID_DC50"/>
    <x v="0"/>
  </r>
  <r>
    <s v="ID_DC53"/>
    <x v="0"/>
  </r>
  <r>
    <s v="ID_DC58"/>
    <x v="2"/>
  </r>
  <r>
    <s v="ID_DD05"/>
    <x v="2"/>
  </r>
  <r>
    <s v="ID_DD08"/>
    <x v="0"/>
  </r>
  <r>
    <s v="ID_DD09"/>
    <x v="0"/>
  </r>
  <r>
    <s v="ID_DD10"/>
    <x v="0"/>
  </r>
  <r>
    <s v="ID_DD20"/>
    <x v="0"/>
  </r>
  <r>
    <s v="ID_DD26"/>
    <x v="2"/>
  </r>
  <r>
    <s v="ID_DD28"/>
    <x v="2"/>
  </r>
  <r>
    <s v="ID_DD29"/>
    <x v="0"/>
  </r>
  <r>
    <s v="ID_DD33"/>
    <x v="2"/>
  </r>
  <r>
    <s v="ID_DD38"/>
    <x v="2"/>
  </r>
  <r>
    <s v="ID_DD39"/>
    <x v="0"/>
  </r>
  <r>
    <s v="ID_DD40"/>
    <x v="0"/>
  </r>
  <r>
    <s v="ID_DD41"/>
    <x v="0"/>
  </r>
  <r>
    <s v="ID_DD46"/>
    <x v="0"/>
  </r>
  <r>
    <s v="ID_DD50"/>
    <x v="2"/>
  </r>
  <r>
    <s v="ID_DD51"/>
    <x v="0"/>
  </r>
  <r>
    <s v="ID_DD52"/>
    <x v="0"/>
  </r>
  <r>
    <s v="ID_DD53"/>
    <x v="2"/>
  </r>
  <r>
    <s v="ID_DD57"/>
    <x v="2"/>
  </r>
  <r>
    <s v="ID_DE02"/>
    <x v="0"/>
  </r>
  <r>
    <s v="ID_DE05"/>
    <x v="3"/>
  </r>
  <r>
    <s v="ID_DE08"/>
    <x v="0"/>
  </r>
  <r>
    <s v="ID_DE09"/>
    <x v="0"/>
  </r>
  <r>
    <s v="ID_DE10"/>
    <x v="0"/>
  </r>
  <r>
    <s v="ID_DE16"/>
    <x v="0"/>
  </r>
  <r>
    <s v="ID_DE21"/>
    <x v="1"/>
  </r>
  <r>
    <s v="ID_DE29"/>
    <x v="0"/>
  </r>
  <r>
    <s v="ID_DE32"/>
    <x v="2"/>
  </r>
  <r>
    <s v="ID_DE33"/>
    <x v="0"/>
  </r>
  <r>
    <s v="ID_DE38"/>
    <x v="0"/>
  </r>
  <r>
    <s v="ID_DE40"/>
    <x v="0"/>
  </r>
  <r>
    <s v="ID_DE46"/>
    <x v="0"/>
  </r>
  <r>
    <s v="ID_DE50"/>
    <x v="0"/>
  </r>
  <r>
    <s v="ID_DE51"/>
    <x v="0"/>
  </r>
  <r>
    <s v="ID_DE52"/>
    <x v="1"/>
  </r>
  <r>
    <s v="ID_DE53"/>
    <x v="2"/>
  </r>
  <r>
    <s v="ID_DE56"/>
    <x v="0"/>
  </r>
  <r>
    <s v="ID_DE57"/>
    <x v="0"/>
  </r>
  <r>
    <s v="ID_DE58"/>
    <x v="2"/>
  </r>
  <r>
    <s v="ID_DF05"/>
    <x v="1"/>
  </r>
  <r>
    <s v="ID_DF09"/>
    <x v="3"/>
  </r>
  <r>
    <s v="ID_DF16"/>
    <x v="0"/>
  </r>
  <r>
    <s v="ID_DF20"/>
    <x v="0"/>
  </r>
  <r>
    <s v="ID_DF21"/>
    <x v="3"/>
  </r>
  <r>
    <s v="ID_DF26"/>
    <x v="0"/>
  </r>
  <r>
    <s v="ID_DF28"/>
    <x v="0"/>
  </r>
  <r>
    <s v="ID_DF29"/>
    <x v="0"/>
  </r>
  <r>
    <s v="ID_DF33"/>
    <x v="0"/>
  </r>
  <r>
    <s v="ID_DF34"/>
    <x v="0"/>
  </r>
  <r>
    <s v="ID_DF40"/>
    <x v="0"/>
  </r>
  <r>
    <s v="ID_DF41"/>
    <x v="0"/>
  </r>
  <r>
    <s v="ID_DF44"/>
    <x v="0"/>
  </r>
  <r>
    <s v="ID_DF46"/>
    <x v="2"/>
  </r>
  <r>
    <s v="ID_DF50"/>
    <x v="0"/>
  </r>
  <r>
    <s v="ID_DF52"/>
    <x v="2"/>
  </r>
  <r>
    <s v="ID_DF56"/>
    <x v="0"/>
  </r>
  <r>
    <s v="ID_DF57"/>
    <x v="2"/>
  </r>
  <r>
    <s v="ID_DF58"/>
    <x v="0"/>
  </r>
  <r>
    <s v="ID_DG02"/>
    <x v="0"/>
  </r>
  <r>
    <s v="ID_DG05"/>
    <x v="2"/>
  </r>
  <r>
    <s v="ID_DG09"/>
    <x v="0"/>
  </r>
  <r>
    <s v="ID_DG10"/>
    <x v="2"/>
  </r>
  <r>
    <s v="ID_DG14"/>
    <x v="2"/>
  </r>
  <r>
    <s v="ID_DG17"/>
    <x v="0"/>
  </r>
  <r>
    <s v="ID_DG21"/>
    <x v="0"/>
  </r>
  <r>
    <s v="ID_DG22"/>
    <x v="2"/>
  </r>
  <r>
    <s v="ID_DG29"/>
    <x v="0"/>
  </r>
  <r>
    <s v="ID_DG31"/>
    <x v="2"/>
  </r>
  <r>
    <s v="ID_DG32"/>
    <x v="0"/>
  </r>
  <r>
    <s v="ID_DG33"/>
    <x v="2"/>
  </r>
  <r>
    <s v="ID_DG34"/>
    <x v="0"/>
  </r>
  <r>
    <s v="ID_DG38"/>
    <x v="0"/>
  </r>
  <r>
    <s v="ID_DG40"/>
    <x v="0"/>
  </r>
  <r>
    <s v="ID_DG44"/>
    <x v="0"/>
  </r>
  <r>
    <s v="ID_DG46"/>
    <x v="0"/>
  </r>
  <r>
    <s v="ID_DG52"/>
    <x v="0"/>
  </r>
  <r>
    <s v="ID_DG56"/>
    <x v="0"/>
  </r>
  <r>
    <s v="ID_DH02"/>
    <x v="0"/>
  </r>
  <r>
    <s v="ID_DH05"/>
    <x v="0"/>
  </r>
  <r>
    <s v="ID_DH08"/>
    <x v="0"/>
  </r>
  <r>
    <s v="ID_DH09"/>
    <x v="0"/>
  </r>
  <r>
    <s v="ID_DH10"/>
    <x v="0"/>
  </r>
  <r>
    <s v="ID_DH16"/>
    <x v="0"/>
  </r>
  <r>
    <s v="ID_DH19"/>
    <x v="0"/>
  </r>
  <r>
    <s v="ID_DH21"/>
    <x v="2"/>
  </r>
  <r>
    <s v="ID_DH26"/>
    <x v="0"/>
  </r>
  <r>
    <s v="ID_DH28"/>
    <x v="0"/>
  </r>
  <r>
    <s v="ID_DH31"/>
    <x v="2"/>
  </r>
  <r>
    <s v="ID_DH32"/>
    <x v="2"/>
  </r>
  <r>
    <s v="ID_DH33"/>
    <x v="3"/>
  </r>
  <r>
    <s v="ID_DH34"/>
    <x v="0"/>
  </r>
  <r>
    <s v="ID_DH40"/>
    <x v="0"/>
  </r>
  <r>
    <s v="ID_DH41"/>
    <x v="0"/>
  </r>
  <r>
    <s v="ID_DH50"/>
    <x v="0"/>
  </r>
  <r>
    <s v="ID_DH52"/>
    <x v="0"/>
  </r>
  <r>
    <s v="ID_DH57"/>
    <x v="2"/>
  </r>
  <r>
    <s v="ID_DI04"/>
    <x v="0"/>
  </r>
  <r>
    <s v="ID_DI07"/>
    <x v="0"/>
  </r>
  <r>
    <s v="ID_DI10"/>
    <x v="0"/>
  </r>
  <r>
    <s v="ID_DI14"/>
    <x v="0"/>
  </r>
  <r>
    <s v="ID_DI16"/>
    <x v="0"/>
  </r>
  <r>
    <s v="ID_DI19"/>
    <x v="3"/>
  </r>
  <r>
    <s v="ID_DI20"/>
    <x v="0"/>
  </r>
  <r>
    <s v="ID_DI21"/>
    <x v="0"/>
  </r>
  <r>
    <s v="ID_DI22"/>
    <x v="0"/>
  </r>
  <r>
    <s v="ID_DI26"/>
    <x v="0"/>
  </r>
  <r>
    <s v="ID_DI27"/>
    <x v="0"/>
  </r>
  <r>
    <s v="ID_DI28"/>
    <x v="0"/>
  </r>
  <r>
    <s v="ID_DI32"/>
    <x v="0"/>
  </r>
  <r>
    <s v="ID_DI33"/>
    <x v="0"/>
  </r>
  <r>
    <s v="ID_DI41"/>
    <x v="2"/>
  </r>
  <r>
    <s v="ID_DI44"/>
    <x v="0"/>
  </r>
  <r>
    <s v="ID_DI46"/>
    <x v="0"/>
  </r>
  <r>
    <s v="ID_DI50"/>
    <x v="2"/>
  </r>
  <r>
    <s v="ID_DI56"/>
    <x v="0"/>
  </r>
  <r>
    <s v="ID_DI57"/>
    <x v="0"/>
  </r>
  <r>
    <s v="ID_DJ07"/>
    <x v="0"/>
  </r>
  <r>
    <s v="ID_DJ10"/>
    <x v="0"/>
  </r>
  <r>
    <s v="ID_DJ15"/>
    <x v="1"/>
  </r>
  <r>
    <s v="ID_DJ21"/>
    <x v="2"/>
  </r>
  <r>
    <s v="ID_DJ22"/>
    <x v="0"/>
  </r>
  <r>
    <s v="ID_DJ26"/>
    <x v="0"/>
  </r>
  <r>
    <s v="ID_DJ28"/>
    <x v="0"/>
  </r>
  <r>
    <s v="ID_DJ32"/>
    <x v="2"/>
  </r>
  <r>
    <s v="ID_DJ33"/>
    <x v="0"/>
  </r>
  <r>
    <s v="ID_DJ34"/>
    <x v="0"/>
  </r>
  <r>
    <s v="ID_DJ40"/>
    <x v="0"/>
  </r>
  <r>
    <s v="ID_DJ44"/>
    <x v="2"/>
  </r>
  <r>
    <s v="ID_DJ45"/>
    <x v="2"/>
  </r>
  <r>
    <s v="ID_DJ46"/>
    <x v="0"/>
  </r>
  <r>
    <s v="ID_DJ53"/>
    <x v="0"/>
  </r>
  <r>
    <s v="ID_DJ55"/>
    <x v="0"/>
  </r>
  <r>
    <s v="ID_DJ56"/>
    <x v="0"/>
  </r>
  <r>
    <s v="ID_DJ58"/>
    <x v="2"/>
  </r>
  <r>
    <s v="ID_DK03"/>
    <x v="0"/>
  </r>
  <r>
    <s v="ID_DK04"/>
    <x v="0"/>
  </r>
  <r>
    <s v="ID_DK08"/>
    <x v="0"/>
  </r>
  <r>
    <s v="ID_DK09"/>
    <x v="0"/>
  </r>
  <r>
    <s v="ID_DK10"/>
    <x v="0"/>
  </r>
  <r>
    <s v="ID_DK15"/>
    <x v="2"/>
  </r>
  <r>
    <s v="ID_DK16"/>
    <x v="0"/>
  </r>
  <r>
    <s v="ID_DK20"/>
    <x v="0"/>
  </r>
  <r>
    <s v="ID_DK22"/>
    <x v="0"/>
  </r>
  <r>
    <s v="ID_DK27"/>
    <x v="2"/>
  </r>
  <r>
    <s v="ID_DK28"/>
    <x v="0"/>
  </r>
  <r>
    <s v="ID_DK32"/>
    <x v="0"/>
  </r>
  <r>
    <s v="ID_DK33"/>
    <x v="0"/>
  </r>
  <r>
    <s v="ID_DK34"/>
    <x v="0"/>
  </r>
  <r>
    <s v="ID_DK38"/>
    <x v="1"/>
  </r>
  <r>
    <s v="ID_DK40"/>
    <x v="2"/>
  </r>
  <r>
    <s v="ID_DK41"/>
    <x v="0"/>
  </r>
  <r>
    <s v="ID_DK44"/>
    <x v="0"/>
  </r>
  <r>
    <s v="ID_DK51"/>
    <x v="0"/>
  </r>
  <r>
    <s v="ID_DK52"/>
    <x v="0"/>
  </r>
  <r>
    <s v="ID_DK57"/>
    <x v="2"/>
  </r>
  <r>
    <s v="ID_DK58"/>
    <x v="0"/>
  </r>
  <r>
    <s v="ID_DL03"/>
    <x v="2"/>
  </r>
  <r>
    <s v="ID_DL04"/>
    <x v="0"/>
  </r>
  <r>
    <s v="ID_DL08"/>
    <x v="0"/>
  </r>
  <r>
    <s v="ID_DL09"/>
    <x v="0"/>
  </r>
  <r>
    <s v="ID_DL10"/>
    <x v="2"/>
  </r>
  <r>
    <s v="ID_DL20"/>
    <x v="2"/>
  </r>
  <r>
    <s v="ID_DL22"/>
    <x v="2"/>
  </r>
  <r>
    <s v="ID_DL26"/>
    <x v="2"/>
  </r>
  <r>
    <s v="ID_DL33"/>
    <x v="0"/>
  </r>
  <r>
    <s v="ID_DL34"/>
    <x v="2"/>
  </r>
  <r>
    <s v="ID_DL38"/>
    <x v="0"/>
  </r>
  <r>
    <s v="ID_DL39"/>
    <x v="3"/>
  </r>
  <r>
    <s v="ID_DL40"/>
    <x v="2"/>
  </r>
  <r>
    <s v="ID_DL43"/>
    <x v="2"/>
  </r>
  <r>
    <s v="ID_DL44"/>
    <x v="0"/>
  </r>
  <r>
    <s v="ID_DL45"/>
    <x v="2"/>
  </r>
  <r>
    <s v="ID_DL46"/>
    <x v="0"/>
  </r>
  <r>
    <s v="ID_DL52"/>
    <x v="0"/>
  </r>
  <r>
    <s v="ID_DL56"/>
    <x v="2"/>
  </r>
  <r>
    <s v="ID_DM03"/>
    <x v="0"/>
  </r>
  <r>
    <s v="ID_DM10"/>
    <x v="0"/>
  </r>
  <r>
    <s v="ID_DM14"/>
    <x v="0"/>
  </r>
  <r>
    <s v="ID_DM15"/>
    <x v="0"/>
  </r>
  <r>
    <s v="ID_DM20"/>
    <x v="2"/>
  </r>
  <r>
    <s v="ID_DM21"/>
    <x v="0"/>
  </r>
  <r>
    <s v="ID_DM22"/>
    <x v="2"/>
  </r>
  <r>
    <s v="ID_DM27"/>
    <x v="2"/>
  </r>
  <r>
    <s v="ID_DM34"/>
    <x v="0"/>
  </r>
  <r>
    <s v="ID_DM39"/>
    <x v="0"/>
  </r>
  <r>
    <s v="ID_DM46"/>
    <x v="0"/>
  </r>
  <r>
    <s v="ID_DM50"/>
    <x v="0"/>
  </r>
  <r>
    <s v="ID_DM56"/>
    <x v="0"/>
  </r>
  <r>
    <s v="ID_DM58"/>
    <x v="0"/>
  </r>
  <r>
    <s v="ID_DN02"/>
    <x v="0"/>
  </r>
  <r>
    <s v="ID_DN03"/>
    <x v="0"/>
  </r>
  <r>
    <s v="ID_DN04"/>
    <x v="0"/>
  </r>
  <r>
    <s v="ID_DN08"/>
    <x v="0"/>
  </r>
  <r>
    <s v="ID_DN09"/>
    <x v="2"/>
  </r>
  <r>
    <s v="ID_DN10"/>
    <x v="0"/>
  </r>
  <r>
    <s v="ID_DN15"/>
    <x v="0"/>
  </r>
  <r>
    <s v="ID_DN20"/>
    <x v="0"/>
  </r>
  <r>
    <s v="ID_DN21"/>
    <x v="0"/>
  </r>
  <r>
    <s v="ID_DN23"/>
    <x v="0"/>
  </r>
  <r>
    <s v="ID_DN27"/>
    <x v="0"/>
  </r>
  <r>
    <s v="ID_DN32"/>
    <x v="0"/>
  </r>
  <r>
    <s v="ID_DN33"/>
    <x v="0"/>
  </r>
  <r>
    <s v="ID_DN34"/>
    <x v="0"/>
  </r>
  <r>
    <s v="ID_DN39"/>
    <x v="0"/>
  </r>
  <r>
    <s v="ID_DN44"/>
    <x v="0"/>
  </r>
  <r>
    <s v="ID_DN45"/>
    <x v="0"/>
  </r>
  <r>
    <s v="ID_DN50"/>
    <x v="0"/>
  </r>
  <r>
    <s v="ID_DN52"/>
    <x v="0"/>
  </r>
  <r>
    <s v="ID_DN56"/>
    <x v="0"/>
  </r>
  <r>
    <s v="ID_DN57"/>
    <x v="0"/>
  </r>
  <r>
    <s v="ID_DN58"/>
    <x v="0"/>
  </r>
  <r>
    <s v="ID_DO03"/>
    <x v="0"/>
  </r>
  <r>
    <s v="ID_DO04"/>
    <x v="0"/>
  </r>
  <r>
    <s v="ID_DO09"/>
    <x v="0"/>
  </r>
  <r>
    <s v="ID_DO10"/>
    <x v="2"/>
  </r>
  <r>
    <s v="ID_DO11"/>
    <x v="0"/>
  </r>
  <r>
    <s v="ID_DO15"/>
    <x v="0"/>
  </r>
  <r>
    <s v="ID_DO19"/>
    <x v="2"/>
  </r>
  <r>
    <s v="ID_DO23"/>
    <x v="0"/>
  </r>
  <r>
    <s v="ID_DO25"/>
    <x v="0"/>
  </r>
  <r>
    <s v="ID_DO27"/>
    <x v="0"/>
  </r>
  <r>
    <s v="ID_DO28"/>
    <x v="0"/>
  </r>
  <r>
    <s v="ID_DO31"/>
    <x v="0"/>
  </r>
  <r>
    <s v="ID_DO32"/>
    <x v="0"/>
  </r>
  <r>
    <s v="ID_DO34"/>
    <x v="2"/>
  </r>
  <r>
    <s v="ID_DO38"/>
    <x v="2"/>
  </r>
  <r>
    <s v="ID_DO39"/>
    <x v="0"/>
  </r>
  <r>
    <s v="ID_DO40"/>
    <x v="0"/>
  </r>
  <r>
    <s v="ID_DO44"/>
    <x v="2"/>
  </r>
  <r>
    <s v="ID_DO45"/>
    <x v="0"/>
  </r>
  <r>
    <s v="ID_DO46"/>
    <x v="0"/>
  </r>
  <r>
    <s v="ID_DO50"/>
    <x v="2"/>
  </r>
  <r>
    <s v="ID_DO51"/>
    <x v="0"/>
  </r>
  <r>
    <s v="ID_DO52"/>
    <x v="0"/>
  </r>
  <r>
    <s v="ID_DO58"/>
    <x v="0"/>
  </r>
  <r>
    <s v="ID_DP04"/>
    <x v="0"/>
  </r>
  <r>
    <s v="ID_DP09"/>
    <x v="0"/>
  </r>
  <r>
    <s v="ID_DP10"/>
    <x v="2"/>
  </r>
  <r>
    <s v="ID_DP11"/>
    <x v="2"/>
  </r>
  <r>
    <s v="ID_DP13"/>
    <x v="0"/>
  </r>
  <r>
    <s v="ID_DP15"/>
    <x v="0"/>
  </r>
  <r>
    <s v="ID_DP21"/>
    <x v="0"/>
  </r>
  <r>
    <s v="ID_DP22"/>
    <x v="0"/>
  </r>
  <r>
    <s v="ID_DP23"/>
    <x v="0"/>
  </r>
  <r>
    <s v="ID_DP25"/>
    <x v="0"/>
  </r>
  <r>
    <s v="ID_DP27"/>
    <x v="0"/>
  </r>
  <r>
    <s v="ID_DP31"/>
    <x v="0"/>
  </r>
  <r>
    <s v="ID_DP33"/>
    <x v="2"/>
  </r>
  <r>
    <s v="ID_DP38"/>
    <x v="0"/>
  </r>
  <r>
    <s v="ID_DP39"/>
    <x v="2"/>
  </r>
  <r>
    <s v="ID_DP45"/>
    <x v="0"/>
  </r>
  <r>
    <s v="ID_DP52"/>
    <x v="0"/>
  </r>
  <r>
    <s v="ID_DP56"/>
    <x v="2"/>
  </r>
  <r>
    <s v="ID_DP59"/>
    <x v="2"/>
  </r>
  <r>
    <s v="ID_DQ07"/>
    <x v="0"/>
  </r>
  <r>
    <s v="ID_DQ08"/>
    <x v="2"/>
  </r>
  <r>
    <s v="ID_DQ09"/>
    <x v="1"/>
  </r>
  <r>
    <s v="ID_DQ10"/>
    <x v="3"/>
  </r>
  <r>
    <s v="ID_DQ11"/>
    <x v="0"/>
  </r>
  <r>
    <s v="ID_DQ13"/>
    <x v="0"/>
  </r>
  <r>
    <s v="ID_DQ15"/>
    <x v="0"/>
  </r>
  <r>
    <s v="ID_DQ19"/>
    <x v="2"/>
  </r>
  <r>
    <s v="ID_DQ20"/>
    <x v="3"/>
  </r>
  <r>
    <s v="ID_DQ22"/>
    <x v="0"/>
  </r>
  <r>
    <s v="ID_DQ23"/>
    <x v="0"/>
  </r>
  <r>
    <s v="ID_DQ25"/>
    <x v="0"/>
  </r>
  <r>
    <s v="ID_DQ26"/>
    <x v="2"/>
  </r>
  <r>
    <s v="ID_DQ28"/>
    <x v="2"/>
  </r>
  <r>
    <s v="ID_DQ31"/>
    <x v="0"/>
  </r>
  <r>
    <s v="ID_DQ32"/>
    <x v="0"/>
  </r>
  <r>
    <s v="ID_DQ33"/>
    <x v="0"/>
  </r>
  <r>
    <s v="ID_DQ39"/>
    <x v="0"/>
  </r>
  <r>
    <s v="ID_DQ40"/>
    <x v="0"/>
  </r>
  <r>
    <s v="ID_DQ45"/>
    <x v="2"/>
  </r>
  <r>
    <s v="ID_DQ51"/>
    <x v="0"/>
  </r>
  <r>
    <s v="ID_DQ52"/>
    <x v="2"/>
  </r>
  <r>
    <s v="ID_DQ55"/>
    <x v="1"/>
  </r>
  <r>
    <s v="ID_DQ56"/>
    <x v="0"/>
  </r>
  <r>
    <s v="ID_DQ57"/>
    <x v="0"/>
  </r>
  <r>
    <s v="ID_DQ59"/>
    <x v="2"/>
  </r>
  <r>
    <s v="ID_DR01"/>
    <x v="0"/>
  </r>
  <r>
    <s v="ID_DR04"/>
    <x v="0"/>
  </r>
  <r>
    <s v="ID_DR07"/>
    <x v="2"/>
  </r>
  <r>
    <s v="ID_DR09"/>
    <x v="2"/>
  </r>
  <r>
    <s v="ID_DR14"/>
    <x v="0"/>
  </r>
  <r>
    <s v="ID_DR15"/>
    <x v="0"/>
  </r>
  <r>
    <s v="ID_DR19"/>
    <x v="2"/>
  </r>
  <r>
    <s v="ID_DR21"/>
    <x v="0"/>
  </r>
  <r>
    <s v="ID_DR22"/>
    <x v="2"/>
  </r>
  <r>
    <s v="ID_DR23"/>
    <x v="0"/>
  </r>
  <r>
    <s v="ID_DR25"/>
    <x v="0"/>
  </r>
  <r>
    <s v="ID_DR27"/>
    <x v="2"/>
  </r>
  <r>
    <s v="ID_DR31"/>
    <x v="0"/>
  </r>
  <r>
    <s v="ID_DR32"/>
    <x v="2"/>
  </r>
  <r>
    <s v="ID_DR35"/>
    <x v="0"/>
  </r>
  <r>
    <s v="ID_DR40"/>
    <x v="0"/>
  </r>
  <r>
    <s v="ID_DR43"/>
    <x v="0"/>
  </r>
  <r>
    <s v="ID_DR44"/>
    <x v="0"/>
  </r>
  <r>
    <s v="ID_DR45"/>
    <x v="0"/>
  </r>
  <r>
    <s v="ID_DR46"/>
    <x v="0"/>
  </r>
  <r>
    <s v="ID_DR47"/>
    <x v="0"/>
  </r>
  <r>
    <s v="ID_DR51"/>
    <x v="2"/>
  </r>
  <r>
    <s v="ID_DR52"/>
    <x v="0"/>
  </r>
  <r>
    <s v="ID_DR55"/>
    <x v="2"/>
  </r>
  <r>
    <s v="ID_DR56"/>
    <x v="0"/>
  </r>
  <r>
    <s v="ID_DR58"/>
    <x v="0"/>
  </r>
  <r>
    <s v="ID_DR59"/>
    <x v="0"/>
  </r>
  <r>
    <s v="ID_DS01"/>
    <x v="0"/>
  </r>
  <r>
    <s v="ID_DS02"/>
    <x v="0"/>
  </r>
  <r>
    <s v="ID_DS03"/>
    <x v="2"/>
  </r>
  <r>
    <s v="ID_DS08"/>
    <x v="0"/>
  </r>
  <r>
    <s v="ID_DS09"/>
    <x v="0"/>
  </r>
  <r>
    <s v="ID_DS10"/>
    <x v="0"/>
  </r>
  <r>
    <s v="ID_DS11"/>
    <x v="0"/>
  </r>
  <r>
    <s v="ID_DS16"/>
    <x v="0"/>
  </r>
  <r>
    <s v="ID_DS25"/>
    <x v="0"/>
  </r>
  <r>
    <s v="ID_DS26"/>
    <x v="2"/>
  </r>
  <r>
    <s v="ID_DS28"/>
    <x v="0"/>
  </r>
  <r>
    <s v="ID_DS31"/>
    <x v="0"/>
  </r>
  <r>
    <s v="ID_DS32"/>
    <x v="0"/>
  </r>
  <r>
    <s v="ID_DS33"/>
    <x v="2"/>
  </r>
  <r>
    <s v="ID_DS34"/>
    <x v="0"/>
  </r>
  <r>
    <s v="ID_DS35"/>
    <x v="3"/>
  </r>
  <r>
    <s v="ID_DS39"/>
    <x v="0"/>
  </r>
  <r>
    <s v="ID_DS40"/>
    <x v="2"/>
  </r>
  <r>
    <s v="ID_DS43"/>
    <x v="0"/>
  </r>
  <r>
    <s v="ID_DS44"/>
    <x v="0"/>
  </r>
  <r>
    <s v="ID_DS47"/>
    <x v="0"/>
  </r>
  <r>
    <s v="ID_DS51"/>
    <x v="2"/>
  </r>
  <r>
    <s v="ID_DS52"/>
    <x v="0"/>
  </r>
  <r>
    <s v="ID_DS55"/>
    <x v="2"/>
  </r>
  <r>
    <s v="ID_DS57"/>
    <x v="0"/>
  </r>
  <r>
    <s v="ID_DS59"/>
    <x v="0"/>
  </r>
  <r>
    <s v="ID_DT03"/>
    <x v="0"/>
  </r>
  <r>
    <s v="ID_DT07"/>
    <x v="0"/>
  </r>
  <r>
    <s v="ID_DT08"/>
    <x v="0"/>
  </r>
  <r>
    <s v="ID_DT09"/>
    <x v="0"/>
  </r>
  <r>
    <s v="ID_DT11"/>
    <x v="0"/>
  </r>
  <r>
    <s v="ID_DT14"/>
    <x v="0"/>
  </r>
  <r>
    <s v="ID_DT16"/>
    <x v="2"/>
  </r>
  <r>
    <s v="ID_DT19"/>
    <x v="2"/>
  </r>
  <r>
    <s v="ID_DT20"/>
    <x v="0"/>
  </r>
  <r>
    <s v="ID_DT21"/>
    <x v="2"/>
  </r>
  <r>
    <s v="ID_DT22"/>
    <x v="0"/>
  </r>
  <r>
    <s v="ID_DT26"/>
    <x v="0"/>
  </r>
  <r>
    <s v="ID_DT27"/>
    <x v="0"/>
  </r>
  <r>
    <s v="ID_DT32"/>
    <x v="0"/>
  </r>
  <r>
    <s v="ID_DT40"/>
    <x v="0"/>
  </r>
  <r>
    <s v="ID_DT46"/>
    <x v="2"/>
  </r>
  <r>
    <s v="ID_DT47"/>
    <x v="0"/>
  </r>
  <r>
    <s v="ID_DT49"/>
    <x v="2"/>
  </r>
  <r>
    <s v="ID_DT50"/>
    <x v="0"/>
  </r>
  <r>
    <s v="ID_DT55"/>
    <x v="2"/>
  </r>
  <r>
    <s v="ID_DT56"/>
    <x v="0"/>
  </r>
  <r>
    <s v="ID_DT57"/>
    <x v="2"/>
  </r>
  <r>
    <s v="ID_DT58"/>
    <x v="0"/>
  </r>
  <r>
    <s v="ID_DT59"/>
    <x v="0"/>
  </r>
  <r>
    <s v="ID_DU01"/>
    <x v="0"/>
  </r>
  <r>
    <s v="ID_DU08"/>
    <x v="0"/>
  </r>
  <r>
    <s v="ID_DU09"/>
    <x v="0"/>
  </r>
  <r>
    <s v="ID_DU11"/>
    <x v="0"/>
  </r>
  <r>
    <s v="ID_DU14"/>
    <x v="0"/>
  </r>
  <r>
    <s v="ID_DU19"/>
    <x v="0"/>
  </r>
  <r>
    <s v="ID_DU20"/>
    <x v="0"/>
  </r>
  <r>
    <s v="ID_DU21"/>
    <x v="2"/>
  </r>
  <r>
    <s v="ID_DU23"/>
    <x v="0"/>
  </r>
  <r>
    <s v="ID_DU25"/>
    <x v="2"/>
  </r>
  <r>
    <s v="ID_DU26"/>
    <x v="0"/>
  </r>
  <r>
    <s v="ID_DU27"/>
    <x v="2"/>
  </r>
  <r>
    <s v="ID_DU28"/>
    <x v="0"/>
  </r>
  <r>
    <s v="ID_DU32"/>
    <x v="0"/>
  </r>
  <r>
    <s v="ID_DU33"/>
    <x v="0"/>
  </r>
  <r>
    <s v="ID_DU34"/>
    <x v="2"/>
  </r>
  <r>
    <s v="ID_DU35"/>
    <x v="2"/>
  </r>
  <r>
    <s v="ID_DU37"/>
    <x v="2"/>
  </r>
  <r>
    <s v="ID_DU38"/>
    <x v="2"/>
  </r>
  <r>
    <s v="ID_DU39"/>
    <x v="2"/>
  </r>
  <r>
    <s v="ID_DU43"/>
    <x v="0"/>
  </r>
  <r>
    <s v="ID_DU44"/>
    <x v="0"/>
  </r>
  <r>
    <s v="ID_DU45"/>
    <x v="0"/>
  </r>
  <r>
    <s v="ID_DU46"/>
    <x v="0"/>
  </r>
  <r>
    <s v="ID_DU50"/>
    <x v="0"/>
  </r>
  <r>
    <s v="ID_DU51"/>
    <x v="0"/>
  </r>
  <r>
    <s v="ID_DU52"/>
    <x v="0"/>
  </r>
  <r>
    <s v="ID_DU55"/>
    <x v="0"/>
  </r>
  <r>
    <s v="ID_DU56"/>
    <x v="0"/>
  </r>
  <r>
    <s v="ID_DU57"/>
    <x v="0"/>
  </r>
  <r>
    <s v="ID_DU58"/>
    <x v="0"/>
  </r>
  <r>
    <s v="ID_DU59"/>
    <x v="1"/>
  </r>
  <r>
    <s v="ID_DV01"/>
    <x v="2"/>
  </r>
  <r>
    <s v="ID_DV02"/>
    <x v="0"/>
  </r>
  <r>
    <s v="ID_DV03"/>
    <x v="3"/>
  </r>
  <r>
    <s v="ID_DV04"/>
    <x v="0"/>
  </r>
  <r>
    <s v="ID_DV07"/>
    <x v="0"/>
  </r>
  <r>
    <s v="ID_DV08"/>
    <x v="0"/>
  </r>
  <r>
    <s v="ID_DV13"/>
    <x v="2"/>
  </r>
  <r>
    <s v="ID_DV15"/>
    <x v="0"/>
  </r>
  <r>
    <s v="ID_DV20"/>
    <x v="0"/>
  </r>
  <r>
    <s v="ID_DV21"/>
    <x v="0"/>
  </r>
  <r>
    <s v="ID_DV23"/>
    <x v="0"/>
  </r>
  <r>
    <s v="ID_DV26"/>
    <x v="2"/>
  </r>
  <r>
    <s v="ID_DV28"/>
    <x v="0"/>
  </r>
  <r>
    <s v="ID_DV37"/>
    <x v="0"/>
  </r>
  <r>
    <s v="ID_DV38"/>
    <x v="2"/>
  </r>
  <r>
    <s v="ID_DV43"/>
    <x v="0"/>
  </r>
  <r>
    <s v="ID_DV45"/>
    <x v="0"/>
  </r>
  <r>
    <s v="ID_DV49"/>
    <x v="2"/>
  </r>
  <r>
    <s v="ID_DV51"/>
    <x v="0"/>
  </r>
  <r>
    <s v="ID_DV55"/>
    <x v="0"/>
  </r>
  <r>
    <s v="ID_DV56"/>
    <x v="0"/>
  </r>
  <r>
    <s v="ID_DV57"/>
    <x v="0"/>
  </r>
  <r>
    <s v="ID_DW01"/>
    <x v="0"/>
  </r>
  <r>
    <s v="ID_DW02"/>
    <x v="0"/>
  </r>
  <r>
    <s v="ID_DW04"/>
    <x v="2"/>
  </r>
  <r>
    <s v="ID_DW07"/>
    <x v="0"/>
  </r>
  <r>
    <s v="ID_DW08"/>
    <x v="2"/>
  </r>
  <r>
    <s v="ID_DW09"/>
    <x v="0"/>
  </r>
  <r>
    <s v="ID_DW11"/>
    <x v="0"/>
  </r>
  <r>
    <s v="ID_DW13"/>
    <x v="2"/>
  </r>
  <r>
    <s v="ID_DW15"/>
    <x v="3"/>
  </r>
  <r>
    <s v="ID_DW16"/>
    <x v="2"/>
  </r>
  <r>
    <s v="ID_DW19"/>
    <x v="0"/>
  </r>
  <r>
    <s v="ID_DW20"/>
    <x v="1"/>
  </r>
  <r>
    <s v="ID_DW21"/>
    <x v="0"/>
  </r>
  <r>
    <s v="ID_DW22"/>
    <x v="0"/>
  </r>
  <r>
    <s v="ID_DW25"/>
    <x v="0"/>
  </r>
  <r>
    <s v="ID_DW26"/>
    <x v="0"/>
  </r>
  <r>
    <s v="ID_DW27"/>
    <x v="0"/>
  </r>
  <r>
    <s v="ID_DW28"/>
    <x v="2"/>
  </r>
  <r>
    <s v="ID_DW31"/>
    <x v="2"/>
  </r>
  <r>
    <s v="ID_DW34"/>
    <x v="2"/>
  </r>
  <r>
    <s v="ID_DW37"/>
    <x v="0"/>
  </r>
  <r>
    <s v="ID_DW38"/>
    <x v="2"/>
  </r>
  <r>
    <s v="ID_DW39"/>
    <x v="2"/>
  </r>
  <r>
    <s v="ID_DW45"/>
    <x v="0"/>
  </r>
  <r>
    <s v="ID_DW49"/>
    <x v="0"/>
  </r>
  <r>
    <s v="ID_DW51"/>
    <x v="0"/>
  </r>
  <r>
    <s v="ID_DW52"/>
    <x v="0"/>
  </r>
  <r>
    <s v="ID_DW55"/>
    <x v="2"/>
  </r>
  <r>
    <s v="ID_DW56"/>
    <x v="0"/>
  </r>
  <r>
    <s v="ID_DX01"/>
    <x v="0"/>
  </r>
  <r>
    <s v="ID_DX03"/>
    <x v="0"/>
  </r>
  <r>
    <s v="ID_DX04"/>
    <x v="0"/>
  </r>
  <r>
    <s v="ID_DX07"/>
    <x v="0"/>
  </r>
  <r>
    <s v="ID_DX09"/>
    <x v="0"/>
  </r>
  <r>
    <s v="ID_DX10"/>
    <x v="0"/>
  </r>
  <r>
    <s v="ID_DX13"/>
    <x v="0"/>
  </r>
  <r>
    <s v="ID_DX15"/>
    <x v="0"/>
  </r>
  <r>
    <s v="ID_DX20"/>
    <x v="0"/>
  </r>
  <r>
    <s v="ID_DX21"/>
    <x v="0"/>
  </r>
  <r>
    <s v="ID_DX25"/>
    <x v="2"/>
  </r>
  <r>
    <s v="ID_DX26"/>
    <x v="0"/>
  </r>
  <r>
    <s v="ID_DX28"/>
    <x v="0"/>
  </r>
  <r>
    <s v="ID_DX31"/>
    <x v="0"/>
  </r>
  <r>
    <s v="ID_DX33"/>
    <x v="2"/>
  </r>
  <r>
    <s v="ID_DX34"/>
    <x v="0"/>
  </r>
  <r>
    <s v="ID_DX37"/>
    <x v="0"/>
  </r>
  <r>
    <s v="ID_DX39"/>
    <x v="2"/>
  </r>
  <r>
    <s v="ID_DX44"/>
    <x v="0"/>
  </r>
  <r>
    <s v="ID_DX45"/>
    <x v="2"/>
  </r>
  <r>
    <s v="ID_DX46"/>
    <x v="2"/>
  </r>
  <r>
    <s v="ID_DX47"/>
    <x v="2"/>
  </r>
  <r>
    <s v="ID_DX49"/>
    <x v="3"/>
  </r>
  <r>
    <s v="ID_DX50"/>
    <x v="2"/>
  </r>
  <r>
    <s v="ID_DX56"/>
    <x v="2"/>
  </r>
  <r>
    <s v="ID_DX57"/>
    <x v="0"/>
  </r>
  <r>
    <s v="ID_DX58"/>
    <x v="0"/>
  </r>
  <r>
    <s v="ID_DX59"/>
    <x v="0"/>
  </r>
  <r>
    <s v="ID_DY02"/>
    <x v="2"/>
  </r>
  <r>
    <s v="ID_DY03"/>
    <x v="2"/>
  </r>
  <r>
    <s v="ID_DY04"/>
    <x v="0"/>
  </r>
  <r>
    <s v="ID_DY07"/>
    <x v="0"/>
  </r>
  <r>
    <s v="ID_DY08"/>
    <x v="0"/>
  </r>
  <r>
    <s v="ID_DY10"/>
    <x v="0"/>
  </r>
  <r>
    <s v="ID_DY15"/>
    <x v="0"/>
  </r>
  <r>
    <s v="ID_DY16"/>
    <x v="0"/>
  </r>
  <r>
    <s v="ID_DY21"/>
    <x v="0"/>
  </r>
  <r>
    <s v="ID_DY25"/>
    <x v="0"/>
  </r>
  <r>
    <s v="ID_DY26"/>
    <x v="2"/>
  </r>
  <r>
    <s v="ID_DY27"/>
    <x v="0"/>
  </r>
  <r>
    <s v="ID_DY31"/>
    <x v="0"/>
  </r>
  <r>
    <s v="ID_DY33"/>
    <x v="2"/>
  </r>
  <r>
    <s v="ID_DY34"/>
    <x v="0"/>
  </r>
  <r>
    <s v="ID_DY35"/>
    <x v="2"/>
  </r>
  <r>
    <s v="ID_DY37"/>
    <x v="2"/>
  </r>
  <r>
    <s v="ID_DY39"/>
    <x v="0"/>
  </r>
  <r>
    <s v="ID_DY44"/>
    <x v="0"/>
  </r>
  <r>
    <s v="ID_DY45"/>
    <x v="0"/>
  </r>
  <r>
    <s v="ID_DY46"/>
    <x v="0"/>
  </r>
  <r>
    <s v="ID_DY47"/>
    <x v="2"/>
  </r>
  <r>
    <s v="ID_DY49"/>
    <x v="0"/>
  </r>
  <r>
    <s v="ID_DY50"/>
    <x v="0"/>
  </r>
  <r>
    <s v="ID_DY51"/>
    <x v="0"/>
  </r>
  <r>
    <s v="ID_DY55"/>
    <x v="2"/>
  </r>
  <r>
    <s v="ID_DY56"/>
    <x v="2"/>
  </r>
  <r>
    <s v="ID_DZ01"/>
    <x v="0"/>
  </r>
  <r>
    <s v="ID_DZ02"/>
    <x v="2"/>
  </r>
  <r>
    <s v="ID_DZ07"/>
    <x v="0"/>
  </r>
  <r>
    <s v="ID_DZ08"/>
    <x v="2"/>
  </r>
  <r>
    <s v="ID_DZ10"/>
    <x v="0"/>
  </r>
  <r>
    <s v="ID_DZ14"/>
    <x v="2"/>
  </r>
  <r>
    <s v="ID_DZ15"/>
    <x v="2"/>
  </r>
  <r>
    <s v="ID_DZ16"/>
    <x v="2"/>
  </r>
  <r>
    <s v="ID_DZ19"/>
    <x v="0"/>
  </r>
  <r>
    <s v="ID_DZ20"/>
    <x v="2"/>
  </r>
  <r>
    <s v="ID_DZ21"/>
    <x v="0"/>
  </r>
  <r>
    <s v="ID_DZ22"/>
    <x v="3"/>
  </r>
  <r>
    <s v="ID_DZ25"/>
    <x v="0"/>
  </r>
  <r>
    <s v="ID_DZ26"/>
    <x v="0"/>
  </r>
  <r>
    <s v="ID_DZ31"/>
    <x v="2"/>
  </r>
  <r>
    <s v="ID_DZ33"/>
    <x v="0"/>
  </r>
  <r>
    <s v="ID_DZ35"/>
    <x v="0"/>
  </r>
  <r>
    <s v="ID_DZ37"/>
    <x v="0"/>
  </r>
  <r>
    <s v="ID_DZ38"/>
    <x v="0"/>
  </r>
  <r>
    <s v="ID_DZ39"/>
    <x v="0"/>
  </r>
  <r>
    <s v="ID_DZ40"/>
    <x v="2"/>
  </r>
  <r>
    <s v="ID_DZ43"/>
    <x v="0"/>
  </r>
  <r>
    <s v="ID_DZ49"/>
    <x v="2"/>
  </r>
  <r>
    <s v="ID_DZ50"/>
    <x v="0"/>
  </r>
  <r>
    <s v="ID_DZ51"/>
    <x v="0"/>
  </r>
  <r>
    <s v="ID_DZ52"/>
    <x v="0"/>
  </r>
  <r>
    <s v="ID_DZ55"/>
    <x v="0"/>
  </r>
  <r>
    <s v="ID_DZ56"/>
    <x v="0"/>
  </r>
  <r>
    <s v="ID_DZ58"/>
    <x v="0"/>
  </r>
  <r>
    <s v="ID_RA24"/>
    <x v="2"/>
  </r>
  <r>
    <s v="ID_RA59"/>
    <x v="2"/>
  </r>
  <r>
    <s v="ID_RB01"/>
    <x v="0"/>
  </r>
  <r>
    <s v="ID_RB25"/>
    <x v="0"/>
  </r>
  <r>
    <s v="ID_RB48"/>
    <x v="0"/>
  </r>
  <r>
    <s v="ID_RC01"/>
    <x v="0"/>
  </r>
  <r>
    <s v="ID_RC25"/>
    <x v="0"/>
  </r>
  <r>
    <s v="ID_RC36"/>
    <x v="0"/>
  </r>
  <r>
    <s v="ID_RC49"/>
    <x v="0"/>
  </r>
  <r>
    <s v="ID_RD12"/>
    <x v="2"/>
  </r>
  <r>
    <s v="ID_RD13"/>
    <x v="2"/>
  </r>
  <r>
    <s v="ID_RD24"/>
    <x v="0"/>
  </r>
  <r>
    <s v="ID_RD25"/>
    <x v="2"/>
  </r>
  <r>
    <s v="ID_RE12"/>
    <x v="0"/>
  </r>
  <r>
    <s v="ID_RE13"/>
    <x v="0"/>
  </r>
  <r>
    <s v="ID_RE15"/>
    <x v="0"/>
  </r>
  <r>
    <s v="ID_RE25"/>
    <x v="2"/>
  </r>
  <r>
    <s v="ID_RE48"/>
    <x v="2"/>
  </r>
  <r>
    <s v="ID_RE49"/>
    <x v="2"/>
  </r>
  <r>
    <s v="ID_RF01"/>
    <x v="0"/>
  </r>
  <r>
    <s v="ID_RF03"/>
    <x v="0"/>
  </r>
  <r>
    <s v="ID_RF23"/>
    <x v="3"/>
  </r>
  <r>
    <s v="ID_RF25"/>
    <x v="2"/>
  </r>
  <r>
    <s v="ID_RF27"/>
    <x v="0"/>
  </r>
  <r>
    <s v="ID_RF36"/>
    <x v="0"/>
  </r>
  <r>
    <s v="ID_RG01"/>
    <x v="2"/>
  </r>
  <r>
    <s v="ID_RG03"/>
    <x v="0"/>
  </r>
  <r>
    <s v="ID_RG13"/>
    <x v="0"/>
  </r>
  <r>
    <s v="ID_RG23"/>
    <x v="0"/>
  </r>
  <r>
    <s v="ID_RG36"/>
    <x v="0"/>
  </r>
  <r>
    <s v="ID_RG48"/>
    <x v="2"/>
  </r>
  <r>
    <s v="ID_RG49"/>
    <x v="2"/>
  </r>
  <r>
    <s v="ID_RH01"/>
    <x v="0"/>
  </r>
  <r>
    <s v="ID_RH11"/>
    <x v="0"/>
  </r>
  <r>
    <s v="ID_RH25"/>
    <x v="0"/>
  </r>
  <r>
    <s v="ID_RH39"/>
    <x v="2"/>
  </r>
  <r>
    <s v="ID_RH51"/>
    <x v="0"/>
  </r>
  <r>
    <s v="ID_RI01"/>
    <x v="0"/>
  </r>
  <r>
    <s v="ID_RI03"/>
    <x v="0"/>
  </r>
  <r>
    <s v="ID_RI11"/>
    <x v="2"/>
  </r>
  <r>
    <s v="ID_RI23"/>
    <x v="0"/>
  </r>
  <r>
    <s v="ID_RI25"/>
    <x v="0"/>
  </r>
  <r>
    <s v="ID_RI37"/>
    <x v="0"/>
  </r>
  <r>
    <s v="ID_RI39"/>
    <x v="2"/>
  </r>
  <r>
    <s v="ID_RI51"/>
    <x v="0"/>
  </r>
  <r>
    <s v="ID_RI59"/>
    <x v="0"/>
  </r>
  <r>
    <s v="ID_RJ01"/>
    <x v="0"/>
  </r>
  <r>
    <s v="ID_RJ23"/>
    <x v="0"/>
  </r>
  <r>
    <s v="ID_RJ37"/>
    <x v="3"/>
  </r>
  <r>
    <s v="ID_RJ39"/>
    <x v="0"/>
  </r>
  <r>
    <s v="ID_RJ47"/>
    <x v="0"/>
  </r>
  <r>
    <s v="ID_RJ59"/>
    <x v="0"/>
  </r>
  <r>
    <s v="ID_RK12"/>
    <x v="0"/>
  </r>
  <r>
    <s v="ID_RK13"/>
    <x v="0"/>
  </r>
  <r>
    <s v="ID_RK23"/>
    <x v="0"/>
  </r>
  <r>
    <s v="ID_RK35"/>
    <x v="0"/>
  </r>
  <r>
    <s v="ID_RK37"/>
    <x v="3"/>
  </r>
  <r>
    <s v="ID_RK39"/>
    <x v="0"/>
  </r>
  <r>
    <s v="ID_RK49"/>
    <x v="0"/>
  </r>
  <r>
    <s v="ID_RK59"/>
    <x v="2"/>
  </r>
  <r>
    <s v="ID_RL01"/>
    <x v="0"/>
  </r>
  <r>
    <s v="ID_RL11"/>
    <x v="2"/>
  </r>
  <r>
    <s v="ID_RL35"/>
    <x v="0"/>
  </r>
  <r>
    <s v="ID_RL37"/>
    <x v="0"/>
  </r>
  <r>
    <s v="ID_RL47"/>
    <x v="0"/>
  </r>
  <r>
    <s v="ID_RM23"/>
    <x v="0"/>
  </r>
  <r>
    <s v="ID_RM35"/>
    <x v="2"/>
  </r>
  <r>
    <s v="ID_RM37"/>
    <x v="0"/>
  </r>
  <r>
    <s v="ID_RM47"/>
    <x v="0"/>
  </r>
  <r>
    <s v="ID_RM48"/>
    <x v="1"/>
  </r>
  <r>
    <s v="ID_RM59"/>
    <x v="0"/>
  </r>
  <r>
    <s v="ID_RN36"/>
    <x v="0"/>
  </r>
  <r>
    <s v="ID_RN47"/>
    <x v="0"/>
  </r>
  <r>
    <s v="ID_RN59"/>
    <x v="2"/>
  </r>
  <r>
    <s v="ID_RP35"/>
    <x v="2"/>
  </r>
  <r>
    <s v="ID_RQ35"/>
    <x v="0"/>
  </r>
  <r>
    <s v="ID_RY23"/>
    <x v="0"/>
  </r>
  <r>
    <s v="ID_RZ11"/>
    <x v="0"/>
  </r>
  <r>
    <s v="ID_RZ24"/>
    <x v="2"/>
  </r>
  <r>
    <m/>
    <x v="4"/>
  </r>
  <r>
    <m/>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2">
  <r>
    <x v="0"/>
    <s v="定価"/>
    <x v="0"/>
  </r>
  <r>
    <x v="1"/>
    <s v="定価"/>
    <x v="0"/>
  </r>
  <r>
    <x v="2"/>
    <s v="割引価格"/>
    <x v="1"/>
  </r>
  <r>
    <x v="3"/>
    <s v="定価"/>
    <x v="0"/>
  </r>
  <r>
    <x v="4"/>
    <s v="定価"/>
    <x v="0"/>
  </r>
  <r>
    <x v="5"/>
    <s v="割引"/>
    <x v="1"/>
  </r>
  <r>
    <x v="6"/>
    <s v="定価"/>
    <x v="0"/>
  </r>
  <r>
    <x v="7"/>
    <s v="割引"/>
    <x v="1"/>
  </r>
  <r>
    <x v="8"/>
    <s v="割引"/>
    <x v="1"/>
  </r>
  <r>
    <x v="9"/>
    <s v="定価"/>
    <x v="0"/>
  </r>
  <r>
    <x v="10"/>
    <s v="割引"/>
    <x v="1"/>
  </r>
  <r>
    <x v="11"/>
    <s v="定価"/>
    <x v="0"/>
  </r>
  <r>
    <x v="12"/>
    <s v="定価"/>
    <x v="0"/>
  </r>
  <r>
    <x v="13"/>
    <s v="定価"/>
    <x v="0"/>
  </r>
  <r>
    <x v="14"/>
    <s v="定価"/>
    <x v="0"/>
  </r>
  <r>
    <x v="15"/>
    <s v="通常価格"/>
    <x v="0"/>
  </r>
  <r>
    <x v="16"/>
    <s v="定価"/>
    <x v="0"/>
  </r>
  <r>
    <x v="17"/>
    <s v="通常価格"/>
    <x v="0"/>
  </r>
  <r>
    <x v="18"/>
    <s v="定価"/>
    <x v="0"/>
  </r>
  <r>
    <x v="19"/>
    <s v="定価"/>
    <x v="0"/>
  </r>
  <r>
    <x v="20"/>
    <s v="定価"/>
    <x v="0"/>
  </r>
  <r>
    <x v="21"/>
    <s v="割引"/>
    <x v="1"/>
  </r>
  <r>
    <x v="22"/>
    <s v="定価"/>
    <x v="0"/>
  </r>
  <r>
    <x v="23"/>
    <s v="定価"/>
    <x v="0"/>
  </r>
  <r>
    <x v="24"/>
    <s v="定価"/>
    <x v="0"/>
  </r>
  <r>
    <x v="25"/>
    <s v="割引"/>
    <x v="1"/>
  </r>
  <r>
    <x v="26"/>
    <s v="定価"/>
    <x v="0"/>
  </r>
  <r>
    <x v="27"/>
    <s v="定価"/>
    <x v="0"/>
  </r>
  <r>
    <x v="28"/>
    <s v="定価"/>
    <x v="0"/>
  </r>
  <r>
    <x v="29"/>
    <s v="定価"/>
    <x v="0"/>
  </r>
  <r>
    <x v="30"/>
    <s v="定価"/>
    <x v="0"/>
  </r>
  <r>
    <x v="31"/>
    <s v="定価"/>
    <x v="0"/>
  </r>
  <r>
    <x v="32"/>
    <s v="定価"/>
    <x v="0"/>
  </r>
  <r>
    <x v="33"/>
    <s v="定価"/>
    <x v="0"/>
  </r>
  <r>
    <x v="34"/>
    <s v="定価"/>
    <x v="0"/>
  </r>
  <r>
    <x v="35"/>
    <s v="定価"/>
    <x v="0"/>
  </r>
  <r>
    <x v="36"/>
    <s v="割引"/>
    <x v="1"/>
  </r>
  <r>
    <x v="37"/>
    <s v="定価"/>
    <x v="0"/>
  </r>
  <r>
    <x v="38"/>
    <s v="定価"/>
    <x v="0"/>
  </r>
  <r>
    <x v="39"/>
    <s v="定価"/>
    <x v="0"/>
  </r>
  <r>
    <x v="40"/>
    <s v="定価"/>
    <x v="0"/>
  </r>
  <r>
    <x v="41"/>
    <s v="定価"/>
    <x v="0"/>
  </r>
  <r>
    <x v="42"/>
    <s v="割引"/>
    <x v="1"/>
  </r>
  <r>
    <x v="43"/>
    <s v="定価"/>
    <x v="0"/>
  </r>
  <r>
    <x v="44"/>
    <s v="割引"/>
    <x v="1"/>
  </r>
  <r>
    <x v="45"/>
    <s v="定価"/>
    <x v="0"/>
  </r>
  <r>
    <x v="46"/>
    <s v="定価"/>
    <x v="0"/>
  </r>
  <r>
    <x v="47"/>
    <s v="定価"/>
    <x v="0"/>
  </r>
  <r>
    <x v="48"/>
    <s v="割引"/>
    <x v="1"/>
  </r>
  <r>
    <x v="49"/>
    <s v="定価"/>
    <x v="0"/>
  </r>
  <r>
    <x v="50"/>
    <s v="割引"/>
    <x v="1"/>
  </r>
  <r>
    <x v="51"/>
    <s v="割引"/>
    <x v="1"/>
  </r>
  <r>
    <x v="52"/>
    <s v="定価"/>
    <x v="0"/>
  </r>
  <r>
    <x v="53"/>
    <s v="定価"/>
    <x v="0"/>
  </r>
  <r>
    <x v="54"/>
    <s v="割引"/>
    <x v="1"/>
  </r>
  <r>
    <x v="55"/>
    <s v="割引"/>
    <x v="1"/>
  </r>
  <r>
    <x v="56"/>
    <s v="定価"/>
    <x v="0"/>
  </r>
  <r>
    <x v="57"/>
    <s v="定価"/>
    <x v="0"/>
  </r>
  <r>
    <x v="58"/>
    <s v="定価"/>
    <x v="0"/>
  </r>
  <r>
    <x v="59"/>
    <s v="定価"/>
    <x v="0"/>
  </r>
  <r>
    <x v="60"/>
    <s v="割引"/>
    <x v="1"/>
  </r>
  <r>
    <x v="61"/>
    <s v="定価"/>
    <x v="0"/>
  </r>
  <r>
    <x v="62"/>
    <s v="定価"/>
    <x v="0"/>
  </r>
  <r>
    <x v="63"/>
    <s v="定価"/>
    <x v="0"/>
  </r>
  <r>
    <x v="64"/>
    <s v="定価"/>
    <x v="0"/>
  </r>
  <r>
    <x v="65"/>
    <s v="割引"/>
    <x v="1"/>
  </r>
  <r>
    <x v="66"/>
    <s v="定価"/>
    <x v="0"/>
  </r>
  <r>
    <x v="67"/>
    <s v="定価"/>
    <x v="0"/>
  </r>
  <r>
    <x v="68"/>
    <s v="定価"/>
    <x v="0"/>
  </r>
  <r>
    <x v="69"/>
    <s v="割引"/>
    <x v="1"/>
  </r>
  <r>
    <x v="70"/>
    <s v="定価"/>
    <x v="0"/>
  </r>
  <r>
    <x v="71"/>
    <s v="割引"/>
    <x v="1"/>
  </r>
  <r>
    <x v="72"/>
    <s v="定価"/>
    <x v="0"/>
  </r>
  <r>
    <x v="73"/>
    <s v="定価"/>
    <x v="0"/>
  </r>
  <r>
    <x v="74"/>
    <s v="定価"/>
    <x v="0"/>
  </r>
  <r>
    <x v="75"/>
    <s v="定価"/>
    <x v="0"/>
  </r>
  <r>
    <x v="76"/>
    <s v="定価"/>
    <x v="0"/>
  </r>
  <r>
    <x v="77"/>
    <s v="定価"/>
    <x v="0"/>
  </r>
  <r>
    <x v="78"/>
    <s v="割引"/>
    <x v="1"/>
  </r>
  <r>
    <x v="79"/>
    <s v="割引"/>
    <x v="1"/>
  </r>
  <r>
    <x v="80"/>
    <s v="定価"/>
    <x v="0"/>
  </r>
  <r>
    <x v="81"/>
    <s v="定価"/>
    <x v="0"/>
  </r>
  <r>
    <x v="82"/>
    <s v="定価"/>
    <x v="0"/>
  </r>
  <r>
    <x v="83"/>
    <s v="定価"/>
    <x v="0"/>
  </r>
  <r>
    <x v="84"/>
    <s v="割引"/>
    <x v="1"/>
  </r>
  <r>
    <x v="85"/>
    <s v="割引"/>
    <x v="1"/>
  </r>
  <r>
    <x v="86"/>
    <s v="定価"/>
    <x v="0"/>
  </r>
  <r>
    <x v="87"/>
    <s v="割引"/>
    <x v="1"/>
  </r>
  <r>
    <x v="88"/>
    <s v="割引"/>
    <x v="1"/>
  </r>
  <r>
    <x v="89"/>
    <s v="定価"/>
    <x v="0"/>
  </r>
  <r>
    <x v="90"/>
    <s v="定価"/>
    <x v="0"/>
  </r>
  <r>
    <x v="91"/>
    <s v="定価"/>
    <x v="0"/>
  </r>
  <r>
    <x v="92"/>
    <s v="定価"/>
    <x v="0"/>
  </r>
  <r>
    <x v="93"/>
    <s v="割引"/>
    <x v="1"/>
  </r>
  <r>
    <x v="94"/>
    <s v="定価"/>
    <x v="0"/>
  </r>
  <r>
    <x v="95"/>
    <s v="定価"/>
    <x v="0"/>
  </r>
  <r>
    <x v="96"/>
    <s v="割引"/>
    <x v="1"/>
  </r>
  <r>
    <x v="97"/>
    <s v="割引"/>
    <x v="1"/>
  </r>
  <r>
    <x v="98"/>
    <s v="定価"/>
    <x v="0"/>
  </r>
  <r>
    <x v="99"/>
    <s v="通常価格"/>
    <x v="0"/>
  </r>
  <r>
    <x v="100"/>
    <s v="定価"/>
    <x v="0"/>
  </r>
  <r>
    <x v="101"/>
    <s v="定価"/>
    <x v="0"/>
  </r>
  <r>
    <x v="102"/>
    <s v="定価"/>
    <x v="0"/>
  </r>
  <r>
    <x v="103"/>
    <s v="定価"/>
    <x v="0"/>
  </r>
  <r>
    <x v="104"/>
    <s v="割引価格"/>
    <x v="1"/>
  </r>
  <r>
    <x v="105"/>
    <s v="定価"/>
    <x v="0"/>
  </r>
  <r>
    <x v="106"/>
    <s v="割引"/>
    <x v="1"/>
  </r>
  <r>
    <x v="107"/>
    <s v="定価"/>
    <x v="0"/>
  </r>
  <r>
    <x v="108"/>
    <s v="定価"/>
    <x v="0"/>
  </r>
  <r>
    <x v="109"/>
    <s v="定価"/>
    <x v="0"/>
  </r>
  <r>
    <x v="110"/>
    <s v="定価"/>
    <x v="0"/>
  </r>
  <r>
    <x v="111"/>
    <s v="定価"/>
    <x v="0"/>
  </r>
  <r>
    <x v="112"/>
    <s v="定価"/>
    <x v="0"/>
  </r>
  <r>
    <x v="113"/>
    <s v="割引価格"/>
    <x v="1"/>
  </r>
  <r>
    <x v="114"/>
    <s v="割引"/>
    <x v="1"/>
  </r>
  <r>
    <x v="115"/>
    <s v="定価"/>
    <x v="0"/>
  </r>
  <r>
    <x v="116"/>
    <s v="定価"/>
    <x v="0"/>
  </r>
  <r>
    <x v="117"/>
    <s v="割引"/>
    <x v="1"/>
  </r>
  <r>
    <x v="118"/>
    <s v="割引価格"/>
    <x v="1"/>
  </r>
  <r>
    <x v="119"/>
    <s v="通常価格"/>
    <x v="0"/>
  </r>
  <r>
    <x v="120"/>
    <s v="定価"/>
    <x v="0"/>
  </r>
  <r>
    <x v="121"/>
    <s v="定価"/>
    <x v="0"/>
  </r>
  <r>
    <x v="122"/>
    <s v="通常価格"/>
    <x v="0"/>
  </r>
  <r>
    <x v="123"/>
    <s v="定価"/>
    <x v="0"/>
  </r>
  <r>
    <x v="124"/>
    <s v="定価"/>
    <x v="0"/>
  </r>
  <r>
    <x v="125"/>
    <s v="定価"/>
    <x v="0"/>
  </r>
  <r>
    <x v="126"/>
    <s v="定価"/>
    <x v="0"/>
  </r>
  <r>
    <x v="127"/>
    <s v="定価"/>
    <x v="0"/>
  </r>
  <r>
    <x v="128"/>
    <s v="定価"/>
    <x v="0"/>
  </r>
  <r>
    <x v="129"/>
    <s v="定価"/>
    <x v="0"/>
  </r>
  <r>
    <x v="130"/>
    <s v="定価"/>
    <x v="0"/>
  </r>
  <r>
    <x v="131"/>
    <s v="割引"/>
    <x v="1"/>
  </r>
  <r>
    <x v="132"/>
    <s v="定価"/>
    <x v="0"/>
  </r>
  <r>
    <x v="133"/>
    <s v="割引"/>
    <x v="1"/>
  </r>
  <r>
    <x v="134"/>
    <s v="定価"/>
    <x v="0"/>
  </r>
  <r>
    <x v="135"/>
    <s v="割引"/>
    <x v="1"/>
  </r>
  <r>
    <x v="136"/>
    <s v="定価"/>
    <x v="0"/>
  </r>
  <r>
    <x v="137"/>
    <s v="定価"/>
    <x v="0"/>
  </r>
  <r>
    <x v="138"/>
    <s v="割引"/>
    <x v="1"/>
  </r>
  <r>
    <x v="139"/>
    <s v="定価"/>
    <x v="0"/>
  </r>
  <r>
    <x v="140"/>
    <s v="割引"/>
    <x v="1"/>
  </r>
  <r>
    <x v="141"/>
    <s v="割引"/>
    <x v="1"/>
  </r>
  <r>
    <x v="142"/>
    <s v="定価"/>
    <x v="0"/>
  </r>
  <r>
    <x v="143"/>
    <s v="定価"/>
    <x v="0"/>
  </r>
  <r>
    <x v="144"/>
    <s v="割引"/>
    <x v="1"/>
  </r>
  <r>
    <x v="145"/>
    <s v="定価"/>
    <x v="0"/>
  </r>
  <r>
    <x v="146"/>
    <s v="割引"/>
    <x v="1"/>
  </r>
  <r>
    <x v="147"/>
    <s v="定価"/>
    <x v="0"/>
  </r>
  <r>
    <x v="148"/>
    <s v="割引"/>
    <x v="1"/>
  </r>
  <r>
    <x v="149"/>
    <s v="定価"/>
    <x v="0"/>
  </r>
  <r>
    <x v="150"/>
    <s v="定価"/>
    <x v="0"/>
  </r>
  <r>
    <x v="151"/>
    <s v="定価"/>
    <x v="0"/>
  </r>
  <r>
    <x v="152"/>
    <s v="定価"/>
    <x v="0"/>
  </r>
  <r>
    <x v="153"/>
    <s v="定価"/>
    <x v="0"/>
  </r>
  <r>
    <x v="154"/>
    <s v="定価"/>
    <x v="0"/>
  </r>
  <r>
    <x v="155"/>
    <s v="定価"/>
    <x v="0"/>
  </r>
  <r>
    <x v="156"/>
    <s v="定価"/>
    <x v="0"/>
  </r>
  <r>
    <x v="157"/>
    <s v="定価"/>
    <x v="0"/>
  </r>
  <r>
    <x v="158"/>
    <s v="定価"/>
    <x v="0"/>
  </r>
  <r>
    <x v="159"/>
    <s v="定価"/>
    <x v="0"/>
  </r>
  <r>
    <x v="160"/>
    <s v="定価"/>
    <x v="0"/>
  </r>
  <r>
    <x v="161"/>
    <s v="定価"/>
    <x v="0"/>
  </r>
  <r>
    <x v="162"/>
    <s v="定価"/>
    <x v="0"/>
  </r>
  <r>
    <x v="163"/>
    <s v="割引"/>
    <x v="1"/>
  </r>
  <r>
    <x v="164"/>
    <s v="定価"/>
    <x v="0"/>
  </r>
  <r>
    <x v="165"/>
    <s v="定価"/>
    <x v="0"/>
  </r>
  <r>
    <x v="166"/>
    <s v="割引"/>
    <x v="1"/>
  </r>
  <r>
    <x v="167"/>
    <s v="割引"/>
    <x v="1"/>
  </r>
  <r>
    <x v="168"/>
    <s v="通常価格"/>
    <x v="0"/>
  </r>
  <r>
    <x v="169"/>
    <s v="定価"/>
    <x v="0"/>
  </r>
  <r>
    <x v="170"/>
    <s v="定価"/>
    <x v="0"/>
  </r>
  <r>
    <x v="171"/>
    <s v="定価"/>
    <x v="0"/>
  </r>
  <r>
    <x v="172"/>
    <s v="定価"/>
    <x v="0"/>
  </r>
  <r>
    <x v="173"/>
    <s v="定価"/>
    <x v="0"/>
  </r>
  <r>
    <x v="174"/>
    <s v="割引"/>
    <x v="1"/>
  </r>
  <r>
    <x v="175"/>
    <s v="定価"/>
    <x v="0"/>
  </r>
  <r>
    <x v="176"/>
    <s v="定価"/>
    <x v="0"/>
  </r>
  <r>
    <x v="177"/>
    <s v="定価"/>
    <x v="0"/>
  </r>
  <r>
    <x v="178"/>
    <s v="定価"/>
    <x v="0"/>
  </r>
  <r>
    <x v="179"/>
    <s v="定価"/>
    <x v="0"/>
  </r>
  <r>
    <x v="180"/>
    <s v="通常価格"/>
    <x v="0"/>
  </r>
  <r>
    <x v="181"/>
    <s v="定価"/>
    <x v="0"/>
  </r>
  <r>
    <x v="182"/>
    <s v="定価"/>
    <x v="0"/>
  </r>
  <r>
    <x v="183"/>
    <s v="定価"/>
    <x v="0"/>
  </r>
  <r>
    <x v="184"/>
    <s v="定価"/>
    <x v="0"/>
  </r>
  <r>
    <x v="185"/>
    <s v="定価"/>
    <x v="0"/>
  </r>
  <r>
    <x v="186"/>
    <s v="定価"/>
    <x v="0"/>
  </r>
  <r>
    <x v="187"/>
    <s v="定価"/>
    <x v="0"/>
  </r>
  <r>
    <x v="188"/>
    <s v="定価"/>
    <x v="0"/>
  </r>
  <r>
    <x v="189"/>
    <s v="割引"/>
    <x v="1"/>
  </r>
  <r>
    <x v="190"/>
    <s v="定価"/>
    <x v="0"/>
  </r>
  <r>
    <x v="191"/>
    <s v="定価"/>
    <x v="0"/>
  </r>
  <r>
    <x v="192"/>
    <s v="割引"/>
    <x v="1"/>
  </r>
  <r>
    <x v="193"/>
    <s v="定価"/>
    <x v="0"/>
  </r>
  <r>
    <x v="194"/>
    <s v="定価"/>
    <x v="0"/>
  </r>
  <r>
    <x v="195"/>
    <s v="定価"/>
    <x v="0"/>
  </r>
  <r>
    <x v="196"/>
    <s v="定価"/>
    <x v="0"/>
  </r>
  <r>
    <x v="197"/>
    <s v="割引価格"/>
    <x v="1"/>
  </r>
  <r>
    <x v="198"/>
    <s v="割引"/>
    <x v="1"/>
  </r>
  <r>
    <x v="199"/>
    <s v="定価"/>
    <x v="0"/>
  </r>
  <r>
    <x v="200"/>
    <s v="定価"/>
    <x v="0"/>
  </r>
  <r>
    <x v="201"/>
    <s v="定価"/>
    <x v="0"/>
  </r>
  <r>
    <x v="202"/>
    <s v="割引"/>
    <x v="1"/>
  </r>
  <r>
    <x v="203"/>
    <s v="定価"/>
    <x v="0"/>
  </r>
  <r>
    <x v="204"/>
    <s v="定価"/>
    <x v="0"/>
  </r>
  <r>
    <x v="205"/>
    <s v="定価"/>
    <x v="0"/>
  </r>
  <r>
    <x v="206"/>
    <s v="割引"/>
    <x v="1"/>
  </r>
  <r>
    <x v="207"/>
    <s v="割引"/>
    <x v="1"/>
  </r>
  <r>
    <x v="208"/>
    <s v="定価"/>
    <x v="0"/>
  </r>
  <r>
    <x v="209"/>
    <s v="定価"/>
    <x v="0"/>
  </r>
  <r>
    <x v="210"/>
    <s v="定価"/>
    <x v="0"/>
  </r>
  <r>
    <x v="211"/>
    <s v="定価"/>
    <x v="0"/>
  </r>
  <r>
    <x v="212"/>
    <s v="割引"/>
    <x v="1"/>
  </r>
  <r>
    <x v="213"/>
    <s v="定価"/>
    <x v="0"/>
  </r>
  <r>
    <x v="214"/>
    <s v="定価"/>
    <x v="0"/>
  </r>
  <r>
    <x v="215"/>
    <s v="定価"/>
    <x v="0"/>
  </r>
  <r>
    <x v="216"/>
    <s v="定価"/>
    <x v="0"/>
  </r>
  <r>
    <x v="217"/>
    <s v="定価"/>
    <x v="0"/>
  </r>
  <r>
    <x v="218"/>
    <s v="割引"/>
    <x v="1"/>
  </r>
  <r>
    <x v="219"/>
    <s v="定価"/>
    <x v="0"/>
  </r>
  <r>
    <x v="220"/>
    <s v="定価"/>
    <x v="0"/>
  </r>
  <r>
    <x v="221"/>
    <s v="定価"/>
    <x v="0"/>
  </r>
  <r>
    <x v="222"/>
    <s v="割引"/>
    <x v="1"/>
  </r>
  <r>
    <x v="223"/>
    <s v="定価"/>
    <x v="0"/>
  </r>
  <r>
    <x v="224"/>
    <s v="定価"/>
    <x v="0"/>
  </r>
  <r>
    <x v="225"/>
    <s v="定価"/>
    <x v="0"/>
  </r>
  <r>
    <x v="226"/>
    <s v="定価"/>
    <x v="0"/>
  </r>
  <r>
    <x v="227"/>
    <s v="割引価格"/>
    <x v="1"/>
  </r>
  <r>
    <x v="228"/>
    <s v="割引"/>
    <x v="1"/>
  </r>
  <r>
    <x v="229"/>
    <s v="定価"/>
    <x v="0"/>
  </r>
  <r>
    <x v="230"/>
    <s v="定価"/>
    <x v="0"/>
  </r>
  <r>
    <x v="231"/>
    <s v="定価"/>
    <x v="0"/>
  </r>
  <r>
    <x v="232"/>
    <s v="定価"/>
    <x v="0"/>
  </r>
  <r>
    <x v="233"/>
    <s v="割引"/>
    <x v="1"/>
  </r>
  <r>
    <x v="234"/>
    <s v="定価"/>
    <x v="0"/>
  </r>
  <r>
    <x v="235"/>
    <s v="割引"/>
    <x v="1"/>
  </r>
  <r>
    <x v="236"/>
    <s v="定価"/>
    <x v="0"/>
  </r>
  <r>
    <x v="237"/>
    <s v="定価"/>
    <x v="0"/>
  </r>
  <r>
    <x v="238"/>
    <s v="定価"/>
    <x v="0"/>
  </r>
  <r>
    <x v="239"/>
    <s v="割引"/>
    <x v="1"/>
  </r>
  <r>
    <x v="240"/>
    <s v="割引"/>
    <x v="1"/>
  </r>
  <r>
    <x v="241"/>
    <s v="割引"/>
    <x v="1"/>
  </r>
  <r>
    <x v="242"/>
    <s v="割引"/>
    <x v="1"/>
  </r>
  <r>
    <x v="243"/>
    <s v="定価"/>
    <x v="0"/>
  </r>
  <r>
    <x v="244"/>
    <s v="割引"/>
    <x v="1"/>
  </r>
  <r>
    <x v="245"/>
    <s v="定価"/>
    <x v="0"/>
  </r>
  <r>
    <x v="246"/>
    <s v="通常価格"/>
    <x v="0"/>
  </r>
  <r>
    <x v="247"/>
    <s v="割引"/>
    <x v="1"/>
  </r>
  <r>
    <x v="248"/>
    <s v="割引"/>
    <x v="1"/>
  </r>
  <r>
    <x v="249"/>
    <s v="定価"/>
    <x v="0"/>
  </r>
  <r>
    <x v="250"/>
    <s v="割引"/>
    <x v="1"/>
  </r>
  <r>
    <x v="251"/>
    <s v="定価"/>
    <x v="0"/>
  </r>
  <r>
    <x v="252"/>
    <s v="定価"/>
    <x v="0"/>
  </r>
  <r>
    <x v="253"/>
    <s v="割引"/>
    <x v="1"/>
  </r>
  <r>
    <x v="254"/>
    <s v="定価"/>
    <x v="0"/>
  </r>
  <r>
    <x v="255"/>
    <s v="定価"/>
    <x v="0"/>
  </r>
  <r>
    <x v="256"/>
    <s v="定価"/>
    <x v="0"/>
  </r>
  <r>
    <x v="257"/>
    <s v="定価"/>
    <x v="0"/>
  </r>
  <r>
    <x v="258"/>
    <s v="割引"/>
    <x v="1"/>
  </r>
  <r>
    <x v="259"/>
    <s v="定価"/>
    <x v="0"/>
  </r>
  <r>
    <x v="260"/>
    <s v="割引"/>
    <x v="1"/>
  </r>
  <r>
    <x v="261"/>
    <s v="割引"/>
    <x v="1"/>
  </r>
  <r>
    <x v="262"/>
    <s v="定価"/>
    <x v="0"/>
  </r>
  <r>
    <x v="263"/>
    <s v="定価"/>
    <x v="0"/>
  </r>
  <r>
    <x v="264"/>
    <s v="定価"/>
    <x v="0"/>
  </r>
  <r>
    <x v="265"/>
    <s v="定価"/>
    <x v="0"/>
  </r>
  <r>
    <x v="266"/>
    <s v="定価"/>
    <x v="0"/>
  </r>
  <r>
    <x v="267"/>
    <s v="定価"/>
    <x v="0"/>
  </r>
  <r>
    <x v="268"/>
    <s v="定価"/>
    <x v="0"/>
  </r>
  <r>
    <x v="269"/>
    <s v="定価"/>
    <x v="0"/>
  </r>
  <r>
    <x v="270"/>
    <s v="定価"/>
    <x v="0"/>
  </r>
  <r>
    <x v="271"/>
    <s v="定価"/>
    <x v="0"/>
  </r>
  <r>
    <x v="272"/>
    <s v="割引"/>
    <x v="1"/>
  </r>
  <r>
    <x v="273"/>
    <s v="定価"/>
    <x v="0"/>
  </r>
  <r>
    <x v="274"/>
    <s v="定価"/>
    <x v="0"/>
  </r>
  <r>
    <x v="275"/>
    <s v="定価"/>
    <x v="0"/>
  </r>
  <r>
    <x v="276"/>
    <s v="定価"/>
    <x v="0"/>
  </r>
  <r>
    <x v="277"/>
    <s v="定価"/>
    <x v="0"/>
  </r>
  <r>
    <x v="278"/>
    <s v="定価"/>
    <x v="0"/>
  </r>
  <r>
    <x v="279"/>
    <s v="定価"/>
    <x v="0"/>
  </r>
  <r>
    <x v="280"/>
    <s v="定価"/>
    <x v="0"/>
  </r>
  <r>
    <x v="281"/>
    <s v="定価"/>
    <x v="0"/>
  </r>
  <r>
    <x v="282"/>
    <s v="定価"/>
    <x v="0"/>
  </r>
  <r>
    <x v="283"/>
    <s v="定価"/>
    <x v="0"/>
  </r>
  <r>
    <x v="284"/>
    <s v="定価"/>
    <x v="0"/>
  </r>
  <r>
    <x v="285"/>
    <s v="定価"/>
    <x v="0"/>
  </r>
  <r>
    <x v="286"/>
    <s v="定価"/>
    <x v="0"/>
  </r>
  <r>
    <x v="287"/>
    <s v="定価"/>
    <x v="0"/>
  </r>
  <r>
    <x v="288"/>
    <s v="定価"/>
    <x v="0"/>
  </r>
  <r>
    <x v="289"/>
    <s v="定価"/>
    <x v="0"/>
  </r>
  <r>
    <x v="290"/>
    <s v="定価"/>
    <x v="0"/>
  </r>
  <r>
    <x v="291"/>
    <s v="定価"/>
    <x v="0"/>
  </r>
  <r>
    <x v="292"/>
    <s v="定価"/>
    <x v="0"/>
  </r>
  <r>
    <x v="293"/>
    <s v="割引"/>
    <x v="1"/>
  </r>
  <r>
    <x v="294"/>
    <s v="定価"/>
    <x v="0"/>
  </r>
  <r>
    <x v="295"/>
    <s v="定価"/>
    <x v="0"/>
  </r>
  <r>
    <x v="296"/>
    <s v="割引"/>
    <x v="1"/>
  </r>
  <r>
    <x v="297"/>
    <s v="定価"/>
    <x v="0"/>
  </r>
  <r>
    <x v="298"/>
    <s v="定価"/>
    <x v="0"/>
  </r>
  <r>
    <x v="299"/>
    <s v="定価"/>
    <x v="0"/>
  </r>
  <r>
    <x v="300"/>
    <s v="定価"/>
    <x v="0"/>
  </r>
  <r>
    <x v="301"/>
    <s v="定価"/>
    <x v="0"/>
  </r>
  <r>
    <x v="302"/>
    <s v="定価"/>
    <x v="0"/>
  </r>
  <r>
    <x v="303"/>
    <s v="割引"/>
    <x v="1"/>
  </r>
  <r>
    <x v="304"/>
    <s v="割引"/>
    <x v="1"/>
  </r>
  <r>
    <x v="305"/>
    <s v="定価"/>
    <x v="0"/>
  </r>
  <r>
    <x v="306"/>
    <s v="定価"/>
    <x v="0"/>
  </r>
  <r>
    <x v="307"/>
    <s v="割引"/>
    <x v="1"/>
  </r>
  <r>
    <x v="308"/>
    <s v="定価"/>
    <x v="0"/>
  </r>
  <r>
    <x v="309"/>
    <s v="定価"/>
    <x v="0"/>
  </r>
  <r>
    <x v="310"/>
    <s v="割引"/>
    <x v="1"/>
  </r>
  <r>
    <x v="311"/>
    <s v="定価"/>
    <x v="0"/>
  </r>
  <r>
    <x v="312"/>
    <s v="定価"/>
    <x v="0"/>
  </r>
  <r>
    <x v="313"/>
    <s v="定価"/>
    <x v="0"/>
  </r>
  <r>
    <x v="314"/>
    <s v="定価"/>
    <x v="0"/>
  </r>
  <r>
    <x v="315"/>
    <s v="定価"/>
    <x v="0"/>
  </r>
  <r>
    <x v="316"/>
    <s v="割引"/>
    <x v="1"/>
  </r>
  <r>
    <x v="317"/>
    <s v="割引"/>
    <x v="1"/>
  </r>
  <r>
    <x v="318"/>
    <s v="定価"/>
    <x v="0"/>
  </r>
  <r>
    <x v="319"/>
    <s v="定価"/>
    <x v="0"/>
  </r>
  <r>
    <x v="320"/>
    <s v="定価"/>
    <x v="0"/>
  </r>
  <r>
    <x v="321"/>
    <s v="定価"/>
    <x v="0"/>
  </r>
  <r>
    <x v="322"/>
    <s v="定価"/>
    <x v="0"/>
  </r>
  <r>
    <x v="323"/>
    <s v="定価"/>
    <x v="0"/>
  </r>
  <r>
    <x v="324"/>
    <s v="定価"/>
    <x v="0"/>
  </r>
  <r>
    <x v="325"/>
    <s v="定価"/>
    <x v="0"/>
  </r>
  <r>
    <x v="326"/>
    <s v="割引"/>
    <x v="1"/>
  </r>
  <r>
    <x v="327"/>
    <s v="定価"/>
    <x v="0"/>
  </r>
  <r>
    <x v="328"/>
    <s v="割引"/>
    <x v="1"/>
  </r>
  <r>
    <x v="329"/>
    <s v="定価"/>
    <x v="0"/>
  </r>
  <r>
    <x v="330"/>
    <s v="定価"/>
    <x v="0"/>
  </r>
  <r>
    <x v="331"/>
    <s v="割引"/>
    <x v="1"/>
  </r>
  <r>
    <x v="332"/>
    <s v="割引"/>
    <x v="1"/>
  </r>
  <r>
    <x v="333"/>
    <s v="定価"/>
    <x v="0"/>
  </r>
  <r>
    <x v="334"/>
    <s v="割引"/>
    <x v="1"/>
  </r>
  <r>
    <x v="335"/>
    <s v="割引価格"/>
    <x v="1"/>
  </r>
  <r>
    <x v="336"/>
    <s v="通常価格"/>
    <x v="0"/>
  </r>
  <r>
    <x v="337"/>
    <s v="定価"/>
    <x v="0"/>
  </r>
  <r>
    <x v="338"/>
    <s v="定価"/>
    <x v="0"/>
  </r>
  <r>
    <x v="339"/>
    <s v="定価"/>
    <x v="0"/>
  </r>
  <r>
    <x v="340"/>
    <s v="割引"/>
    <x v="1"/>
  </r>
  <r>
    <x v="341"/>
    <s v="通常価格"/>
    <x v="0"/>
  </r>
  <r>
    <x v="342"/>
    <s v="定価"/>
    <x v="0"/>
  </r>
  <r>
    <x v="343"/>
    <s v="定価"/>
    <x v="0"/>
  </r>
  <r>
    <x v="344"/>
    <s v="定価"/>
    <x v="0"/>
  </r>
  <r>
    <x v="345"/>
    <s v="割引"/>
    <x v="1"/>
  </r>
  <r>
    <x v="346"/>
    <s v="割引"/>
    <x v="1"/>
  </r>
  <r>
    <x v="347"/>
    <s v="定価"/>
    <x v="0"/>
  </r>
  <r>
    <x v="348"/>
    <s v="定価"/>
    <x v="0"/>
  </r>
  <r>
    <x v="349"/>
    <s v="定価"/>
    <x v="0"/>
  </r>
  <r>
    <x v="350"/>
    <s v="定価"/>
    <x v="0"/>
  </r>
  <r>
    <x v="351"/>
    <s v="定価"/>
    <x v="0"/>
  </r>
  <r>
    <x v="352"/>
    <s v="割引"/>
    <x v="1"/>
  </r>
  <r>
    <x v="353"/>
    <s v="定価"/>
    <x v="0"/>
  </r>
  <r>
    <x v="354"/>
    <s v="割引"/>
    <x v="1"/>
  </r>
  <r>
    <x v="355"/>
    <s v="割引価格"/>
    <x v="1"/>
  </r>
  <r>
    <x v="356"/>
    <s v="定価"/>
    <x v="0"/>
  </r>
  <r>
    <x v="357"/>
    <s v="定価"/>
    <x v="0"/>
  </r>
  <r>
    <x v="358"/>
    <s v="割引"/>
    <x v="1"/>
  </r>
  <r>
    <x v="359"/>
    <s v="定価"/>
    <x v="0"/>
  </r>
  <r>
    <x v="360"/>
    <s v="定価"/>
    <x v="0"/>
  </r>
  <r>
    <x v="361"/>
    <s v="割引"/>
    <x v="1"/>
  </r>
  <r>
    <x v="362"/>
    <s v="割引"/>
    <x v="1"/>
  </r>
  <r>
    <x v="363"/>
    <s v="定価"/>
    <x v="0"/>
  </r>
  <r>
    <x v="364"/>
    <s v="定価"/>
    <x v="0"/>
  </r>
  <r>
    <x v="365"/>
    <s v="割引"/>
    <x v="1"/>
  </r>
  <r>
    <x v="366"/>
    <s v="定価"/>
    <x v="0"/>
  </r>
  <r>
    <x v="367"/>
    <s v="割引"/>
    <x v="1"/>
  </r>
  <r>
    <x v="368"/>
    <s v="定価"/>
    <x v="0"/>
  </r>
  <r>
    <x v="369"/>
    <s v="定価"/>
    <x v="0"/>
  </r>
  <r>
    <x v="370"/>
    <s v="割引"/>
    <x v="1"/>
  </r>
  <r>
    <x v="371"/>
    <s v="定価"/>
    <x v="0"/>
  </r>
  <r>
    <x v="372"/>
    <s v="割引"/>
    <x v="1"/>
  </r>
  <r>
    <x v="373"/>
    <s v="定価"/>
    <x v="0"/>
  </r>
  <r>
    <x v="374"/>
    <s v="定価"/>
    <x v="0"/>
  </r>
  <r>
    <x v="375"/>
    <s v="定価"/>
    <x v="0"/>
  </r>
  <r>
    <x v="376"/>
    <s v="定価"/>
    <x v="0"/>
  </r>
  <r>
    <x v="377"/>
    <s v="定価"/>
    <x v="0"/>
  </r>
  <r>
    <x v="378"/>
    <s v="定価"/>
    <x v="0"/>
  </r>
  <r>
    <x v="379"/>
    <s v="定価"/>
    <x v="0"/>
  </r>
  <r>
    <x v="380"/>
    <s v="割引"/>
    <x v="1"/>
  </r>
  <r>
    <x v="381"/>
    <s v="定価"/>
    <x v="0"/>
  </r>
  <r>
    <x v="382"/>
    <s v="割引"/>
    <x v="1"/>
  </r>
  <r>
    <x v="383"/>
    <s v="定価"/>
    <x v="0"/>
  </r>
  <r>
    <x v="384"/>
    <s v="定価"/>
    <x v="0"/>
  </r>
  <r>
    <x v="385"/>
    <s v="定価"/>
    <x v="0"/>
  </r>
  <r>
    <x v="386"/>
    <s v="定価"/>
    <x v="0"/>
  </r>
  <r>
    <x v="387"/>
    <s v="定価"/>
    <x v="0"/>
  </r>
  <r>
    <x v="388"/>
    <s v="割引"/>
    <x v="1"/>
  </r>
  <r>
    <x v="389"/>
    <s v="定価"/>
    <x v="0"/>
  </r>
  <r>
    <x v="390"/>
    <s v="定価"/>
    <x v="0"/>
  </r>
  <r>
    <x v="391"/>
    <s v="定価"/>
    <x v="0"/>
  </r>
  <r>
    <x v="392"/>
    <s v="定価"/>
    <x v="0"/>
  </r>
  <r>
    <x v="393"/>
    <s v="定価"/>
    <x v="0"/>
  </r>
  <r>
    <x v="394"/>
    <s v="定価"/>
    <x v="0"/>
  </r>
  <r>
    <x v="395"/>
    <s v="割引"/>
    <x v="1"/>
  </r>
  <r>
    <x v="396"/>
    <s v="定価"/>
    <x v="0"/>
  </r>
  <r>
    <x v="397"/>
    <s v="定価"/>
    <x v="0"/>
  </r>
  <r>
    <x v="398"/>
    <s v="定価"/>
    <x v="0"/>
  </r>
  <r>
    <x v="399"/>
    <s v="割引"/>
    <x v="1"/>
  </r>
  <r>
    <x v="400"/>
    <s v="定価"/>
    <x v="0"/>
  </r>
  <r>
    <x v="401"/>
    <s v="通常価格"/>
    <x v="0"/>
  </r>
  <r>
    <x v="402"/>
    <s v="定価"/>
    <x v="0"/>
  </r>
  <r>
    <x v="403"/>
    <s v="割引"/>
    <x v="1"/>
  </r>
  <r>
    <x v="404"/>
    <s v="定価"/>
    <x v="0"/>
  </r>
  <r>
    <x v="405"/>
    <s v="定価"/>
    <x v="0"/>
  </r>
  <r>
    <x v="406"/>
    <s v="定価"/>
    <x v="0"/>
  </r>
  <r>
    <x v="407"/>
    <s v="割引"/>
    <x v="1"/>
  </r>
  <r>
    <x v="408"/>
    <s v="定価"/>
    <x v="0"/>
  </r>
  <r>
    <x v="409"/>
    <s v="割引"/>
    <x v="1"/>
  </r>
  <r>
    <x v="410"/>
    <s v="定価"/>
    <x v="0"/>
  </r>
  <r>
    <x v="411"/>
    <s v="定価"/>
    <x v="0"/>
  </r>
  <r>
    <x v="412"/>
    <s v="定価"/>
    <x v="0"/>
  </r>
  <r>
    <x v="413"/>
    <s v="定価"/>
    <x v="0"/>
  </r>
  <r>
    <x v="414"/>
    <s v="定価"/>
    <x v="0"/>
  </r>
  <r>
    <x v="415"/>
    <s v="定価"/>
    <x v="0"/>
  </r>
  <r>
    <x v="416"/>
    <s v="定価"/>
    <x v="0"/>
  </r>
  <r>
    <x v="417"/>
    <s v="定価"/>
    <x v="0"/>
  </r>
  <r>
    <x v="418"/>
    <s v="割引"/>
    <x v="1"/>
  </r>
  <r>
    <x v="419"/>
    <s v="割引"/>
    <x v="1"/>
  </r>
  <r>
    <x v="420"/>
    <s v="定価"/>
    <x v="0"/>
  </r>
  <r>
    <x v="421"/>
    <s v="割引"/>
    <x v="1"/>
  </r>
  <r>
    <x v="422"/>
    <s v="定価"/>
    <x v="0"/>
  </r>
  <r>
    <x v="423"/>
    <s v="定価"/>
    <x v="0"/>
  </r>
  <r>
    <x v="424"/>
    <s v="定価"/>
    <x v="0"/>
  </r>
  <r>
    <x v="425"/>
    <s v="定価"/>
    <x v="0"/>
  </r>
  <r>
    <x v="426"/>
    <s v="定価"/>
    <x v="0"/>
  </r>
  <r>
    <x v="427"/>
    <s v="割引"/>
    <x v="1"/>
  </r>
  <r>
    <x v="428"/>
    <s v="定価"/>
    <x v="0"/>
  </r>
  <r>
    <x v="429"/>
    <s v="割引"/>
    <x v="1"/>
  </r>
  <r>
    <x v="430"/>
    <s v="定価"/>
    <x v="0"/>
  </r>
  <r>
    <x v="431"/>
    <s v="割引"/>
    <x v="1"/>
  </r>
  <r>
    <x v="432"/>
    <s v="定価"/>
    <x v="0"/>
  </r>
  <r>
    <x v="433"/>
    <s v="割引"/>
    <x v="1"/>
  </r>
  <r>
    <x v="434"/>
    <s v="定価"/>
    <x v="0"/>
  </r>
  <r>
    <x v="435"/>
    <s v="定価"/>
    <x v="0"/>
  </r>
  <r>
    <x v="436"/>
    <s v="定価"/>
    <x v="0"/>
  </r>
  <r>
    <x v="437"/>
    <s v="定価"/>
    <x v="0"/>
  </r>
  <r>
    <x v="438"/>
    <s v="定価"/>
    <x v="0"/>
  </r>
  <r>
    <x v="439"/>
    <s v="定価"/>
    <x v="0"/>
  </r>
  <r>
    <x v="440"/>
    <s v="定価"/>
    <x v="0"/>
  </r>
  <r>
    <x v="441"/>
    <s v="定価"/>
    <x v="0"/>
  </r>
  <r>
    <x v="442"/>
    <s v="定価"/>
    <x v="0"/>
  </r>
  <r>
    <x v="443"/>
    <s v="割引"/>
    <x v="1"/>
  </r>
  <r>
    <x v="444"/>
    <s v="定価"/>
    <x v="0"/>
  </r>
  <r>
    <x v="445"/>
    <s v="割引"/>
    <x v="1"/>
  </r>
  <r>
    <x v="446"/>
    <s v="定価"/>
    <x v="0"/>
  </r>
  <r>
    <x v="447"/>
    <s v="割引"/>
    <x v="1"/>
  </r>
  <r>
    <x v="448"/>
    <s v="定価"/>
    <x v="0"/>
  </r>
  <r>
    <x v="449"/>
    <s v="定価"/>
    <x v="0"/>
  </r>
  <r>
    <x v="450"/>
    <s v="定価"/>
    <x v="0"/>
  </r>
  <r>
    <x v="451"/>
    <s v="割引"/>
    <x v="1"/>
  </r>
  <r>
    <x v="452"/>
    <s v="割引"/>
    <x v="1"/>
  </r>
  <r>
    <x v="453"/>
    <s v="割引"/>
    <x v="1"/>
  </r>
  <r>
    <x v="454"/>
    <s v="割引"/>
    <x v="1"/>
  </r>
  <r>
    <x v="455"/>
    <s v="割引"/>
    <x v="1"/>
  </r>
  <r>
    <x v="456"/>
    <s v="定価"/>
    <x v="0"/>
  </r>
  <r>
    <x v="457"/>
    <s v="定価"/>
    <x v="0"/>
  </r>
  <r>
    <x v="458"/>
    <s v="定価"/>
    <x v="0"/>
  </r>
  <r>
    <x v="459"/>
    <s v="定価"/>
    <x v="0"/>
  </r>
  <r>
    <x v="460"/>
    <s v="定価"/>
    <x v="0"/>
  </r>
  <r>
    <x v="461"/>
    <s v="定価"/>
    <x v="0"/>
  </r>
  <r>
    <x v="462"/>
    <s v="定価"/>
    <x v="0"/>
  </r>
  <r>
    <x v="463"/>
    <s v="定価"/>
    <x v="0"/>
  </r>
  <r>
    <x v="464"/>
    <s v="定価"/>
    <x v="0"/>
  </r>
  <r>
    <x v="465"/>
    <s v="定価"/>
    <x v="0"/>
  </r>
  <r>
    <x v="466"/>
    <s v="定価"/>
    <x v="0"/>
  </r>
  <r>
    <x v="467"/>
    <s v="割引価格"/>
    <x v="1"/>
  </r>
  <r>
    <x v="468"/>
    <s v="割引"/>
    <x v="1"/>
  </r>
  <r>
    <x v="469"/>
    <s v="定価"/>
    <x v="0"/>
  </r>
  <r>
    <x v="470"/>
    <s v="通常価格"/>
    <x v="0"/>
  </r>
  <r>
    <x v="471"/>
    <s v="定価"/>
    <x v="0"/>
  </r>
  <r>
    <x v="472"/>
    <s v="定価"/>
    <x v="0"/>
  </r>
  <r>
    <x v="473"/>
    <s v="定価"/>
    <x v="0"/>
  </r>
  <r>
    <x v="474"/>
    <s v="割引"/>
    <x v="1"/>
  </r>
  <r>
    <x v="475"/>
    <s v="定価"/>
    <x v="0"/>
  </r>
  <r>
    <x v="476"/>
    <s v="定価"/>
    <x v="0"/>
  </r>
  <r>
    <x v="477"/>
    <s v="定価"/>
    <x v="0"/>
  </r>
  <r>
    <x v="478"/>
    <s v="定価"/>
    <x v="0"/>
  </r>
  <r>
    <x v="479"/>
    <s v="割引"/>
    <x v="1"/>
  </r>
  <r>
    <x v="480"/>
    <s v="定価"/>
    <x v="0"/>
  </r>
  <r>
    <x v="481"/>
    <s v="定価"/>
    <x v="0"/>
  </r>
  <r>
    <x v="482"/>
    <s v="割引"/>
    <x v="1"/>
  </r>
  <r>
    <x v="483"/>
    <s v="定価"/>
    <x v="0"/>
  </r>
  <r>
    <x v="484"/>
    <s v="定価"/>
    <x v="0"/>
  </r>
  <r>
    <x v="485"/>
    <s v="割引"/>
    <x v="1"/>
  </r>
  <r>
    <x v="486"/>
    <s v="定価"/>
    <x v="0"/>
  </r>
  <r>
    <x v="487"/>
    <s v="定価"/>
    <x v="0"/>
  </r>
  <r>
    <x v="488"/>
    <s v="定価"/>
    <x v="0"/>
  </r>
  <r>
    <x v="489"/>
    <s v="定価"/>
    <x v="0"/>
  </r>
  <r>
    <x v="490"/>
    <s v="定価"/>
    <x v="0"/>
  </r>
  <r>
    <x v="491"/>
    <s v="定価"/>
    <x v="0"/>
  </r>
  <r>
    <x v="492"/>
    <s v="割引"/>
    <x v="1"/>
  </r>
  <r>
    <x v="493"/>
    <s v="定価"/>
    <x v="0"/>
  </r>
  <r>
    <x v="494"/>
    <s v="割引"/>
    <x v="1"/>
  </r>
  <r>
    <x v="495"/>
    <s v="定価"/>
    <x v="0"/>
  </r>
  <r>
    <x v="496"/>
    <s v="定価"/>
    <x v="0"/>
  </r>
  <r>
    <x v="497"/>
    <s v="割引"/>
    <x v="1"/>
  </r>
  <r>
    <x v="498"/>
    <s v="通常価格"/>
    <x v="0"/>
  </r>
  <r>
    <x v="499"/>
    <s v="割引"/>
    <x v="1"/>
  </r>
  <r>
    <x v="500"/>
    <s v="定価"/>
    <x v="0"/>
  </r>
  <r>
    <x v="501"/>
    <s v="割引価格"/>
    <x v="1"/>
  </r>
  <r>
    <x v="502"/>
    <s v="定価"/>
    <x v="0"/>
  </r>
  <r>
    <x v="503"/>
    <s v="定価"/>
    <x v="0"/>
  </r>
  <r>
    <x v="504"/>
    <s v="定価"/>
    <x v="0"/>
  </r>
  <r>
    <x v="505"/>
    <s v="定価"/>
    <x v="0"/>
  </r>
  <r>
    <x v="506"/>
    <s v="定価"/>
    <x v="0"/>
  </r>
  <r>
    <x v="507"/>
    <s v="割引"/>
    <x v="1"/>
  </r>
  <r>
    <x v="508"/>
    <s v="割引"/>
    <x v="1"/>
  </r>
  <r>
    <x v="509"/>
    <s v="割引"/>
    <x v="1"/>
  </r>
  <r>
    <x v="510"/>
    <s v="定価"/>
    <x v="0"/>
  </r>
  <r>
    <x v="511"/>
    <s v="割引"/>
    <x v="1"/>
  </r>
  <r>
    <x v="512"/>
    <s v="割引"/>
    <x v="1"/>
  </r>
  <r>
    <x v="513"/>
    <s v="定価"/>
    <x v="0"/>
  </r>
  <r>
    <x v="514"/>
    <s v="定価"/>
    <x v="0"/>
  </r>
  <r>
    <x v="515"/>
    <s v="定価"/>
    <x v="0"/>
  </r>
  <r>
    <x v="516"/>
    <s v="定価"/>
    <x v="0"/>
  </r>
  <r>
    <x v="517"/>
    <s v="割引"/>
    <x v="1"/>
  </r>
  <r>
    <x v="518"/>
    <s v="定価"/>
    <x v="0"/>
  </r>
  <r>
    <x v="519"/>
    <s v="定価"/>
    <x v="0"/>
  </r>
  <r>
    <x v="520"/>
    <s v="定価"/>
    <x v="0"/>
  </r>
  <r>
    <x v="521"/>
    <s v="定価"/>
    <x v="0"/>
  </r>
  <r>
    <x v="522"/>
    <s v="定価"/>
    <x v="0"/>
  </r>
  <r>
    <x v="523"/>
    <s v="定価"/>
    <x v="0"/>
  </r>
  <r>
    <x v="524"/>
    <s v="定価"/>
    <x v="0"/>
  </r>
  <r>
    <x v="525"/>
    <s v="定価"/>
    <x v="0"/>
  </r>
  <r>
    <x v="526"/>
    <s v="定価"/>
    <x v="0"/>
  </r>
  <r>
    <x v="527"/>
    <s v="定価"/>
    <x v="0"/>
  </r>
  <r>
    <x v="528"/>
    <s v="定価"/>
    <x v="0"/>
  </r>
  <r>
    <x v="529"/>
    <s v="割引"/>
    <x v="1"/>
  </r>
  <r>
    <x v="530"/>
    <s v="定価"/>
    <x v="0"/>
  </r>
  <r>
    <x v="531"/>
    <s v="定価"/>
    <x v="0"/>
  </r>
  <r>
    <x v="532"/>
    <s v="定価"/>
    <x v="0"/>
  </r>
  <r>
    <x v="533"/>
    <s v="割引"/>
    <x v="1"/>
  </r>
  <r>
    <x v="534"/>
    <s v="定価"/>
    <x v="0"/>
  </r>
  <r>
    <x v="535"/>
    <s v="定価"/>
    <x v="0"/>
  </r>
  <r>
    <x v="536"/>
    <s v="割引"/>
    <x v="1"/>
  </r>
  <r>
    <x v="537"/>
    <s v="定価"/>
    <x v="0"/>
  </r>
  <r>
    <x v="538"/>
    <s v="割引"/>
    <x v="1"/>
  </r>
  <r>
    <x v="539"/>
    <s v="割引"/>
    <x v="1"/>
  </r>
  <r>
    <x v="540"/>
    <s v="割引"/>
    <x v="1"/>
  </r>
  <r>
    <x v="541"/>
    <s v="通常価格"/>
    <x v="0"/>
  </r>
  <r>
    <x v="542"/>
    <s v="割引"/>
    <x v="1"/>
  </r>
  <r>
    <x v="543"/>
    <s v="割引"/>
    <x v="1"/>
  </r>
  <r>
    <x v="544"/>
    <s v="定価"/>
    <x v="0"/>
  </r>
  <r>
    <x v="545"/>
    <s v="定価"/>
    <x v="0"/>
  </r>
  <r>
    <x v="546"/>
    <s v="定価"/>
    <x v="0"/>
  </r>
  <r>
    <x v="547"/>
    <s v="割引"/>
    <x v="1"/>
  </r>
  <r>
    <x v="548"/>
    <s v="割引"/>
    <x v="1"/>
  </r>
  <r>
    <x v="549"/>
    <s v="定価"/>
    <x v="0"/>
  </r>
  <r>
    <x v="550"/>
    <s v="定価"/>
    <x v="0"/>
  </r>
  <r>
    <x v="551"/>
    <s v="定価"/>
    <x v="0"/>
  </r>
  <r>
    <x v="552"/>
    <s v="定価"/>
    <x v="0"/>
  </r>
  <r>
    <x v="553"/>
    <s v="定価"/>
    <x v="0"/>
  </r>
  <r>
    <x v="554"/>
    <s v="定価"/>
    <x v="0"/>
  </r>
  <r>
    <x v="555"/>
    <s v="定価"/>
    <x v="0"/>
  </r>
  <r>
    <x v="556"/>
    <s v="定価"/>
    <x v="0"/>
  </r>
  <r>
    <x v="557"/>
    <s v="割引"/>
    <x v="1"/>
  </r>
  <r>
    <x v="558"/>
    <s v="定価"/>
    <x v="0"/>
  </r>
  <r>
    <x v="559"/>
    <s v="定価"/>
    <x v="0"/>
  </r>
  <r>
    <x v="560"/>
    <s v="割引"/>
    <x v="1"/>
  </r>
  <r>
    <x v="561"/>
    <s v="定価"/>
    <x v="0"/>
  </r>
  <r>
    <x v="562"/>
    <s v="割引"/>
    <x v="1"/>
  </r>
  <r>
    <x v="563"/>
    <s v="割引"/>
    <x v="1"/>
  </r>
  <r>
    <x v="564"/>
    <s v="定価"/>
    <x v="0"/>
  </r>
  <r>
    <x v="565"/>
    <s v="定価"/>
    <x v="0"/>
  </r>
  <r>
    <x v="566"/>
    <s v="定価"/>
    <x v="0"/>
  </r>
  <r>
    <x v="567"/>
    <s v="定価"/>
    <x v="0"/>
  </r>
  <r>
    <x v="568"/>
    <s v="割引"/>
    <x v="1"/>
  </r>
  <r>
    <x v="569"/>
    <s v="定価"/>
    <x v="0"/>
  </r>
  <r>
    <x v="570"/>
    <s v="定価"/>
    <x v="0"/>
  </r>
  <r>
    <x v="571"/>
    <s v="定価"/>
    <x v="0"/>
  </r>
  <r>
    <x v="572"/>
    <s v="割引"/>
    <x v="1"/>
  </r>
  <r>
    <x v="573"/>
    <s v="割引"/>
    <x v="1"/>
  </r>
  <r>
    <x v="574"/>
    <s v="定価"/>
    <x v="0"/>
  </r>
  <r>
    <x v="575"/>
    <s v="割引"/>
    <x v="1"/>
  </r>
  <r>
    <x v="576"/>
    <s v="定価"/>
    <x v="0"/>
  </r>
  <r>
    <x v="577"/>
    <s v="割引"/>
    <x v="1"/>
  </r>
  <r>
    <x v="578"/>
    <s v="定価"/>
    <x v="0"/>
  </r>
  <r>
    <x v="579"/>
    <s v="割引"/>
    <x v="1"/>
  </r>
  <r>
    <x v="580"/>
    <s v="割引"/>
    <x v="1"/>
  </r>
  <r>
    <x v="581"/>
    <s v="割引"/>
    <x v="1"/>
  </r>
  <r>
    <x v="582"/>
    <s v="定価"/>
    <x v="0"/>
  </r>
  <r>
    <x v="583"/>
    <s v="割引"/>
    <x v="1"/>
  </r>
  <r>
    <x v="584"/>
    <s v="定価"/>
    <x v="0"/>
  </r>
  <r>
    <x v="585"/>
    <s v="通常価格"/>
    <x v="0"/>
  </r>
  <r>
    <x v="586"/>
    <s v="定価"/>
    <x v="0"/>
  </r>
  <r>
    <x v="587"/>
    <s v="定価"/>
    <x v="0"/>
  </r>
  <r>
    <x v="588"/>
    <s v="割引"/>
    <x v="1"/>
  </r>
  <r>
    <x v="589"/>
    <s v="定価"/>
    <x v="0"/>
  </r>
  <r>
    <x v="590"/>
    <s v="定価"/>
    <x v="0"/>
  </r>
  <r>
    <x v="591"/>
    <s v="定価"/>
    <x v="0"/>
  </r>
  <r>
    <x v="592"/>
    <s v="定価"/>
    <x v="0"/>
  </r>
  <r>
    <x v="593"/>
    <s v="定価"/>
    <x v="0"/>
  </r>
  <r>
    <x v="594"/>
    <s v="割引"/>
    <x v="1"/>
  </r>
  <r>
    <x v="595"/>
    <s v="定価"/>
    <x v="0"/>
  </r>
  <r>
    <x v="596"/>
    <s v="割引"/>
    <x v="1"/>
  </r>
  <r>
    <x v="597"/>
    <s v="定価"/>
    <x v="0"/>
  </r>
  <r>
    <x v="598"/>
    <s v="定価"/>
    <x v="0"/>
  </r>
  <r>
    <x v="599"/>
    <s v="定価"/>
    <x v="0"/>
  </r>
  <r>
    <x v="600"/>
    <s v="定価"/>
    <x v="0"/>
  </r>
  <r>
    <x v="601"/>
    <s v="定価"/>
    <x v="0"/>
  </r>
  <r>
    <x v="602"/>
    <s v="定価"/>
    <x v="0"/>
  </r>
  <r>
    <x v="603"/>
    <s v="割引"/>
    <x v="1"/>
  </r>
  <r>
    <x v="604"/>
    <s v="割引"/>
    <x v="1"/>
  </r>
  <r>
    <x v="605"/>
    <s v="定価"/>
    <x v="0"/>
  </r>
  <r>
    <x v="606"/>
    <s v="定価"/>
    <x v="0"/>
  </r>
  <r>
    <x v="607"/>
    <s v="定価"/>
    <x v="0"/>
  </r>
  <r>
    <x v="608"/>
    <s v="定価"/>
    <x v="0"/>
  </r>
  <r>
    <x v="609"/>
    <s v="定価"/>
    <x v="0"/>
  </r>
  <r>
    <x v="610"/>
    <s v="定価"/>
    <x v="0"/>
  </r>
  <r>
    <x v="611"/>
    <s v="定価"/>
    <x v="0"/>
  </r>
  <r>
    <x v="612"/>
    <s v="割引"/>
    <x v="1"/>
  </r>
  <r>
    <x v="613"/>
    <s v="割引"/>
    <x v="1"/>
  </r>
  <r>
    <x v="614"/>
    <s v="定価"/>
    <x v="0"/>
  </r>
  <r>
    <x v="615"/>
    <s v="割引"/>
    <x v="1"/>
  </r>
  <r>
    <x v="616"/>
    <s v="定価"/>
    <x v="0"/>
  </r>
  <r>
    <x v="617"/>
    <s v="定価"/>
    <x v="0"/>
  </r>
  <r>
    <x v="618"/>
    <s v="定価"/>
    <x v="0"/>
  </r>
  <r>
    <x v="619"/>
    <s v="割引"/>
    <x v="1"/>
  </r>
  <r>
    <x v="620"/>
    <s v="割引"/>
    <x v="1"/>
  </r>
  <r>
    <x v="621"/>
    <s v="割引"/>
    <x v="1"/>
  </r>
  <r>
    <x v="622"/>
    <s v="定価"/>
    <x v="0"/>
  </r>
  <r>
    <x v="623"/>
    <s v="定価"/>
    <x v="0"/>
  </r>
  <r>
    <x v="624"/>
    <s v="通常価格"/>
    <x v="0"/>
  </r>
  <r>
    <x v="625"/>
    <s v="割引"/>
    <x v="1"/>
  </r>
  <r>
    <x v="626"/>
    <s v="定価"/>
    <x v="0"/>
  </r>
  <r>
    <x v="627"/>
    <s v="定価"/>
    <x v="0"/>
  </r>
  <r>
    <x v="628"/>
    <s v="割引"/>
    <x v="1"/>
  </r>
  <r>
    <x v="629"/>
    <s v="定価"/>
    <x v="0"/>
  </r>
  <r>
    <x v="630"/>
    <s v="定価"/>
    <x v="0"/>
  </r>
  <r>
    <x v="631"/>
    <s v="定価"/>
    <x v="0"/>
  </r>
  <r>
    <x v="632"/>
    <s v="定価"/>
    <x v="0"/>
  </r>
  <r>
    <x v="633"/>
    <s v="割引"/>
    <x v="1"/>
  </r>
  <r>
    <x v="634"/>
    <s v="割引"/>
    <x v="1"/>
  </r>
  <r>
    <x v="635"/>
    <s v="定価"/>
    <x v="0"/>
  </r>
  <r>
    <x v="636"/>
    <s v="定価"/>
    <x v="0"/>
  </r>
  <r>
    <x v="637"/>
    <s v="定価"/>
    <x v="0"/>
  </r>
  <r>
    <x v="638"/>
    <s v="割引"/>
    <x v="1"/>
  </r>
  <r>
    <x v="639"/>
    <s v="定価"/>
    <x v="0"/>
  </r>
  <r>
    <x v="640"/>
    <s v="定価"/>
    <x v="0"/>
  </r>
  <r>
    <x v="641"/>
    <s v="定価"/>
    <x v="0"/>
  </r>
  <r>
    <x v="642"/>
    <s v="割引"/>
    <x v="1"/>
  </r>
  <r>
    <x v="643"/>
    <s v="定価"/>
    <x v="0"/>
  </r>
  <r>
    <x v="644"/>
    <s v="定価"/>
    <x v="0"/>
  </r>
  <r>
    <x v="645"/>
    <s v="定価"/>
    <x v="0"/>
  </r>
  <r>
    <x v="646"/>
    <s v="割引"/>
    <x v="1"/>
  </r>
  <r>
    <x v="647"/>
    <s v="定価"/>
    <x v="0"/>
  </r>
  <r>
    <x v="648"/>
    <s v="定価"/>
    <x v="0"/>
  </r>
  <r>
    <x v="649"/>
    <s v="定価"/>
    <x v="0"/>
  </r>
  <r>
    <x v="650"/>
    <s v="定価"/>
    <x v="0"/>
  </r>
  <r>
    <x v="651"/>
    <s v="通常価格"/>
    <x v="0"/>
  </r>
  <r>
    <x v="652"/>
    <s v="定価"/>
    <x v="0"/>
  </r>
  <r>
    <x v="653"/>
    <s v="定価"/>
    <x v="0"/>
  </r>
  <r>
    <x v="654"/>
    <s v="定価"/>
    <x v="0"/>
  </r>
  <r>
    <x v="655"/>
    <s v="定価"/>
    <x v="0"/>
  </r>
  <r>
    <x v="656"/>
    <s v="定価"/>
    <x v="0"/>
  </r>
  <r>
    <x v="657"/>
    <s v="定価"/>
    <x v="0"/>
  </r>
  <r>
    <x v="658"/>
    <s v="定価"/>
    <x v="0"/>
  </r>
  <r>
    <x v="659"/>
    <s v="通常価格"/>
    <x v="0"/>
  </r>
  <r>
    <x v="660"/>
    <s v="定価"/>
    <x v="0"/>
  </r>
  <r>
    <x v="661"/>
    <s v="定価"/>
    <x v="0"/>
  </r>
  <r>
    <x v="662"/>
    <s v="割引"/>
    <x v="1"/>
  </r>
  <r>
    <x v="663"/>
    <s v="定価"/>
    <x v="0"/>
  </r>
  <r>
    <x v="664"/>
    <s v="割引"/>
    <x v="1"/>
  </r>
  <r>
    <x v="665"/>
    <s v="定価"/>
    <x v="0"/>
  </r>
  <r>
    <x v="666"/>
    <s v="定価"/>
    <x v="0"/>
  </r>
  <r>
    <x v="667"/>
    <s v="定価"/>
    <x v="0"/>
  </r>
  <r>
    <x v="668"/>
    <s v="定価"/>
    <x v="0"/>
  </r>
  <r>
    <x v="669"/>
    <s v="割引"/>
    <x v="1"/>
  </r>
  <r>
    <x v="670"/>
    <s v="定価"/>
    <x v="0"/>
  </r>
  <r>
    <x v="671"/>
    <s v="定価"/>
    <x v="0"/>
  </r>
  <r>
    <x v="672"/>
    <s v="割引価格"/>
    <x v="1"/>
  </r>
  <r>
    <x v="673"/>
    <s v="定価"/>
    <x v="0"/>
  </r>
  <r>
    <x v="674"/>
    <s v="定価"/>
    <x v="0"/>
  </r>
  <r>
    <x v="675"/>
    <s v="定価"/>
    <x v="0"/>
  </r>
  <r>
    <x v="676"/>
    <s v="割引"/>
    <x v="1"/>
  </r>
  <r>
    <x v="677"/>
    <s v="割引"/>
    <x v="1"/>
  </r>
  <r>
    <x v="678"/>
    <s v="定価"/>
    <x v="0"/>
  </r>
  <r>
    <x v="679"/>
    <s v="定価"/>
    <x v="0"/>
  </r>
  <r>
    <x v="680"/>
    <s v="定価"/>
    <x v="0"/>
  </r>
  <r>
    <x v="681"/>
    <s v="割引"/>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r>
  <r>
    <x v="0"/>
  </r>
  <r>
    <x v="0"/>
  </r>
  <r>
    <x v="0"/>
  </r>
  <r>
    <x v="0"/>
  </r>
  <r>
    <x v="0"/>
  </r>
  <r>
    <x v="0"/>
  </r>
  <r>
    <x v="0"/>
  </r>
  <r>
    <x v="0"/>
  </r>
  <r>
    <x v="0"/>
  </r>
  <r>
    <x v="0"/>
  </r>
  <r>
    <x v="0"/>
  </r>
  <r>
    <x v="0"/>
  </r>
  <r>
    <x v="0"/>
  </r>
  <r>
    <x v="0"/>
  </r>
  <r>
    <x v="1"/>
  </r>
  <r>
    <x v="2"/>
  </r>
  <r>
    <x v="2"/>
  </r>
  <r>
    <x v="3"/>
  </r>
  <r>
    <x v="4"/>
  </r>
  <r>
    <x v="4"/>
  </r>
  <r>
    <x v="5"/>
  </r>
  <r>
    <x v="1"/>
  </r>
  <r>
    <x v="2"/>
  </r>
  <r>
    <x v="3"/>
  </r>
  <r>
    <x v="4"/>
  </r>
  <r>
    <x v="2"/>
  </r>
  <r>
    <x v="3"/>
  </r>
  <r>
    <x v="6"/>
  </r>
  <r>
    <x v="4"/>
  </r>
  <r>
    <x v="4"/>
  </r>
  <r>
    <x v="5"/>
  </r>
  <r>
    <x v="5"/>
  </r>
  <r>
    <x v="1"/>
  </r>
  <r>
    <x v="2"/>
  </r>
  <r>
    <x v="2"/>
  </r>
  <r>
    <x v="3"/>
  </r>
  <r>
    <x v="4"/>
  </r>
  <r>
    <x v="4"/>
  </r>
  <r>
    <x v="5"/>
  </r>
  <r>
    <x v="1"/>
  </r>
  <r>
    <x v="2"/>
  </r>
  <r>
    <x v="3"/>
  </r>
  <r>
    <x v="4"/>
  </r>
  <r>
    <x v="1"/>
  </r>
  <r>
    <x v="3"/>
  </r>
  <r>
    <x v="4"/>
  </r>
  <r>
    <x v="5"/>
  </r>
  <r>
    <x v="1"/>
  </r>
  <r>
    <x v="2"/>
  </r>
  <r>
    <x v="4"/>
  </r>
  <r>
    <x v="5"/>
  </r>
  <r>
    <x v="1"/>
  </r>
  <r>
    <x v="2"/>
  </r>
  <r>
    <x v="4"/>
  </r>
  <r>
    <x v="2"/>
  </r>
  <r>
    <x v="3"/>
  </r>
  <r>
    <x v="4"/>
  </r>
  <r>
    <x v="4"/>
  </r>
  <r>
    <x v="5"/>
  </r>
  <r>
    <x v="5"/>
  </r>
  <r>
    <x v="1"/>
  </r>
  <r>
    <x v="2"/>
  </r>
  <r>
    <x v="4"/>
  </r>
  <r>
    <x v="5"/>
  </r>
  <r>
    <x v="1"/>
  </r>
  <r>
    <x v="2"/>
  </r>
  <r>
    <x v="3"/>
  </r>
  <r>
    <x v="3"/>
  </r>
  <r>
    <x v="3"/>
  </r>
  <r>
    <x v="4"/>
  </r>
  <r>
    <x v="4"/>
  </r>
  <r>
    <x v="3"/>
  </r>
  <r>
    <x v="4"/>
  </r>
  <r>
    <x v="4"/>
  </r>
  <r>
    <x v="5"/>
  </r>
  <r>
    <x v="1"/>
  </r>
  <r>
    <x v="3"/>
  </r>
  <r>
    <x v="5"/>
  </r>
  <r>
    <x v="3"/>
  </r>
  <r>
    <x v="4"/>
  </r>
  <r>
    <x v="4"/>
  </r>
  <r>
    <x v="5"/>
  </r>
  <r>
    <x v="4"/>
  </r>
  <r>
    <x v="1"/>
  </r>
  <r>
    <x v="3"/>
  </r>
  <r>
    <x v="3"/>
  </r>
  <r>
    <x v="4"/>
  </r>
  <r>
    <x v="1"/>
  </r>
  <r>
    <x v="2"/>
  </r>
  <r>
    <x v="2"/>
  </r>
  <r>
    <x v="3"/>
  </r>
  <r>
    <x v="5"/>
  </r>
  <r>
    <x v="1"/>
  </r>
  <r>
    <x v="2"/>
  </r>
  <r>
    <x v="2"/>
  </r>
  <r>
    <x v="3"/>
  </r>
  <r>
    <x v="4"/>
  </r>
  <r>
    <x v="1"/>
  </r>
  <r>
    <x v="3"/>
  </r>
  <r>
    <x v="4"/>
  </r>
  <r>
    <x v="4"/>
  </r>
  <r>
    <x v="5"/>
  </r>
  <r>
    <x v="3"/>
  </r>
  <r>
    <x v="4"/>
  </r>
  <r>
    <x v="3"/>
  </r>
  <r>
    <x v="4"/>
  </r>
  <r>
    <x v="4"/>
  </r>
  <r>
    <x v="1"/>
  </r>
  <r>
    <x v="2"/>
  </r>
  <r>
    <x v="5"/>
  </r>
  <r>
    <x v="1"/>
  </r>
  <r>
    <x v="2"/>
  </r>
  <r>
    <x v="2"/>
  </r>
  <r>
    <x v="3"/>
  </r>
  <r>
    <x v="4"/>
  </r>
  <r>
    <x v="4"/>
  </r>
  <r>
    <x v="5"/>
  </r>
  <r>
    <x v="3"/>
  </r>
  <r>
    <x v="4"/>
  </r>
  <r>
    <x v="3"/>
  </r>
  <r>
    <x v="4"/>
  </r>
  <r>
    <x v="4"/>
  </r>
  <r>
    <x v="1"/>
  </r>
  <r>
    <x v="3"/>
  </r>
  <r>
    <x v="3"/>
  </r>
  <r>
    <x v="7"/>
  </r>
  <r>
    <x v="5"/>
  </r>
  <r>
    <x v="2"/>
  </r>
  <r>
    <x v="3"/>
  </r>
  <r>
    <x v="4"/>
  </r>
  <r>
    <x v="5"/>
  </r>
  <r>
    <x v="1"/>
  </r>
  <r>
    <x v="3"/>
  </r>
  <r>
    <x v="4"/>
  </r>
  <r>
    <x v="4"/>
  </r>
  <r>
    <x v="5"/>
  </r>
  <r>
    <x v="1"/>
  </r>
  <r>
    <x v="3"/>
  </r>
  <r>
    <x v="4"/>
  </r>
  <r>
    <x v="5"/>
  </r>
  <r>
    <x v="1"/>
  </r>
  <r>
    <x v="3"/>
  </r>
  <r>
    <x v="7"/>
  </r>
  <r>
    <x v="5"/>
  </r>
  <r>
    <x v="3"/>
  </r>
  <r>
    <x v="6"/>
  </r>
  <r>
    <x v="4"/>
  </r>
  <r>
    <x v="7"/>
  </r>
  <r>
    <x v="5"/>
  </r>
  <r>
    <x v="1"/>
  </r>
  <r>
    <x v="3"/>
  </r>
  <r>
    <x v="4"/>
  </r>
  <r>
    <x v="5"/>
  </r>
  <r>
    <x v="3"/>
  </r>
  <r>
    <x v="4"/>
  </r>
  <r>
    <x v="1"/>
  </r>
  <r>
    <x v="3"/>
  </r>
  <r>
    <x v="4"/>
  </r>
  <r>
    <x v="7"/>
  </r>
  <r>
    <x v="5"/>
  </r>
  <r>
    <x v="3"/>
  </r>
  <r>
    <x v="6"/>
  </r>
  <r>
    <x v="7"/>
  </r>
  <r>
    <x v="1"/>
  </r>
  <r>
    <x v="3"/>
  </r>
  <r>
    <x v="6"/>
  </r>
  <r>
    <x v="4"/>
  </r>
  <r>
    <x v="5"/>
  </r>
  <r>
    <x v="5"/>
  </r>
  <r>
    <x v="3"/>
  </r>
  <r>
    <x v="3"/>
  </r>
  <r>
    <x v="1"/>
  </r>
  <r>
    <x v="3"/>
  </r>
  <r>
    <x v="4"/>
  </r>
  <r>
    <x v="3"/>
  </r>
  <r>
    <x v="6"/>
  </r>
  <r>
    <x v="5"/>
  </r>
  <r>
    <x v="1"/>
  </r>
  <r>
    <x v="3"/>
  </r>
  <r>
    <x v="6"/>
  </r>
  <r>
    <x v="4"/>
  </r>
  <r>
    <x v="5"/>
  </r>
  <r>
    <x v="5"/>
  </r>
  <r>
    <x v="1"/>
  </r>
  <r>
    <x v="2"/>
  </r>
  <r>
    <x v="3"/>
  </r>
  <r>
    <x v="4"/>
  </r>
  <r>
    <x v="5"/>
  </r>
  <r>
    <x v="3"/>
  </r>
  <r>
    <x v="4"/>
  </r>
  <r>
    <x v="5"/>
  </r>
  <r>
    <x v="1"/>
  </r>
  <r>
    <x v="4"/>
  </r>
  <r>
    <x v="7"/>
  </r>
  <r>
    <x v="6"/>
  </r>
  <r>
    <x v="5"/>
  </r>
  <r>
    <x v="2"/>
  </r>
  <r>
    <x v="5"/>
  </r>
  <r>
    <x v="5"/>
  </r>
  <r>
    <x v="1"/>
  </r>
  <r>
    <x v="3"/>
  </r>
  <r>
    <x v="4"/>
  </r>
  <r>
    <x v="5"/>
  </r>
  <r>
    <x v="5"/>
  </r>
  <r>
    <x v="3"/>
  </r>
  <r>
    <x v="4"/>
  </r>
  <r>
    <x v="7"/>
  </r>
  <r>
    <x v="5"/>
  </r>
  <r>
    <x v="3"/>
  </r>
  <r>
    <x v="6"/>
  </r>
  <r>
    <x v="4"/>
  </r>
  <r>
    <x v="5"/>
  </r>
  <r>
    <x v="2"/>
  </r>
  <r>
    <x v="3"/>
  </r>
  <r>
    <x v="4"/>
  </r>
  <r>
    <x v="5"/>
  </r>
  <r>
    <x v="5"/>
  </r>
  <r>
    <x v="6"/>
  </r>
  <r>
    <x v="3"/>
  </r>
  <r>
    <x v="4"/>
  </r>
  <r>
    <x v="5"/>
  </r>
  <r>
    <x v="6"/>
  </r>
  <r>
    <x v="3"/>
  </r>
  <r>
    <x v="4"/>
  </r>
  <r>
    <x v="5"/>
  </r>
  <r>
    <x v="5"/>
  </r>
  <r>
    <x v="1"/>
  </r>
  <r>
    <x v="3"/>
  </r>
  <r>
    <x v="3"/>
  </r>
  <r>
    <x v="4"/>
  </r>
  <r>
    <x v="2"/>
  </r>
  <r>
    <x v="3"/>
  </r>
  <r>
    <x v="5"/>
  </r>
  <r>
    <x v="5"/>
  </r>
  <r>
    <x v="6"/>
  </r>
  <r>
    <x v="3"/>
  </r>
  <r>
    <x v="4"/>
  </r>
  <r>
    <x v="5"/>
  </r>
  <r>
    <x v="5"/>
  </r>
  <r>
    <x v="4"/>
  </r>
  <r>
    <x v="5"/>
  </r>
  <r>
    <x v="1"/>
  </r>
  <r>
    <x v="5"/>
  </r>
  <r>
    <x v="5"/>
  </r>
  <r>
    <x v="1"/>
  </r>
  <r>
    <x v="2"/>
  </r>
  <r>
    <x v="3"/>
  </r>
  <r>
    <x v="6"/>
  </r>
  <r>
    <x v="4"/>
  </r>
  <r>
    <x v="5"/>
  </r>
  <r>
    <x v="5"/>
  </r>
  <r>
    <x v="3"/>
  </r>
  <r>
    <x v="4"/>
  </r>
  <r>
    <x v="6"/>
  </r>
  <r>
    <x v="5"/>
  </r>
  <r>
    <x v="1"/>
  </r>
  <r>
    <x v="6"/>
  </r>
  <r>
    <x v="4"/>
  </r>
  <r>
    <x v="5"/>
  </r>
  <r>
    <x v="5"/>
  </r>
  <r>
    <x v="6"/>
  </r>
  <r>
    <x v="5"/>
  </r>
  <r>
    <x v="2"/>
  </r>
  <r>
    <x v="5"/>
  </r>
  <r>
    <x v="1"/>
  </r>
  <r>
    <x v="4"/>
  </r>
  <r>
    <x v="5"/>
  </r>
  <r>
    <x v="1"/>
  </r>
  <r>
    <x v="6"/>
  </r>
  <r>
    <x v="3"/>
  </r>
  <r>
    <x v="4"/>
  </r>
  <r>
    <x v="5"/>
  </r>
  <r>
    <x v="5"/>
  </r>
  <r>
    <x v="6"/>
  </r>
  <r>
    <x v="4"/>
  </r>
  <r>
    <x v="5"/>
  </r>
  <r>
    <x v="8"/>
  </r>
  <r>
    <x v="6"/>
  </r>
  <r>
    <x v="4"/>
  </r>
  <r>
    <x v="5"/>
  </r>
  <r>
    <x v="5"/>
  </r>
  <r>
    <x v="6"/>
  </r>
  <r>
    <x v="4"/>
  </r>
  <r>
    <x v="5"/>
  </r>
  <r>
    <x v="1"/>
  </r>
  <r>
    <x v="3"/>
  </r>
  <r>
    <x v="4"/>
  </r>
  <r>
    <x v="5"/>
  </r>
  <r>
    <x v="5"/>
  </r>
  <r>
    <x v="6"/>
  </r>
  <r>
    <x v="3"/>
  </r>
  <r>
    <x v="5"/>
  </r>
  <r>
    <x v="5"/>
  </r>
  <r>
    <x v="8"/>
  </r>
  <r>
    <x v="6"/>
  </r>
  <r>
    <x v="4"/>
  </r>
  <r>
    <x v="8"/>
  </r>
  <r>
    <x v="1"/>
  </r>
  <r>
    <x v="6"/>
  </r>
  <r>
    <x v="3"/>
  </r>
  <r>
    <x v="4"/>
  </r>
  <r>
    <x v="4"/>
  </r>
  <r>
    <x v="5"/>
  </r>
  <r>
    <x v="1"/>
  </r>
  <r>
    <x v="6"/>
  </r>
  <r>
    <x v="3"/>
  </r>
  <r>
    <x v="4"/>
  </r>
  <r>
    <x v="5"/>
  </r>
  <r>
    <x v="5"/>
  </r>
  <r>
    <x v="1"/>
  </r>
  <r>
    <x v="6"/>
  </r>
  <r>
    <x v="3"/>
  </r>
  <r>
    <x v="5"/>
  </r>
  <r>
    <x v="3"/>
  </r>
  <r>
    <x v="5"/>
  </r>
  <r>
    <x v="5"/>
  </r>
  <r>
    <x v="8"/>
  </r>
  <r>
    <x v="1"/>
  </r>
  <r>
    <x v="6"/>
  </r>
  <r>
    <x v="5"/>
  </r>
  <r>
    <x v="5"/>
  </r>
  <r>
    <x v="8"/>
  </r>
  <r>
    <x v="1"/>
  </r>
  <r>
    <x v="6"/>
  </r>
  <r>
    <x v="4"/>
  </r>
  <r>
    <x v="5"/>
  </r>
  <r>
    <x v="1"/>
  </r>
  <r>
    <x v="6"/>
  </r>
  <r>
    <x v="5"/>
  </r>
  <r>
    <x v="3"/>
  </r>
  <r>
    <x v="4"/>
  </r>
  <r>
    <x v="8"/>
  </r>
  <r>
    <x v="4"/>
  </r>
  <r>
    <x v="4"/>
  </r>
  <r>
    <x v="5"/>
  </r>
  <r>
    <x v="5"/>
  </r>
  <r>
    <x v="8"/>
  </r>
  <r>
    <x v="1"/>
  </r>
  <r>
    <x v="6"/>
  </r>
  <r>
    <x v="4"/>
  </r>
  <r>
    <x v="4"/>
  </r>
  <r>
    <x v="5"/>
  </r>
  <r>
    <x v="8"/>
  </r>
  <r>
    <x v="1"/>
  </r>
  <r>
    <x v="2"/>
  </r>
  <r>
    <x v="3"/>
  </r>
  <r>
    <x v="4"/>
  </r>
  <r>
    <x v="4"/>
  </r>
  <r>
    <x v="5"/>
  </r>
  <r>
    <x v="6"/>
  </r>
  <r>
    <x v="3"/>
  </r>
  <r>
    <x v="5"/>
  </r>
  <r>
    <x v="6"/>
  </r>
  <r>
    <x v="3"/>
  </r>
  <r>
    <x v="4"/>
  </r>
  <r>
    <x v="4"/>
  </r>
  <r>
    <x v="5"/>
  </r>
  <r>
    <x v="8"/>
  </r>
  <r>
    <x v="1"/>
  </r>
  <r>
    <x v="3"/>
  </r>
  <r>
    <x v="4"/>
  </r>
  <r>
    <x v="5"/>
  </r>
  <r>
    <x v="2"/>
  </r>
  <r>
    <x v="6"/>
  </r>
  <r>
    <x v="4"/>
  </r>
  <r>
    <x v="5"/>
  </r>
  <r>
    <x v="5"/>
  </r>
  <r>
    <x v="8"/>
  </r>
  <r>
    <x v="1"/>
  </r>
  <r>
    <x v="6"/>
  </r>
  <r>
    <x v="4"/>
  </r>
  <r>
    <x v="4"/>
  </r>
  <r>
    <x v="8"/>
  </r>
  <r>
    <x v="3"/>
  </r>
  <r>
    <x v="4"/>
  </r>
  <r>
    <x v="4"/>
  </r>
  <r>
    <x v="5"/>
  </r>
  <r>
    <x v="5"/>
  </r>
  <r>
    <x v="8"/>
  </r>
  <r>
    <x v="6"/>
  </r>
  <r>
    <x v="3"/>
  </r>
  <r>
    <x v="4"/>
  </r>
  <r>
    <x v="4"/>
  </r>
  <r>
    <x v="5"/>
  </r>
  <r>
    <x v="8"/>
  </r>
  <r>
    <x v="1"/>
  </r>
  <r>
    <x v="2"/>
  </r>
  <r>
    <x v="6"/>
  </r>
  <r>
    <x v="4"/>
  </r>
  <r>
    <x v="5"/>
  </r>
  <r>
    <x v="5"/>
  </r>
  <r>
    <x v="8"/>
  </r>
  <r>
    <x v="3"/>
  </r>
  <r>
    <x v="1"/>
  </r>
  <r>
    <x v="2"/>
  </r>
  <r>
    <x v="3"/>
  </r>
  <r>
    <x v="4"/>
  </r>
  <r>
    <x v="4"/>
  </r>
  <r>
    <x v="5"/>
  </r>
  <r>
    <x v="4"/>
  </r>
  <r>
    <x v="8"/>
  </r>
  <r>
    <x v="6"/>
  </r>
  <r>
    <x v="3"/>
  </r>
  <r>
    <x v="4"/>
  </r>
  <r>
    <x v="4"/>
  </r>
  <r>
    <x v="8"/>
  </r>
  <r>
    <x v="6"/>
  </r>
  <r>
    <x v="3"/>
  </r>
  <r>
    <x v="4"/>
  </r>
  <r>
    <x v="5"/>
  </r>
  <r>
    <x v="8"/>
  </r>
  <r>
    <x v="6"/>
  </r>
  <r>
    <x v="4"/>
  </r>
  <r>
    <x v="4"/>
  </r>
  <r>
    <x v="5"/>
  </r>
  <r>
    <x v="8"/>
  </r>
  <r>
    <x v="2"/>
  </r>
  <r>
    <x v="3"/>
  </r>
  <r>
    <x v="4"/>
  </r>
  <r>
    <x v="4"/>
  </r>
  <r>
    <x v="5"/>
  </r>
  <r>
    <x v="5"/>
  </r>
  <r>
    <x v="2"/>
  </r>
  <r>
    <x v="6"/>
  </r>
  <r>
    <x v="4"/>
  </r>
  <r>
    <x v="3"/>
  </r>
  <r>
    <x v="5"/>
  </r>
  <r>
    <x v="8"/>
  </r>
  <r>
    <x v="1"/>
  </r>
  <r>
    <x v="2"/>
  </r>
  <r>
    <x v="4"/>
  </r>
  <r>
    <x v="4"/>
  </r>
  <r>
    <x v="5"/>
  </r>
  <r>
    <x v="5"/>
  </r>
  <r>
    <x v="8"/>
  </r>
  <r>
    <x v="1"/>
  </r>
  <r>
    <x v="4"/>
  </r>
  <r>
    <x v="5"/>
  </r>
  <r>
    <x v="8"/>
  </r>
  <r>
    <x v="2"/>
  </r>
  <r>
    <x v="4"/>
  </r>
  <r>
    <x v="4"/>
  </r>
  <r>
    <x v="5"/>
  </r>
  <r>
    <x v="8"/>
  </r>
  <r>
    <x v="1"/>
  </r>
  <r>
    <x v="2"/>
  </r>
  <r>
    <x v="6"/>
  </r>
  <r>
    <x v="3"/>
  </r>
  <r>
    <x v="4"/>
  </r>
  <r>
    <x v="5"/>
  </r>
  <r>
    <x v="5"/>
  </r>
  <r>
    <x v="8"/>
  </r>
  <r>
    <x v="1"/>
  </r>
  <r>
    <x v="2"/>
  </r>
  <r>
    <x v="6"/>
  </r>
  <r>
    <x v="4"/>
  </r>
  <r>
    <x v="4"/>
  </r>
  <r>
    <x v="5"/>
  </r>
  <r>
    <x v="4"/>
  </r>
  <r>
    <x v="2"/>
  </r>
  <r>
    <x v="6"/>
  </r>
  <r>
    <x v="3"/>
  </r>
  <r>
    <x v="4"/>
  </r>
  <r>
    <x v="4"/>
  </r>
  <r>
    <x v="5"/>
  </r>
  <r>
    <x v="5"/>
  </r>
  <r>
    <x v="8"/>
  </r>
  <r>
    <x v="1"/>
  </r>
  <r>
    <x v="2"/>
  </r>
  <r>
    <x v="6"/>
  </r>
  <r>
    <x v="3"/>
  </r>
  <r>
    <x v="4"/>
  </r>
  <r>
    <x v="4"/>
  </r>
  <r>
    <x v="1"/>
  </r>
  <r>
    <x v="6"/>
  </r>
  <r>
    <x v="4"/>
  </r>
  <r>
    <x v="5"/>
  </r>
  <r>
    <x v="8"/>
  </r>
  <r>
    <x v="2"/>
  </r>
  <r>
    <x v="3"/>
  </r>
  <r>
    <x v="1"/>
  </r>
  <r>
    <x v="2"/>
  </r>
  <r>
    <x v="4"/>
  </r>
  <r>
    <x v="5"/>
  </r>
  <r>
    <x v="1"/>
  </r>
  <r>
    <x v="6"/>
  </r>
  <r>
    <x v="4"/>
  </r>
  <r>
    <x v="4"/>
  </r>
  <r>
    <x v="5"/>
  </r>
  <r>
    <x v="1"/>
  </r>
  <r>
    <x v="2"/>
  </r>
  <r>
    <x v="3"/>
  </r>
  <r>
    <x v="4"/>
  </r>
  <r>
    <x v="4"/>
  </r>
  <r>
    <x v="5"/>
  </r>
  <r>
    <x v="8"/>
  </r>
  <r>
    <x v="1"/>
  </r>
  <r>
    <x v="6"/>
  </r>
  <r>
    <x v="3"/>
  </r>
  <r>
    <x v="4"/>
  </r>
  <r>
    <x v="4"/>
  </r>
  <r>
    <x v="5"/>
  </r>
  <r>
    <x v="5"/>
  </r>
  <r>
    <x v="1"/>
  </r>
  <r>
    <x v="2"/>
  </r>
  <r>
    <x v="6"/>
  </r>
  <r>
    <x v="3"/>
  </r>
  <r>
    <x v="4"/>
  </r>
  <r>
    <x v="5"/>
  </r>
  <r>
    <x v="1"/>
  </r>
  <r>
    <x v="2"/>
  </r>
  <r>
    <x v="6"/>
  </r>
  <r>
    <x v="5"/>
  </r>
  <r>
    <x v="1"/>
  </r>
  <r>
    <x v="6"/>
  </r>
  <r>
    <x v="3"/>
  </r>
  <r>
    <x v="4"/>
  </r>
  <r>
    <x v="4"/>
  </r>
  <r>
    <x v="1"/>
  </r>
  <r>
    <x v="6"/>
  </r>
  <r>
    <x v="3"/>
  </r>
  <r>
    <x v="4"/>
  </r>
  <r>
    <x v="5"/>
  </r>
  <r>
    <x v="5"/>
  </r>
  <r>
    <x v="1"/>
  </r>
  <r>
    <x v="6"/>
  </r>
  <r>
    <x v="4"/>
  </r>
  <r>
    <x v="5"/>
  </r>
  <r>
    <x v="1"/>
  </r>
  <r>
    <x v="2"/>
  </r>
  <r>
    <x v="3"/>
  </r>
  <r>
    <x v="4"/>
  </r>
  <r>
    <x v="5"/>
  </r>
  <r>
    <x v="5"/>
  </r>
  <r>
    <x v="1"/>
  </r>
  <r>
    <x v="6"/>
  </r>
  <r>
    <x v="4"/>
  </r>
  <r>
    <x v="5"/>
  </r>
  <r>
    <x v="5"/>
  </r>
  <r>
    <x v="8"/>
  </r>
  <r>
    <x v="1"/>
  </r>
  <r>
    <x v="2"/>
  </r>
  <r>
    <x v="4"/>
  </r>
  <r>
    <x v="5"/>
  </r>
  <r>
    <x v="5"/>
  </r>
  <r>
    <x v="8"/>
  </r>
  <r>
    <x v="2"/>
  </r>
  <r>
    <x v="6"/>
  </r>
  <r>
    <x v="3"/>
  </r>
  <r>
    <x v="4"/>
  </r>
  <r>
    <x v="4"/>
  </r>
  <r>
    <x v="5"/>
  </r>
  <r>
    <x v="2"/>
  </r>
  <r>
    <x v="3"/>
  </r>
  <r>
    <x v="5"/>
  </r>
  <r>
    <x v="1"/>
  </r>
  <r>
    <x v="2"/>
  </r>
  <r>
    <x v="2"/>
  </r>
  <r>
    <x v="4"/>
  </r>
  <r>
    <x v="5"/>
  </r>
  <r>
    <x v="5"/>
  </r>
  <r>
    <x v="8"/>
  </r>
  <r>
    <x v="1"/>
  </r>
  <r>
    <x v="6"/>
  </r>
  <r>
    <x v="4"/>
  </r>
  <r>
    <x v="5"/>
  </r>
  <r>
    <x v="5"/>
  </r>
  <r>
    <x v="8"/>
  </r>
  <r>
    <x v="1"/>
  </r>
  <r>
    <x v="2"/>
  </r>
  <r>
    <x v="6"/>
  </r>
  <r>
    <x v="4"/>
  </r>
  <r>
    <x v="4"/>
  </r>
  <r>
    <x v="1"/>
  </r>
  <r>
    <x v="2"/>
  </r>
  <r>
    <x v="4"/>
  </r>
  <r>
    <x v="4"/>
  </r>
  <r>
    <x v="5"/>
  </r>
  <r>
    <x v="2"/>
  </r>
  <r>
    <x v="2"/>
  </r>
  <r>
    <x v="3"/>
  </r>
  <r>
    <x v="4"/>
  </r>
  <r>
    <x v="4"/>
  </r>
  <r>
    <x v="5"/>
  </r>
  <r>
    <x v="5"/>
  </r>
  <r>
    <x v="1"/>
  </r>
  <r>
    <x v="2"/>
  </r>
  <r>
    <x v="4"/>
  </r>
  <r>
    <x v="5"/>
  </r>
  <r>
    <x v="8"/>
  </r>
  <r>
    <x v="1"/>
  </r>
  <r>
    <x v="2"/>
  </r>
  <r>
    <x v="6"/>
  </r>
  <r>
    <x v="3"/>
  </r>
  <r>
    <x v="4"/>
  </r>
  <r>
    <x v="1"/>
  </r>
  <r>
    <x v="2"/>
  </r>
  <r>
    <x v="6"/>
  </r>
  <r>
    <x v="3"/>
  </r>
  <r>
    <x v="4"/>
  </r>
  <r>
    <x v="4"/>
  </r>
  <r>
    <x v="5"/>
  </r>
  <r>
    <x v="9"/>
  </r>
  <r>
    <x v="9"/>
  </r>
  <r>
    <x v="9"/>
  </r>
  <r>
    <x v="9"/>
  </r>
  <r>
    <x v="9"/>
  </r>
  <r>
    <x v="9"/>
  </r>
  <r>
    <x v="9"/>
  </r>
  <r>
    <x v="9"/>
  </r>
  <r>
    <x v="9"/>
  </r>
  <r>
    <x v="9"/>
  </r>
  <r>
    <x v="9"/>
  </r>
  <r>
    <x v="9"/>
  </r>
  <r>
    <x v="9"/>
  </r>
  <r>
    <x v="9"/>
  </r>
  <r>
    <x v="9"/>
  </r>
  <r>
    <x v="2"/>
  </r>
  <r>
    <x v="9"/>
  </r>
  <r>
    <x v="9"/>
  </r>
  <r>
    <x v="9"/>
  </r>
  <r>
    <x v="9"/>
  </r>
  <r>
    <x v="2"/>
  </r>
  <r>
    <x v="10"/>
  </r>
  <r>
    <x v="9"/>
  </r>
  <r>
    <x v="2"/>
  </r>
  <r>
    <x v="9"/>
  </r>
  <r>
    <x v="9"/>
  </r>
  <r>
    <x v="2"/>
  </r>
  <r>
    <x v="9"/>
  </r>
  <r>
    <x v="10"/>
  </r>
  <r>
    <x v="9"/>
  </r>
  <r>
    <x v="9"/>
  </r>
  <r>
    <x v="9"/>
  </r>
  <r>
    <x v="9"/>
  </r>
  <r>
    <x v="10"/>
  </r>
  <r>
    <x v="9"/>
  </r>
  <r>
    <x v="2"/>
  </r>
  <r>
    <x v="2"/>
  </r>
  <r>
    <x v="9"/>
  </r>
  <r>
    <x v="2"/>
  </r>
  <r>
    <x v="10"/>
  </r>
  <r>
    <x v="10"/>
  </r>
  <r>
    <x v="9"/>
  </r>
  <r>
    <x v="9"/>
  </r>
  <r>
    <x v="2"/>
  </r>
  <r>
    <x v="2"/>
  </r>
  <r>
    <x v="10"/>
  </r>
  <r>
    <x v="9"/>
  </r>
  <r>
    <x v="10"/>
  </r>
  <r>
    <x v="9"/>
  </r>
  <r>
    <x v="2"/>
  </r>
  <r>
    <x v="10"/>
  </r>
  <r>
    <x v="10"/>
  </r>
  <r>
    <x v="9"/>
  </r>
  <r>
    <x v="9"/>
  </r>
  <r>
    <x v="10"/>
  </r>
  <r>
    <x v="10"/>
  </r>
  <r>
    <x v="9"/>
  </r>
  <r>
    <x v="2"/>
  </r>
  <r>
    <x v="9"/>
  </r>
  <r>
    <x v="10"/>
  </r>
  <r>
    <x v="9"/>
  </r>
  <r>
    <x v="10"/>
  </r>
  <r>
    <x v="10"/>
  </r>
  <r>
    <x v="9"/>
  </r>
  <r>
    <x v="10"/>
  </r>
  <r>
    <x v="10"/>
  </r>
  <r>
    <x v="10"/>
  </r>
  <r>
    <x v="9"/>
  </r>
  <r>
    <x v="10"/>
  </r>
  <r>
    <x v="9"/>
  </r>
  <r>
    <x v="10"/>
  </r>
  <r>
    <x v="9"/>
  </r>
  <r>
    <x v="10"/>
  </r>
  <r>
    <x v="10"/>
  </r>
  <r>
    <x v="10"/>
  </r>
  <r>
    <x v="10"/>
  </r>
  <r>
    <x v="9"/>
  </r>
  <r>
    <x v="9"/>
  </r>
  <r>
    <x v="9"/>
  </r>
  <r>
    <x v="1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r>
  <r>
    <x v="0"/>
  </r>
  <r>
    <x v="1"/>
  </r>
  <r>
    <x v="0"/>
  </r>
  <r>
    <x v="0"/>
  </r>
  <r>
    <x v="1"/>
  </r>
  <r>
    <x v="0"/>
  </r>
  <r>
    <x v="1"/>
  </r>
  <r>
    <x v="1"/>
  </r>
  <r>
    <x v="0"/>
  </r>
  <r>
    <x v="1"/>
  </r>
  <r>
    <x v="0"/>
  </r>
  <r>
    <x v="0"/>
  </r>
  <r>
    <x v="0"/>
  </r>
  <r>
    <x v="0"/>
  </r>
  <r>
    <x v="0"/>
  </r>
  <r>
    <x v="0"/>
  </r>
  <r>
    <x v="0"/>
  </r>
  <r>
    <x v="0"/>
  </r>
  <r>
    <x v="0"/>
  </r>
  <r>
    <x v="0"/>
  </r>
  <r>
    <x v="1"/>
  </r>
  <r>
    <x v="0"/>
  </r>
  <r>
    <x v="0"/>
  </r>
  <r>
    <x v="0"/>
  </r>
  <r>
    <x v="1"/>
  </r>
  <r>
    <x v="0"/>
  </r>
  <r>
    <x v="0"/>
  </r>
  <r>
    <x v="0"/>
  </r>
  <r>
    <x v="0"/>
  </r>
  <r>
    <x v="0"/>
  </r>
  <r>
    <x v="0"/>
  </r>
  <r>
    <x v="0"/>
  </r>
  <r>
    <x v="0"/>
  </r>
  <r>
    <x v="0"/>
  </r>
  <r>
    <x v="0"/>
  </r>
  <r>
    <x v="1"/>
  </r>
  <r>
    <x v="0"/>
  </r>
  <r>
    <x v="0"/>
  </r>
  <r>
    <x v="0"/>
  </r>
  <r>
    <x v="0"/>
  </r>
  <r>
    <x v="0"/>
  </r>
  <r>
    <x v="1"/>
  </r>
  <r>
    <x v="0"/>
  </r>
  <r>
    <x v="1"/>
  </r>
  <r>
    <x v="0"/>
  </r>
  <r>
    <x v="0"/>
  </r>
  <r>
    <x v="0"/>
  </r>
  <r>
    <x v="1"/>
  </r>
  <r>
    <x v="0"/>
  </r>
  <r>
    <x v="1"/>
  </r>
  <r>
    <x v="1"/>
  </r>
  <r>
    <x v="0"/>
  </r>
  <r>
    <x v="0"/>
  </r>
  <r>
    <x v="1"/>
  </r>
  <r>
    <x v="1"/>
  </r>
  <r>
    <x v="0"/>
  </r>
  <r>
    <x v="0"/>
  </r>
  <r>
    <x v="0"/>
  </r>
  <r>
    <x v="0"/>
  </r>
  <r>
    <x v="1"/>
  </r>
  <r>
    <x v="0"/>
  </r>
  <r>
    <x v="0"/>
  </r>
  <r>
    <x v="0"/>
  </r>
  <r>
    <x v="0"/>
  </r>
  <r>
    <x v="1"/>
  </r>
  <r>
    <x v="0"/>
  </r>
  <r>
    <x v="0"/>
  </r>
  <r>
    <x v="0"/>
  </r>
  <r>
    <x v="1"/>
  </r>
  <r>
    <x v="0"/>
  </r>
  <r>
    <x v="1"/>
  </r>
  <r>
    <x v="0"/>
  </r>
  <r>
    <x v="0"/>
  </r>
  <r>
    <x v="0"/>
  </r>
  <r>
    <x v="0"/>
  </r>
  <r>
    <x v="0"/>
  </r>
  <r>
    <x v="0"/>
  </r>
  <r>
    <x v="1"/>
  </r>
  <r>
    <x v="1"/>
  </r>
  <r>
    <x v="0"/>
  </r>
  <r>
    <x v="0"/>
  </r>
  <r>
    <x v="0"/>
  </r>
  <r>
    <x v="0"/>
  </r>
  <r>
    <x v="1"/>
  </r>
  <r>
    <x v="1"/>
  </r>
  <r>
    <x v="0"/>
  </r>
  <r>
    <x v="1"/>
  </r>
  <r>
    <x v="1"/>
  </r>
  <r>
    <x v="0"/>
  </r>
  <r>
    <x v="0"/>
  </r>
  <r>
    <x v="0"/>
  </r>
  <r>
    <x v="0"/>
  </r>
  <r>
    <x v="1"/>
  </r>
  <r>
    <x v="0"/>
  </r>
  <r>
    <x v="0"/>
  </r>
  <r>
    <x v="1"/>
  </r>
  <r>
    <x v="1"/>
  </r>
  <r>
    <x v="0"/>
  </r>
  <r>
    <x v="0"/>
  </r>
  <r>
    <x v="0"/>
  </r>
  <r>
    <x v="0"/>
  </r>
  <r>
    <x v="0"/>
  </r>
  <r>
    <x v="0"/>
  </r>
  <r>
    <x v="1"/>
  </r>
  <r>
    <x v="0"/>
  </r>
  <r>
    <x v="1"/>
  </r>
  <r>
    <x v="0"/>
  </r>
  <r>
    <x v="0"/>
  </r>
  <r>
    <x v="0"/>
  </r>
  <r>
    <x v="0"/>
  </r>
  <r>
    <x v="0"/>
  </r>
  <r>
    <x v="0"/>
  </r>
  <r>
    <x v="1"/>
  </r>
  <r>
    <x v="1"/>
  </r>
  <r>
    <x v="0"/>
  </r>
  <r>
    <x v="0"/>
  </r>
  <r>
    <x v="1"/>
  </r>
  <r>
    <x v="1"/>
  </r>
  <r>
    <x v="0"/>
  </r>
  <r>
    <x v="0"/>
  </r>
  <r>
    <x v="0"/>
  </r>
  <r>
    <x v="0"/>
  </r>
  <r>
    <x v="0"/>
  </r>
  <r>
    <x v="0"/>
  </r>
  <r>
    <x v="0"/>
  </r>
  <r>
    <x v="0"/>
  </r>
  <r>
    <x v="0"/>
  </r>
  <r>
    <x v="0"/>
  </r>
  <r>
    <x v="0"/>
  </r>
  <r>
    <x v="0"/>
  </r>
  <r>
    <x v="1"/>
  </r>
  <r>
    <x v="0"/>
  </r>
  <r>
    <x v="1"/>
  </r>
  <r>
    <x v="0"/>
  </r>
  <r>
    <x v="1"/>
  </r>
  <r>
    <x v="0"/>
  </r>
  <r>
    <x v="0"/>
  </r>
  <r>
    <x v="1"/>
  </r>
  <r>
    <x v="0"/>
  </r>
  <r>
    <x v="1"/>
  </r>
  <r>
    <x v="1"/>
  </r>
  <r>
    <x v="0"/>
  </r>
  <r>
    <x v="0"/>
  </r>
  <r>
    <x v="1"/>
  </r>
  <r>
    <x v="0"/>
  </r>
  <r>
    <x v="1"/>
  </r>
  <r>
    <x v="0"/>
  </r>
  <r>
    <x v="1"/>
  </r>
  <r>
    <x v="0"/>
  </r>
  <r>
    <x v="0"/>
  </r>
  <r>
    <x v="0"/>
  </r>
  <r>
    <x v="0"/>
  </r>
  <r>
    <x v="0"/>
  </r>
  <r>
    <x v="0"/>
  </r>
  <r>
    <x v="0"/>
  </r>
  <r>
    <x v="0"/>
  </r>
  <r>
    <x v="0"/>
  </r>
  <r>
    <x v="0"/>
  </r>
  <r>
    <x v="0"/>
  </r>
  <r>
    <x v="0"/>
  </r>
  <r>
    <x v="0"/>
  </r>
  <r>
    <x v="0"/>
  </r>
  <r>
    <x v="1"/>
  </r>
  <r>
    <x v="0"/>
  </r>
  <r>
    <x v="0"/>
  </r>
  <r>
    <x v="1"/>
  </r>
  <r>
    <x v="1"/>
  </r>
  <r>
    <x v="0"/>
  </r>
  <r>
    <x v="0"/>
  </r>
  <r>
    <x v="0"/>
  </r>
  <r>
    <x v="0"/>
  </r>
  <r>
    <x v="0"/>
  </r>
  <r>
    <x v="0"/>
  </r>
  <r>
    <x v="1"/>
  </r>
  <r>
    <x v="0"/>
  </r>
  <r>
    <x v="0"/>
  </r>
  <r>
    <x v="0"/>
  </r>
  <r>
    <x v="0"/>
  </r>
  <r>
    <x v="0"/>
  </r>
  <r>
    <x v="0"/>
  </r>
  <r>
    <x v="0"/>
  </r>
  <r>
    <x v="0"/>
  </r>
  <r>
    <x v="0"/>
  </r>
  <r>
    <x v="0"/>
  </r>
  <r>
    <x v="0"/>
  </r>
  <r>
    <x v="0"/>
  </r>
  <r>
    <x v="0"/>
  </r>
  <r>
    <x v="0"/>
  </r>
  <r>
    <x v="1"/>
  </r>
  <r>
    <x v="0"/>
  </r>
  <r>
    <x v="0"/>
  </r>
  <r>
    <x v="1"/>
  </r>
  <r>
    <x v="0"/>
  </r>
  <r>
    <x v="0"/>
  </r>
  <r>
    <x v="0"/>
  </r>
  <r>
    <x v="0"/>
  </r>
  <r>
    <x v="1"/>
  </r>
  <r>
    <x v="1"/>
  </r>
  <r>
    <x v="0"/>
  </r>
  <r>
    <x v="0"/>
  </r>
  <r>
    <x v="0"/>
  </r>
  <r>
    <x v="1"/>
  </r>
  <r>
    <x v="0"/>
  </r>
  <r>
    <x v="0"/>
  </r>
  <r>
    <x v="0"/>
  </r>
  <r>
    <x v="1"/>
  </r>
  <r>
    <x v="1"/>
  </r>
  <r>
    <x v="0"/>
  </r>
  <r>
    <x v="0"/>
  </r>
  <r>
    <x v="0"/>
  </r>
  <r>
    <x v="0"/>
  </r>
  <r>
    <x v="1"/>
  </r>
  <r>
    <x v="0"/>
  </r>
  <r>
    <x v="0"/>
  </r>
  <r>
    <x v="0"/>
  </r>
  <r>
    <x v="0"/>
  </r>
  <r>
    <x v="0"/>
  </r>
  <r>
    <x v="1"/>
  </r>
  <r>
    <x v="0"/>
  </r>
  <r>
    <x v="0"/>
  </r>
  <r>
    <x v="0"/>
  </r>
  <r>
    <x v="1"/>
  </r>
  <r>
    <x v="0"/>
  </r>
  <r>
    <x v="0"/>
  </r>
  <r>
    <x v="0"/>
  </r>
  <r>
    <x v="0"/>
  </r>
  <r>
    <x v="1"/>
  </r>
  <r>
    <x v="1"/>
  </r>
  <r>
    <x v="0"/>
  </r>
  <r>
    <x v="0"/>
  </r>
  <r>
    <x v="0"/>
  </r>
  <r>
    <x v="0"/>
  </r>
  <r>
    <x v="1"/>
  </r>
  <r>
    <x v="0"/>
  </r>
  <r>
    <x v="1"/>
  </r>
  <r>
    <x v="0"/>
  </r>
  <r>
    <x v="0"/>
  </r>
  <r>
    <x v="0"/>
  </r>
  <r>
    <x v="1"/>
  </r>
  <r>
    <x v="1"/>
  </r>
  <r>
    <x v="1"/>
  </r>
  <r>
    <x v="1"/>
  </r>
  <r>
    <x v="0"/>
  </r>
  <r>
    <x v="1"/>
  </r>
  <r>
    <x v="0"/>
  </r>
  <r>
    <x v="0"/>
  </r>
  <r>
    <x v="1"/>
  </r>
  <r>
    <x v="1"/>
  </r>
  <r>
    <x v="0"/>
  </r>
  <r>
    <x v="1"/>
  </r>
  <r>
    <x v="0"/>
  </r>
  <r>
    <x v="0"/>
  </r>
  <r>
    <x v="1"/>
  </r>
  <r>
    <x v="0"/>
  </r>
  <r>
    <x v="0"/>
  </r>
  <r>
    <x v="0"/>
  </r>
  <r>
    <x v="0"/>
  </r>
  <r>
    <x v="1"/>
  </r>
  <r>
    <x v="0"/>
  </r>
  <r>
    <x v="1"/>
  </r>
  <r>
    <x v="1"/>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0"/>
  </r>
  <r>
    <x v="0"/>
  </r>
  <r>
    <x v="1"/>
  </r>
  <r>
    <x v="0"/>
  </r>
  <r>
    <x v="0"/>
  </r>
  <r>
    <x v="0"/>
  </r>
  <r>
    <x v="0"/>
  </r>
  <r>
    <x v="0"/>
  </r>
  <r>
    <x v="0"/>
  </r>
  <r>
    <x v="1"/>
  </r>
  <r>
    <x v="1"/>
  </r>
  <r>
    <x v="0"/>
  </r>
  <r>
    <x v="0"/>
  </r>
  <r>
    <x v="1"/>
  </r>
  <r>
    <x v="0"/>
  </r>
  <r>
    <x v="0"/>
  </r>
  <r>
    <x v="1"/>
  </r>
  <r>
    <x v="0"/>
  </r>
  <r>
    <x v="0"/>
  </r>
  <r>
    <x v="0"/>
  </r>
  <r>
    <x v="0"/>
  </r>
  <r>
    <x v="0"/>
  </r>
  <r>
    <x v="1"/>
  </r>
  <r>
    <x v="1"/>
  </r>
  <r>
    <x v="0"/>
  </r>
  <r>
    <x v="0"/>
  </r>
  <r>
    <x v="0"/>
  </r>
  <r>
    <x v="0"/>
  </r>
  <r>
    <x v="0"/>
  </r>
  <r>
    <x v="0"/>
  </r>
  <r>
    <x v="0"/>
  </r>
  <r>
    <x v="0"/>
  </r>
  <r>
    <x v="1"/>
  </r>
  <r>
    <x v="0"/>
  </r>
  <r>
    <x v="1"/>
  </r>
  <r>
    <x v="0"/>
  </r>
  <r>
    <x v="0"/>
  </r>
  <r>
    <x v="1"/>
  </r>
  <r>
    <x v="1"/>
  </r>
  <r>
    <x v="0"/>
  </r>
  <r>
    <x v="1"/>
  </r>
  <r>
    <x v="1"/>
  </r>
  <r>
    <x v="0"/>
  </r>
  <r>
    <x v="0"/>
  </r>
  <r>
    <x v="0"/>
  </r>
  <r>
    <x v="0"/>
  </r>
  <r>
    <x v="1"/>
  </r>
  <r>
    <x v="0"/>
  </r>
  <r>
    <x v="0"/>
  </r>
  <r>
    <x v="0"/>
  </r>
  <r>
    <x v="0"/>
  </r>
  <r>
    <x v="1"/>
  </r>
  <r>
    <x v="1"/>
  </r>
  <r>
    <x v="0"/>
  </r>
  <r>
    <x v="0"/>
  </r>
  <r>
    <x v="0"/>
  </r>
  <r>
    <x v="0"/>
  </r>
  <r>
    <x v="0"/>
  </r>
  <r>
    <x v="1"/>
  </r>
  <r>
    <x v="0"/>
  </r>
  <r>
    <x v="1"/>
  </r>
  <r>
    <x v="1"/>
  </r>
  <r>
    <x v="0"/>
  </r>
  <r>
    <x v="0"/>
  </r>
  <r>
    <x v="1"/>
  </r>
  <r>
    <x v="0"/>
  </r>
  <r>
    <x v="0"/>
  </r>
  <r>
    <x v="1"/>
  </r>
  <r>
    <x v="1"/>
  </r>
  <r>
    <x v="0"/>
  </r>
  <r>
    <x v="0"/>
  </r>
  <r>
    <x v="1"/>
  </r>
  <r>
    <x v="0"/>
  </r>
  <r>
    <x v="1"/>
  </r>
  <r>
    <x v="0"/>
  </r>
  <r>
    <x v="0"/>
  </r>
  <r>
    <x v="1"/>
  </r>
  <r>
    <x v="0"/>
  </r>
  <r>
    <x v="1"/>
  </r>
  <r>
    <x v="0"/>
  </r>
  <r>
    <x v="0"/>
  </r>
  <r>
    <x v="0"/>
  </r>
  <r>
    <x v="0"/>
  </r>
  <r>
    <x v="0"/>
  </r>
  <r>
    <x v="0"/>
  </r>
  <r>
    <x v="0"/>
  </r>
  <r>
    <x v="1"/>
  </r>
  <r>
    <x v="0"/>
  </r>
  <r>
    <x v="1"/>
  </r>
  <r>
    <x v="0"/>
  </r>
  <r>
    <x v="0"/>
  </r>
  <r>
    <x v="0"/>
  </r>
  <r>
    <x v="0"/>
  </r>
  <r>
    <x v="0"/>
  </r>
  <r>
    <x v="1"/>
  </r>
  <r>
    <x v="0"/>
  </r>
  <r>
    <x v="0"/>
  </r>
  <r>
    <x v="0"/>
  </r>
  <r>
    <x v="0"/>
  </r>
  <r>
    <x v="0"/>
  </r>
  <r>
    <x v="0"/>
  </r>
  <r>
    <x v="1"/>
  </r>
  <r>
    <x v="0"/>
  </r>
  <r>
    <x v="0"/>
  </r>
  <r>
    <x v="0"/>
  </r>
  <r>
    <x v="1"/>
  </r>
  <r>
    <x v="0"/>
  </r>
  <r>
    <x v="0"/>
  </r>
  <r>
    <x v="0"/>
  </r>
  <r>
    <x v="1"/>
  </r>
  <r>
    <x v="0"/>
  </r>
  <r>
    <x v="0"/>
  </r>
  <r>
    <x v="0"/>
  </r>
  <r>
    <x v="1"/>
  </r>
  <r>
    <x v="0"/>
  </r>
  <r>
    <x v="1"/>
  </r>
  <r>
    <x v="0"/>
  </r>
  <r>
    <x v="0"/>
  </r>
  <r>
    <x v="0"/>
  </r>
  <r>
    <x v="0"/>
  </r>
  <r>
    <x v="0"/>
  </r>
  <r>
    <x v="0"/>
  </r>
  <r>
    <x v="0"/>
  </r>
  <r>
    <x v="0"/>
  </r>
  <r>
    <x v="1"/>
  </r>
  <r>
    <x v="1"/>
  </r>
  <r>
    <x v="0"/>
  </r>
  <r>
    <x v="1"/>
  </r>
  <r>
    <x v="0"/>
  </r>
  <r>
    <x v="0"/>
  </r>
  <r>
    <x v="0"/>
  </r>
  <r>
    <x v="0"/>
  </r>
  <r>
    <x v="0"/>
  </r>
  <r>
    <x v="1"/>
  </r>
  <r>
    <x v="0"/>
  </r>
  <r>
    <x v="1"/>
  </r>
  <r>
    <x v="0"/>
  </r>
  <r>
    <x v="1"/>
  </r>
  <r>
    <x v="0"/>
  </r>
  <r>
    <x v="1"/>
  </r>
  <r>
    <x v="0"/>
  </r>
  <r>
    <x v="0"/>
  </r>
  <r>
    <x v="0"/>
  </r>
  <r>
    <x v="0"/>
  </r>
  <r>
    <x v="0"/>
  </r>
  <r>
    <x v="0"/>
  </r>
  <r>
    <x v="0"/>
  </r>
  <r>
    <x v="0"/>
  </r>
  <r>
    <x v="0"/>
  </r>
  <r>
    <x v="1"/>
  </r>
  <r>
    <x v="0"/>
  </r>
  <r>
    <x v="1"/>
  </r>
  <r>
    <x v="0"/>
  </r>
  <r>
    <x v="1"/>
  </r>
  <r>
    <x v="0"/>
  </r>
  <r>
    <x v="0"/>
  </r>
  <r>
    <x v="0"/>
  </r>
  <r>
    <x v="1"/>
  </r>
  <r>
    <x v="1"/>
  </r>
  <r>
    <x v="1"/>
  </r>
  <r>
    <x v="1"/>
  </r>
  <r>
    <x v="1"/>
  </r>
  <r>
    <x v="0"/>
  </r>
  <r>
    <x v="0"/>
  </r>
  <r>
    <x v="0"/>
  </r>
  <r>
    <x v="0"/>
  </r>
  <r>
    <x v="0"/>
  </r>
  <r>
    <x v="0"/>
  </r>
  <r>
    <x v="0"/>
  </r>
  <r>
    <x v="0"/>
  </r>
  <r>
    <x v="0"/>
  </r>
  <r>
    <x v="0"/>
  </r>
  <r>
    <x v="0"/>
  </r>
  <r>
    <x v="1"/>
  </r>
  <r>
    <x v="1"/>
  </r>
  <r>
    <x v="0"/>
  </r>
  <r>
    <x v="0"/>
  </r>
  <r>
    <x v="0"/>
  </r>
  <r>
    <x v="0"/>
  </r>
  <r>
    <x v="0"/>
  </r>
  <r>
    <x v="1"/>
  </r>
  <r>
    <x v="0"/>
  </r>
  <r>
    <x v="0"/>
  </r>
  <r>
    <x v="0"/>
  </r>
  <r>
    <x v="0"/>
  </r>
  <r>
    <x v="1"/>
  </r>
  <r>
    <x v="0"/>
  </r>
  <r>
    <x v="0"/>
  </r>
  <r>
    <x v="1"/>
  </r>
  <r>
    <x v="0"/>
  </r>
  <r>
    <x v="0"/>
  </r>
  <r>
    <x v="1"/>
  </r>
  <r>
    <x v="0"/>
  </r>
  <r>
    <x v="0"/>
  </r>
  <r>
    <x v="0"/>
  </r>
  <r>
    <x v="0"/>
  </r>
  <r>
    <x v="0"/>
  </r>
  <r>
    <x v="0"/>
  </r>
  <r>
    <x v="1"/>
  </r>
  <r>
    <x v="0"/>
  </r>
  <r>
    <x v="1"/>
  </r>
  <r>
    <x v="0"/>
  </r>
  <r>
    <x v="0"/>
  </r>
  <r>
    <x v="1"/>
  </r>
  <r>
    <x v="0"/>
  </r>
  <r>
    <x v="1"/>
  </r>
  <r>
    <x v="0"/>
  </r>
  <r>
    <x v="1"/>
  </r>
  <r>
    <x v="0"/>
  </r>
  <r>
    <x v="0"/>
  </r>
  <r>
    <x v="0"/>
  </r>
  <r>
    <x v="0"/>
  </r>
  <r>
    <x v="0"/>
  </r>
  <r>
    <x v="1"/>
  </r>
  <r>
    <x v="1"/>
  </r>
  <r>
    <x v="1"/>
  </r>
  <r>
    <x v="0"/>
  </r>
  <r>
    <x v="1"/>
  </r>
  <r>
    <x v="1"/>
  </r>
  <r>
    <x v="0"/>
  </r>
  <r>
    <x v="0"/>
  </r>
  <r>
    <x v="0"/>
  </r>
  <r>
    <x v="0"/>
  </r>
  <r>
    <x v="1"/>
  </r>
  <r>
    <x v="0"/>
  </r>
  <r>
    <x v="0"/>
  </r>
  <r>
    <x v="0"/>
  </r>
  <r>
    <x v="0"/>
  </r>
  <r>
    <x v="0"/>
  </r>
  <r>
    <x v="0"/>
  </r>
  <r>
    <x v="0"/>
  </r>
  <r>
    <x v="0"/>
  </r>
  <r>
    <x v="0"/>
  </r>
  <r>
    <x v="0"/>
  </r>
  <r>
    <x v="0"/>
  </r>
  <r>
    <x v="1"/>
  </r>
  <r>
    <x v="0"/>
  </r>
  <r>
    <x v="0"/>
  </r>
  <r>
    <x v="0"/>
  </r>
  <r>
    <x v="1"/>
  </r>
  <r>
    <x v="0"/>
  </r>
  <r>
    <x v="0"/>
  </r>
  <r>
    <x v="1"/>
  </r>
  <r>
    <x v="0"/>
  </r>
  <r>
    <x v="1"/>
  </r>
  <r>
    <x v="1"/>
  </r>
  <r>
    <x v="1"/>
  </r>
  <r>
    <x v="0"/>
  </r>
  <r>
    <x v="1"/>
  </r>
  <r>
    <x v="1"/>
  </r>
  <r>
    <x v="0"/>
  </r>
  <r>
    <x v="0"/>
  </r>
  <r>
    <x v="0"/>
  </r>
  <r>
    <x v="1"/>
  </r>
  <r>
    <x v="1"/>
  </r>
  <r>
    <x v="0"/>
  </r>
  <r>
    <x v="0"/>
  </r>
  <r>
    <x v="0"/>
  </r>
  <r>
    <x v="0"/>
  </r>
  <r>
    <x v="0"/>
  </r>
  <r>
    <x v="0"/>
  </r>
  <r>
    <x v="0"/>
  </r>
  <r>
    <x v="0"/>
  </r>
  <r>
    <x v="1"/>
  </r>
  <r>
    <x v="0"/>
  </r>
  <r>
    <x v="0"/>
  </r>
  <r>
    <x v="1"/>
  </r>
  <r>
    <x v="0"/>
  </r>
  <r>
    <x v="1"/>
  </r>
  <r>
    <x v="1"/>
  </r>
  <r>
    <x v="0"/>
  </r>
  <r>
    <x v="0"/>
  </r>
  <r>
    <x v="0"/>
  </r>
  <r>
    <x v="0"/>
  </r>
  <r>
    <x v="1"/>
  </r>
  <r>
    <x v="0"/>
  </r>
  <r>
    <x v="0"/>
  </r>
  <r>
    <x v="0"/>
  </r>
  <r>
    <x v="1"/>
  </r>
  <r>
    <x v="1"/>
  </r>
  <r>
    <x v="0"/>
  </r>
  <r>
    <x v="1"/>
  </r>
  <r>
    <x v="0"/>
  </r>
  <r>
    <x v="1"/>
  </r>
  <r>
    <x v="0"/>
  </r>
  <r>
    <x v="1"/>
  </r>
  <r>
    <x v="1"/>
  </r>
  <r>
    <x v="1"/>
  </r>
  <r>
    <x v="0"/>
  </r>
  <r>
    <x v="1"/>
  </r>
  <r>
    <x v="0"/>
  </r>
  <r>
    <x v="0"/>
  </r>
  <r>
    <x v="0"/>
  </r>
  <r>
    <x v="0"/>
  </r>
  <r>
    <x v="1"/>
  </r>
  <r>
    <x v="0"/>
  </r>
  <r>
    <x v="0"/>
  </r>
  <r>
    <x v="0"/>
  </r>
  <r>
    <x v="0"/>
  </r>
  <r>
    <x v="0"/>
  </r>
  <r>
    <x v="1"/>
  </r>
  <r>
    <x v="0"/>
  </r>
  <r>
    <x v="1"/>
  </r>
  <r>
    <x v="0"/>
  </r>
  <r>
    <x v="0"/>
  </r>
  <r>
    <x v="0"/>
  </r>
  <r>
    <x v="0"/>
  </r>
  <r>
    <x v="0"/>
  </r>
  <r>
    <x v="0"/>
  </r>
  <r>
    <x v="1"/>
  </r>
  <r>
    <x v="1"/>
  </r>
  <r>
    <x v="0"/>
  </r>
  <r>
    <x v="0"/>
  </r>
  <r>
    <x v="0"/>
  </r>
  <r>
    <x v="0"/>
  </r>
  <r>
    <x v="0"/>
  </r>
  <r>
    <x v="0"/>
  </r>
  <r>
    <x v="0"/>
  </r>
  <r>
    <x v="1"/>
  </r>
  <r>
    <x v="1"/>
  </r>
  <r>
    <x v="0"/>
  </r>
  <r>
    <x v="1"/>
  </r>
  <r>
    <x v="0"/>
  </r>
  <r>
    <x v="0"/>
  </r>
  <r>
    <x v="0"/>
  </r>
  <r>
    <x v="1"/>
  </r>
  <r>
    <x v="1"/>
  </r>
  <r>
    <x v="1"/>
  </r>
  <r>
    <x v="0"/>
  </r>
  <r>
    <x v="0"/>
  </r>
  <r>
    <x v="0"/>
  </r>
  <r>
    <x v="1"/>
  </r>
  <r>
    <x v="0"/>
  </r>
  <r>
    <x v="0"/>
  </r>
  <r>
    <x v="1"/>
  </r>
  <r>
    <x v="0"/>
  </r>
  <r>
    <x v="0"/>
  </r>
  <r>
    <x v="0"/>
  </r>
  <r>
    <x v="0"/>
  </r>
  <r>
    <x v="1"/>
  </r>
  <r>
    <x v="1"/>
  </r>
  <r>
    <x v="0"/>
  </r>
  <r>
    <x v="0"/>
  </r>
  <r>
    <x v="0"/>
  </r>
  <r>
    <x v="1"/>
  </r>
  <r>
    <x v="0"/>
  </r>
  <r>
    <x v="0"/>
  </r>
  <r>
    <x v="0"/>
  </r>
  <r>
    <x v="1"/>
  </r>
  <r>
    <x v="0"/>
  </r>
  <r>
    <x v="0"/>
  </r>
  <r>
    <x v="0"/>
  </r>
  <r>
    <x v="1"/>
  </r>
  <r>
    <x v="0"/>
  </r>
  <r>
    <x v="0"/>
  </r>
  <r>
    <x v="0"/>
  </r>
  <r>
    <x v="0"/>
  </r>
  <r>
    <x v="0"/>
  </r>
  <r>
    <x v="0"/>
  </r>
  <r>
    <x v="0"/>
  </r>
  <r>
    <x v="0"/>
  </r>
  <r>
    <x v="0"/>
  </r>
  <r>
    <x v="0"/>
  </r>
  <r>
    <x v="0"/>
  </r>
  <r>
    <x v="0"/>
  </r>
  <r>
    <x v="0"/>
  </r>
  <r>
    <x v="0"/>
  </r>
  <r>
    <x v="0"/>
  </r>
  <r>
    <x v="1"/>
  </r>
  <r>
    <x v="0"/>
  </r>
  <r>
    <x v="1"/>
  </r>
  <r>
    <x v="0"/>
  </r>
  <r>
    <x v="0"/>
  </r>
  <r>
    <x v="0"/>
  </r>
  <r>
    <x v="0"/>
  </r>
  <r>
    <x v="1"/>
  </r>
  <r>
    <x v="0"/>
  </r>
  <r>
    <x v="0"/>
  </r>
  <r>
    <x v="1"/>
  </r>
  <r>
    <x v="0"/>
  </r>
  <r>
    <x v="0"/>
  </r>
  <r>
    <x v="0"/>
  </r>
  <r>
    <x v="1"/>
  </r>
  <r>
    <x v="1"/>
  </r>
  <r>
    <x v="0"/>
  </r>
  <r>
    <x v="0"/>
  </r>
  <r>
    <x v="0"/>
  </r>
  <r>
    <x v="1"/>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CA059-AFB4-4328-A835-4F079658AF0B}" name="ピボットテーブル2"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J3:K9" firstHeaderRow="1" firstDataRow="1" firstDataCol="1"/>
  <pivotFields count="4">
    <pivotField dataField="1"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axis="axisRow" showAll="0">
      <items count="6">
        <item x="2"/>
        <item x="1"/>
        <item x="3"/>
        <item x="0"/>
        <item x="4"/>
        <item t="default"/>
      </items>
    </pivotField>
    <pivotField showAll="0"/>
  </pivotFields>
  <rowFields count="1">
    <field x="2"/>
  </rowFields>
  <rowItems count="6">
    <i>
      <x/>
    </i>
    <i>
      <x v="1"/>
    </i>
    <i>
      <x v="2"/>
    </i>
    <i>
      <x v="3"/>
    </i>
    <i>
      <x v="4"/>
    </i>
    <i t="grand">
      <x/>
    </i>
  </rowItems>
  <colItems count="1">
    <i/>
  </colItems>
  <dataFields count="1">
    <dataField name="個数 / 商品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51262-ADB2-4DFC-AF8E-AEC3E9F04E20}"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F3:H16" firstHeaderRow="0" firstDataRow="1" firstDataCol="1"/>
  <pivotFields count="4">
    <pivotField dataField="1"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axis="axisRow" showAll="0" sortType="descending">
      <items count="13">
        <item x="11"/>
        <item x="5"/>
        <item x="0"/>
        <item x="10"/>
        <item x="9"/>
        <item x="1"/>
        <item x="8"/>
        <item x="4"/>
        <item x="7"/>
        <item x="2"/>
        <item x="3"/>
        <item x="6"/>
        <item t="default"/>
      </items>
      <autoSortScope>
        <pivotArea dataOnly="0" outline="0" fieldPosition="0">
          <references count="1">
            <reference field="4294967294" count="1" selected="0">
              <x v="1"/>
            </reference>
          </references>
        </pivotArea>
      </autoSortScope>
    </pivotField>
    <pivotField showAll="0"/>
    <pivotField dataField="1" showAll="0"/>
  </pivotFields>
  <rowFields count="1">
    <field x="1"/>
  </rowFields>
  <rowItems count="13">
    <i>
      <x/>
    </i>
    <i>
      <x v="1"/>
    </i>
    <i>
      <x v="7"/>
    </i>
    <i>
      <x v="11"/>
    </i>
    <i>
      <x v="5"/>
    </i>
    <i>
      <x v="8"/>
    </i>
    <i>
      <x v="2"/>
    </i>
    <i>
      <x v="9"/>
    </i>
    <i>
      <x v="3"/>
    </i>
    <i>
      <x v="10"/>
    </i>
    <i>
      <x v="4"/>
    </i>
    <i>
      <x v="6"/>
    </i>
    <i t="grand">
      <x/>
    </i>
  </rowItems>
  <colFields count="1">
    <field x="-2"/>
  </colFields>
  <colItems count="2">
    <i>
      <x/>
    </i>
    <i i="1">
      <x v="1"/>
    </i>
  </colItems>
  <dataFields count="2">
    <dataField name="個数 / 商品ID" fld="0" subtotal="count" baseField="0" baseItem="0"/>
    <dataField name="平均 / 売上個数"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89DD31-B951-4C86-9AAF-F5686C1FA38A}" name="ピボットテーブル3" cacheId="1"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chartFormat="2">
  <location ref="F3:J17" firstHeaderRow="1" firstDataRow="2" firstDataCol="1"/>
  <pivotFields count="3">
    <pivotField axis="axisRow" showAll="0">
      <items count="13">
        <item x="6"/>
        <item x="10"/>
        <item x="8"/>
        <item x="11"/>
        <item x="0"/>
        <item x="1"/>
        <item x="9"/>
        <item x="4"/>
        <item x="7"/>
        <item x="2"/>
        <item x="3"/>
        <item x="5"/>
        <item t="default"/>
      </items>
    </pivotField>
    <pivotField axis="axisCol" multipleItemSelectionAllowed="1" showAll="0">
      <items count="6">
        <item x="1"/>
        <item h="1" x="3"/>
        <item h="1" x="2"/>
        <item x="0"/>
        <item x="4"/>
        <item t="default"/>
      </items>
    </pivotField>
    <pivotField dataField="1" showAll="0"/>
  </pivotFields>
  <rowFields count="1">
    <field x="0"/>
  </rowFields>
  <rowItems count="13">
    <i>
      <x/>
    </i>
    <i>
      <x v="1"/>
    </i>
    <i>
      <x v="2"/>
    </i>
    <i>
      <x v="3"/>
    </i>
    <i>
      <x v="4"/>
    </i>
    <i>
      <x v="5"/>
    </i>
    <i>
      <x v="6"/>
    </i>
    <i>
      <x v="7"/>
    </i>
    <i>
      <x v="8"/>
    </i>
    <i>
      <x v="9"/>
    </i>
    <i>
      <x v="10"/>
    </i>
    <i>
      <x v="11"/>
    </i>
    <i t="grand">
      <x/>
    </i>
  </rowItems>
  <colFields count="1">
    <field x="1"/>
  </colFields>
  <colItems count="4">
    <i>
      <x/>
    </i>
    <i>
      <x v="3"/>
    </i>
    <i>
      <x v="4"/>
    </i>
    <i t="grand">
      <x/>
    </i>
  </colItems>
  <dataFields count="1">
    <dataField name="平均 / 売上個数" fld="2" subtotal="average" baseField="0" baseItem="0"/>
  </dataFields>
  <formats count="1">
    <format dxfId="0">
      <pivotArea collapsedLevelsAreSubtotals="1" fieldPosition="0">
        <references count="2">
          <reference field="0" count="0"/>
          <reference field="1" count="2" selected="0">
            <x v="0"/>
            <x v="3"/>
          </reference>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3"/>
          </reference>
        </references>
      </pivotArea>
    </chartFormat>
    <chartFormat chart="0" format="2" series="1">
      <pivotArea type="data" outline="0" fieldPosition="0">
        <references count="2">
          <reference field="4294967294" count="1" selected="0">
            <x v="0"/>
          </reference>
          <reference field="1" count="1" selected="0">
            <x v="4"/>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3"/>
          </reference>
        </references>
      </pivotArea>
    </chartFormat>
    <chartFormat chart="1" format="2"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542EF7-EC5D-4860-88D7-E70F604CEE60}" name="ピボットテーブル4" cacheId="2"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location ref="E8:F21" firstHeaderRow="1" firstDataRow="1" firstDataCol="1"/>
  <pivotFields count="2">
    <pivotField showAll="0"/>
    <pivotField axis="axisRow" dataField="1" showAll="0" sortType="descending">
      <items count="13">
        <item x="5"/>
        <item x="3"/>
        <item x="2"/>
        <item x="7"/>
        <item x="4"/>
        <item x="9"/>
        <item x="1"/>
        <item x="0"/>
        <item x="11"/>
        <item x="8"/>
        <item x="10"/>
        <item x="6"/>
        <item t="default"/>
      </items>
      <autoSortScope>
        <pivotArea dataOnly="0" outline="0" fieldPosition="0">
          <references count="1">
            <reference field="4294967294" count="1" selected="0">
              <x v="0"/>
            </reference>
          </references>
        </pivotArea>
      </autoSortScope>
    </pivotField>
  </pivotFields>
  <rowFields count="1">
    <field x="1"/>
  </rowFields>
  <rowItems count="13">
    <i>
      <x v="4"/>
    </i>
    <i>
      <x v="10"/>
    </i>
    <i>
      <x v="1"/>
    </i>
    <i>
      <x v="6"/>
    </i>
    <i>
      <x v="2"/>
    </i>
    <i>
      <x v="3"/>
    </i>
    <i>
      <x v="8"/>
    </i>
    <i>
      <x v="7"/>
    </i>
    <i>
      <x v="11"/>
    </i>
    <i>
      <x v="9"/>
    </i>
    <i>
      <x v="5"/>
    </i>
    <i>
      <x/>
    </i>
    <i t="grand">
      <x/>
    </i>
  </rowItems>
  <colItems count="1">
    <i/>
  </colItems>
  <dataFields count="1">
    <dataField name="個数 / タイプ"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75CD9D-88DB-4658-B4CB-EB2D39965B06}" name="ピボットテーブル5" cacheId="3"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location ref="E5:F11" firstHeaderRow="1" firstDataRow="1" firstDataCol="1"/>
  <pivotFields count="2">
    <pivotField showAll="0"/>
    <pivotField axis="axisRow" dataField="1" showAll="0" sortType="descending">
      <items count="6">
        <item x="2"/>
        <item x="1"/>
        <item x="3"/>
        <item x="0"/>
        <item x="4"/>
        <item t="default"/>
      </items>
      <autoSortScope>
        <pivotArea dataOnly="0" outline="0" fieldPosition="0">
          <references count="1">
            <reference field="4294967294" count="1" selected="0">
              <x v="0"/>
            </reference>
          </references>
        </pivotArea>
      </autoSortScope>
    </pivotField>
  </pivotFields>
  <rowFields count="1">
    <field x="1"/>
  </rowFields>
  <rowItems count="6">
    <i>
      <x v="3"/>
    </i>
    <i>
      <x/>
    </i>
    <i>
      <x v="2"/>
    </i>
    <i>
      <x v="1"/>
    </i>
    <i>
      <x v="4"/>
    </i>
    <i t="grand">
      <x/>
    </i>
  </rowItems>
  <colItems count="1">
    <i/>
  </colItems>
  <dataFields count="1">
    <dataField name="個数 / 価格表示"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A00E4-6DBF-459D-A1D3-8E60BEE6412F}" name="ピボットテーブル6" cacheId="4"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H5:I8" firstHeaderRow="1" firstDataRow="1" firstDataCol="1"/>
  <pivotFields count="3">
    <pivotField dataField="1" showAll="0">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showAll="0"/>
    <pivotField axis="axisRow" showAll="0">
      <items count="3">
        <item x="1"/>
        <item x="0"/>
        <item t="default"/>
      </items>
    </pivotField>
  </pivotFields>
  <rowFields count="1">
    <field x="2"/>
  </rowFields>
  <rowItems count="3">
    <i>
      <x/>
    </i>
    <i>
      <x v="1"/>
    </i>
    <i t="grand">
      <x/>
    </i>
  </rowItems>
  <colItems count="1">
    <i/>
  </colItems>
  <dataFields count="1">
    <dataField name="個数 / 商品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E6396C-ACE6-447F-9954-573261090B93}" name="ピボットテーブル7" cacheId="5"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location ref="E4:F17" firstHeaderRow="1" firstDataRow="1" firstDataCol="1"/>
  <pivotFields count="1">
    <pivotField axis="axisRow" dataField="1" showAll="0" sortType="descending">
      <items count="13">
        <item x="10"/>
        <item x="5"/>
        <item x="0"/>
        <item x="9"/>
        <item x="8"/>
        <item x="1"/>
        <item x="7"/>
        <item x="4"/>
        <item x="6"/>
        <item x="2"/>
        <item x="3"/>
        <item x="11"/>
        <item t="default"/>
      </items>
      <autoSortScope>
        <pivotArea dataOnly="0" outline="0" fieldPosition="0">
          <references count="1">
            <reference field="4294967294" count="1" selected="0">
              <x v="0"/>
            </reference>
          </references>
        </pivotArea>
      </autoSortScope>
    </pivotField>
  </pivotFields>
  <rowFields count="1">
    <field x="0"/>
  </rowFields>
  <rowItems count="13">
    <i>
      <x v="7"/>
    </i>
    <i>
      <x v="1"/>
    </i>
    <i>
      <x v="10"/>
    </i>
    <i>
      <x v="5"/>
    </i>
    <i>
      <x v="9"/>
    </i>
    <i>
      <x v="8"/>
    </i>
    <i>
      <x v="3"/>
    </i>
    <i>
      <x v="4"/>
    </i>
    <i>
      <x/>
    </i>
    <i>
      <x v="2"/>
    </i>
    <i>
      <x v="6"/>
    </i>
    <i>
      <x v="11"/>
    </i>
    <i t="grand">
      <x/>
    </i>
  </rowItems>
  <colItems count="1">
    <i/>
  </colItems>
  <dataFields count="1">
    <dataField name="個数 / タイプ"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50C152-67FE-4652-924E-5D8A3A3BABDF}" name="ピボットテーブル8" cacheId="6"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location ref="G4:H8" firstHeaderRow="1" firstDataRow="1" firstDataCol="1"/>
  <pivotFields count="1">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0"/>
  </rowFields>
  <rowItems count="4">
    <i>
      <x v="1"/>
    </i>
    <i>
      <x/>
    </i>
    <i>
      <x v="2"/>
    </i>
    <i t="grand">
      <x/>
    </i>
  </rowItems>
  <colItems count="1">
    <i/>
  </colItems>
  <dataFields count="1">
    <dataField name="個数 / 価格表示"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9"/>
  <sheetViews>
    <sheetView workbookViewId="0">
      <selection activeCell="B10" sqref="B10"/>
    </sheetView>
  </sheetViews>
  <sheetFormatPr defaultRowHeight="18.75"/>
  <cols>
    <col min="1" max="21" width="3.25" customWidth="1"/>
  </cols>
  <sheetData>
    <row r="1" spans="1:3">
      <c r="A1">
        <v>1</v>
      </c>
      <c r="B1" t="s">
        <v>0</v>
      </c>
    </row>
    <row r="2" spans="1:3">
      <c r="B2" t="s">
        <v>1</v>
      </c>
    </row>
    <row r="3" spans="1:3">
      <c r="B3" t="s">
        <v>2</v>
      </c>
    </row>
    <row r="4" spans="1:3">
      <c r="A4">
        <v>2</v>
      </c>
      <c r="B4" t="s">
        <v>745</v>
      </c>
    </row>
    <row r="5" spans="1:3">
      <c r="B5" t="s">
        <v>746</v>
      </c>
    </row>
    <row r="6" spans="1:3">
      <c r="B6" t="s">
        <v>747</v>
      </c>
    </row>
    <row r="7" spans="1:3">
      <c r="B7">
        <v>1</v>
      </c>
      <c r="C7" t="s">
        <v>748</v>
      </c>
    </row>
    <row r="8" spans="1:3">
      <c r="B8">
        <v>2</v>
      </c>
      <c r="C8" t="s">
        <v>749</v>
      </c>
    </row>
    <row r="9" spans="1:3">
      <c r="B9">
        <v>3</v>
      </c>
      <c r="C9" t="s">
        <v>750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D92A-BDB3-460A-9FBC-54647D52FE03}">
  <dimension ref="A1:H683"/>
  <sheetViews>
    <sheetView workbookViewId="0">
      <selection activeCell="E11" sqref="E11"/>
    </sheetView>
  </sheetViews>
  <sheetFormatPr defaultRowHeight="18.75"/>
  <sheetData>
    <row r="1" spans="1:8" ht="19.5">
      <c r="A1" s="1" t="s">
        <v>3</v>
      </c>
      <c r="B1" s="1" t="s">
        <v>4</v>
      </c>
      <c r="C1" s="1" t="s">
        <v>5</v>
      </c>
      <c r="D1" s="1" t="s">
        <v>6</v>
      </c>
      <c r="E1" s="2" t="s">
        <v>7</v>
      </c>
      <c r="F1" s="1" t="s">
        <v>8</v>
      </c>
      <c r="G1" s="1" t="s">
        <v>9</v>
      </c>
      <c r="H1" s="1" t="s">
        <v>10</v>
      </c>
    </row>
    <row r="2" spans="1:8" ht="19.5">
      <c r="A2" s="1" t="s">
        <v>11</v>
      </c>
      <c r="B2" s="1" t="s">
        <v>12</v>
      </c>
      <c r="C2" s="1" t="s">
        <v>13</v>
      </c>
      <c r="D2" s="1">
        <v>75</v>
      </c>
      <c r="E2" s="2">
        <v>4.2692590691069485E-4</v>
      </c>
      <c r="F2" s="1">
        <v>65</v>
      </c>
      <c r="G2" s="1">
        <v>120</v>
      </c>
      <c r="H2" s="1">
        <v>22</v>
      </c>
    </row>
    <row r="3" spans="1:8" ht="19.5">
      <c r="A3" s="1" t="s">
        <v>14</v>
      </c>
      <c r="B3" s="1" t="s">
        <v>12</v>
      </c>
      <c r="C3" s="1" t="s">
        <v>13</v>
      </c>
      <c r="D3" s="1">
        <v>73</v>
      </c>
      <c r="E3" s="2">
        <v>2.9505530959696036E-3</v>
      </c>
      <c r="F3" s="1">
        <v>1000</v>
      </c>
      <c r="G3" s="1">
        <v>1520</v>
      </c>
      <c r="H3" s="1">
        <v>49</v>
      </c>
    </row>
    <row r="4" spans="1:8" ht="19.5">
      <c r="A4" s="1" t="s">
        <v>15</v>
      </c>
      <c r="B4" s="1" t="s">
        <v>12</v>
      </c>
      <c r="C4" s="1" t="s">
        <v>16</v>
      </c>
      <c r="D4" s="1">
        <v>101</v>
      </c>
      <c r="E4" s="2">
        <v>4.2201445360469389E-3</v>
      </c>
      <c r="F4" s="1">
        <v>139</v>
      </c>
      <c r="G4" s="1">
        <v>208</v>
      </c>
      <c r="H4" s="1">
        <v>19</v>
      </c>
    </row>
    <row r="5" spans="1:8" ht="19.5">
      <c r="A5" s="1" t="s">
        <v>17</v>
      </c>
      <c r="B5" s="1" t="s">
        <v>12</v>
      </c>
      <c r="C5" s="1" t="s">
        <v>13</v>
      </c>
      <c r="D5" s="1">
        <v>74</v>
      </c>
      <c r="E5" s="2">
        <v>3.5404367313607386E-4</v>
      </c>
      <c r="F5" s="1">
        <v>41</v>
      </c>
      <c r="G5" s="1">
        <v>142</v>
      </c>
      <c r="H5" s="1">
        <v>14</v>
      </c>
    </row>
    <row r="6" spans="1:8" ht="19.5">
      <c r="A6" s="1" t="s">
        <v>18</v>
      </c>
      <c r="B6" s="1" t="s">
        <v>12</v>
      </c>
      <c r="C6" s="1" t="s">
        <v>13</v>
      </c>
      <c r="D6" s="1">
        <v>127</v>
      </c>
      <c r="E6" s="2">
        <v>1.3707360375521227E-3</v>
      </c>
      <c r="F6" s="1">
        <v>66</v>
      </c>
      <c r="G6" s="1">
        <v>127</v>
      </c>
      <c r="H6" s="1">
        <v>19</v>
      </c>
    </row>
    <row r="7" spans="1:8" ht="19.5">
      <c r="A7" s="1" t="s">
        <v>19</v>
      </c>
      <c r="B7" s="1" t="s">
        <v>12</v>
      </c>
      <c r="C7" s="1" t="s">
        <v>20</v>
      </c>
      <c r="D7" s="1">
        <v>88</v>
      </c>
      <c r="E7" s="2">
        <v>2.3751749290849417E-3</v>
      </c>
      <c r="F7" s="1">
        <v>82</v>
      </c>
      <c r="G7" s="1">
        <v>157</v>
      </c>
      <c r="H7" s="1">
        <v>25</v>
      </c>
    </row>
    <row r="8" spans="1:8" ht="19.5">
      <c r="A8" s="1" t="s">
        <v>21</v>
      </c>
      <c r="B8" s="1" t="s">
        <v>12</v>
      </c>
      <c r="C8" s="1" t="s">
        <v>13</v>
      </c>
      <c r="D8" s="1">
        <v>86</v>
      </c>
      <c r="E8" s="2">
        <v>1.1394207070318301E-3</v>
      </c>
      <c r="F8" s="1">
        <v>69</v>
      </c>
      <c r="G8" s="1">
        <v>129</v>
      </c>
      <c r="H8" s="1">
        <v>27</v>
      </c>
    </row>
    <row r="9" spans="1:8" ht="19.5">
      <c r="A9" s="1" t="s">
        <v>22</v>
      </c>
      <c r="B9" s="1" t="s">
        <v>12</v>
      </c>
      <c r="C9" s="1" t="s">
        <v>20</v>
      </c>
      <c r="D9" s="1">
        <v>102</v>
      </c>
      <c r="E9" s="2">
        <v>2.4748315353126807E-3</v>
      </c>
      <c r="F9" s="1">
        <v>2000</v>
      </c>
      <c r="G9" s="1">
        <v>2680</v>
      </c>
      <c r="H9" s="1">
        <v>51</v>
      </c>
    </row>
    <row r="10" spans="1:8" ht="19.5">
      <c r="A10" s="1" t="s">
        <v>23</v>
      </c>
      <c r="B10" s="1" t="s">
        <v>12</v>
      </c>
      <c r="C10" s="1" t="s">
        <v>20</v>
      </c>
      <c r="D10" s="1">
        <v>120</v>
      </c>
      <c r="E10" s="2">
        <v>2.0862080444302299E-3</v>
      </c>
      <c r="F10" s="1">
        <v>61</v>
      </c>
      <c r="G10" s="1">
        <v>149</v>
      </c>
      <c r="H10" s="1">
        <v>33</v>
      </c>
    </row>
    <row r="11" spans="1:8" ht="19.5">
      <c r="A11" s="1" t="s">
        <v>24</v>
      </c>
      <c r="B11" s="1" t="s">
        <v>12</v>
      </c>
      <c r="C11" s="1" t="s">
        <v>13</v>
      </c>
      <c r="D11" s="1">
        <v>79</v>
      </c>
      <c r="E11" s="2">
        <v>1.0456175653593323E-3</v>
      </c>
      <c r="F11" s="1">
        <v>100</v>
      </c>
      <c r="G11" s="1">
        <v>195</v>
      </c>
      <c r="H11" s="1">
        <v>14</v>
      </c>
    </row>
    <row r="12" spans="1:8" ht="19.5">
      <c r="A12" s="1" t="s">
        <v>25</v>
      </c>
      <c r="B12" s="1" t="s">
        <v>12</v>
      </c>
      <c r="C12" s="1" t="s">
        <v>20</v>
      </c>
      <c r="D12" s="1">
        <v>94</v>
      </c>
      <c r="E12" s="2">
        <v>1.2934086414905417E-3</v>
      </c>
      <c r="F12" s="1">
        <v>41</v>
      </c>
      <c r="G12" s="1">
        <v>150</v>
      </c>
      <c r="H12" s="1">
        <v>25</v>
      </c>
    </row>
    <row r="13" spans="1:8" ht="19.5">
      <c r="A13" s="1" t="s">
        <v>26</v>
      </c>
      <c r="B13" s="1" t="s">
        <v>12</v>
      </c>
      <c r="C13" s="1" t="s">
        <v>13</v>
      </c>
      <c r="D13" s="1">
        <v>96</v>
      </c>
      <c r="E13" s="2">
        <v>2.2437389010099575E-3</v>
      </c>
      <c r="F13" s="1">
        <v>41</v>
      </c>
      <c r="G13" s="1">
        <v>108</v>
      </c>
      <c r="H13" s="1">
        <v>34</v>
      </c>
    </row>
    <row r="14" spans="1:8" ht="19.5">
      <c r="A14" s="1" t="s">
        <v>27</v>
      </c>
      <c r="B14" s="1" t="s">
        <v>12</v>
      </c>
      <c r="C14" s="1" t="s">
        <v>13</v>
      </c>
      <c r="D14" s="1">
        <v>78</v>
      </c>
      <c r="E14" s="2">
        <v>1.65056134154929E-3</v>
      </c>
      <c r="F14" s="1">
        <v>59</v>
      </c>
      <c r="G14" s="1">
        <v>150</v>
      </c>
      <c r="H14" s="1">
        <v>21</v>
      </c>
    </row>
    <row r="15" spans="1:8" ht="19.5">
      <c r="A15" s="1" t="s">
        <v>28</v>
      </c>
      <c r="B15" s="1" t="s">
        <v>12</v>
      </c>
      <c r="C15" s="1" t="s">
        <v>13</v>
      </c>
      <c r="D15" s="1">
        <v>86</v>
      </c>
      <c r="E15" s="2">
        <v>1.268554239632496E-3</v>
      </c>
      <c r="F15" s="1">
        <v>43</v>
      </c>
      <c r="G15" s="1">
        <v>130</v>
      </c>
      <c r="H15" s="1">
        <v>26</v>
      </c>
    </row>
    <row r="16" spans="1:8" ht="19.5">
      <c r="A16" s="1" t="s">
        <v>29</v>
      </c>
      <c r="B16" s="1" t="s">
        <v>12</v>
      </c>
      <c r="C16" s="1" t="s">
        <v>13</v>
      </c>
      <c r="D16" s="1">
        <v>123</v>
      </c>
      <c r="E16" s="2">
        <v>1.6889598223240776E-3</v>
      </c>
      <c r="F16" s="1">
        <v>101</v>
      </c>
      <c r="G16" s="1">
        <v>163</v>
      </c>
      <c r="H16" s="1">
        <v>15</v>
      </c>
    </row>
    <row r="17" spans="1:8" ht="19.5">
      <c r="A17" s="1" t="s">
        <v>30</v>
      </c>
      <c r="B17" s="1" t="s">
        <v>31</v>
      </c>
      <c r="C17" s="1" t="s">
        <v>32</v>
      </c>
      <c r="D17" s="1">
        <v>61</v>
      </c>
      <c r="E17" s="2">
        <v>1.0730189986418192E-3</v>
      </c>
      <c r="F17" s="1">
        <v>63</v>
      </c>
      <c r="G17" s="1">
        <v>137</v>
      </c>
      <c r="H17" s="1">
        <v>18</v>
      </c>
    </row>
    <row r="18" spans="1:8" ht="19.5">
      <c r="A18" s="1" t="s">
        <v>33</v>
      </c>
      <c r="B18" s="1" t="s">
        <v>34</v>
      </c>
      <c r="C18" s="1" t="s">
        <v>13</v>
      </c>
      <c r="D18" s="1">
        <v>248</v>
      </c>
      <c r="E18" s="2">
        <v>1.4299549953371517E-3</v>
      </c>
      <c r="F18" s="1">
        <v>70</v>
      </c>
      <c r="G18" s="1">
        <v>155</v>
      </c>
      <c r="H18" s="1">
        <v>26</v>
      </c>
    </row>
    <row r="19" spans="1:8" ht="19.5">
      <c r="A19" s="1" t="s">
        <v>35</v>
      </c>
      <c r="B19" s="1" t="s">
        <v>34</v>
      </c>
      <c r="C19" s="1" t="s">
        <v>32</v>
      </c>
      <c r="D19" s="1">
        <v>247</v>
      </c>
      <c r="E19" s="2">
        <v>1.695018637021452E-3</v>
      </c>
      <c r="F19" s="1">
        <v>77</v>
      </c>
      <c r="G19" s="1">
        <v>162</v>
      </c>
      <c r="H19" s="1">
        <v>23</v>
      </c>
    </row>
    <row r="20" spans="1:8" ht="19.5">
      <c r="A20" s="1" t="s">
        <v>36</v>
      </c>
      <c r="B20" s="1" t="s">
        <v>37</v>
      </c>
      <c r="C20" s="1" t="s">
        <v>13</v>
      </c>
      <c r="D20" s="1">
        <v>97</v>
      </c>
      <c r="E20" s="2">
        <v>5.000370927470835E-4</v>
      </c>
      <c r="F20" s="1">
        <v>114</v>
      </c>
      <c r="G20" s="1">
        <v>211</v>
      </c>
      <c r="H20" s="1">
        <v>21</v>
      </c>
    </row>
    <row r="21" spans="1:8" ht="19.5">
      <c r="A21" s="1" t="s">
        <v>38</v>
      </c>
      <c r="B21" s="1" t="s">
        <v>39</v>
      </c>
      <c r="C21" s="1" t="s">
        <v>13</v>
      </c>
      <c r="D21" s="1">
        <v>386</v>
      </c>
      <c r="E21" s="2">
        <v>1.75568843201344E-3</v>
      </c>
      <c r="F21" s="1">
        <v>85</v>
      </c>
      <c r="G21" s="1">
        <v>126</v>
      </c>
      <c r="H21" s="1">
        <v>36</v>
      </c>
    </row>
    <row r="22" spans="1:8" ht="19.5">
      <c r="A22" s="1" t="s">
        <v>40</v>
      </c>
      <c r="B22" s="1" t="s">
        <v>39</v>
      </c>
      <c r="C22" s="1" t="s">
        <v>13</v>
      </c>
      <c r="D22" s="1">
        <v>595</v>
      </c>
      <c r="E22" s="2">
        <v>1.080098476381605E-3</v>
      </c>
      <c r="F22" s="1">
        <v>86</v>
      </c>
      <c r="G22" s="1">
        <v>167</v>
      </c>
      <c r="H22" s="1">
        <v>24</v>
      </c>
    </row>
    <row r="23" spans="1:8" ht="19.5">
      <c r="A23" s="1" t="s">
        <v>41</v>
      </c>
      <c r="B23" s="1" t="s">
        <v>42</v>
      </c>
      <c r="C23" s="1" t="s">
        <v>20</v>
      </c>
      <c r="D23" s="1">
        <v>120</v>
      </c>
      <c r="E23" s="2">
        <v>7.7436330778253939E-4</v>
      </c>
      <c r="F23" s="1">
        <v>44</v>
      </c>
      <c r="G23" s="1">
        <v>142</v>
      </c>
      <c r="H23" s="1">
        <v>35</v>
      </c>
    </row>
    <row r="24" spans="1:8" ht="19.5">
      <c r="A24" s="1" t="s">
        <v>43</v>
      </c>
      <c r="B24" s="1" t="s">
        <v>31</v>
      </c>
      <c r="C24" s="1" t="s">
        <v>13</v>
      </c>
      <c r="D24" s="1">
        <v>44</v>
      </c>
      <c r="E24" s="2">
        <v>3.6543728024486489E-4</v>
      </c>
      <c r="F24" s="1">
        <v>62</v>
      </c>
      <c r="G24" s="1">
        <v>129</v>
      </c>
      <c r="H24" s="1">
        <v>18</v>
      </c>
    </row>
    <row r="25" spans="1:8" ht="19.5">
      <c r="A25" s="1" t="s">
        <v>44</v>
      </c>
      <c r="B25" s="1" t="s">
        <v>34</v>
      </c>
      <c r="C25" s="1" t="s">
        <v>13</v>
      </c>
      <c r="D25" s="1">
        <v>153</v>
      </c>
      <c r="E25" s="2">
        <v>1.139370416200489E-3</v>
      </c>
      <c r="F25" s="1">
        <v>102</v>
      </c>
      <c r="G25" s="1">
        <v>199</v>
      </c>
      <c r="H25" s="1">
        <v>25</v>
      </c>
    </row>
    <row r="26" spans="1:8" ht="19.5">
      <c r="A26" s="1" t="s">
        <v>45</v>
      </c>
      <c r="B26" s="1" t="s">
        <v>37</v>
      </c>
      <c r="C26" s="1" t="s">
        <v>13</v>
      </c>
      <c r="D26" s="1">
        <v>88</v>
      </c>
      <c r="E26" s="2">
        <v>1.90589103227635E-3</v>
      </c>
      <c r="F26" s="1">
        <v>54</v>
      </c>
      <c r="G26" s="1">
        <v>176</v>
      </c>
      <c r="H26" s="1">
        <v>31</v>
      </c>
    </row>
    <row r="27" spans="1:8" ht="19.5">
      <c r="A27" s="1" t="s">
        <v>46</v>
      </c>
      <c r="B27" s="1"/>
      <c r="C27" s="1" t="s">
        <v>20</v>
      </c>
      <c r="D27" s="1">
        <v>364</v>
      </c>
      <c r="E27" s="2">
        <v>2.4503253327124806E-3</v>
      </c>
      <c r="F27" s="1">
        <v>86</v>
      </c>
      <c r="G27" s="1">
        <v>158</v>
      </c>
      <c r="H27" s="1">
        <v>33</v>
      </c>
    </row>
    <row r="28" spans="1:8" ht="19.5">
      <c r="A28" s="1" t="s">
        <v>47</v>
      </c>
      <c r="B28" s="1" t="s">
        <v>34</v>
      </c>
      <c r="C28" s="1" t="s">
        <v>13</v>
      </c>
      <c r="D28" s="1">
        <v>191</v>
      </c>
      <c r="E28" s="2">
        <v>5.061177044290774E-4</v>
      </c>
      <c r="F28" s="1">
        <v>105</v>
      </c>
      <c r="G28" s="1">
        <v>206</v>
      </c>
      <c r="H28" s="1">
        <v>15</v>
      </c>
    </row>
    <row r="29" spans="1:8" ht="19.5">
      <c r="A29" s="1" t="s">
        <v>48</v>
      </c>
      <c r="B29" s="1" t="s">
        <v>37</v>
      </c>
      <c r="C29" s="1" t="s">
        <v>13</v>
      </c>
      <c r="D29" s="1">
        <v>97</v>
      </c>
      <c r="E29" s="2">
        <v>5.896401655375239E-4</v>
      </c>
      <c r="F29" s="1">
        <v>55</v>
      </c>
      <c r="G29" s="1">
        <v>152</v>
      </c>
      <c r="H29" s="1">
        <v>24</v>
      </c>
    </row>
    <row r="30" spans="1:8" ht="19.5">
      <c r="A30" s="1" t="s">
        <v>49</v>
      </c>
      <c r="B30" s="1" t="s">
        <v>50</v>
      </c>
      <c r="C30" s="1" t="s">
        <v>13</v>
      </c>
      <c r="D30" s="1">
        <v>219</v>
      </c>
      <c r="E30" s="2">
        <v>1.4506981799446105E-3</v>
      </c>
      <c r="F30" s="1">
        <v>69</v>
      </c>
      <c r="G30" s="1">
        <v>112</v>
      </c>
      <c r="H30" s="1">
        <v>26</v>
      </c>
    </row>
    <row r="31" spans="1:8" ht="19.5">
      <c r="A31" s="1" t="s">
        <v>51</v>
      </c>
      <c r="B31" s="1" t="s">
        <v>39</v>
      </c>
      <c r="C31" s="1" t="s">
        <v>13</v>
      </c>
      <c r="D31" s="1">
        <v>450</v>
      </c>
      <c r="E31" s="2">
        <v>1.9150063838989024E-3</v>
      </c>
      <c r="F31" s="1">
        <v>84</v>
      </c>
      <c r="G31" s="1">
        <v>177</v>
      </c>
      <c r="H31" s="1">
        <v>25</v>
      </c>
    </row>
    <row r="32" spans="1:8" ht="19.5">
      <c r="A32" s="1" t="s">
        <v>52</v>
      </c>
      <c r="B32" s="1" t="s">
        <v>39</v>
      </c>
      <c r="C32" s="1" t="s">
        <v>13</v>
      </c>
      <c r="D32" s="1">
        <v>673</v>
      </c>
      <c r="E32" s="2">
        <v>2.3475377967311201E-3</v>
      </c>
      <c r="F32" s="1">
        <v>82</v>
      </c>
      <c r="G32" s="1">
        <v>112</v>
      </c>
      <c r="H32" s="1">
        <v>30</v>
      </c>
    </row>
    <row r="33" spans="1:8" ht="19.5">
      <c r="A33" s="1" t="s">
        <v>53</v>
      </c>
      <c r="B33" s="1" t="s">
        <v>42</v>
      </c>
      <c r="C33" s="1" t="s">
        <v>13</v>
      </c>
      <c r="D33" s="1">
        <v>134</v>
      </c>
      <c r="E33" s="2">
        <v>6.0939843889785148E-4</v>
      </c>
      <c r="F33" s="1">
        <v>70</v>
      </c>
      <c r="G33" s="1">
        <v>160</v>
      </c>
      <c r="H33" s="1">
        <v>37</v>
      </c>
    </row>
    <row r="34" spans="1:8" ht="19.5">
      <c r="A34" s="1" t="s">
        <v>54</v>
      </c>
      <c r="B34" s="1" t="s">
        <v>42</v>
      </c>
      <c r="C34" s="1" t="s">
        <v>13</v>
      </c>
      <c r="D34" s="1">
        <v>105</v>
      </c>
      <c r="E34" s="2">
        <v>2.0265383765274815E-3</v>
      </c>
      <c r="F34" s="1">
        <v>55</v>
      </c>
      <c r="G34" s="1">
        <v>168</v>
      </c>
      <c r="H34" s="1">
        <v>38</v>
      </c>
    </row>
    <row r="35" spans="1:8" ht="19.5">
      <c r="A35" s="1" t="s">
        <v>55</v>
      </c>
      <c r="B35" s="1" t="s">
        <v>31</v>
      </c>
      <c r="C35" s="1" t="s">
        <v>13</v>
      </c>
      <c r="D35" s="1">
        <v>53</v>
      </c>
      <c r="E35" s="2">
        <v>1.471275994124218E-3</v>
      </c>
      <c r="F35" s="1">
        <v>43</v>
      </c>
      <c r="G35" s="1">
        <v>134</v>
      </c>
      <c r="H35" s="1">
        <v>25</v>
      </c>
    </row>
    <row r="36" spans="1:8" ht="19.5">
      <c r="A36" s="1" t="s">
        <v>56</v>
      </c>
      <c r="B36" s="1" t="s">
        <v>34</v>
      </c>
      <c r="C36" s="1" t="s">
        <v>13</v>
      </c>
      <c r="D36" s="1">
        <v>171</v>
      </c>
      <c r="E36" s="2">
        <v>1.5046305561373834E-3</v>
      </c>
      <c r="F36" s="1">
        <v>52</v>
      </c>
      <c r="G36" s="1">
        <v>155</v>
      </c>
      <c r="H36" s="1">
        <v>17</v>
      </c>
    </row>
    <row r="37" spans="1:8" ht="19.5">
      <c r="A37" s="1" t="s">
        <v>57</v>
      </c>
      <c r="B37" s="1" t="s">
        <v>34</v>
      </c>
      <c r="C37" s="1" t="s">
        <v>13</v>
      </c>
      <c r="D37" s="1">
        <v>138</v>
      </c>
      <c r="E37" s="2">
        <v>4.2651296564895601E-3</v>
      </c>
      <c r="F37" s="1">
        <v>76</v>
      </c>
      <c r="G37" s="1">
        <v>135</v>
      </c>
      <c r="H37" s="1">
        <v>30</v>
      </c>
    </row>
    <row r="38" spans="1:8" ht="19.5">
      <c r="A38" s="1" t="s">
        <v>58</v>
      </c>
      <c r="B38" s="1" t="s">
        <v>37</v>
      </c>
      <c r="C38" s="1" t="s">
        <v>20</v>
      </c>
      <c r="D38" s="1">
        <v>101</v>
      </c>
      <c r="E38" s="2">
        <v>6.4309585632189945E-4</v>
      </c>
      <c r="F38" s="1">
        <v>88</v>
      </c>
      <c r="G38" s="1">
        <v>170</v>
      </c>
      <c r="H38" s="1">
        <v>25</v>
      </c>
    </row>
    <row r="39" spans="1:8" ht="19.5">
      <c r="A39" s="1" t="s">
        <v>59</v>
      </c>
      <c r="B39" s="1" t="s">
        <v>39</v>
      </c>
      <c r="C39" s="1" t="s">
        <v>13</v>
      </c>
      <c r="D39" s="1">
        <v>581</v>
      </c>
      <c r="E39" s="2">
        <v>2.1115205364997647E-3</v>
      </c>
      <c r="F39" s="1">
        <v>109</v>
      </c>
      <c r="G39" s="1">
        <v>191</v>
      </c>
      <c r="H39" s="1">
        <v>24</v>
      </c>
    </row>
    <row r="40" spans="1:8" ht="19.5">
      <c r="A40" s="1" t="s">
        <v>60</v>
      </c>
      <c r="B40" s="1" t="s">
        <v>39</v>
      </c>
      <c r="C40" s="1" t="s">
        <v>13</v>
      </c>
      <c r="D40" s="1">
        <v>649</v>
      </c>
      <c r="E40" s="2">
        <v>1.8760993935935653E-3</v>
      </c>
      <c r="F40" s="1">
        <v>48</v>
      </c>
      <c r="G40" s="1">
        <v>127</v>
      </c>
      <c r="H40" s="1">
        <v>36</v>
      </c>
    </row>
    <row r="41" spans="1:8" ht="19.5">
      <c r="A41" s="1" t="s">
        <v>61</v>
      </c>
      <c r="B41" s="1" t="s">
        <v>42</v>
      </c>
      <c r="C41" s="1" t="s">
        <v>13</v>
      </c>
      <c r="D41" s="1">
        <v>57</v>
      </c>
      <c r="E41" s="2">
        <v>1.8907215483519439E-3</v>
      </c>
      <c r="F41" s="1">
        <v>44</v>
      </c>
      <c r="G41" s="1">
        <v>97</v>
      </c>
      <c r="H41" s="1">
        <v>40</v>
      </c>
    </row>
    <row r="42" spans="1:8" ht="19.5">
      <c r="A42" s="1" t="s">
        <v>62</v>
      </c>
      <c r="B42" s="1" t="s">
        <v>31</v>
      </c>
      <c r="C42" s="1" t="s">
        <v>13</v>
      </c>
      <c r="D42" s="1">
        <v>39</v>
      </c>
      <c r="E42" s="2">
        <v>2.1217121063032327E-3</v>
      </c>
      <c r="F42" s="1">
        <v>90</v>
      </c>
      <c r="G42" s="1">
        <v>146</v>
      </c>
      <c r="H42" s="1">
        <v>37</v>
      </c>
    </row>
    <row r="43" spans="1:8" ht="19.5">
      <c r="A43" s="1" t="s">
        <v>63</v>
      </c>
      <c r="B43" s="1" t="s">
        <v>34</v>
      </c>
      <c r="C43" s="1" t="s">
        <v>13</v>
      </c>
      <c r="D43" s="1">
        <v>208</v>
      </c>
      <c r="E43" s="2">
        <v>2.8521345769411295E-3</v>
      </c>
      <c r="F43" s="1">
        <v>60</v>
      </c>
      <c r="G43" s="1">
        <v>107</v>
      </c>
      <c r="H43" s="1">
        <v>39</v>
      </c>
    </row>
    <row r="44" spans="1:8" ht="19.5">
      <c r="A44" s="1" t="s">
        <v>64</v>
      </c>
      <c r="B44" s="1" t="s">
        <v>37</v>
      </c>
      <c r="C44" s="1" t="s">
        <v>20</v>
      </c>
      <c r="D44" s="1">
        <v>77</v>
      </c>
      <c r="E44" s="2">
        <v>1.1009773674835353E-3</v>
      </c>
      <c r="F44" s="1">
        <v>96</v>
      </c>
      <c r="G44" s="1">
        <v>210</v>
      </c>
      <c r="H44" s="1">
        <v>19</v>
      </c>
    </row>
    <row r="45" spans="1:8" ht="19.5">
      <c r="A45" s="1" t="s">
        <v>65</v>
      </c>
      <c r="B45" s="1" t="s">
        <v>39</v>
      </c>
      <c r="C45" s="1" t="s">
        <v>13</v>
      </c>
      <c r="D45" s="1">
        <v>233</v>
      </c>
      <c r="E45" s="2">
        <v>1.6483681236811897E-3</v>
      </c>
      <c r="F45" s="1">
        <v>93</v>
      </c>
      <c r="G45" s="1">
        <v>176</v>
      </c>
      <c r="H45" s="1">
        <v>19</v>
      </c>
    </row>
    <row r="46" spans="1:8" ht="19.5">
      <c r="A46" s="1" t="s">
        <v>66</v>
      </c>
      <c r="B46" s="1" t="s">
        <v>31</v>
      </c>
      <c r="C46" s="1" t="s">
        <v>20</v>
      </c>
      <c r="D46" s="1">
        <v>42</v>
      </c>
      <c r="E46" s="2">
        <v>1.884697102983731E-3</v>
      </c>
      <c r="F46" s="1">
        <v>29</v>
      </c>
      <c r="G46" s="1">
        <v>120</v>
      </c>
      <c r="H46" s="1">
        <v>33</v>
      </c>
    </row>
    <row r="47" spans="1:8" ht="19.5">
      <c r="A47" s="1" t="s">
        <v>67</v>
      </c>
      <c r="B47" s="1" t="s">
        <v>37</v>
      </c>
      <c r="C47" s="1" t="s">
        <v>13</v>
      </c>
      <c r="D47" s="1">
        <v>105</v>
      </c>
      <c r="E47" s="2">
        <v>2.1782385037017651E-3</v>
      </c>
      <c r="F47" s="1">
        <v>37</v>
      </c>
      <c r="G47" s="1">
        <v>155</v>
      </c>
      <c r="H47" s="1">
        <v>33</v>
      </c>
    </row>
    <row r="48" spans="1:8" ht="19.5">
      <c r="A48" s="1" t="s">
        <v>68</v>
      </c>
      <c r="B48" s="1" t="s">
        <v>39</v>
      </c>
      <c r="C48" s="1" t="s">
        <v>13</v>
      </c>
      <c r="D48" s="1">
        <v>522</v>
      </c>
      <c r="E48" s="2">
        <v>1.4524864152080492E-3</v>
      </c>
      <c r="F48" s="1">
        <v>95</v>
      </c>
      <c r="G48" s="1">
        <v>192</v>
      </c>
      <c r="H48" s="1">
        <v>27</v>
      </c>
    </row>
    <row r="49" spans="1:8" ht="19.5">
      <c r="A49" s="1" t="s">
        <v>69</v>
      </c>
      <c r="B49" s="1" t="s">
        <v>42</v>
      </c>
      <c r="C49" s="1" t="s">
        <v>13</v>
      </c>
      <c r="D49" s="1">
        <v>82</v>
      </c>
      <c r="E49" s="2">
        <v>3.4610937137621541E-4</v>
      </c>
      <c r="F49" s="1">
        <v>101</v>
      </c>
      <c r="G49" s="1">
        <v>178</v>
      </c>
      <c r="H49" s="1">
        <v>23</v>
      </c>
    </row>
    <row r="50" spans="1:8" ht="19.5">
      <c r="A50" s="1" t="s">
        <v>70</v>
      </c>
      <c r="B50" s="1" t="s">
        <v>31</v>
      </c>
      <c r="C50" s="1" t="s">
        <v>20</v>
      </c>
      <c r="D50" s="1">
        <v>62</v>
      </c>
      <c r="E50" s="2">
        <v>8.9222664097469637E-4</v>
      </c>
      <c r="F50" s="1">
        <v>42</v>
      </c>
      <c r="G50" s="1">
        <v>118</v>
      </c>
      <c r="H50" s="1">
        <v>27</v>
      </c>
    </row>
    <row r="51" spans="1:8" ht="19.5">
      <c r="A51" s="1" t="s">
        <v>71</v>
      </c>
      <c r="B51" s="1" t="s">
        <v>34</v>
      </c>
      <c r="C51" s="1" t="s">
        <v>13</v>
      </c>
      <c r="D51" s="1">
        <v>210</v>
      </c>
      <c r="E51" s="2">
        <v>1.8152784945139448E-3</v>
      </c>
      <c r="F51" s="1">
        <v>77</v>
      </c>
      <c r="G51" s="1">
        <v>168</v>
      </c>
      <c r="H51" s="1">
        <v>30</v>
      </c>
    </row>
    <row r="52" spans="1:8" ht="19.5">
      <c r="A52" s="1" t="s">
        <v>72</v>
      </c>
      <c r="B52" s="1" t="s">
        <v>39</v>
      </c>
      <c r="C52" s="1" t="s">
        <v>20</v>
      </c>
      <c r="D52" s="1">
        <v>461</v>
      </c>
      <c r="E52" s="2">
        <v>2.2563940247787742E-3</v>
      </c>
      <c r="F52" s="1">
        <v>42</v>
      </c>
      <c r="G52" s="1">
        <v>103</v>
      </c>
      <c r="H52" s="1">
        <v>42</v>
      </c>
    </row>
    <row r="53" spans="1:8" ht="19.5">
      <c r="A53" s="1" t="s">
        <v>73</v>
      </c>
      <c r="B53" s="1" t="s">
        <v>42</v>
      </c>
      <c r="C53" s="1" t="s">
        <v>20</v>
      </c>
      <c r="D53" s="1">
        <v>116</v>
      </c>
      <c r="E53" s="2">
        <v>1.0598640824486158E-3</v>
      </c>
      <c r="F53" s="1">
        <v>57</v>
      </c>
      <c r="G53" s="1">
        <v>136</v>
      </c>
      <c r="H53" s="1">
        <v>28</v>
      </c>
    </row>
    <row r="54" spans="1:8" ht="19.5">
      <c r="A54" s="1" t="s">
        <v>74</v>
      </c>
      <c r="B54" s="1" t="s">
        <v>31</v>
      </c>
      <c r="C54" s="1" t="s">
        <v>13</v>
      </c>
      <c r="D54" s="1">
        <v>45</v>
      </c>
      <c r="E54" s="2">
        <v>1.4219316729648444E-3</v>
      </c>
      <c r="F54" s="1">
        <v>89</v>
      </c>
      <c r="G54" s="1">
        <v>169</v>
      </c>
      <c r="H54" s="1">
        <v>22</v>
      </c>
    </row>
    <row r="55" spans="1:8" ht="19.5">
      <c r="A55" s="1" t="s">
        <v>75</v>
      </c>
      <c r="B55" s="1" t="s">
        <v>34</v>
      </c>
      <c r="C55" s="1" t="s">
        <v>13</v>
      </c>
      <c r="D55" s="1">
        <v>198</v>
      </c>
      <c r="E55" s="2">
        <v>1.6459847324278068E-3</v>
      </c>
      <c r="F55" s="1">
        <v>89</v>
      </c>
      <c r="G55" s="1">
        <v>150</v>
      </c>
      <c r="H55" s="1">
        <v>29</v>
      </c>
    </row>
    <row r="56" spans="1:8" ht="19.5">
      <c r="A56" s="1" t="s">
        <v>76</v>
      </c>
      <c r="B56" s="1" t="s">
        <v>39</v>
      </c>
      <c r="C56" s="1" t="s">
        <v>20</v>
      </c>
      <c r="D56" s="1"/>
      <c r="E56" s="2">
        <v>1.8075703049277509E-3</v>
      </c>
      <c r="F56" s="1">
        <v>79</v>
      </c>
      <c r="G56" s="1">
        <v>168</v>
      </c>
      <c r="H56" s="1">
        <v>33</v>
      </c>
    </row>
    <row r="57" spans="1:8" ht="19.5">
      <c r="A57" s="1" t="s">
        <v>77</v>
      </c>
      <c r="B57" s="1" t="s">
        <v>34</v>
      </c>
      <c r="C57" s="1" t="s">
        <v>20</v>
      </c>
      <c r="D57" s="1">
        <v>184</v>
      </c>
      <c r="E57" s="2">
        <v>6.2278300003531118E-4</v>
      </c>
      <c r="F57" s="1">
        <v>109</v>
      </c>
      <c r="G57" s="1">
        <v>220</v>
      </c>
      <c r="H57" s="1">
        <v>16</v>
      </c>
    </row>
    <row r="58" spans="1:8" ht="19.5">
      <c r="A58" s="1" t="s">
        <v>78</v>
      </c>
      <c r="B58" s="1" t="s">
        <v>37</v>
      </c>
      <c r="C58" s="1" t="s">
        <v>13</v>
      </c>
      <c r="D58" s="1">
        <v>110</v>
      </c>
      <c r="E58" s="2">
        <v>2.9855096039994302E-3</v>
      </c>
      <c r="F58" s="1">
        <v>74</v>
      </c>
      <c r="G58" s="1">
        <v>138</v>
      </c>
      <c r="H58" s="1">
        <v>35</v>
      </c>
    </row>
    <row r="59" spans="1:8" ht="19.5">
      <c r="A59" s="1" t="s">
        <v>79</v>
      </c>
      <c r="B59" s="1" t="s">
        <v>39</v>
      </c>
      <c r="C59" s="1" t="s">
        <v>13</v>
      </c>
      <c r="D59" s="1">
        <v>493</v>
      </c>
      <c r="E59" s="2">
        <v>1.2910990357404882E-3</v>
      </c>
      <c r="F59" s="1">
        <v>72</v>
      </c>
      <c r="G59" s="1">
        <v>177</v>
      </c>
      <c r="H59" s="1">
        <v>24</v>
      </c>
    </row>
    <row r="60" spans="1:8" ht="19.5">
      <c r="A60" s="1" t="s">
        <v>80</v>
      </c>
      <c r="B60" s="1" t="s">
        <v>39</v>
      </c>
      <c r="C60" s="1" t="s">
        <v>13</v>
      </c>
      <c r="D60" s="1">
        <v>427</v>
      </c>
      <c r="E60" s="2">
        <v>1.8401442762877706E-3</v>
      </c>
      <c r="F60" s="1">
        <v>86</v>
      </c>
      <c r="G60" s="1">
        <v>177</v>
      </c>
      <c r="H60" s="1">
        <v>31</v>
      </c>
    </row>
    <row r="61" spans="1:8" ht="19.5">
      <c r="A61" s="1" t="s">
        <v>81</v>
      </c>
      <c r="B61" s="1" t="s">
        <v>42</v>
      </c>
      <c r="C61" s="1" t="s">
        <v>13</v>
      </c>
      <c r="D61" s="1">
        <v>88</v>
      </c>
      <c r="E61" s="2">
        <v>1.9427476304190968E-3</v>
      </c>
      <c r="F61" s="1">
        <v>58</v>
      </c>
      <c r="G61" s="1">
        <v>141</v>
      </c>
      <c r="H61" s="1">
        <v>38</v>
      </c>
    </row>
    <row r="62" spans="1:8" ht="19.5">
      <c r="A62" s="1" t="s">
        <v>82</v>
      </c>
      <c r="B62" s="1" t="s">
        <v>42</v>
      </c>
      <c r="C62" s="1" t="s">
        <v>20</v>
      </c>
      <c r="D62" s="1">
        <v>108</v>
      </c>
      <c r="E62" s="2">
        <v>1.1709065184826036E-3</v>
      </c>
      <c r="F62" s="1">
        <v>51</v>
      </c>
      <c r="G62" s="1">
        <v>186</v>
      </c>
      <c r="H62" s="1">
        <v>26</v>
      </c>
    </row>
    <row r="63" spans="1:8" ht="19.5">
      <c r="A63" s="1" t="s">
        <v>83</v>
      </c>
      <c r="B63" s="1" t="s">
        <v>31</v>
      </c>
      <c r="C63" s="1" t="s">
        <v>13</v>
      </c>
      <c r="D63" s="1">
        <v>57</v>
      </c>
      <c r="E63" s="2">
        <v>9.8859371177487977E-4</v>
      </c>
      <c r="F63" s="1">
        <v>98</v>
      </c>
      <c r="G63" s="1">
        <v>221</v>
      </c>
      <c r="H63" s="1">
        <v>16</v>
      </c>
    </row>
    <row r="64" spans="1:8" ht="19.5">
      <c r="A64" s="1" t="s">
        <v>84</v>
      </c>
      <c r="B64" s="1" t="s">
        <v>34</v>
      </c>
      <c r="C64" s="1" t="s">
        <v>13</v>
      </c>
      <c r="D64" s="1">
        <v>215</v>
      </c>
      <c r="E64" s="2">
        <v>1.0349331516544486E-3</v>
      </c>
      <c r="F64" s="1">
        <v>114</v>
      </c>
      <c r="G64" s="1">
        <v>210</v>
      </c>
      <c r="H64" s="1">
        <v>18</v>
      </c>
    </row>
    <row r="65" spans="1:8" ht="19.5">
      <c r="A65" s="1" t="s">
        <v>85</v>
      </c>
      <c r="B65" s="1" t="s">
        <v>39</v>
      </c>
      <c r="C65" s="1" t="s">
        <v>13</v>
      </c>
      <c r="D65" s="1">
        <v>623</v>
      </c>
      <c r="E65" s="2">
        <v>1.9346922064213145E-3</v>
      </c>
      <c r="F65" s="1">
        <v>119</v>
      </c>
      <c r="G65" s="1">
        <v>198</v>
      </c>
      <c r="H65" s="1">
        <v>21</v>
      </c>
    </row>
    <row r="66" spans="1:8" ht="19.5">
      <c r="A66" s="1" t="s">
        <v>86</v>
      </c>
      <c r="B66" s="1" t="s">
        <v>42</v>
      </c>
      <c r="C66" s="1" t="s">
        <v>13</v>
      </c>
      <c r="D66" s="1">
        <v>110</v>
      </c>
      <c r="E66" s="2">
        <v>1.4234438063633569E-3</v>
      </c>
      <c r="F66" s="1">
        <v>93</v>
      </c>
      <c r="G66" s="1">
        <v>170</v>
      </c>
      <c r="H66" s="1">
        <v>19</v>
      </c>
    </row>
    <row r="67" spans="1:8" ht="19.5">
      <c r="A67" s="1" t="s">
        <v>87</v>
      </c>
      <c r="B67" s="1" t="s">
        <v>31</v>
      </c>
      <c r="C67" s="1" t="s">
        <v>20</v>
      </c>
      <c r="D67" s="1">
        <v>39</v>
      </c>
      <c r="E67" s="2">
        <v>9.3981656517807459E-4</v>
      </c>
      <c r="F67" s="1">
        <v>15</v>
      </c>
      <c r="G67" s="1">
        <v>102</v>
      </c>
      <c r="H67" s="1">
        <v>32</v>
      </c>
    </row>
    <row r="68" spans="1:8" ht="19.5">
      <c r="A68" s="1" t="s">
        <v>88</v>
      </c>
      <c r="B68" s="1" t="s">
        <v>34</v>
      </c>
      <c r="C68" s="1" t="s">
        <v>13</v>
      </c>
      <c r="D68" s="1">
        <v>131</v>
      </c>
      <c r="E68" s="2">
        <v>1.4557219738284097E-3</v>
      </c>
      <c r="F68" s="1">
        <v>46</v>
      </c>
      <c r="G68" s="1">
        <v>129</v>
      </c>
      <c r="H68" s="1">
        <v>28</v>
      </c>
    </row>
    <row r="69" spans="1:8" ht="19.5">
      <c r="A69" s="1" t="s">
        <v>89</v>
      </c>
      <c r="B69" s="1" t="s">
        <v>37</v>
      </c>
      <c r="C69" s="1" t="s">
        <v>13</v>
      </c>
      <c r="D69" s="1">
        <v>66</v>
      </c>
      <c r="E69" s="2">
        <v>2.6993255337543496E-3</v>
      </c>
      <c r="F69" s="1">
        <v>76</v>
      </c>
      <c r="G69" s="1">
        <v>141</v>
      </c>
      <c r="H69" s="1">
        <v>46</v>
      </c>
    </row>
    <row r="70" spans="1:8" ht="19.5">
      <c r="A70" s="1" t="s">
        <v>90</v>
      </c>
      <c r="B70" s="1" t="s">
        <v>37</v>
      </c>
      <c r="C70" s="1" t="s">
        <v>13</v>
      </c>
      <c r="D70" s="1">
        <v>103</v>
      </c>
      <c r="E70" s="2">
        <v>1.151243488960453E-3</v>
      </c>
      <c r="F70" s="1">
        <v>30</v>
      </c>
      <c r="G70" s="1">
        <v>148</v>
      </c>
      <c r="H70" s="1">
        <v>22</v>
      </c>
    </row>
    <row r="71" spans="1:8" ht="19.5">
      <c r="A71" s="1" t="s">
        <v>91</v>
      </c>
      <c r="B71" s="1" t="s">
        <v>37</v>
      </c>
      <c r="C71" s="1" t="s">
        <v>20</v>
      </c>
      <c r="D71" s="1">
        <v>75</v>
      </c>
      <c r="E71" s="2">
        <v>3.5951551190253049E-4</v>
      </c>
      <c r="F71" s="1">
        <v>61</v>
      </c>
      <c r="G71" s="1">
        <v>162</v>
      </c>
      <c r="H71" s="1">
        <v>16</v>
      </c>
    </row>
    <row r="72" spans="1:8" ht="19.5">
      <c r="A72" s="1" t="s">
        <v>92</v>
      </c>
      <c r="B72" s="1" t="s">
        <v>39</v>
      </c>
      <c r="C72" s="1" t="s">
        <v>13</v>
      </c>
      <c r="D72" s="1">
        <v>523</v>
      </c>
      <c r="E72" s="2">
        <v>2.2414281809721306E-4</v>
      </c>
      <c r="F72" s="1">
        <v>48</v>
      </c>
      <c r="G72" s="1">
        <v>134</v>
      </c>
      <c r="H72" s="1">
        <v>26</v>
      </c>
    </row>
    <row r="73" spans="1:8" ht="19.5">
      <c r="A73" s="1" t="s">
        <v>93</v>
      </c>
      <c r="B73" s="1" t="s">
        <v>39</v>
      </c>
      <c r="C73" s="1" t="s">
        <v>20</v>
      </c>
      <c r="D73" s="1">
        <v>353</v>
      </c>
      <c r="E73" s="2">
        <v>1.8884167134048657E-3</v>
      </c>
      <c r="F73" s="1">
        <v>63</v>
      </c>
      <c r="G73" s="1">
        <v>154</v>
      </c>
      <c r="H73" s="1">
        <v>37</v>
      </c>
    </row>
    <row r="74" spans="1:8" ht="19.5">
      <c r="A74" s="1" t="s">
        <v>94</v>
      </c>
      <c r="B74" s="1" t="s">
        <v>37</v>
      </c>
      <c r="C74" s="1" t="s">
        <v>13</v>
      </c>
      <c r="D74" s="1">
        <v>106</v>
      </c>
      <c r="E74" s="2">
        <v>1.1284479740524009E-3</v>
      </c>
      <c r="F74" s="1">
        <v>47</v>
      </c>
      <c r="G74" s="1">
        <v>116</v>
      </c>
      <c r="H74" s="1">
        <v>32</v>
      </c>
    </row>
    <row r="75" spans="1:8" ht="19.5">
      <c r="A75" s="1" t="s">
        <v>95</v>
      </c>
      <c r="B75" s="1" t="s">
        <v>39</v>
      </c>
      <c r="C75" s="1" t="s">
        <v>13</v>
      </c>
      <c r="D75" s="1">
        <v>564</v>
      </c>
      <c r="E75" s="2">
        <v>1.7132106167596364E-3</v>
      </c>
      <c r="F75" s="1">
        <v>60</v>
      </c>
      <c r="G75" s="1">
        <v>104</v>
      </c>
      <c r="H75" s="1">
        <v>46</v>
      </c>
    </row>
    <row r="76" spans="1:8" ht="19.5">
      <c r="A76" s="1" t="s">
        <v>96</v>
      </c>
      <c r="B76" s="1" t="s">
        <v>39</v>
      </c>
      <c r="C76" s="1" t="s">
        <v>13</v>
      </c>
      <c r="D76" s="1">
        <v>428</v>
      </c>
      <c r="E76" s="2">
        <v>2.9265900039130127E-4</v>
      </c>
      <c r="F76" s="1">
        <v>60</v>
      </c>
      <c r="G76" s="1">
        <v>178</v>
      </c>
      <c r="H76" s="1">
        <v>20</v>
      </c>
    </row>
    <row r="77" spans="1:8" ht="19.5">
      <c r="A77" s="1" t="s">
        <v>97</v>
      </c>
      <c r="B77" s="1" t="s">
        <v>42</v>
      </c>
      <c r="C77" s="1" t="s">
        <v>13</v>
      </c>
      <c r="D77" s="1">
        <v>114</v>
      </c>
      <c r="E77" s="2">
        <v>1.4607629280686642E-3</v>
      </c>
      <c r="F77" s="1">
        <v>82</v>
      </c>
      <c r="G77" s="1">
        <v>145</v>
      </c>
      <c r="H77" s="1">
        <v>45</v>
      </c>
    </row>
    <row r="78" spans="1:8" ht="19.5">
      <c r="A78" s="1" t="s">
        <v>98</v>
      </c>
      <c r="B78" s="1" t="s">
        <v>31</v>
      </c>
      <c r="C78" s="1" t="s">
        <v>13</v>
      </c>
      <c r="D78" s="1">
        <v>41</v>
      </c>
      <c r="E78" s="2">
        <v>1.9317007556083406E-4</v>
      </c>
      <c r="F78" s="1">
        <v>44</v>
      </c>
      <c r="G78" s="1">
        <v>119</v>
      </c>
      <c r="H78" s="1">
        <v>34</v>
      </c>
    </row>
    <row r="79" spans="1:8" ht="19.5">
      <c r="A79" s="1" t="s">
        <v>99</v>
      </c>
      <c r="B79" s="1" t="s">
        <v>37</v>
      </c>
      <c r="C79" s="1" t="s">
        <v>13</v>
      </c>
      <c r="D79" s="1">
        <v>115</v>
      </c>
      <c r="E79" s="2">
        <v>1.6017775407853412E-3</v>
      </c>
      <c r="F79" s="1">
        <v>15</v>
      </c>
      <c r="G79" s="1">
        <v>128</v>
      </c>
      <c r="H79" s="1">
        <v>30</v>
      </c>
    </row>
    <row r="80" spans="1:8" ht="19.5">
      <c r="A80" s="1" t="s">
        <v>100</v>
      </c>
      <c r="B80" s="1" t="s">
        <v>42</v>
      </c>
      <c r="C80" s="1" t="s">
        <v>20</v>
      </c>
      <c r="D80" s="1">
        <v>120</v>
      </c>
      <c r="E80" s="2">
        <v>6.9934531102609776E-4</v>
      </c>
      <c r="F80" s="1">
        <v>85</v>
      </c>
      <c r="G80" s="1">
        <v>142</v>
      </c>
      <c r="H80" s="1">
        <v>19</v>
      </c>
    </row>
    <row r="81" spans="1:8" ht="19.5">
      <c r="A81" s="1" t="s">
        <v>101</v>
      </c>
      <c r="B81" s="1" t="s">
        <v>37</v>
      </c>
      <c r="C81" s="1" t="s">
        <v>20</v>
      </c>
      <c r="D81" s="1">
        <v>121</v>
      </c>
      <c r="E81" s="2">
        <v>9.6469355869245371E-4</v>
      </c>
      <c r="F81" s="1">
        <v>105</v>
      </c>
      <c r="G81" s="1">
        <v>150</v>
      </c>
      <c r="H81" s="1">
        <v>24</v>
      </c>
    </row>
    <row r="82" spans="1:8" ht="19.5">
      <c r="A82" s="1" t="s">
        <v>102</v>
      </c>
      <c r="B82" s="1" t="s">
        <v>39</v>
      </c>
      <c r="C82" s="1" t="s">
        <v>13</v>
      </c>
      <c r="D82" s="1">
        <v>613</v>
      </c>
      <c r="E82" s="2">
        <v>3.4990045853267401E-4</v>
      </c>
      <c r="F82" s="1">
        <v>51</v>
      </c>
      <c r="G82" s="1">
        <v>142</v>
      </c>
      <c r="H82" s="1">
        <v>11</v>
      </c>
    </row>
    <row r="83" spans="1:8" ht="19.5">
      <c r="A83" s="1" t="s">
        <v>103</v>
      </c>
      <c r="B83" s="1" t="s">
        <v>39</v>
      </c>
      <c r="C83" s="1" t="s">
        <v>13</v>
      </c>
      <c r="D83" s="1">
        <v>457</v>
      </c>
      <c r="E83" s="2">
        <v>2.1805598363222509E-3</v>
      </c>
      <c r="F83" s="1">
        <v>79</v>
      </c>
      <c r="G83" s="1">
        <v>156</v>
      </c>
      <c r="H83" s="1">
        <v>33</v>
      </c>
    </row>
    <row r="84" spans="1:8" ht="19.5">
      <c r="A84" s="1" t="s">
        <v>104</v>
      </c>
      <c r="B84" s="1" t="s">
        <v>42</v>
      </c>
      <c r="C84" s="1" t="s">
        <v>13</v>
      </c>
      <c r="D84" s="1">
        <v>121</v>
      </c>
      <c r="E84" s="2">
        <v>3.1637849816631645E-5</v>
      </c>
      <c r="F84" s="1">
        <v>105</v>
      </c>
      <c r="G84" s="1">
        <v>191</v>
      </c>
      <c r="H84" s="1">
        <v>21</v>
      </c>
    </row>
    <row r="85" spans="1:8" ht="19.5">
      <c r="A85" s="1" t="s">
        <v>105</v>
      </c>
      <c r="B85" s="1" t="s">
        <v>39</v>
      </c>
      <c r="C85" s="1" t="s">
        <v>13</v>
      </c>
      <c r="D85" s="1">
        <v>534</v>
      </c>
      <c r="E85" s="2">
        <v>2.1554105081547318E-3</v>
      </c>
      <c r="F85" s="1">
        <v>47</v>
      </c>
      <c r="G85" s="1">
        <v>116</v>
      </c>
      <c r="H85" s="1">
        <v>42</v>
      </c>
    </row>
    <row r="86" spans="1:8" ht="19.5">
      <c r="A86" s="1" t="s">
        <v>106</v>
      </c>
      <c r="B86" s="1" t="s">
        <v>31</v>
      </c>
      <c r="C86" s="1" t="s">
        <v>20</v>
      </c>
      <c r="D86" s="1">
        <v>69</v>
      </c>
      <c r="E86" s="2">
        <v>1.1360561773400694E-3</v>
      </c>
      <c r="F86" s="1">
        <v>98</v>
      </c>
      <c r="G86" s="1">
        <v>170</v>
      </c>
      <c r="H86" s="1">
        <v>27</v>
      </c>
    </row>
    <row r="87" spans="1:8" ht="19.5">
      <c r="A87" s="1" t="s">
        <v>107</v>
      </c>
      <c r="B87" s="1" t="s">
        <v>37</v>
      </c>
      <c r="C87" s="1" t="s">
        <v>20</v>
      </c>
      <c r="D87" s="1">
        <v>106</v>
      </c>
      <c r="E87" s="2">
        <v>1.7974422909534718E-3</v>
      </c>
      <c r="F87" s="1">
        <v>44</v>
      </c>
      <c r="G87" s="1">
        <v>119</v>
      </c>
      <c r="H87" s="1">
        <v>27</v>
      </c>
    </row>
    <row r="88" spans="1:8" ht="19.5">
      <c r="A88" s="1" t="s">
        <v>108</v>
      </c>
      <c r="B88" s="1" t="s">
        <v>37</v>
      </c>
      <c r="C88" s="1" t="s">
        <v>13</v>
      </c>
      <c r="D88" s="1">
        <v>118</v>
      </c>
      <c r="E88" s="2">
        <v>1.2817722431836917E-3</v>
      </c>
      <c r="F88" s="1">
        <v>122</v>
      </c>
      <c r="G88" s="1">
        <v>216</v>
      </c>
      <c r="H88" s="1">
        <v>18</v>
      </c>
    </row>
    <row r="89" spans="1:8" ht="19.5">
      <c r="A89" s="1" t="s">
        <v>109</v>
      </c>
      <c r="B89" s="1" t="s">
        <v>39</v>
      </c>
      <c r="C89" s="1" t="s">
        <v>20</v>
      </c>
      <c r="D89" s="1">
        <v>344</v>
      </c>
      <c r="E89" s="2">
        <v>1.6138737946756101E-3</v>
      </c>
      <c r="F89" s="1">
        <v>106</v>
      </c>
      <c r="G89" s="1">
        <v>182</v>
      </c>
      <c r="H89" s="1">
        <v>30</v>
      </c>
    </row>
    <row r="90" spans="1:8" ht="19.5">
      <c r="A90" s="1" t="s">
        <v>110</v>
      </c>
      <c r="B90" s="1" t="s">
        <v>31</v>
      </c>
      <c r="C90" s="1" t="s">
        <v>20</v>
      </c>
      <c r="D90" s="1">
        <v>59</v>
      </c>
      <c r="E90" s="2">
        <v>9.6832427680536607E-4</v>
      </c>
      <c r="F90" s="1">
        <v>52</v>
      </c>
      <c r="G90" s="1">
        <v>154</v>
      </c>
      <c r="H90" s="1">
        <v>18</v>
      </c>
    </row>
    <row r="91" spans="1:8" ht="19.5">
      <c r="A91" s="1" t="s">
        <v>111</v>
      </c>
      <c r="B91" s="1" t="s">
        <v>34</v>
      </c>
      <c r="C91" s="1" t="s">
        <v>13</v>
      </c>
      <c r="D91" s="1">
        <v>232</v>
      </c>
      <c r="E91" s="2">
        <v>2.4246517841870229E-3</v>
      </c>
      <c r="F91" s="1">
        <v>55</v>
      </c>
      <c r="G91" s="1">
        <v>195</v>
      </c>
      <c r="H91" s="1">
        <v>20</v>
      </c>
    </row>
    <row r="92" spans="1:8" ht="19.5">
      <c r="A92" s="1" t="s">
        <v>112</v>
      </c>
      <c r="B92" s="1" t="s">
        <v>34</v>
      </c>
      <c r="C92" s="1" t="s">
        <v>13</v>
      </c>
      <c r="D92" s="1">
        <v>206</v>
      </c>
      <c r="E92" s="2">
        <v>8.5151540160047787E-4</v>
      </c>
      <c r="F92" s="1">
        <v>92</v>
      </c>
      <c r="G92" s="1">
        <v>175</v>
      </c>
      <c r="H92" s="1">
        <v>26</v>
      </c>
    </row>
    <row r="93" spans="1:8" ht="19.5">
      <c r="A93" s="1" t="s">
        <v>113</v>
      </c>
      <c r="B93" s="1" t="s">
        <v>37</v>
      </c>
      <c r="C93" s="1" t="s">
        <v>13</v>
      </c>
      <c r="D93" s="1">
        <v>114</v>
      </c>
      <c r="E93" s="2">
        <v>2.0700476752190679E-3</v>
      </c>
      <c r="F93" s="1">
        <v>82</v>
      </c>
      <c r="G93" s="1">
        <v>154</v>
      </c>
      <c r="H93" s="1">
        <v>19</v>
      </c>
    </row>
    <row r="94" spans="1:8" ht="19.5">
      <c r="A94" s="1" t="s">
        <v>114</v>
      </c>
      <c r="B94" s="1" t="s">
        <v>42</v>
      </c>
      <c r="C94" s="1" t="s">
        <v>13</v>
      </c>
      <c r="D94" s="1">
        <v>99</v>
      </c>
      <c r="E94" s="2">
        <v>8.9976056235005345E-4</v>
      </c>
      <c r="F94" s="1">
        <v>103</v>
      </c>
      <c r="G94" s="1">
        <v>169</v>
      </c>
      <c r="H94" s="1">
        <v>26</v>
      </c>
    </row>
    <row r="95" spans="1:8" ht="19.5">
      <c r="A95" s="1" t="s">
        <v>115</v>
      </c>
      <c r="B95" s="1" t="s">
        <v>31</v>
      </c>
      <c r="C95" s="1" t="s">
        <v>20</v>
      </c>
      <c r="D95" s="1">
        <v>40</v>
      </c>
      <c r="E95" s="2">
        <v>7.3044533476093434E-5</v>
      </c>
      <c r="F95" s="1">
        <v>98</v>
      </c>
      <c r="G95" s="1">
        <v>170</v>
      </c>
      <c r="H95" s="1">
        <v>23</v>
      </c>
    </row>
    <row r="96" spans="1:8" ht="19.5">
      <c r="A96" s="1" t="s">
        <v>116</v>
      </c>
      <c r="B96" s="1" t="s">
        <v>34</v>
      </c>
      <c r="C96" s="1" t="s">
        <v>13</v>
      </c>
      <c r="D96" s="1">
        <v>223</v>
      </c>
      <c r="E96" s="2">
        <v>4.1827968917177854E-4</v>
      </c>
      <c r="F96" s="1">
        <v>82</v>
      </c>
      <c r="G96" s="1">
        <v>128</v>
      </c>
      <c r="H96" s="1">
        <v>20</v>
      </c>
    </row>
    <row r="97" spans="1:8" ht="19.5">
      <c r="A97" s="1" t="s">
        <v>117</v>
      </c>
      <c r="B97" s="1" t="s">
        <v>34</v>
      </c>
      <c r="C97" s="1" t="s">
        <v>13</v>
      </c>
      <c r="D97" s="1">
        <v>161</v>
      </c>
      <c r="E97" s="2">
        <v>1.2168857172278607E-3</v>
      </c>
      <c r="F97" s="1">
        <v>58</v>
      </c>
      <c r="G97" s="1">
        <v>159</v>
      </c>
      <c r="H97" s="1">
        <v>17</v>
      </c>
    </row>
    <row r="98" spans="1:8" ht="19.5">
      <c r="A98" s="1" t="s">
        <v>118</v>
      </c>
      <c r="B98" s="1" t="s">
        <v>37</v>
      </c>
      <c r="C98" s="1" t="s">
        <v>20</v>
      </c>
      <c r="D98" s="1">
        <v>87</v>
      </c>
      <c r="E98" s="2">
        <v>6.0195177066665797E-4</v>
      </c>
      <c r="F98" s="1">
        <v>92</v>
      </c>
      <c r="G98" s="1">
        <v>137</v>
      </c>
      <c r="H98" s="1">
        <v>15</v>
      </c>
    </row>
    <row r="99" spans="1:8" ht="19.5">
      <c r="A99" s="1" t="s">
        <v>119</v>
      </c>
      <c r="B99" s="1" t="s">
        <v>39</v>
      </c>
      <c r="C99" s="1" t="s">
        <v>20</v>
      </c>
      <c r="D99" s="1">
        <v>549</v>
      </c>
      <c r="E99" s="2">
        <v>1.7956007324524416E-3</v>
      </c>
      <c r="F99" s="1">
        <v>58</v>
      </c>
      <c r="G99" s="1">
        <v>109</v>
      </c>
      <c r="H99" s="1">
        <v>39</v>
      </c>
    </row>
    <row r="100" spans="1:8" ht="19.5">
      <c r="A100" s="1" t="s">
        <v>120</v>
      </c>
      <c r="B100" s="1" t="s">
        <v>31</v>
      </c>
      <c r="C100" s="1" t="s">
        <v>13</v>
      </c>
      <c r="D100" s="1">
        <v>45</v>
      </c>
      <c r="E100" s="2">
        <v>1.6508306826683776E-3</v>
      </c>
      <c r="F100" s="1">
        <v>38</v>
      </c>
      <c r="G100" s="1">
        <v>128</v>
      </c>
      <c r="H100" s="1">
        <v>30</v>
      </c>
    </row>
    <row r="101" spans="1:8" ht="19.5">
      <c r="A101" s="1" t="s">
        <v>121</v>
      </c>
      <c r="B101" s="1" t="s">
        <v>37</v>
      </c>
      <c r="C101" s="1" t="s">
        <v>32</v>
      </c>
      <c r="D101" s="1">
        <v>101</v>
      </c>
      <c r="E101" s="2">
        <v>2.0822461568619837E-3</v>
      </c>
      <c r="F101" s="1">
        <v>77</v>
      </c>
      <c r="G101" s="1">
        <v>133</v>
      </c>
      <c r="H101" s="1">
        <v>37</v>
      </c>
    </row>
    <row r="102" spans="1:8" ht="19.5">
      <c r="A102" s="1" t="s">
        <v>122</v>
      </c>
      <c r="B102" s="1"/>
      <c r="C102" s="1" t="s">
        <v>13</v>
      </c>
      <c r="D102" s="1">
        <v>635</v>
      </c>
      <c r="E102" s="2">
        <v>1.9397613293176807E-3</v>
      </c>
      <c r="F102" s="1">
        <v>79</v>
      </c>
      <c r="G102" s="1">
        <v>146</v>
      </c>
      <c r="H102" s="1">
        <v>31</v>
      </c>
    </row>
    <row r="103" spans="1:8" ht="19.5">
      <c r="A103" s="1" t="s">
        <v>123</v>
      </c>
      <c r="B103" s="1" t="s">
        <v>39</v>
      </c>
      <c r="C103" s="1" t="s">
        <v>13</v>
      </c>
      <c r="D103" s="1">
        <v>404</v>
      </c>
      <c r="E103" s="2">
        <v>1.0288350759240404E-3</v>
      </c>
      <c r="F103" s="1">
        <v>88</v>
      </c>
      <c r="G103" s="1">
        <v>164</v>
      </c>
      <c r="H103" s="1">
        <v>15</v>
      </c>
    </row>
    <row r="104" spans="1:8" ht="19.5">
      <c r="A104" s="1" t="s">
        <v>124</v>
      </c>
      <c r="B104" s="1" t="s">
        <v>42</v>
      </c>
      <c r="C104" s="1" t="s">
        <v>13</v>
      </c>
      <c r="D104" s="1">
        <v>130</v>
      </c>
      <c r="E104" s="2">
        <v>6.0359803963039521E-4</v>
      </c>
      <c r="F104" s="1">
        <v>74</v>
      </c>
      <c r="G104" s="1">
        <v>149</v>
      </c>
      <c r="H104" s="1">
        <v>33</v>
      </c>
    </row>
    <row r="105" spans="1:8" ht="19.5">
      <c r="A105" s="1" t="s">
        <v>125</v>
      </c>
      <c r="B105" s="1" t="s">
        <v>37</v>
      </c>
      <c r="C105" s="1" t="s">
        <v>13</v>
      </c>
      <c r="D105" s="1">
        <v>135</v>
      </c>
      <c r="E105" s="2">
        <v>1.3058085694423688E-3</v>
      </c>
      <c r="F105" s="1">
        <v>106</v>
      </c>
      <c r="G105" s="1">
        <v>168</v>
      </c>
      <c r="H105" s="1">
        <v>32</v>
      </c>
    </row>
    <row r="106" spans="1:8" ht="19.5">
      <c r="A106" s="1" t="s">
        <v>126</v>
      </c>
      <c r="B106" s="1" t="s">
        <v>39</v>
      </c>
      <c r="C106" s="1" t="s">
        <v>16</v>
      </c>
      <c r="D106" s="1">
        <v>509</v>
      </c>
      <c r="E106" s="2">
        <v>1.7752611741431712E-3</v>
      </c>
      <c r="F106" s="1">
        <v>51</v>
      </c>
      <c r="G106" s="1">
        <v>130</v>
      </c>
      <c r="H106" s="1">
        <v>33</v>
      </c>
    </row>
    <row r="107" spans="1:8" ht="19.5">
      <c r="A107" s="1" t="s">
        <v>127</v>
      </c>
      <c r="B107" s="1" t="s">
        <v>37</v>
      </c>
      <c r="C107" s="1" t="s">
        <v>13</v>
      </c>
      <c r="D107" s="1">
        <v>77</v>
      </c>
      <c r="E107" s="2">
        <v>1.726233175473687E-5</v>
      </c>
      <c r="F107" s="1">
        <v>39</v>
      </c>
      <c r="G107" s="1">
        <v>126</v>
      </c>
      <c r="H107" s="1">
        <v>24</v>
      </c>
    </row>
    <row r="108" spans="1:8" ht="19.5">
      <c r="A108" s="1" t="s">
        <v>128</v>
      </c>
      <c r="B108" s="1" t="s">
        <v>39</v>
      </c>
      <c r="C108" s="1" t="s">
        <v>20</v>
      </c>
      <c r="D108" s="1">
        <v>439</v>
      </c>
      <c r="E108" s="2">
        <v>1.2149359774641778E-3</v>
      </c>
      <c r="F108" s="1">
        <v>36</v>
      </c>
      <c r="G108" s="1">
        <v>115</v>
      </c>
      <c r="H108" s="1">
        <v>25</v>
      </c>
    </row>
    <row r="109" spans="1:8" ht="19.5">
      <c r="A109" s="1" t="s">
        <v>129</v>
      </c>
      <c r="B109" s="1" t="s">
        <v>39</v>
      </c>
      <c r="C109" s="1" t="s">
        <v>13</v>
      </c>
      <c r="D109" s="1">
        <v>457</v>
      </c>
      <c r="E109" s="2">
        <v>1.3752687591461925E-3</v>
      </c>
      <c r="F109" s="1">
        <v>72</v>
      </c>
      <c r="G109" s="1">
        <v>136</v>
      </c>
      <c r="H109" s="1">
        <v>23</v>
      </c>
    </row>
    <row r="110" spans="1:8" ht="19.5">
      <c r="A110" s="1" t="s">
        <v>130</v>
      </c>
      <c r="B110" s="1" t="s">
        <v>31</v>
      </c>
      <c r="C110" s="1" t="s">
        <v>13</v>
      </c>
      <c r="D110" s="1">
        <v>45</v>
      </c>
      <c r="E110" s="2">
        <v>1.5384416578740198E-3</v>
      </c>
      <c r="F110" s="1">
        <v>106</v>
      </c>
      <c r="G110" s="1">
        <v>161</v>
      </c>
      <c r="H110" s="1">
        <v>27</v>
      </c>
    </row>
    <row r="111" spans="1:8" ht="19.5">
      <c r="A111" s="1" t="s">
        <v>131</v>
      </c>
      <c r="B111" s="1" t="s">
        <v>34</v>
      </c>
      <c r="C111" s="1" t="s">
        <v>13</v>
      </c>
      <c r="D111" s="1">
        <v>263</v>
      </c>
      <c r="E111" s="2">
        <v>3.5043090281708131E-3</v>
      </c>
      <c r="F111" s="1">
        <v>43</v>
      </c>
      <c r="G111" s="1">
        <v>108</v>
      </c>
      <c r="H111" s="1">
        <v>33</v>
      </c>
    </row>
    <row r="112" spans="1:8" ht="19.5">
      <c r="A112" s="1" t="s">
        <v>132</v>
      </c>
      <c r="B112" s="1" t="s">
        <v>42</v>
      </c>
      <c r="C112" s="1" t="s">
        <v>13</v>
      </c>
      <c r="D112" s="1">
        <v>96</v>
      </c>
      <c r="E112" s="2">
        <v>5.5939919082352194E-4</v>
      </c>
      <c r="F112" s="1">
        <v>105</v>
      </c>
      <c r="G112" s="1">
        <v>198</v>
      </c>
      <c r="H112" s="1">
        <v>11</v>
      </c>
    </row>
    <row r="113" spans="1:8" ht="19.5">
      <c r="A113" s="1" t="s">
        <v>133</v>
      </c>
      <c r="B113" s="1" t="s">
        <v>31</v>
      </c>
      <c r="C113" s="1" t="s">
        <v>13</v>
      </c>
      <c r="D113" s="1">
        <v>36</v>
      </c>
      <c r="E113" s="2">
        <v>5.6056227225888917E-4</v>
      </c>
      <c r="F113" s="1">
        <v>90</v>
      </c>
      <c r="G113" s="1">
        <v>203</v>
      </c>
      <c r="H113" s="1">
        <v>11</v>
      </c>
    </row>
    <row r="114" spans="1:8" ht="19.5">
      <c r="A114" s="1" t="s">
        <v>134</v>
      </c>
      <c r="B114" s="1" t="s">
        <v>34</v>
      </c>
      <c r="C114" s="1" t="s">
        <v>13</v>
      </c>
      <c r="D114" s="1">
        <v>160</v>
      </c>
      <c r="E114" s="2">
        <v>1.1738697741306139E-3</v>
      </c>
      <c r="F114" s="1">
        <v>70</v>
      </c>
      <c r="G114" s="1">
        <v>109</v>
      </c>
      <c r="H114" s="1">
        <v>29</v>
      </c>
    </row>
    <row r="115" spans="1:8" ht="19.5">
      <c r="A115" s="1" t="s">
        <v>135</v>
      </c>
      <c r="B115" s="1" t="s">
        <v>34</v>
      </c>
      <c r="C115" s="1" t="s">
        <v>16</v>
      </c>
      <c r="D115" s="1">
        <v>46</v>
      </c>
      <c r="E115" s="2">
        <v>1.4199989795998236E-3</v>
      </c>
      <c r="F115" s="1">
        <v>15</v>
      </c>
      <c r="G115" s="1">
        <v>109</v>
      </c>
      <c r="H115" s="1">
        <v>38</v>
      </c>
    </row>
    <row r="116" spans="1:8" ht="19.5">
      <c r="A116" s="1" t="s">
        <v>136</v>
      </c>
      <c r="B116" s="1" t="s">
        <v>37</v>
      </c>
      <c r="C116" s="1" t="s">
        <v>20</v>
      </c>
      <c r="D116" s="1">
        <v>90</v>
      </c>
      <c r="E116" s="2">
        <v>1.3980157387597099E-3</v>
      </c>
      <c r="F116" s="1">
        <v>93</v>
      </c>
      <c r="G116" s="1">
        <v>140</v>
      </c>
      <c r="H116" s="1">
        <v>26</v>
      </c>
    </row>
    <row r="117" spans="1:8" ht="19.5">
      <c r="A117" s="1" t="s">
        <v>137</v>
      </c>
      <c r="B117" s="1" t="s">
        <v>39</v>
      </c>
      <c r="C117" s="1" t="s">
        <v>13</v>
      </c>
      <c r="D117" s="1">
        <v>538</v>
      </c>
      <c r="E117" s="2">
        <v>1.3843186111607169E-3</v>
      </c>
      <c r="F117" s="1">
        <v>60</v>
      </c>
      <c r="G117" s="1">
        <v>102</v>
      </c>
      <c r="H117" s="1">
        <v>36</v>
      </c>
    </row>
    <row r="118" spans="1:8" ht="19.5">
      <c r="A118" s="1" t="s">
        <v>138</v>
      </c>
      <c r="B118" s="1" t="s">
        <v>39</v>
      </c>
      <c r="C118" s="1" t="s">
        <v>13</v>
      </c>
      <c r="D118" s="1">
        <v>568</v>
      </c>
      <c r="E118" s="2">
        <v>2.4408145598149031E-3</v>
      </c>
      <c r="F118" s="1">
        <v>90</v>
      </c>
      <c r="G118" s="1">
        <v>142</v>
      </c>
      <c r="H118" s="1">
        <v>32</v>
      </c>
    </row>
    <row r="119" spans="1:8" ht="19.5">
      <c r="A119" s="1" t="s">
        <v>139</v>
      </c>
      <c r="B119" s="1" t="s">
        <v>42</v>
      </c>
      <c r="C119" s="1" t="s">
        <v>20</v>
      </c>
      <c r="D119" s="1">
        <v>101</v>
      </c>
      <c r="E119" s="2">
        <v>6.9934531102609776E-4</v>
      </c>
      <c r="F119" s="1">
        <v>39</v>
      </c>
      <c r="G119" s="1">
        <v>171</v>
      </c>
      <c r="H119" s="1">
        <v>18</v>
      </c>
    </row>
    <row r="120" spans="1:8" ht="19.5">
      <c r="A120" s="1" t="s">
        <v>140</v>
      </c>
      <c r="B120" s="1" t="s">
        <v>37</v>
      </c>
      <c r="C120" s="1" t="s">
        <v>16</v>
      </c>
      <c r="D120" s="1"/>
      <c r="E120" s="2">
        <v>1.0694937802934181E-3</v>
      </c>
      <c r="F120" s="1">
        <v>113</v>
      </c>
      <c r="G120" s="1">
        <v>212</v>
      </c>
      <c r="H120" s="1">
        <v>21</v>
      </c>
    </row>
    <row r="121" spans="1:8" ht="19.5">
      <c r="A121" s="1" t="s">
        <v>141</v>
      </c>
      <c r="B121" s="1" t="s">
        <v>39</v>
      </c>
      <c r="C121" s="1" t="s">
        <v>32</v>
      </c>
      <c r="D121" s="1">
        <v>728</v>
      </c>
      <c r="E121" s="2">
        <v>7.8202804054170339E-4</v>
      </c>
      <c r="F121" s="1">
        <v>78</v>
      </c>
      <c r="G121" s="1">
        <v>141</v>
      </c>
      <c r="H121" s="1">
        <v>12</v>
      </c>
    </row>
    <row r="122" spans="1:8" ht="19.5">
      <c r="A122" s="1" t="s">
        <v>142</v>
      </c>
      <c r="B122" s="1" t="s">
        <v>37</v>
      </c>
      <c r="C122" s="1" t="s">
        <v>13</v>
      </c>
      <c r="D122" s="1">
        <v>82</v>
      </c>
      <c r="E122" s="2">
        <v>1.1111139440227377E-3</v>
      </c>
      <c r="F122" s="1">
        <v>127</v>
      </c>
      <c r="G122" s="1">
        <v>184</v>
      </c>
      <c r="H122" s="1">
        <v>12</v>
      </c>
    </row>
    <row r="123" spans="1:8" ht="19.5">
      <c r="A123" s="1" t="s">
        <v>143</v>
      </c>
      <c r="B123" s="1" t="s">
        <v>39</v>
      </c>
      <c r="C123" s="1" t="s">
        <v>13</v>
      </c>
      <c r="D123" s="1">
        <v>312</v>
      </c>
      <c r="E123" s="2">
        <v>2.3271164127271911E-3</v>
      </c>
      <c r="F123" s="1">
        <v>90</v>
      </c>
      <c r="G123" s="1">
        <v>164</v>
      </c>
      <c r="H123" s="1">
        <v>32</v>
      </c>
    </row>
    <row r="124" spans="1:8" ht="19.5">
      <c r="A124" s="1" t="s">
        <v>144</v>
      </c>
      <c r="B124" s="1" t="s">
        <v>39</v>
      </c>
      <c r="C124" s="1" t="s">
        <v>32</v>
      </c>
      <c r="D124" s="1">
        <v>438</v>
      </c>
      <c r="E124" s="2">
        <v>6.6468292393004401E-4</v>
      </c>
      <c r="F124" s="1">
        <v>105</v>
      </c>
      <c r="G124" s="1">
        <v>179</v>
      </c>
      <c r="H124" s="1">
        <v>23</v>
      </c>
    </row>
    <row r="125" spans="1:8" ht="19.5">
      <c r="A125" s="1" t="s">
        <v>145</v>
      </c>
      <c r="B125" s="1" t="s">
        <v>31</v>
      </c>
      <c r="C125" s="1" t="s">
        <v>13</v>
      </c>
      <c r="D125" s="1">
        <v>62</v>
      </c>
      <c r="E125" s="2">
        <v>1.3049739770765653E-3</v>
      </c>
      <c r="F125" s="1">
        <v>126</v>
      </c>
      <c r="G125" s="1">
        <v>159</v>
      </c>
      <c r="H125" s="1">
        <v>26</v>
      </c>
    </row>
    <row r="126" spans="1:8" ht="19.5">
      <c r="A126" s="1" t="s">
        <v>146</v>
      </c>
      <c r="B126" s="1" t="s">
        <v>37</v>
      </c>
      <c r="C126" s="1" t="s">
        <v>13</v>
      </c>
      <c r="D126" s="1">
        <v>80</v>
      </c>
      <c r="E126" s="2">
        <v>1.1383366508754384E-3</v>
      </c>
      <c r="F126" s="1">
        <v>45</v>
      </c>
      <c r="G126" s="1">
        <v>140</v>
      </c>
      <c r="H126" s="1">
        <v>30</v>
      </c>
    </row>
    <row r="127" spans="1:8" ht="19.5">
      <c r="A127" s="1" t="s">
        <v>147</v>
      </c>
      <c r="B127" s="1" t="s">
        <v>37</v>
      </c>
      <c r="C127" s="1" t="s">
        <v>13</v>
      </c>
      <c r="D127" s="1">
        <v>109</v>
      </c>
      <c r="E127" s="2">
        <v>4.5431831788881206E-4</v>
      </c>
      <c r="F127" s="1">
        <v>102</v>
      </c>
      <c r="G127" s="1">
        <v>175</v>
      </c>
      <c r="H127" s="1">
        <v>13</v>
      </c>
    </row>
    <row r="128" spans="1:8" ht="19.5">
      <c r="A128" s="1" t="s">
        <v>148</v>
      </c>
      <c r="B128" s="1" t="s">
        <v>149</v>
      </c>
      <c r="C128" s="1" t="s">
        <v>13</v>
      </c>
      <c r="D128" s="1">
        <v>94</v>
      </c>
      <c r="E128" s="2">
        <v>8.6073269049365879E-4</v>
      </c>
      <c r="F128" s="1">
        <v>95</v>
      </c>
      <c r="G128" s="1">
        <v>161</v>
      </c>
      <c r="H128" s="1">
        <v>16</v>
      </c>
    </row>
    <row r="129" spans="1:8" ht="19.5">
      <c r="A129" s="1" t="s">
        <v>150</v>
      </c>
      <c r="B129" s="1" t="s">
        <v>42</v>
      </c>
      <c r="C129" s="1" t="s">
        <v>13</v>
      </c>
      <c r="D129" s="1">
        <v>108</v>
      </c>
      <c r="E129" s="2">
        <v>1.7046086681320625E-3</v>
      </c>
      <c r="F129" s="1">
        <v>63</v>
      </c>
      <c r="G129" s="1">
        <v>173</v>
      </c>
      <c r="H129" s="1">
        <v>34</v>
      </c>
    </row>
    <row r="130" spans="1:8" ht="19.5">
      <c r="A130" s="1" t="s">
        <v>151</v>
      </c>
      <c r="B130" s="1" t="s">
        <v>34</v>
      </c>
      <c r="C130" s="1" t="s">
        <v>13</v>
      </c>
      <c r="D130" s="1">
        <v>112</v>
      </c>
      <c r="E130" s="2">
        <v>1.5280480207957995E-3</v>
      </c>
      <c r="F130" s="1">
        <v>108</v>
      </c>
      <c r="G130" s="1">
        <v>186</v>
      </c>
      <c r="H130" s="1">
        <v>32</v>
      </c>
    </row>
    <row r="131" spans="1:8" ht="19.5">
      <c r="A131" s="1" t="s">
        <v>152</v>
      </c>
      <c r="B131" s="1" t="s">
        <v>37</v>
      </c>
      <c r="C131" s="1" t="s">
        <v>13</v>
      </c>
      <c r="D131" s="1">
        <v>142</v>
      </c>
      <c r="E131" s="2">
        <v>1.2140523811084299E-4</v>
      </c>
      <c r="F131" s="1">
        <v>117</v>
      </c>
      <c r="G131" s="1">
        <v>187</v>
      </c>
      <c r="H131" s="1">
        <v>31</v>
      </c>
    </row>
    <row r="132" spans="1:8" ht="19.5">
      <c r="A132" s="1" t="s">
        <v>153</v>
      </c>
      <c r="B132" s="1" t="s">
        <v>39</v>
      </c>
      <c r="C132" s="1" t="s">
        <v>13</v>
      </c>
      <c r="D132" s="1">
        <v>452</v>
      </c>
      <c r="E132" s="2">
        <v>1.680106095879548E-3</v>
      </c>
      <c r="F132" s="1">
        <v>61</v>
      </c>
      <c r="G132" s="1">
        <v>130</v>
      </c>
      <c r="H132" s="1">
        <v>36</v>
      </c>
    </row>
    <row r="133" spans="1:8" ht="19.5">
      <c r="A133" s="1" t="s">
        <v>154</v>
      </c>
      <c r="B133" s="1" t="s">
        <v>42</v>
      </c>
      <c r="C133" s="1" t="s">
        <v>20</v>
      </c>
      <c r="D133" s="1">
        <v>96</v>
      </c>
      <c r="E133" s="2">
        <v>8.9523597722120725E-4</v>
      </c>
      <c r="F133" s="1">
        <v>72</v>
      </c>
      <c r="G133" s="1">
        <v>112</v>
      </c>
      <c r="H133" s="1">
        <v>48</v>
      </c>
    </row>
    <row r="134" spans="1:8" ht="19.5">
      <c r="A134" s="1" t="s">
        <v>155</v>
      </c>
      <c r="B134" s="1" t="s">
        <v>31</v>
      </c>
      <c r="C134" s="1" t="s">
        <v>13</v>
      </c>
      <c r="D134" s="1">
        <v>53</v>
      </c>
      <c r="E134" s="2">
        <v>1.9887495992869713E-3</v>
      </c>
      <c r="F134" s="1">
        <v>108</v>
      </c>
      <c r="G134" s="1">
        <v>183</v>
      </c>
      <c r="H134" s="1">
        <v>23</v>
      </c>
    </row>
    <row r="135" spans="1:8" ht="19.5">
      <c r="A135" s="1" t="s">
        <v>156</v>
      </c>
      <c r="B135" s="1" t="s">
        <v>37</v>
      </c>
      <c r="C135" s="1" t="s">
        <v>20</v>
      </c>
      <c r="D135" s="1">
        <v>87</v>
      </c>
      <c r="E135" s="2">
        <v>1.7434486106339799E-3</v>
      </c>
      <c r="F135" s="1">
        <v>79</v>
      </c>
      <c r="G135" s="1">
        <v>175</v>
      </c>
      <c r="H135" s="1">
        <v>24</v>
      </c>
    </row>
    <row r="136" spans="1:8" ht="19.5">
      <c r="A136" s="1" t="s">
        <v>157</v>
      </c>
      <c r="B136" s="1" t="s">
        <v>39</v>
      </c>
      <c r="C136" s="1" t="s">
        <v>13</v>
      </c>
      <c r="D136" s="1">
        <v>602</v>
      </c>
      <c r="E136" s="2">
        <v>2.5496038288709672E-3</v>
      </c>
      <c r="F136" s="1">
        <v>68</v>
      </c>
      <c r="G136" s="1">
        <v>140</v>
      </c>
      <c r="H136" s="1">
        <v>41</v>
      </c>
    </row>
    <row r="137" spans="1:8" ht="19.5">
      <c r="A137" s="1" t="s">
        <v>158</v>
      </c>
      <c r="B137" s="1" t="s">
        <v>39</v>
      </c>
      <c r="C137" s="1" t="s">
        <v>20</v>
      </c>
      <c r="D137" s="1">
        <v>446</v>
      </c>
      <c r="E137" s="2">
        <v>9.5030675693243052E-4</v>
      </c>
      <c r="F137" s="1">
        <v>107</v>
      </c>
      <c r="G137" s="1">
        <v>177</v>
      </c>
      <c r="H137" s="1">
        <v>20</v>
      </c>
    </row>
    <row r="138" spans="1:8" ht="19.5">
      <c r="A138" s="1" t="s">
        <v>159</v>
      </c>
      <c r="B138" s="1" t="s">
        <v>42</v>
      </c>
      <c r="C138" s="1" t="s">
        <v>13</v>
      </c>
      <c r="D138" s="1">
        <v>76</v>
      </c>
      <c r="E138" s="2">
        <v>7.9108048010407953E-4</v>
      </c>
      <c r="F138" s="1">
        <v>46</v>
      </c>
      <c r="G138" s="1">
        <v>139</v>
      </c>
      <c r="H138" s="1">
        <v>24</v>
      </c>
    </row>
    <row r="139" spans="1:8" ht="19.5">
      <c r="A139" s="1" t="s">
        <v>160</v>
      </c>
      <c r="B139" s="1" t="s">
        <v>31</v>
      </c>
      <c r="C139" s="1" t="s">
        <v>13</v>
      </c>
      <c r="D139" s="1">
        <v>50</v>
      </c>
      <c r="E139" s="2">
        <v>9.4309990590535733E-4</v>
      </c>
      <c r="F139" s="1">
        <v>138</v>
      </c>
      <c r="G139" s="1">
        <v>186</v>
      </c>
      <c r="H139" s="1">
        <v>20</v>
      </c>
    </row>
    <row r="140" spans="1:8" ht="19.5">
      <c r="A140" s="1" t="s">
        <v>161</v>
      </c>
      <c r="B140" s="1" t="s">
        <v>37</v>
      </c>
      <c r="C140" s="1" t="s">
        <v>20</v>
      </c>
      <c r="D140" s="1">
        <v>90</v>
      </c>
      <c r="E140" s="2">
        <v>6.5718742606757244E-4</v>
      </c>
      <c r="F140" s="1">
        <v>84</v>
      </c>
      <c r="G140" s="1">
        <v>173</v>
      </c>
      <c r="H140" s="1">
        <v>19</v>
      </c>
    </row>
    <row r="141" spans="1:8" ht="19.5">
      <c r="A141" s="1" t="s">
        <v>162</v>
      </c>
      <c r="B141" s="1" t="s">
        <v>39</v>
      </c>
      <c r="C141" s="1" t="s">
        <v>13</v>
      </c>
      <c r="D141" s="1">
        <v>601</v>
      </c>
      <c r="E141" s="2">
        <v>1.1291694187913811E-3</v>
      </c>
      <c r="F141" s="1">
        <v>109</v>
      </c>
      <c r="G141" s="1">
        <v>176</v>
      </c>
      <c r="H141" s="1">
        <v>24</v>
      </c>
    </row>
    <row r="142" spans="1:8" ht="19.5">
      <c r="A142" s="1" t="s">
        <v>163</v>
      </c>
      <c r="B142" s="1" t="s">
        <v>42</v>
      </c>
      <c r="C142" s="1" t="s">
        <v>20</v>
      </c>
      <c r="D142" s="1">
        <v>131</v>
      </c>
      <c r="E142" s="2">
        <v>5.5849895844890861E-4</v>
      </c>
      <c r="F142" s="1">
        <v>74</v>
      </c>
      <c r="G142" s="1">
        <v>144</v>
      </c>
      <c r="H142" s="1">
        <v>20</v>
      </c>
    </row>
    <row r="143" spans="1:8" ht="19.5">
      <c r="A143" s="1" t="s">
        <v>164</v>
      </c>
      <c r="B143" s="1" t="s">
        <v>31</v>
      </c>
      <c r="C143" s="1" t="s">
        <v>20</v>
      </c>
      <c r="D143" s="1">
        <v>55</v>
      </c>
      <c r="E143" s="2">
        <v>1.1131606727540996E-3</v>
      </c>
      <c r="F143" s="1">
        <v>100</v>
      </c>
      <c r="G143" s="1">
        <v>146</v>
      </c>
      <c r="H143" s="1">
        <v>32</v>
      </c>
    </row>
    <row r="144" spans="1:8" ht="19.5">
      <c r="A144" s="1" t="s">
        <v>165</v>
      </c>
      <c r="B144" s="1" t="s">
        <v>37</v>
      </c>
      <c r="C144" s="1" t="s">
        <v>13</v>
      </c>
      <c r="D144" s="1">
        <v>71</v>
      </c>
      <c r="E144" s="2">
        <v>7.7639477694082843E-4</v>
      </c>
      <c r="F144" s="1">
        <v>86</v>
      </c>
      <c r="G144" s="1">
        <v>184</v>
      </c>
      <c r="H144" s="1">
        <v>32</v>
      </c>
    </row>
    <row r="145" spans="1:8" ht="19.5">
      <c r="A145" s="1" t="s">
        <v>166</v>
      </c>
      <c r="B145" s="1" t="s">
        <v>149</v>
      </c>
      <c r="C145" s="1" t="s">
        <v>13</v>
      </c>
      <c r="D145" s="1">
        <v>95</v>
      </c>
      <c r="E145" s="2">
        <v>6.5410322568673206E-4</v>
      </c>
      <c r="F145" s="1">
        <v>121</v>
      </c>
      <c r="G145" s="1">
        <v>185</v>
      </c>
      <c r="H145" s="1">
        <v>12</v>
      </c>
    </row>
    <row r="146" spans="1:8" ht="19.5">
      <c r="A146" s="1" t="s">
        <v>167</v>
      </c>
      <c r="B146" s="1" t="s">
        <v>42</v>
      </c>
      <c r="C146" s="1" t="s">
        <v>20</v>
      </c>
      <c r="D146" s="1">
        <v>65</v>
      </c>
      <c r="E146" s="2">
        <v>1.1094345358432253E-3</v>
      </c>
      <c r="F146" s="1">
        <v>82</v>
      </c>
      <c r="G146" s="1">
        <v>124</v>
      </c>
      <c r="H146" s="1">
        <v>25</v>
      </c>
    </row>
    <row r="147" spans="1:8" ht="19.5">
      <c r="A147" s="1" t="s">
        <v>168</v>
      </c>
      <c r="B147" s="1" t="s">
        <v>37</v>
      </c>
      <c r="C147" s="1" t="s">
        <v>13</v>
      </c>
      <c r="D147" s="1">
        <v>113</v>
      </c>
      <c r="E147" s="2">
        <v>6.029925448822268E-4</v>
      </c>
      <c r="F147" s="1">
        <v>53</v>
      </c>
      <c r="G147" s="1">
        <v>146</v>
      </c>
      <c r="H147" s="1">
        <v>10</v>
      </c>
    </row>
    <row r="148" spans="1:8" ht="19.5">
      <c r="A148" s="1" t="s">
        <v>169</v>
      </c>
      <c r="B148" s="1" t="s">
        <v>50</v>
      </c>
      <c r="C148" s="1" t="s">
        <v>20</v>
      </c>
      <c r="D148" s="1">
        <v>327</v>
      </c>
      <c r="E148" s="2">
        <v>2.6615175942868614E-3</v>
      </c>
      <c r="F148" s="1">
        <v>40</v>
      </c>
      <c r="G148" s="1">
        <v>97</v>
      </c>
      <c r="H148" s="1">
        <v>39</v>
      </c>
    </row>
    <row r="149" spans="1:8" ht="19.5">
      <c r="A149" s="1" t="s">
        <v>170</v>
      </c>
      <c r="B149" s="1" t="s">
        <v>39</v>
      </c>
      <c r="C149" s="1" t="s">
        <v>13</v>
      </c>
      <c r="D149" s="1">
        <v>402</v>
      </c>
      <c r="E149" s="2">
        <v>4.3894216085486179E-3</v>
      </c>
      <c r="F149" s="1">
        <v>92</v>
      </c>
      <c r="G149" s="1">
        <v>152</v>
      </c>
      <c r="H149" s="1">
        <v>43</v>
      </c>
    </row>
    <row r="150" spans="1:8" ht="19.5">
      <c r="A150" s="1" t="s">
        <v>171</v>
      </c>
      <c r="B150" s="1" t="s">
        <v>149</v>
      </c>
      <c r="C150" s="1" t="s">
        <v>20</v>
      </c>
      <c r="D150" s="1">
        <v>133</v>
      </c>
      <c r="E150" s="2">
        <v>1.2100232602440327E-3</v>
      </c>
      <c r="F150" s="1">
        <v>112</v>
      </c>
      <c r="G150" s="1">
        <v>178</v>
      </c>
      <c r="H150" s="1">
        <v>20</v>
      </c>
    </row>
    <row r="151" spans="1:8" ht="19.5">
      <c r="A151" s="1" t="s">
        <v>172</v>
      </c>
      <c r="B151" s="1" t="s">
        <v>42</v>
      </c>
      <c r="C151" s="1" t="s">
        <v>13</v>
      </c>
      <c r="D151" s="1">
        <v>94</v>
      </c>
      <c r="E151" s="2">
        <v>1.0518671806877863E-3</v>
      </c>
      <c r="F151" s="1">
        <v>90</v>
      </c>
      <c r="G151" s="1">
        <v>166</v>
      </c>
      <c r="H151" s="1">
        <v>16</v>
      </c>
    </row>
    <row r="152" spans="1:8" ht="19.5">
      <c r="A152" s="1" t="s">
        <v>173</v>
      </c>
      <c r="B152" s="1" t="s">
        <v>31</v>
      </c>
      <c r="C152" s="1" t="s">
        <v>13</v>
      </c>
      <c r="D152" s="1">
        <v>41</v>
      </c>
      <c r="E152" s="2">
        <v>1.8722030553948823E-3</v>
      </c>
      <c r="F152" s="1">
        <v>35</v>
      </c>
      <c r="G152" s="1">
        <v>101</v>
      </c>
      <c r="H152" s="1">
        <v>41</v>
      </c>
    </row>
    <row r="153" spans="1:8" ht="19.5">
      <c r="A153" s="1" t="s">
        <v>174</v>
      </c>
      <c r="B153" s="1" t="s">
        <v>37</v>
      </c>
      <c r="C153" s="1" t="s">
        <v>13</v>
      </c>
      <c r="D153" s="1">
        <v>94</v>
      </c>
      <c r="E153" s="2">
        <v>1.5687920659409377E-3</v>
      </c>
      <c r="F153" s="1">
        <v>41</v>
      </c>
      <c r="G153" s="1">
        <v>102</v>
      </c>
      <c r="H153" s="1">
        <v>30</v>
      </c>
    </row>
    <row r="154" spans="1:8" ht="19.5">
      <c r="A154" s="1" t="s">
        <v>175</v>
      </c>
      <c r="B154" s="1" t="s">
        <v>39</v>
      </c>
      <c r="C154" s="1" t="s">
        <v>13</v>
      </c>
      <c r="D154" s="1">
        <v>459</v>
      </c>
      <c r="E154" s="2">
        <v>2.6897896577926838E-3</v>
      </c>
      <c r="F154" s="1">
        <v>60</v>
      </c>
      <c r="G154" s="1">
        <v>72</v>
      </c>
      <c r="H154" s="1">
        <v>50</v>
      </c>
    </row>
    <row r="155" spans="1:8" ht="19.5">
      <c r="A155" s="1" t="s">
        <v>176</v>
      </c>
      <c r="B155" s="1" t="s">
        <v>42</v>
      </c>
      <c r="C155" s="1" t="s">
        <v>13</v>
      </c>
      <c r="D155" s="1">
        <v>89</v>
      </c>
      <c r="E155" s="2">
        <v>2.2669060074283556E-3</v>
      </c>
      <c r="F155" s="1">
        <v>24</v>
      </c>
      <c r="G155" s="1">
        <v>100</v>
      </c>
      <c r="H155" s="1">
        <v>53</v>
      </c>
    </row>
    <row r="156" spans="1:8" ht="19.5">
      <c r="A156" s="1" t="s">
        <v>177</v>
      </c>
      <c r="B156" s="1" t="s">
        <v>37</v>
      </c>
      <c r="C156" s="1" t="s">
        <v>13</v>
      </c>
      <c r="D156" s="1">
        <v>99</v>
      </c>
      <c r="E156" s="2">
        <v>1.2613570553457083E-3</v>
      </c>
      <c r="F156" s="1">
        <v>55</v>
      </c>
      <c r="G156" s="1">
        <v>104</v>
      </c>
      <c r="H156" s="1">
        <v>32</v>
      </c>
    </row>
    <row r="157" spans="1:8" ht="19.5">
      <c r="A157" s="1" t="s">
        <v>178</v>
      </c>
      <c r="B157" s="1" t="s">
        <v>39</v>
      </c>
      <c r="C157" s="1" t="s">
        <v>13</v>
      </c>
      <c r="D157" s="1">
        <v>511</v>
      </c>
      <c r="E157" s="2">
        <v>9.1047632360431122E-4</v>
      </c>
      <c r="F157" s="1">
        <v>62</v>
      </c>
      <c r="G157" s="1">
        <v>104</v>
      </c>
      <c r="H157" s="1">
        <v>35</v>
      </c>
    </row>
    <row r="158" spans="1:8" ht="19.5">
      <c r="A158" s="1" t="s">
        <v>179</v>
      </c>
      <c r="B158" s="1" t="s">
        <v>31</v>
      </c>
      <c r="C158" s="1" t="s">
        <v>13</v>
      </c>
      <c r="D158" s="1">
        <v>56</v>
      </c>
      <c r="E158" s="2">
        <v>1.5600780015197564E-3</v>
      </c>
      <c r="F158" s="1">
        <v>45</v>
      </c>
      <c r="G158" s="1">
        <v>128</v>
      </c>
      <c r="H158" s="1">
        <v>29</v>
      </c>
    </row>
    <row r="159" spans="1:8" ht="19.5">
      <c r="A159" s="1" t="s">
        <v>180</v>
      </c>
      <c r="B159" s="1" t="s">
        <v>37</v>
      </c>
      <c r="C159" s="1" t="s">
        <v>13</v>
      </c>
      <c r="D159" s="1">
        <v>135</v>
      </c>
      <c r="E159" s="2">
        <v>1.3573867103870031E-3</v>
      </c>
      <c r="F159" s="1">
        <v>111</v>
      </c>
      <c r="G159" s="1">
        <v>189</v>
      </c>
      <c r="H159" s="1">
        <v>26</v>
      </c>
    </row>
    <row r="160" spans="1:8" ht="19.5">
      <c r="A160" s="1" t="s">
        <v>181</v>
      </c>
      <c r="B160" s="1" t="s">
        <v>39</v>
      </c>
      <c r="C160" s="1" t="s">
        <v>13</v>
      </c>
      <c r="D160" s="1">
        <v>396</v>
      </c>
      <c r="E160" s="2">
        <v>1.2259151222698138E-3</v>
      </c>
      <c r="F160" s="1">
        <v>98</v>
      </c>
      <c r="G160" s="1">
        <v>198</v>
      </c>
      <c r="H160" s="1">
        <v>22</v>
      </c>
    </row>
    <row r="161" spans="1:8" ht="19.5">
      <c r="A161" s="1" t="s">
        <v>182</v>
      </c>
      <c r="B161" s="1" t="s">
        <v>149</v>
      </c>
      <c r="C161" s="1" t="s">
        <v>13</v>
      </c>
      <c r="D161" s="1">
        <v>124</v>
      </c>
      <c r="E161" s="2">
        <v>1.7521691012104188E-3</v>
      </c>
      <c r="F161" s="1">
        <v>18</v>
      </c>
      <c r="G161" s="1">
        <v>124</v>
      </c>
      <c r="H161" s="1">
        <v>23</v>
      </c>
    </row>
    <row r="162" spans="1:8" ht="19.5">
      <c r="A162" s="1" t="s">
        <v>183</v>
      </c>
      <c r="B162" s="1" t="s">
        <v>42</v>
      </c>
      <c r="C162" s="1" t="s">
        <v>13</v>
      </c>
      <c r="D162" s="1">
        <v>85</v>
      </c>
      <c r="E162" s="2">
        <v>2.8098144910986265E-3</v>
      </c>
      <c r="F162" s="1">
        <v>74</v>
      </c>
      <c r="G162" s="1">
        <v>134</v>
      </c>
      <c r="H162" s="1">
        <v>52</v>
      </c>
    </row>
    <row r="163" spans="1:8" ht="19.5">
      <c r="A163" s="1" t="s">
        <v>184</v>
      </c>
      <c r="B163" s="1" t="s">
        <v>37</v>
      </c>
      <c r="C163" s="1" t="s">
        <v>13</v>
      </c>
      <c r="D163" s="1">
        <v>148</v>
      </c>
      <c r="E163" s="2">
        <v>5.7510006836440262E-4</v>
      </c>
      <c r="F163" s="1">
        <v>53</v>
      </c>
      <c r="G163" s="1">
        <v>137</v>
      </c>
      <c r="H163" s="1">
        <v>24</v>
      </c>
    </row>
    <row r="164" spans="1:8" ht="19.5">
      <c r="A164" s="1" t="s">
        <v>185</v>
      </c>
      <c r="B164" s="1" t="s">
        <v>50</v>
      </c>
      <c r="C164" s="1" t="s">
        <v>13</v>
      </c>
      <c r="D164" s="1">
        <v>154</v>
      </c>
      <c r="E164" s="2">
        <v>1.949578872566918E-3</v>
      </c>
      <c r="F164" s="1">
        <v>72</v>
      </c>
      <c r="G164" s="1">
        <v>135</v>
      </c>
      <c r="H164" s="1">
        <v>42</v>
      </c>
    </row>
    <row r="165" spans="1:8" ht="19.5">
      <c r="A165" s="1" t="s">
        <v>186</v>
      </c>
      <c r="B165" s="1" t="s">
        <v>149</v>
      </c>
      <c r="C165" s="1" t="s">
        <v>20</v>
      </c>
      <c r="D165" s="1">
        <v>108</v>
      </c>
      <c r="E165" s="2">
        <v>1.5127848724946942E-3</v>
      </c>
      <c r="F165" s="1">
        <v>83</v>
      </c>
      <c r="G165" s="1">
        <v>140</v>
      </c>
      <c r="H165" s="1">
        <v>36</v>
      </c>
    </row>
    <row r="166" spans="1:8" ht="19.5">
      <c r="A166" s="1" t="s">
        <v>187</v>
      </c>
      <c r="B166" s="1" t="s">
        <v>31</v>
      </c>
      <c r="C166" s="1" t="s">
        <v>13</v>
      </c>
      <c r="D166" s="1">
        <v>41</v>
      </c>
      <c r="E166" s="2">
        <v>9.5366080222933141E-4</v>
      </c>
      <c r="F166" s="1">
        <v>83</v>
      </c>
      <c r="G166" s="1">
        <v>174</v>
      </c>
      <c r="H166" s="1">
        <v>16</v>
      </c>
    </row>
    <row r="167" spans="1:8" ht="19.5">
      <c r="A167" s="1" t="s">
        <v>188</v>
      </c>
      <c r="B167" s="1" t="s">
        <v>37</v>
      </c>
      <c r="C167" s="1" t="s">
        <v>13</v>
      </c>
      <c r="D167" s="1">
        <v>130</v>
      </c>
      <c r="E167" s="2">
        <v>1.3986906220521955E-3</v>
      </c>
      <c r="F167" s="1">
        <v>81</v>
      </c>
      <c r="G167" s="1">
        <v>112</v>
      </c>
      <c r="H167" s="1">
        <v>26</v>
      </c>
    </row>
    <row r="168" spans="1:8" ht="19.5">
      <c r="A168" s="1" t="s">
        <v>189</v>
      </c>
      <c r="B168" s="1" t="s">
        <v>50</v>
      </c>
      <c r="C168" s="1" t="s">
        <v>20</v>
      </c>
      <c r="D168" s="1">
        <v>267</v>
      </c>
      <c r="E168" s="2">
        <v>1.1278385558911805E-3</v>
      </c>
      <c r="F168" s="1">
        <v>67</v>
      </c>
      <c r="G168" s="1">
        <v>133</v>
      </c>
      <c r="H168" s="1">
        <v>28</v>
      </c>
    </row>
    <row r="169" spans="1:8" ht="19.5">
      <c r="A169" s="1" t="s">
        <v>190</v>
      </c>
      <c r="B169" s="1" t="s">
        <v>39</v>
      </c>
      <c r="C169" s="1" t="s">
        <v>20</v>
      </c>
      <c r="D169" s="1">
        <v>367</v>
      </c>
      <c r="E169" s="2">
        <v>9.3975429933507485E-4</v>
      </c>
      <c r="F169" s="1">
        <v>59</v>
      </c>
      <c r="G169" s="1">
        <v>145</v>
      </c>
      <c r="H169" s="1">
        <v>22</v>
      </c>
    </row>
    <row r="170" spans="1:8" ht="19.5">
      <c r="A170" s="1" t="s">
        <v>191</v>
      </c>
      <c r="B170" s="1" t="s">
        <v>42</v>
      </c>
      <c r="C170" s="1" t="s">
        <v>32</v>
      </c>
      <c r="D170" s="1">
        <v>107</v>
      </c>
      <c r="E170" s="2">
        <v>1.6138737946756101E-3</v>
      </c>
      <c r="F170" s="1">
        <v>43</v>
      </c>
      <c r="G170" s="1">
        <v>107</v>
      </c>
      <c r="H170" s="1">
        <v>36</v>
      </c>
    </row>
    <row r="171" spans="1:8" ht="19.5">
      <c r="A171" s="1" t="s">
        <v>192</v>
      </c>
      <c r="B171" s="1" t="s">
        <v>42</v>
      </c>
      <c r="C171" s="1" t="s">
        <v>13</v>
      </c>
      <c r="D171" s="1">
        <v>119</v>
      </c>
      <c r="E171" s="2">
        <v>1.0737157765157684E-3</v>
      </c>
      <c r="F171" s="1">
        <v>67</v>
      </c>
      <c r="G171" s="1">
        <v>186</v>
      </c>
      <c r="H171" s="1">
        <v>25</v>
      </c>
    </row>
    <row r="172" spans="1:8" ht="19.5">
      <c r="A172" s="1" t="s">
        <v>193</v>
      </c>
      <c r="B172" s="1" t="s">
        <v>37</v>
      </c>
      <c r="C172" s="1" t="s">
        <v>13</v>
      </c>
      <c r="D172" s="1">
        <v>76</v>
      </c>
      <c r="E172" s="2">
        <v>7.5788330905871525E-4</v>
      </c>
      <c r="F172" s="1">
        <v>82</v>
      </c>
      <c r="G172" s="1">
        <v>147</v>
      </c>
      <c r="H172" s="1">
        <v>17</v>
      </c>
    </row>
    <row r="173" spans="1:8" ht="19.5">
      <c r="A173" s="1" t="s">
        <v>194</v>
      </c>
      <c r="B173" s="1" t="s">
        <v>37</v>
      </c>
      <c r="C173" s="1" t="s">
        <v>13</v>
      </c>
      <c r="D173" s="1">
        <v>93</v>
      </c>
      <c r="E173" s="2">
        <v>3.1557662680345793E-3</v>
      </c>
      <c r="F173" s="1">
        <v>86</v>
      </c>
      <c r="G173" s="1">
        <v>181</v>
      </c>
      <c r="H173" s="1">
        <v>27</v>
      </c>
    </row>
    <row r="174" spans="1:8" ht="19.5">
      <c r="A174" s="1" t="s">
        <v>195</v>
      </c>
      <c r="B174" s="1" t="s">
        <v>31</v>
      </c>
      <c r="C174" s="1" t="s">
        <v>13</v>
      </c>
      <c r="D174" s="1">
        <v>41</v>
      </c>
      <c r="E174" s="2">
        <v>1.5499482857005424E-3</v>
      </c>
      <c r="F174" s="1">
        <v>79</v>
      </c>
      <c r="G174" s="1">
        <v>162</v>
      </c>
      <c r="H174" s="1">
        <v>31</v>
      </c>
    </row>
    <row r="175" spans="1:8" ht="19.5">
      <c r="A175" s="1" t="s">
        <v>196</v>
      </c>
      <c r="B175" s="1" t="s">
        <v>37</v>
      </c>
      <c r="C175" s="1" t="s">
        <v>13</v>
      </c>
      <c r="D175" s="1">
        <v>110</v>
      </c>
      <c r="E175" s="2">
        <v>1.2884322588682128E-3</v>
      </c>
      <c r="F175" s="1">
        <v>67</v>
      </c>
      <c r="G175" s="1">
        <v>118</v>
      </c>
      <c r="H175" s="1">
        <v>28</v>
      </c>
    </row>
    <row r="176" spans="1:8" ht="19.5">
      <c r="A176" s="1" t="s">
        <v>197</v>
      </c>
      <c r="B176" s="1" t="s">
        <v>39</v>
      </c>
      <c r="C176" s="1" t="s">
        <v>20</v>
      </c>
      <c r="D176" s="1">
        <v>574</v>
      </c>
      <c r="E176" s="2">
        <v>2.083003798488782E-3</v>
      </c>
      <c r="F176" s="1">
        <v>74</v>
      </c>
      <c r="G176" s="1">
        <v>120</v>
      </c>
      <c r="H176" s="1">
        <v>41</v>
      </c>
    </row>
    <row r="177" spans="1:8" ht="19.5">
      <c r="A177" s="1" t="s">
        <v>198</v>
      </c>
      <c r="B177" s="1" t="s">
        <v>37</v>
      </c>
      <c r="C177" s="1" t="s">
        <v>13</v>
      </c>
      <c r="D177" s="1">
        <v>110</v>
      </c>
      <c r="E177" s="2">
        <v>1.9448441041120492E-4</v>
      </c>
      <c r="F177" s="1">
        <v>121</v>
      </c>
      <c r="G177" s="1">
        <v>193</v>
      </c>
      <c r="H177" s="1">
        <v>18</v>
      </c>
    </row>
    <row r="178" spans="1:8" ht="19.5">
      <c r="A178" s="1" t="s">
        <v>199</v>
      </c>
      <c r="B178" s="1" t="s">
        <v>50</v>
      </c>
      <c r="C178" s="1" t="s">
        <v>13</v>
      </c>
      <c r="D178" s="1">
        <v>253</v>
      </c>
      <c r="E178" s="2">
        <v>1.2004501867415708E-4</v>
      </c>
      <c r="F178" s="1">
        <v>86</v>
      </c>
      <c r="G178" s="1">
        <v>196</v>
      </c>
      <c r="H178" s="1">
        <v>16</v>
      </c>
    </row>
    <row r="179" spans="1:8" ht="19.5">
      <c r="A179" s="1" t="s">
        <v>200</v>
      </c>
      <c r="B179" s="1" t="s">
        <v>42</v>
      </c>
      <c r="C179" s="1" t="s">
        <v>13</v>
      </c>
      <c r="D179" s="1">
        <v>84</v>
      </c>
      <c r="E179" s="2">
        <v>2.0709324868360694E-3</v>
      </c>
      <c r="F179" s="1">
        <v>67</v>
      </c>
      <c r="G179" s="1">
        <v>178</v>
      </c>
      <c r="H179" s="1">
        <v>26</v>
      </c>
    </row>
    <row r="180" spans="1:8" ht="19.5">
      <c r="A180" s="1" t="s">
        <v>201</v>
      </c>
      <c r="B180" s="1" t="s">
        <v>31</v>
      </c>
      <c r="C180" s="1" t="s">
        <v>13</v>
      </c>
      <c r="D180" s="1">
        <v>41</v>
      </c>
      <c r="E180" s="2">
        <v>1.4387964782513198E-3</v>
      </c>
      <c r="F180" s="1">
        <v>87</v>
      </c>
      <c r="G180" s="1">
        <v>177</v>
      </c>
      <c r="H180" s="1">
        <v>14</v>
      </c>
    </row>
    <row r="181" spans="1:8" ht="19.5">
      <c r="A181" s="1" t="s">
        <v>202</v>
      </c>
      <c r="B181" s="1" t="s">
        <v>37</v>
      </c>
      <c r="C181" s="1" t="s">
        <v>13</v>
      </c>
      <c r="D181" s="1">
        <v>96</v>
      </c>
      <c r="E181" s="2">
        <v>4.6450959101216691E-3</v>
      </c>
      <c r="F181" s="1">
        <v>50</v>
      </c>
      <c r="G181" s="1">
        <v>84</v>
      </c>
      <c r="H181" s="1">
        <v>43</v>
      </c>
    </row>
    <row r="182" spans="1:8" ht="19.5">
      <c r="A182" s="1" t="s">
        <v>203</v>
      </c>
      <c r="B182" s="1" t="s">
        <v>50</v>
      </c>
      <c r="C182" s="1" t="s">
        <v>32</v>
      </c>
      <c r="D182" s="1">
        <v>45</v>
      </c>
      <c r="E182" s="2">
        <v>1.7580627766745987E-3</v>
      </c>
      <c r="F182" s="1">
        <v>72</v>
      </c>
      <c r="G182" s="1">
        <v>200</v>
      </c>
      <c r="H182" s="1">
        <v>23</v>
      </c>
    </row>
    <row r="183" spans="1:8" ht="19.5">
      <c r="A183" s="1" t="s">
        <v>204</v>
      </c>
      <c r="B183" s="1" t="s">
        <v>39</v>
      </c>
      <c r="C183" s="1" t="s">
        <v>13</v>
      </c>
      <c r="D183" s="1">
        <v>341</v>
      </c>
      <c r="E183" s="2">
        <v>1.0790156139933635E-3</v>
      </c>
      <c r="F183" s="1">
        <v>89</v>
      </c>
      <c r="G183" s="1">
        <v>194</v>
      </c>
      <c r="H183" s="1">
        <v>20</v>
      </c>
    </row>
    <row r="184" spans="1:8" ht="19.5">
      <c r="A184" s="1" t="s">
        <v>205</v>
      </c>
      <c r="B184" s="1" t="s">
        <v>42</v>
      </c>
      <c r="C184" s="1" t="s">
        <v>13</v>
      </c>
      <c r="D184" s="1">
        <v>89</v>
      </c>
      <c r="E184" s="2">
        <v>1.8832833535923081E-3</v>
      </c>
      <c r="F184" s="1">
        <v>40</v>
      </c>
      <c r="G184" s="1">
        <v>125</v>
      </c>
      <c r="H184" s="1">
        <v>31</v>
      </c>
    </row>
    <row r="185" spans="1:8" ht="19.5">
      <c r="A185" s="1" t="s">
        <v>206</v>
      </c>
      <c r="B185" s="1" t="s">
        <v>42</v>
      </c>
      <c r="C185" s="1" t="s">
        <v>13</v>
      </c>
      <c r="D185" s="1">
        <v>98</v>
      </c>
      <c r="E185" s="2">
        <v>2.4508734929749873E-3</v>
      </c>
      <c r="F185" s="1">
        <v>99</v>
      </c>
      <c r="G185" s="1">
        <v>163</v>
      </c>
      <c r="H185" s="1">
        <v>38</v>
      </c>
    </row>
    <row r="186" spans="1:8" ht="19.5">
      <c r="A186" s="1" t="s">
        <v>207</v>
      </c>
      <c r="B186" s="1" t="s">
        <v>31</v>
      </c>
      <c r="C186" s="1" t="s">
        <v>13</v>
      </c>
      <c r="D186" s="1">
        <v>69</v>
      </c>
      <c r="E186" s="2">
        <v>1.852410654735677E-3</v>
      </c>
      <c r="F186" s="1">
        <v>68</v>
      </c>
      <c r="G186" s="1">
        <v>155</v>
      </c>
      <c r="H186" s="1">
        <v>33</v>
      </c>
    </row>
    <row r="187" spans="1:8" ht="19.5">
      <c r="A187" s="1" t="s">
        <v>208</v>
      </c>
      <c r="B187" s="1" t="s">
        <v>34</v>
      </c>
      <c r="C187" s="1" t="s">
        <v>13</v>
      </c>
      <c r="D187" s="1">
        <v>122</v>
      </c>
      <c r="E187" s="2">
        <v>1.5641647108579348E-3</v>
      </c>
      <c r="F187" s="1">
        <v>60</v>
      </c>
      <c r="G187" s="1">
        <v>113</v>
      </c>
      <c r="H187" s="1">
        <v>27</v>
      </c>
    </row>
    <row r="188" spans="1:8" ht="19.5">
      <c r="A188" s="1" t="s">
        <v>209</v>
      </c>
      <c r="B188" s="1" t="s">
        <v>37</v>
      </c>
      <c r="C188" s="1" t="s">
        <v>13</v>
      </c>
      <c r="D188" s="1">
        <v>83</v>
      </c>
      <c r="E188" s="2">
        <v>1.5594884259148849E-3</v>
      </c>
      <c r="F188" s="1">
        <v>55</v>
      </c>
      <c r="G188" s="1">
        <v>133</v>
      </c>
      <c r="H188" s="1">
        <v>24</v>
      </c>
    </row>
    <row r="189" spans="1:8" ht="19.5">
      <c r="A189" s="1" t="s">
        <v>210</v>
      </c>
      <c r="B189" s="1" t="s">
        <v>39</v>
      </c>
      <c r="C189" s="1" t="s">
        <v>13</v>
      </c>
      <c r="D189" s="1">
        <v>348</v>
      </c>
      <c r="E189" s="2">
        <v>2.1838970382424597E-3</v>
      </c>
      <c r="F189" s="1">
        <v>62</v>
      </c>
      <c r="G189" s="1">
        <v>119</v>
      </c>
      <c r="H189" s="1">
        <v>38</v>
      </c>
    </row>
    <row r="190" spans="1:8" ht="19.5">
      <c r="A190" s="1" t="s">
        <v>211</v>
      </c>
      <c r="B190" s="1" t="s">
        <v>42</v>
      </c>
      <c r="C190" s="1" t="s">
        <v>13</v>
      </c>
      <c r="D190" s="1">
        <v>108</v>
      </c>
      <c r="E190" s="2">
        <v>2.25019564038593E-3</v>
      </c>
      <c r="F190" s="1">
        <v>53</v>
      </c>
      <c r="G190" s="1">
        <v>106</v>
      </c>
      <c r="H190" s="1">
        <v>47</v>
      </c>
    </row>
    <row r="191" spans="1:8" ht="19.5">
      <c r="A191" s="1" t="s">
        <v>212</v>
      </c>
      <c r="B191" s="1" t="s">
        <v>37</v>
      </c>
      <c r="C191" s="1" t="s">
        <v>20</v>
      </c>
      <c r="D191" s="1">
        <v>112</v>
      </c>
      <c r="E191" s="2">
        <v>2.2118839965426097E-3</v>
      </c>
      <c r="F191" s="1">
        <v>51</v>
      </c>
      <c r="G191" s="1">
        <v>146</v>
      </c>
      <c r="H191" s="1">
        <v>31</v>
      </c>
    </row>
    <row r="192" spans="1:8" ht="19.5">
      <c r="A192" s="1" t="s">
        <v>213</v>
      </c>
      <c r="B192" s="1" t="s">
        <v>39</v>
      </c>
      <c r="C192" s="1" t="s">
        <v>13</v>
      </c>
      <c r="D192" s="1">
        <v>518</v>
      </c>
      <c r="E192" s="2">
        <v>9.5150174980528676E-4</v>
      </c>
      <c r="F192" s="1">
        <v>58</v>
      </c>
      <c r="G192" s="1">
        <v>140</v>
      </c>
      <c r="H192" s="1">
        <v>20</v>
      </c>
    </row>
    <row r="193" spans="1:8" ht="19.5">
      <c r="A193" s="1" t="s">
        <v>214</v>
      </c>
      <c r="B193" s="1" t="s">
        <v>42</v>
      </c>
      <c r="C193" s="1" t="s">
        <v>13</v>
      </c>
      <c r="D193" s="1">
        <v>72</v>
      </c>
      <c r="E193" s="2">
        <v>1.7516389250097819E-3</v>
      </c>
      <c r="F193" s="1">
        <v>130</v>
      </c>
      <c r="G193" s="1">
        <v>226</v>
      </c>
      <c r="H193" s="1">
        <v>19</v>
      </c>
    </row>
    <row r="194" spans="1:8" ht="19.5">
      <c r="A194" s="1" t="s">
        <v>215</v>
      </c>
      <c r="B194" s="1" t="s">
        <v>31</v>
      </c>
      <c r="C194" s="1" t="s">
        <v>20</v>
      </c>
      <c r="D194" s="1">
        <v>36</v>
      </c>
      <c r="E194" s="2">
        <v>2.067497539937548E-3</v>
      </c>
      <c r="F194" s="1">
        <v>71</v>
      </c>
      <c r="G194" s="1">
        <v>151</v>
      </c>
      <c r="H194" s="1">
        <v>45</v>
      </c>
    </row>
    <row r="195" spans="1:8" ht="19.5">
      <c r="A195" s="1" t="s">
        <v>216</v>
      </c>
      <c r="B195" s="1" t="s">
        <v>39</v>
      </c>
      <c r="C195" s="1" t="s">
        <v>13</v>
      </c>
      <c r="D195" s="1">
        <v>620</v>
      </c>
      <c r="E195" s="2">
        <v>6.8243865316366774E-4</v>
      </c>
      <c r="F195" s="1">
        <v>71</v>
      </c>
      <c r="G195" s="1">
        <v>110</v>
      </c>
      <c r="H195" s="1">
        <v>38</v>
      </c>
    </row>
    <row r="196" spans="1:8" ht="19.5">
      <c r="A196" s="1" t="s">
        <v>217</v>
      </c>
      <c r="B196" s="1" t="s">
        <v>149</v>
      </c>
      <c r="C196" s="1" t="s">
        <v>13</v>
      </c>
      <c r="D196" s="1">
        <v>69</v>
      </c>
      <c r="E196" s="2">
        <v>1.5242691465290717E-4</v>
      </c>
      <c r="F196" s="1">
        <v>105</v>
      </c>
      <c r="G196" s="1">
        <v>192</v>
      </c>
      <c r="H196" s="1">
        <v>18</v>
      </c>
    </row>
    <row r="197" spans="1:8" ht="19.5">
      <c r="A197" s="1" t="s">
        <v>218</v>
      </c>
      <c r="B197" s="1" t="s">
        <v>50</v>
      </c>
      <c r="C197" s="1" t="s">
        <v>13</v>
      </c>
      <c r="D197" s="1">
        <v>284</v>
      </c>
      <c r="E197" s="2">
        <v>7.2164448242339823E-4</v>
      </c>
      <c r="F197" s="1">
        <v>117</v>
      </c>
      <c r="G197" s="1">
        <v>168</v>
      </c>
      <c r="H197" s="1">
        <v>14</v>
      </c>
    </row>
    <row r="198" spans="1:8" ht="19.5">
      <c r="A198" s="1" t="s">
        <v>219</v>
      </c>
      <c r="B198" s="1" t="s">
        <v>42</v>
      </c>
      <c r="C198" s="1" t="s">
        <v>13</v>
      </c>
      <c r="D198" s="1">
        <v>118</v>
      </c>
      <c r="E198" s="2">
        <v>6.2297718886552937E-4</v>
      </c>
      <c r="F198" s="1">
        <v>39</v>
      </c>
      <c r="G198" s="1">
        <v>135</v>
      </c>
      <c r="H198" s="1">
        <v>42</v>
      </c>
    </row>
    <row r="199" spans="1:8" ht="19.5">
      <c r="A199" s="1" t="s">
        <v>220</v>
      </c>
      <c r="B199" s="1" t="s">
        <v>34</v>
      </c>
      <c r="C199" s="1" t="s">
        <v>16</v>
      </c>
      <c r="D199" s="1">
        <v>192</v>
      </c>
      <c r="E199" s="2">
        <v>1.7844965475914329E-3</v>
      </c>
      <c r="F199" s="1">
        <v>60</v>
      </c>
      <c r="G199" s="1">
        <v>157</v>
      </c>
      <c r="H199" s="1">
        <v>33</v>
      </c>
    </row>
    <row r="200" spans="1:8" ht="19.5">
      <c r="A200" s="1" t="s">
        <v>221</v>
      </c>
      <c r="B200" s="1" t="s">
        <v>42</v>
      </c>
      <c r="C200" s="1" t="s">
        <v>20</v>
      </c>
      <c r="D200" s="1">
        <v>103</v>
      </c>
      <c r="E200" s="2">
        <v>1.9776348056350711E-3</v>
      </c>
      <c r="F200" s="1">
        <v>63</v>
      </c>
      <c r="G200" s="1">
        <v>152</v>
      </c>
      <c r="H200" s="1">
        <v>34</v>
      </c>
    </row>
    <row r="201" spans="1:8" ht="19.5">
      <c r="A201" s="1" t="s">
        <v>222</v>
      </c>
      <c r="B201" s="1" t="s">
        <v>42</v>
      </c>
      <c r="C201" s="1" t="s">
        <v>13</v>
      </c>
      <c r="D201" s="1">
        <v>111</v>
      </c>
      <c r="E201" s="2">
        <v>1.8665161937309822E-4</v>
      </c>
      <c r="F201" s="1">
        <v>97</v>
      </c>
      <c r="G201" s="1">
        <v>206</v>
      </c>
      <c r="H201" s="1">
        <v>15</v>
      </c>
    </row>
    <row r="202" spans="1:8" ht="19.5">
      <c r="A202" s="1" t="s">
        <v>223</v>
      </c>
      <c r="B202" s="1" t="s">
        <v>31</v>
      </c>
      <c r="C202" s="1" t="s">
        <v>13</v>
      </c>
      <c r="D202" s="1">
        <v>52</v>
      </c>
      <c r="E202" s="2">
        <v>2.561622483062664E-3</v>
      </c>
      <c r="F202" s="1">
        <v>127</v>
      </c>
      <c r="G202" s="1">
        <v>192</v>
      </c>
      <c r="H202" s="1">
        <v>22</v>
      </c>
    </row>
    <row r="203" spans="1:8" ht="19.5">
      <c r="A203" s="1" t="s">
        <v>224</v>
      </c>
      <c r="B203" s="1" t="s">
        <v>37</v>
      </c>
      <c r="C203" s="1" t="s">
        <v>13</v>
      </c>
      <c r="D203" s="1">
        <v>112</v>
      </c>
      <c r="E203" s="2">
        <v>1.6138737946756101E-3</v>
      </c>
      <c r="F203" s="1">
        <v>92</v>
      </c>
      <c r="G203" s="1">
        <v>166</v>
      </c>
      <c r="H203" s="1">
        <v>30</v>
      </c>
    </row>
    <row r="204" spans="1:8" ht="19.5">
      <c r="A204" s="1" t="s">
        <v>225</v>
      </c>
      <c r="B204" s="1" t="s">
        <v>39</v>
      </c>
      <c r="C204" s="1" t="s">
        <v>20</v>
      </c>
      <c r="D204" s="1">
        <v>431</v>
      </c>
      <c r="E204" s="2">
        <v>2.1632499454531679E-3</v>
      </c>
      <c r="F204" s="1">
        <v>71</v>
      </c>
      <c r="G204" s="1">
        <v>124</v>
      </c>
      <c r="H204" s="1">
        <v>25</v>
      </c>
    </row>
    <row r="205" spans="1:8" ht="19.5">
      <c r="A205" s="1" t="s">
        <v>226</v>
      </c>
      <c r="B205" s="1" t="s">
        <v>42</v>
      </c>
      <c r="C205" s="1" t="s">
        <v>13</v>
      </c>
      <c r="D205" s="1">
        <v>79</v>
      </c>
      <c r="E205" s="2">
        <v>2.0197360023128095E-3</v>
      </c>
      <c r="F205" s="1">
        <v>57</v>
      </c>
      <c r="G205" s="1">
        <v>156</v>
      </c>
      <c r="H205" s="1">
        <v>26</v>
      </c>
    </row>
    <row r="206" spans="1:8" ht="19.5">
      <c r="A206" s="1" t="s">
        <v>227</v>
      </c>
      <c r="B206" s="1" t="s">
        <v>42</v>
      </c>
      <c r="C206" s="1" t="s">
        <v>13</v>
      </c>
      <c r="D206" s="1">
        <v>107</v>
      </c>
      <c r="E206" s="2">
        <v>4.5952355367580842E-4</v>
      </c>
      <c r="F206" s="1">
        <v>84</v>
      </c>
      <c r="G206" s="1">
        <v>186</v>
      </c>
      <c r="H206" s="1">
        <v>11</v>
      </c>
    </row>
    <row r="207" spans="1:8" ht="19.5">
      <c r="A207" s="1" t="s">
        <v>228</v>
      </c>
      <c r="B207" s="1" t="s">
        <v>37</v>
      </c>
      <c r="C207" s="1" t="s">
        <v>13</v>
      </c>
      <c r="D207" s="1">
        <v>92</v>
      </c>
      <c r="E207" s="2">
        <v>7.2638925262109258E-4</v>
      </c>
      <c r="F207" s="1">
        <v>82</v>
      </c>
      <c r="G207" s="1">
        <v>137</v>
      </c>
      <c r="H207" s="1">
        <v>28</v>
      </c>
    </row>
    <row r="208" spans="1:8" ht="19.5">
      <c r="A208" s="1" t="s">
        <v>229</v>
      </c>
      <c r="B208" s="1" t="s">
        <v>39</v>
      </c>
      <c r="C208" s="1" t="s">
        <v>20</v>
      </c>
      <c r="D208" s="1">
        <v>430</v>
      </c>
      <c r="E208" s="2">
        <v>8.216832532706381E-4</v>
      </c>
      <c r="F208" s="1">
        <v>98</v>
      </c>
      <c r="G208" s="1">
        <v>176</v>
      </c>
      <c r="H208" s="1">
        <v>22</v>
      </c>
    </row>
    <row r="209" spans="1:8" ht="19.5">
      <c r="A209" s="1" t="s">
        <v>230</v>
      </c>
      <c r="B209" s="1" t="s">
        <v>149</v>
      </c>
      <c r="C209" s="1" t="s">
        <v>20</v>
      </c>
      <c r="D209" s="1">
        <v>96</v>
      </c>
      <c r="E209" s="2">
        <v>1.999354783838433E-3</v>
      </c>
      <c r="F209" s="1">
        <v>33</v>
      </c>
      <c r="G209" s="1">
        <v>89</v>
      </c>
      <c r="H209" s="1">
        <v>37</v>
      </c>
    </row>
    <row r="210" spans="1:8" ht="19.5">
      <c r="A210" s="1" t="s">
        <v>231</v>
      </c>
      <c r="B210" s="1" t="s">
        <v>42</v>
      </c>
      <c r="C210" s="1" t="s">
        <v>13</v>
      </c>
      <c r="D210" s="1">
        <v>85</v>
      </c>
      <c r="E210" s="2">
        <v>1.4522715281592958E-3</v>
      </c>
      <c r="F210" s="1">
        <v>109</v>
      </c>
      <c r="G210" s="1">
        <v>169</v>
      </c>
      <c r="H210" s="1">
        <v>31</v>
      </c>
    </row>
    <row r="211" spans="1:8" ht="19.5">
      <c r="A211" s="1" t="s">
        <v>232</v>
      </c>
      <c r="B211" s="1" t="s">
        <v>37</v>
      </c>
      <c r="C211" s="1" t="s">
        <v>13</v>
      </c>
      <c r="D211" s="1">
        <v>98</v>
      </c>
      <c r="E211" s="2">
        <v>9.0274492797195744E-4</v>
      </c>
      <c r="F211" s="1">
        <v>112</v>
      </c>
      <c r="G211" s="1">
        <v>160</v>
      </c>
      <c r="H211" s="1">
        <v>19</v>
      </c>
    </row>
    <row r="212" spans="1:8" ht="19.5">
      <c r="A212" s="1" t="s">
        <v>233</v>
      </c>
      <c r="B212" s="1" t="s">
        <v>50</v>
      </c>
      <c r="C212" s="1" t="s">
        <v>13</v>
      </c>
      <c r="D212" s="1">
        <v>375</v>
      </c>
      <c r="E212" s="2">
        <v>1.8836654335521678E-3</v>
      </c>
      <c r="F212" s="1">
        <v>93</v>
      </c>
      <c r="G212" s="1">
        <v>175</v>
      </c>
      <c r="H212" s="1">
        <v>32</v>
      </c>
    </row>
    <row r="213" spans="1:8" ht="19.5">
      <c r="A213" s="1" t="s">
        <v>234</v>
      </c>
      <c r="B213" s="1" t="s">
        <v>39</v>
      </c>
      <c r="C213" s="1" t="s">
        <v>13</v>
      </c>
      <c r="D213" s="1">
        <v>616</v>
      </c>
      <c r="E213" s="2">
        <v>1.818269875903051E-3</v>
      </c>
      <c r="F213" s="1">
        <v>64</v>
      </c>
      <c r="G213" s="1">
        <v>135</v>
      </c>
      <c r="H213" s="1">
        <v>27</v>
      </c>
    </row>
    <row r="214" spans="1:8" ht="19.5">
      <c r="A214" s="1" t="s">
        <v>235</v>
      </c>
      <c r="B214" s="1" t="s">
        <v>42</v>
      </c>
      <c r="C214" s="1" t="s">
        <v>20</v>
      </c>
      <c r="D214" s="1">
        <v>86</v>
      </c>
      <c r="E214" s="2">
        <v>1.5921973486305173E-3</v>
      </c>
      <c r="F214" s="1">
        <v>93</v>
      </c>
      <c r="G214" s="1">
        <v>202</v>
      </c>
      <c r="H214" s="1">
        <v>13</v>
      </c>
    </row>
    <row r="215" spans="1:8" ht="19.5">
      <c r="A215" s="1" t="s">
        <v>236</v>
      </c>
      <c r="B215" s="1" t="s">
        <v>34</v>
      </c>
      <c r="C215" s="1" t="s">
        <v>13</v>
      </c>
      <c r="D215" s="1">
        <v>207</v>
      </c>
      <c r="E215" s="2">
        <v>1.4836846830432572E-3</v>
      </c>
      <c r="F215" s="1">
        <v>62</v>
      </c>
      <c r="G215" s="1">
        <v>189</v>
      </c>
      <c r="H215" s="1">
        <v>31</v>
      </c>
    </row>
    <row r="216" spans="1:8" ht="19.5">
      <c r="A216" s="1" t="s">
        <v>237</v>
      </c>
      <c r="B216" s="1" t="s">
        <v>37</v>
      </c>
      <c r="C216" s="1" t="s">
        <v>13</v>
      </c>
      <c r="D216" s="1">
        <v>112</v>
      </c>
      <c r="E216" s="2">
        <v>6.9229145159335542E-4</v>
      </c>
      <c r="F216" s="1">
        <v>71</v>
      </c>
      <c r="G216" s="1">
        <v>132</v>
      </c>
      <c r="H216" s="1">
        <v>20</v>
      </c>
    </row>
    <row r="217" spans="1:8" ht="19.5">
      <c r="A217" s="1" t="s">
        <v>238</v>
      </c>
      <c r="B217" s="1" t="s">
        <v>39</v>
      </c>
      <c r="C217" s="1" t="s">
        <v>13</v>
      </c>
      <c r="D217" s="1">
        <v>615</v>
      </c>
      <c r="E217" s="2">
        <v>1.0673773326953555E-4</v>
      </c>
      <c r="F217" s="1">
        <v>51</v>
      </c>
      <c r="G217" s="1">
        <v>138</v>
      </c>
      <c r="H217" s="1">
        <v>26</v>
      </c>
    </row>
    <row r="218" spans="1:8" ht="19.5">
      <c r="A218" s="1" t="s">
        <v>239</v>
      </c>
      <c r="B218" s="1" t="s">
        <v>42</v>
      </c>
      <c r="C218" s="1" t="s">
        <v>13</v>
      </c>
      <c r="D218" s="1">
        <v>113</v>
      </c>
      <c r="E218" s="2">
        <v>2.7040098084492796E-3</v>
      </c>
      <c r="F218" s="1">
        <v>83</v>
      </c>
      <c r="G218" s="1">
        <v>170</v>
      </c>
      <c r="H218" s="1">
        <v>42</v>
      </c>
    </row>
    <row r="219" spans="1:8" ht="19.5">
      <c r="A219" s="1" t="s">
        <v>240</v>
      </c>
      <c r="B219" s="1" t="s">
        <v>42</v>
      </c>
      <c r="C219" s="1" t="s">
        <v>13</v>
      </c>
      <c r="D219" s="1">
        <v>125</v>
      </c>
      <c r="E219" s="2">
        <v>1.2344613319645191E-3</v>
      </c>
      <c r="F219" s="1">
        <v>81</v>
      </c>
      <c r="G219" s="1">
        <v>186</v>
      </c>
      <c r="H219" s="1">
        <v>24</v>
      </c>
    </row>
    <row r="220" spans="1:8" ht="19.5">
      <c r="A220" s="1" t="s">
        <v>241</v>
      </c>
      <c r="B220" s="1" t="s">
        <v>50</v>
      </c>
      <c r="C220" s="1" t="s">
        <v>20</v>
      </c>
      <c r="D220" s="1">
        <v>441</v>
      </c>
      <c r="E220" s="2">
        <v>2.5557299484320469E-3</v>
      </c>
      <c r="F220" s="1">
        <v>52</v>
      </c>
      <c r="G220" s="1">
        <v>89</v>
      </c>
      <c r="H220" s="1">
        <v>50</v>
      </c>
    </row>
    <row r="221" spans="1:8" ht="19.5">
      <c r="A221" s="1" t="s">
        <v>242</v>
      </c>
      <c r="B221" s="1" t="s">
        <v>37</v>
      </c>
      <c r="C221" s="1" t="s">
        <v>13</v>
      </c>
      <c r="D221" s="1">
        <v>108</v>
      </c>
      <c r="E221" s="2">
        <v>3.3589306225470998E-3</v>
      </c>
      <c r="F221" s="1">
        <v>45</v>
      </c>
      <c r="G221" s="1">
        <v>105</v>
      </c>
      <c r="H221" s="1">
        <v>41</v>
      </c>
    </row>
    <row r="222" spans="1:8" ht="19.5">
      <c r="A222" s="1" t="s">
        <v>243</v>
      </c>
      <c r="B222" s="1" t="s">
        <v>39</v>
      </c>
      <c r="C222" s="1" t="s">
        <v>13</v>
      </c>
      <c r="D222" s="1">
        <v>529</v>
      </c>
      <c r="E222" s="2">
        <v>1.1835074494287807E-3</v>
      </c>
      <c r="F222" s="1">
        <v>54</v>
      </c>
      <c r="G222" s="1">
        <v>0</v>
      </c>
      <c r="H222" s="1">
        <v>22</v>
      </c>
    </row>
    <row r="223" spans="1:8" ht="19.5">
      <c r="A223" s="1" t="s">
        <v>244</v>
      </c>
      <c r="B223" s="1" t="s">
        <v>42</v>
      </c>
      <c r="C223" s="1" t="s">
        <v>13</v>
      </c>
      <c r="D223" s="1">
        <v>99</v>
      </c>
      <c r="E223" s="2">
        <v>1.3919422450956913E-3</v>
      </c>
      <c r="F223" s="1">
        <v>116</v>
      </c>
      <c r="G223" s="1">
        <v>189</v>
      </c>
      <c r="H223" s="1">
        <v>29</v>
      </c>
    </row>
    <row r="224" spans="1:8" ht="19.5">
      <c r="A224" s="1" t="s">
        <v>245</v>
      </c>
      <c r="B224" s="1" t="s">
        <v>50</v>
      </c>
      <c r="C224" s="1" t="s">
        <v>20</v>
      </c>
      <c r="D224" s="1">
        <v>497</v>
      </c>
      <c r="E224" s="2">
        <v>1.2393269112990798E-3</v>
      </c>
      <c r="F224" s="1">
        <v>72</v>
      </c>
      <c r="G224" s="1">
        <v>152</v>
      </c>
      <c r="H224" s="1">
        <v>23</v>
      </c>
    </row>
    <row r="225" spans="1:8" ht="19.5">
      <c r="A225" s="1" t="s">
        <v>246</v>
      </c>
      <c r="B225" s="1" t="s">
        <v>37</v>
      </c>
      <c r="C225" s="1" t="s">
        <v>13</v>
      </c>
      <c r="D225" s="1">
        <v>103</v>
      </c>
      <c r="E225" s="2">
        <v>7.9729091459112254E-4</v>
      </c>
      <c r="F225" s="1">
        <v>103</v>
      </c>
      <c r="G225" s="1">
        <v>226</v>
      </c>
      <c r="H225" s="1">
        <v>13</v>
      </c>
    </row>
    <row r="226" spans="1:8" ht="19.5">
      <c r="A226" s="1" t="s">
        <v>247</v>
      </c>
      <c r="B226" s="1" t="s">
        <v>39</v>
      </c>
      <c r="C226" s="1" t="s">
        <v>13</v>
      </c>
      <c r="D226" s="1">
        <v>443</v>
      </c>
      <c r="E226" s="2">
        <v>1.3895015189099135E-3</v>
      </c>
      <c r="F226" s="1">
        <v>76</v>
      </c>
      <c r="G226" s="1">
        <v>146</v>
      </c>
      <c r="H226" s="1">
        <v>32</v>
      </c>
    </row>
    <row r="227" spans="1:8" ht="19.5">
      <c r="A227" s="1" t="s">
        <v>248</v>
      </c>
      <c r="B227" s="1" t="s">
        <v>42</v>
      </c>
      <c r="C227" s="1" t="s">
        <v>13</v>
      </c>
      <c r="D227" s="1">
        <v>81</v>
      </c>
      <c r="E227" s="2">
        <v>9.9986080460104593E-4</v>
      </c>
      <c r="F227" s="1">
        <v>66</v>
      </c>
      <c r="G227" s="1">
        <v>197</v>
      </c>
      <c r="H227" s="1">
        <v>24</v>
      </c>
    </row>
    <row r="228" spans="1:8" ht="19.5">
      <c r="A228" s="1" t="s">
        <v>249</v>
      </c>
      <c r="B228" s="1" t="s">
        <v>42</v>
      </c>
      <c r="C228" s="1" t="s">
        <v>13</v>
      </c>
      <c r="D228" s="1">
        <v>105</v>
      </c>
      <c r="E228" s="2">
        <v>2.1936594703552189E-3</v>
      </c>
      <c r="F228" s="1">
        <v>87</v>
      </c>
      <c r="G228" s="1">
        <v>188</v>
      </c>
      <c r="H228" s="1">
        <v>33</v>
      </c>
    </row>
    <row r="229" spans="1:8" ht="19.5">
      <c r="A229" s="1" t="s">
        <v>250</v>
      </c>
      <c r="B229" s="1" t="s">
        <v>31</v>
      </c>
      <c r="C229" s="1" t="s">
        <v>16</v>
      </c>
      <c r="D229" s="1">
        <v>65</v>
      </c>
      <c r="E229" s="2">
        <v>1.6708719754918925E-3</v>
      </c>
      <c r="F229" s="1">
        <v>109</v>
      </c>
      <c r="G229" s="1">
        <v>151</v>
      </c>
      <c r="H229" s="1">
        <v>29</v>
      </c>
    </row>
    <row r="230" spans="1:8" ht="19.5">
      <c r="A230" s="1" t="s">
        <v>251</v>
      </c>
      <c r="B230" s="1" t="s">
        <v>37</v>
      </c>
      <c r="C230" s="1" t="s">
        <v>20</v>
      </c>
      <c r="D230" s="1">
        <v>136</v>
      </c>
      <c r="E230" s="2">
        <v>1.1874019206731575E-3</v>
      </c>
      <c r="F230" s="1">
        <v>128</v>
      </c>
      <c r="G230" s="1">
        <v>207</v>
      </c>
      <c r="H230" s="1">
        <v>24</v>
      </c>
    </row>
    <row r="231" spans="1:8" ht="19.5">
      <c r="A231" s="1" t="s">
        <v>252</v>
      </c>
      <c r="B231" s="1" t="s">
        <v>37</v>
      </c>
      <c r="C231" s="1" t="s">
        <v>13</v>
      </c>
      <c r="D231" s="1">
        <v>89</v>
      </c>
      <c r="E231" s="2">
        <v>1.8319020993178242E-3</v>
      </c>
      <c r="F231" s="1">
        <v>73</v>
      </c>
      <c r="G231" s="1">
        <v>104</v>
      </c>
      <c r="H231" s="1">
        <v>40</v>
      </c>
    </row>
    <row r="232" spans="1:8" ht="19.5">
      <c r="A232" s="1" t="s">
        <v>253</v>
      </c>
      <c r="B232" s="1" t="s">
        <v>39</v>
      </c>
      <c r="C232" s="1" t="s">
        <v>13</v>
      </c>
      <c r="D232" s="1">
        <v>437</v>
      </c>
      <c r="E232" s="2">
        <v>1.2281218789836712E-3</v>
      </c>
      <c r="F232" s="1">
        <v>78</v>
      </c>
      <c r="G232" s="1">
        <v>188</v>
      </c>
      <c r="H232" s="1">
        <v>16</v>
      </c>
    </row>
    <row r="233" spans="1:8" ht="19.5">
      <c r="A233" s="1" t="s">
        <v>254</v>
      </c>
      <c r="B233" s="1" t="s">
        <v>34</v>
      </c>
      <c r="C233" s="1" t="s">
        <v>13</v>
      </c>
      <c r="D233" s="1">
        <v>111</v>
      </c>
      <c r="E233" s="2">
        <v>6.2834236679307307E-4</v>
      </c>
      <c r="F233" s="1">
        <v>151</v>
      </c>
      <c r="G233" s="1">
        <v>234</v>
      </c>
      <c r="H233" s="1">
        <v>11</v>
      </c>
    </row>
    <row r="234" spans="1:8" ht="19.5">
      <c r="A234" s="1" t="s">
        <v>255</v>
      </c>
      <c r="B234" s="1" t="s">
        <v>37</v>
      </c>
      <c r="C234" s="1" t="s">
        <v>13</v>
      </c>
      <c r="D234" s="1">
        <v>78</v>
      </c>
      <c r="E234" s="2">
        <v>1.0221200699612198E-3</v>
      </c>
      <c r="F234" s="1">
        <v>114</v>
      </c>
      <c r="G234" s="1">
        <v>202</v>
      </c>
      <c r="H234" s="1">
        <v>19</v>
      </c>
    </row>
    <row r="235" spans="1:8" ht="19.5">
      <c r="A235" s="1" t="s">
        <v>256</v>
      </c>
      <c r="B235" s="1" t="s">
        <v>42</v>
      </c>
      <c r="C235" s="1" t="s">
        <v>20</v>
      </c>
      <c r="D235" s="1">
        <v>64</v>
      </c>
      <c r="E235" s="2">
        <v>3.099075172735272E-3</v>
      </c>
      <c r="F235" s="1">
        <v>60</v>
      </c>
      <c r="G235" s="1">
        <v>126</v>
      </c>
      <c r="H235" s="1">
        <v>42</v>
      </c>
    </row>
    <row r="236" spans="1:8" ht="19.5">
      <c r="A236" s="1" t="s">
        <v>257</v>
      </c>
      <c r="B236" s="1" t="s">
        <v>42</v>
      </c>
      <c r="C236" s="1" t="s">
        <v>13</v>
      </c>
      <c r="D236" s="1">
        <v>113</v>
      </c>
      <c r="E236" s="2">
        <v>1.3817803685745589E-3</v>
      </c>
      <c r="F236" s="1">
        <v>69</v>
      </c>
      <c r="G236" s="1">
        <v>144</v>
      </c>
      <c r="H236" s="1">
        <v>27</v>
      </c>
    </row>
    <row r="237" spans="1:8" ht="19.5">
      <c r="A237" s="1" t="s">
        <v>258</v>
      </c>
      <c r="B237" s="1" t="s">
        <v>50</v>
      </c>
      <c r="C237" s="1" t="s">
        <v>20</v>
      </c>
      <c r="D237" s="1">
        <v>275</v>
      </c>
      <c r="E237" s="2">
        <v>1.037236917298537E-3</v>
      </c>
      <c r="F237" s="1">
        <v>88</v>
      </c>
      <c r="G237" s="1">
        <v>180</v>
      </c>
      <c r="H237" s="1">
        <v>24</v>
      </c>
    </row>
    <row r="238" spans="1:8" ht="19.5">
      <c r="A238" s="1" t="s">
        <v>259</v>
      </c>
      <c r="B238" s="1" t="s">
        <v>37</v>
      </c>
      <c r="C238" s="1" t="s">
        <v>13</v>
      </c>
      <c r="D238" s="1">
        <v>120</v>
      </c>
      <c r="E238" s="2">
        <v>8.6326496900001844E-5</v>
      </c>
      <c r="F238" s="1">
        <v>58</v>
      </c>
      <c r="G238" s="1">
        <v>138</v>
      </c>
      <c r="H238" s="1">
        <v>27</v>
      </c>
    </row>
    <row r="239" spans="1:8" ht="19.5">
      <c r="A239" s="1" t="s">
        <v>260</v>
      </c>
      <c r="B239" s="1"/>
      <c r="C239" s="1" t="s">
        <v>13</v>
      </c>
      <c r="D239" s="1">
        <v>532</v>
      </c>
      <c r="E239" s="2">
        <v>5.1781137687210033E-6</v>
      </c>
      <c r="F239" s="1">
        <v>103</v>
      </c>
      <c r="G239" s="1">
        <v>220</v>
      </c>
      <c r="H239" s="1">
        <v>14</v>
      </c>
    </row>
    <row r="240" spans="1:8" ht="19.5">
      <c r="A240" s="1" t="s">
        <v>261</v>
      </c>
      <c r="B240" s="1" t="s">
        <v>42</v>
      </c>
      <c r="C240" s="1" t="s">
        <v>13</v>
      </c>
      <c r="D240" s="1">
        <v>119</v>
      </c>
      <c r="E240" s="2">
        <v>7.5311222231446557E-4</v>
      </c>
      <c r="F240" s="1">
        <v>87</v>
      </c>
      <c r="G240" s="1">
        <v>204</v>
      </c>
      <c r="H240" s="1">
        <v>12</v>
      </c>
    </row>
    <row r="241" spans="1:8" ht="19.5">
      <c r="A241" s="1" t="s">
        <v>262</v>
      </c>
      <c r="B241" s="1" t="s">
        <v>42</v>
      </c>
      <c r="C241" s="1" t="s">
        <v>20</v>
      </c>
      <c r="D241" s="1">
        <v>99</v>
      </c>
      <c r="E241" s="2">
        <v>6.7710850279055794E-4</v>
      </c>
      <c r="F241" s="1">
        <v>105</v>
      </c>
      <c r="G241" s="1">
        <v>153</v>
      </c>
      <c r="H241" s="1">
        <v>23</v>
      </c>
    </row>
    <row r="242" spans="1:8" ht="19.5">
      <c r="A242" s="1" t="s">
        <v>263</v>
      </c>
      <c r="B242" s="1" t="s">
        <v>39</v>
      </c>
      <c r="C242" s="1" t="s">
        <v>20</v>
      </c>
      <c r="D242" s="1">
        <v>630</v>
      </c>
      <c r="E242" s="2">
        <v>1.4691691810269805E-3</v>
      </c>
      <c r="F242" s="1">
        <v>53</v>
      </c>
      <c r="G242" s="1">
        <v>114</v>
      </c>
      <c r="H242" s="1">
        <v>40</v>
      </c>
    </row>
    <row r="243" spans="1:8" ht="19.5">
      <c r="A243" s="1" t="s">
        <v>264</v>
      </c>
      <c r="B243" s="1" t="s">
        <v>42</v>
      </c>
      <c r="C243" s="1" t="s">
        <v>20</v>
      </c>
      <c r="D243" s="1">
        <v>80</v>
      </c>
      <c r="E243" s="2">
        <v>1.3835602758528623E-3</v>
      </c>
      <c r="F243" s="1">
        <v>72</v>
      </c>
      <c r="G243" s="1">
        <v>130</v>
      </c>
      <c r="H243" s="1">
        <v>33</v>
      </c>
    </row>
    <row r="244" spans="1:8" ht="19.5">
      <c r="A244" s="1" t="s">
        <v>265</v>
      </c>
      <c r="B244" s="1" t="s">
        <v>31</v>
      </c>
      <c r="C244" s="1" t="s">
        <v>20</v>
      </c>
      <c r="D244" s="1">
        <v>34</v>
      </c>
      <c r="E244" s="2">
        <v>1.0043013511214544E-3</v>
      </c>
      <c r="F244" s="1">
        <v>62</v>
      </c>
      <c r="G244" s="1">
        <v>146</v>
      </c>
      <c r="H244" s="1">
        <v>33</v>
      </c>
    </row>
    <row r="245" spans="1:8" ht="19.5">
      <c r="A245" s="1" t="s">
        <v>266</v>
      </c>
      <c r="B245" s="1" t="s">
        <v>42</v>
      </c>
      <c r="C245" s="1" t="s">
        <v>13</v>
      </c>
      <c r="D245" s="1">
        <v>119</v>
      </c>
      <c r="E245" s="2">
        <v>2.6381788332383916E-3</v>
      </c>
      <c r="F245" s="1">
        <v>66</v>
      </c>
      <c r="G245" s="1">
        <v>179</v>
      </c>
      <c r="H245" s="1">
        <v>30</v>
      </c>
    </row>
    <row r="246" spans="1:8" ht="19.5">
      <c r="A246" s="1" t="s">
        <v>267</v>
      </c>
      <c r="B246" s="1" t="s">
        <v>42</v>
      </c>
      <c r="C246" s="1" t="s">
        <v>20</v>
      </c>
      <c r="D246" s="1">
        <v>67</v>
      </c>
      <c r="E246" s="2">
        <v>9.8098446884274204E-4</v>
      </c>
      <c r="F246" s="1">
        <v>74</v>
      </c>
      <c r="G246" s="1">
        <v>148</v>
      </c>
      <c r="H246" s="1">
        <v>35</v>
      </c>
    </row>
    <row r="247" spans="1:8" ht="19.5">
      <c r="A247" s="1" t="s">
        <v>268</v>
      </c>
      <c r="B247" s="1" t="s">
        <v>31</v>
      </c>
      <c r="C247" s="1" t="s">
        <v>13</v>
      </c>
      <c r="D247" s="1">
        <v>50</v>
      </c>
      <c r="E247" s="2">
        <v>1.5980863920487184E-3</v>
      </c>
      <c r="F247" s="1">
        <v>73</v>
      </c>
      <c r="G247" s="1">
        <v>133</v>
      </c>
      <c r="H247" s="1">
        <v>26</v>
      </c>
    </row>
    <row r="248" spans="1:8" ht="19.5">
      <c r="A248" s="1" t="s">
        <v>269</v>
      </c>
      <c r="B248" s="1" t="s">
        <v>34</v>
      </c>
      <c r="C248" s="1" t="s">
        <v>32</v>
      </c>
      <c r="D248" s="1">
        <v>219</v>
      </c>
      <c r="E248" s="2">
        <v>2.522712679662735E-4</v>
      </c>
      <c r="F248" s="1">
        <v>150</v>
      </c>
      <c r="G248" s="1">
        <v>210</v>
      </c>
      <c r="H248" s="1">
        <v>6</v>
      </c>
    </row>
    <row r="249" spans="1:8" ht="19.5">
      <c r="A249" s="1" t="s">
        <v>270</v>
      </c>
      <c r="B249" s="1" t="s">
        <v>37</v>
      </c>
      <c r="C249" s="1" t="s">
        <v>20</v>
      </c>
      <c r="D249" s="1">
        <v>106</v>
      </c>
      <c r="E249" s="2">
        <v>9.9420984426932049E-4</v>
      </c>
      <c r="F249" s="1">
        <v>86</v>
      </c>
      <c r="G249" s="1">
        <v>153</v>
      </c>
      <c r="H249" s="1">
        <v>17</v>
      </c>
    </row>
    <row r="250" spans="1:8" ht="19.5">
      <c r="A250" s="1" t="s">
        <v>271</v>
      </c>
      <c r="B250" s="1" t="s">
        <v>50</v>
      </c>
      <c r="C250" s="1" t="s">
        <v>20</v>
      </c>
      <c r="D250" s="1">
        <v>200</v>
      </c>
      <c r="E250" s="2">
        <v>2.2738871905572632E-3</v>
      </c>
      <c r="F250" s="1">
        <v>79</v>
      </c>
      <c r="G250" s="1">
        <v>99</v>
      </c>
      <c r="H250" s="1">
        <v>41</v>
      </c>
    </row>
    <row r="251" spans="1:8" ht="19.5">
      <c r="A251" s="1" t="s">
        <v>272</v>
      </c>
      <c r="B251" s="1" t="s">
        <v>39</v>
      </c>
      <c r="C251" s="1" t="s">
        <v>13</v>
      </c>
      <c r="D251" s="1">
        <v>594</v>
      </c>
      <c r="E251" s="2">
        <v>1.8944575676726352E-3</v>
      </c>
      <c r="F251" s="1">
        <v>80</v>
      </c>
      <c r="G251" s="1">
        <v>148</v>
      </c>
      <c r="H251" s="1">
        <v>33</v>
      </c>
    </row>
    <row r="252" spans="1:8" ht="19.5">
      <c r="A252" s="1" t="s">
        <v>273</v>
      </c>
      <c r="B252" s="1" t="s">
        <v>42</v>
      </c>
      <c r="C252" s="1" t="s">
        <v>20</v>
      </c>
      <c r="D252" s="1">
        <v>131</v>
      </c>
      <c r="E252" s="2">
        <v>1.4953040118157396E-3</v>
      </c>
      <c r="F252" s="1">
        <v>30</v>
      </c>
      <c r="G252" s="1">
        <v>134</v>
      </c>
      <c r="H252" s="1">
        <v>39</v>
      </c>
    </row>
    <row r="253" spans="1:8" ht="19.5">
      <c r="A253" s="1" t="s">
        <v>274</v>
      </c>
      <c r="B253" s="1" t="s">
        <v>42</v>
      </c>
      <c r="C253" s="1" t="s">
        <v>13</v>
      </c>
      <c r="D253" s="1">
        <v>109</v>
      </c>
      <c r="E253" s="2">
        <v>2.0625154636130167E-4</v>
      </c>
      <c r="F253" s="1">
        <v>69</v>
      </c>
      <c r="G253" s="1">
        <v>172</v>
      </c>
      <c r="H253" s="1">
        <v>17</v>
      </c>
    </row>
    <row r="254" spans="1:8" ht="19.5">
      <c r="A254" s="1" t="s">
        <v>275</v>
      </c>
      <c r="B254" s="1" t="s">
        <v>37</v>
      </c>
      <c r="C254" s="1" t="s">
        <v>13</v>
      </c>
      <c r="D254" s="1">
        <v>125</v>
      </c>
      <c r="E254" s="2">
        <v>1.3546862604011361E-3</v>
      </c>
      <c r="F254" s="1">
        <v>73</v>
      </c>
      <c r="G254" s="1">
        <v>116</v>
      </c>
      <c r="H254" s="1">
        <v>24</v>
      </c>
    </row>
    <row r="255" spans="1:8" ht="19.5">
      <c r="A255" s="1" t="s">
        <v>276</v>
      </c>
      <c r="B255" s="1" t="s">
        <v>39</v>
      </c>
      <c r="C255" s="1" t="s">
        <v>20</v>
      </c>
      <c r="D255" s="1">
        <v>568</v>
      </c>
      <c r="E255" s="2">
        <v>1.9587091492391769E-3</v>
      </c>
      <c r="F255" s="1">
        <v>44</v>
      </c>
      <c r="G255" s="1">
        <v>115</v>
      </c>
      <c r="H255" s="1">
        <v>35</v>
      </c>
    </row>
    <row r="256" spans="1:8" ht="19.5">
      <c r="A256" s="1" t="s">
        <v>277</v>
      </c>
      <c r="B256" s="1" t="s">
        <v>50</v>
      </c>
      <c r="C256" s="1" t="s">
        <v>13</v>
      </c>
      <c r="D256" s="1">
        <v>288</v>
      </c>
      <c r="E256" s="2">
        <v>9.6832427680536607E-4</v>
      </c>
      <c r="F256" s="1">
        <v>76</v>
      </c>
      <c r="G256" s="1">
        <v>157</v>
      </c>
      <c r="H256" s="1">
        <v>18</v>
      </c>
    </row>
    <row r="257" spans="1:8" ht="19.5">
      <c r="A257" s="1" t="s">
        <v>278</v>
      </c>
      <c r="B257" s="1" t="s">
        <v>42</v>
      </c>
      <c r="C257" s="1" t="s">
        <v>13</v>
      </c>
      <c r="D257" s="1">
        <v>112</v>
      </c>
      <c r="E257" s="2">
        <v>2.0970703073550034E-3</v>
      </c>
      <c r="F257" s="1">
        <v>97</v>
      </c>
      <c r="G257" s="1">
        <v>208</v>
      </c>
      <c r="H257" s="1">
        <v>20</v>
      </c>
    </row>
    <row r="258" spans="1:8" ht="19.5">
      <c r="A258" s="1" t="s">
        <v>279</v>
      </c>
      <c r="B258" s="1" t="s">
        <v>31</v>
      </c>
      <c r="C258" s="1" t="s">
        <v>13</v>
      </c>
      <c r="D258" s="1">
        <v>50</v>
      </c>
      <c r="E258" s="2">
        <v>1.2500511828245273E-3</v>
      </c>
      <c r="F258" s="1">
        <v>81</v>
      </c>
      <c r="G258" s="1">
        <v>145</v>
      </c>
      <c r="H258" s="1">
        <v>24</v>
      </c>
    </row>
    <row r="259" spans="1:8" ht="19.5">
      <c r="A259" s="1" t="s">
        <v>280</v>
      </c>
      <c r="B259" s="1" t="s">
        <v>50</v>
      </c>
      <c r="C259" s="1" t="s">
        <v>13</v>
      </c>
      <c r="D259" s="1">
        <v>234</v>
      </c>
      <c r="E259" s="2">
        <v>1.9772567614680004E-3</v>
      </c>
      <c r="F259" s="1">
        <v>84</v>
      </c>
      <c r="G259" s="1">
        <v>130</v>
      </c>
      <c r="H259" s="1">
        <v>40</v>
      </c>
    </row>
    <row r="260" spans="1:8" ht="19.5">
      <c r="A260" s="1" t="s">
        <v>281</v>
      </c>
      <c r="B260" s="1" t="s">
        <v>39</v>
      </c>
      <c r="C260" s="1" t="s">
        <v>20</v>
      </c>
      <c r="D260" s="1">
        <v>640</v>
      </c>
      <c r="E260" s="2">
        <v>6.9934531102609776E-4</v>
      </c>
      <c r="F260" s="1">
        <v>106</v>
      </c>
      <c r="G260" s="1">
        <v>222</v>
      </c>
      <c r="H260" s="1">
        <v>13</v>
      </c>
    </row>
    <row r="261" spans="1:8" ht="19.5">
      <c r="A261" s="1" t="s">
        <v>282</v>
      </c>
      <c r="B261" s="1" t="s">
        <v>42</v>
      </c>
      <c r="C261" s="1" t="s">
        <v>13</v>
      </c>
      <c r="D261" s="1">
        <v>89</v>
      </c>
      <c r="E261" s="2">
        <v>1.1859692359259403E-3</v>
      </c>
      <c r="F261" s="1">
        <v>104</v>
      </c>
      <c r="G261" s="1">
        <v>194</v>
      </c>
      <c r="H261" s="1">
        <v>32</v>
      </c>
    </row>
    <row r="262" spans="1:8" ht="19.5">
      <c r="A262" s="1" t="s">
        <v>283</v>
      </c>
      <c r="B262" s="1" t="s">
        <v>42</v>
      </c>
      <c r="C262" s="1" t="s">
        <v>20</v>
      </c>
      <c r="D262" s="1">
        <v>83</v>
      </c>
      <c r="E262" s="2">
        <v>1.8472262326121522E-3</v>
      </c>
      <c r="F262" s="1">
        <v>67</v>
      </c>
      <c r="G262" s="1">
        <v>113</v>
      </c>
      <c r="H262" s="1">
        <v>34</v>
      </c>
    </row>
    <row r="263" spans="1:8" ht="19.5">
      <c r="A263" s="1" t="s">
        <v>284</v>
      </c>
      <c r="B263" s="1" t="s">
        <v>50</v>
      </c>
      <c r="C263" s="1" t="s">
        <v>20</v>
      </c>
      <c r="D263" s="1">
        <v>488</v>
      </c>
      <c r="E263" s="2">
        <v>6.8848066609009074E-4</v>
      </c>
      <c r="F263" s="1">
        <v>63</v>
      </c>
      <c r="G263" s="1">
        <v>145</v>
      </c>
      <c r="H263" s="1">
        <v>34</v>
      </c>
    </row>
    <row r="264" spans="1:8" ht="19.5">
      <c r="A264" s="1" t="s">
        <v>285</v>
      </c>
      <c r="B264" s="1" t="s">
        <v>42</v>
      </c>
      <c r="C264" s="1" t="s">
        <v>13</v>
      </c>
      <c r="D264" s="1">
        <v>90</v>
      </c>
      <c r="E264" s="2">
        <v>6.3968859784196855E-4</v>
      </c>
      <c r="F264" s="1">
        <v>90</v>
      </c>
      <c r="G264" s="1">
        <v>154</v>
      </c>
      <c r="H264" s="1">
        <v>31</v>
      </c>
    </row>
    <row r="265" spans="1:8" ht="19.5">
      <c r="A265" s="1" t="s">
        <v>286</v>
      </c>
      <c r="B265" s="1" t="s">
        <v>34</v>
      </c>
      <c r="C265" s="1" t="s">
        <v>13</v>
      </c>
      <c r="D265" s="1">
        <v>201</v>
      </c>
      <c r="E265" s="2">
        <v>2.4591274243240041E-3</v>
      </c>
      <c r="F265" s="1">
        <v>63</v>
      </c>
      <c r="G265" s="1">
        <v>126</v>
      </c>
      <c r="H265" s="1">
        <v>47</v>
      </c>
    </row>
    <row r="266" spans="1:8" ht="19.5">
      <c r="A266" s="1" t="s">
        <v>287</v>
      </c>
      <c r="B266" s="1" t="s">
        <v>42</v>
      </c>
      <c r="C266" s="1" t="s">
        <v>13</v>
      </c>
      <c r="D266" s="1">
        <v>109</v>
      </c>
      <c r="E266" s="2">
        <v>1.4828961197880604E-3</v>
      </c>
      <c r="F266" s="1">
        <v>46</v>
      </c>
      <c r="G266" s="1">
        <v>108</v>
      </c>
      <c r="H266" s="1">
        <v>43</v>
      </c>
    </row>
    <row r="267" spans="1:8" ht="19.5">
      <c r="A267" s="1" t="s">
        <v>288</v>
      </c>
      <c r="B267" s="1" t="s">
        <v>31</v>
      </c>
      <c r="C267" s="1" t="s">
        <v>13</v>
      </c>
      <c r="D267" s="1">
        <v>46</v>
      </c>
      <c r="E267" s="2">
        <v>1.7918565468494436E-3</v>
      </c>
      <c r="F267" s="1">
        <v>56</v>
      </c>
      <c r="G267" s="1">
        <v>120</v>
      </c>
      <c r="H267" s="1">
        <v>27</v>
      </c>
    </row>
    <row r="268" spans="1:8" ht="19.5">
      <c r="A268" s="1" t="s">
        <v>289</v>
      </c>
      <c r="B268" s="1" t="s">
        <v>39</v>
      </c>
      <c r="C268" s="1" t="s">
        <v>13</v>
      </c>
      <c r="D268" s="1">
        <v>593</v>
      </c>
      <c r="E268" s="2">
        <v>1.1159814969785564E-3</v>
      </c>
      <c r="F268" s="1">
        <v>75</v>
      </c>
      <c r="G268" s="1">
        <v>172</v>
      </c>
      <c r="H268" s="1">
        <v>11</v>
      </c>
    </row>
    <row r="269" spans="1:8" ht="19.5">
      <c r="A269" s="1" t="s">
        <v>290</v>
      </c>
      <c r="B269" s="1" t="s">
        <v>42</v>
      </c>
      <c r="C269" s="1" t="s">
        <v>13</v>
      </c>
      <c r="D269" s="1">
        <v>93</v>
      </c>
      <c r="E269" s="2">
        <v>1.8290569672990249E-3</v>
      </c>
      <c r="F269" s="1">
        <v>82</v>
      </c>
      <c r="G269" s="1">
        <v>126</v>
      </c>
      <c r="H269" s="1">
        <v>37</v>
      </c>
    </row>
    <row r="270" spans="1:8" ht="19.5">
      <c r="A270" s="1" t="s">
        <v>291</v>
      </c>
      <c r="B270" s="1" t="s">
        <v>31</v>
      </c>
      <c r="C270" s="1" t="s">
        <v>13</v>
      </c>
      <c r="D270" s="1">
        <v>59</v>
      </c>
      <c r="E270" s="2">
        <v>9.663967705406041E-4</v>
      </c>
      <c r="F270" s="1">
        <v>78</v>
      </c>
      <c r="G270" s="1">
        <v>180</v>
      </c>
      <c r="H270" s="1">
        <v>26</v>
      </c>
    </row>
    <row r="271" spans="1:8" ht="19.5">
      <c r="A271" s="1" t="s">
        <v>292</v>
      </c>
      <c r="B271" s="1" t="s">
        <v>50</v>
      </c>
      <c r="C271" s="1" t="s">
        <v>13</v>
      </c>
      <c r="D271" s="1">
        <v>369</v>
      </c>
      <c r="E271" s="2">
        <v>1.3088980216537384E-3</v>
      </c>
      <c r="F271" s="1">
        <v>101</v>
      </c>
      <c r="G271" s="1">
        <v>195</v>
      </c>
      <c r="H271" s="1">
        <v>27</v>
      </c>
    </row>
    <row r="272" spans="1:8" ht="19.5">
      <c r="A272" s="1" t="s">
        <v>293</v>
      </c>
      <c r="B272" s="1" t="s">
        <v>37</v>
      </c>
      <c r="C272" s="1" t="s">
        <v>13</v>
      </c>
      <c r="D272" s="1">
        <v>106</v>
      </c>
      <c r="E272" s="2">
        <v>1.4166054929246996E-3</v>
      </c>
      <c r="F272" s="1">
        <v>79</v>
      </c>
      <c r="G272" s="1">
        <v>179</v>
      </c>
      <c r="H272" s="1">
        <v>21</v>
      </c>
    </row>
    <row r="273" spans="1:8" ht="19.5">
      <c r="A273" s="1" t="s">
        <v>294</v>
      </c>
      <c r="B273" s="1" t="s">
        <v>39</v>
      </c>
      <c r="C273" s="1" t="s">
        <v>13</v>
      </c>
      <c r="D273" s="1">
        <v>476</v>
      </c>
      <c r="E273" s="2">
        <v>2.6710847021442366E-3</v>
      </c>
      <c r="F273" s="1">
        <v>67</v>
      </c>
      <c r="G273" s="1">
        <v>126</v>
      </c>
      <c r="H273" s="1">
        <v>35</v>
      </c>
    </row>
    <row r="274" spans="1:8" ht="19.5">
      <c r="A274" s="1" t="s">
        <v>295</v>
      </c>
      <c r="B274" s="1" t="s">
        <v>42</v>
      </c>
      <c r="C274" s="1" t="s">
        <v>20</v>
      </c>
      <c r="D274" s="1">
        <v>88</v>
      </c>
      <c r="E274" s="2">
        <v>3.7601343725443412E-4</v>
      </c>
      <c r="F274" s="1">
        <v>92</v>
      </c>
      <c r="G274" s="1">
        <v>206</v>
      </c>
      <c r="H274" s="1">
        <v>25</v>
      </c>
    </row>
    <row r="275" spans="1:8" ht="19.5">
      <c r="A275" s="1" t="s">
        <v>296</v>
      </c>
      <c r="B275" s="1" t="s">
        <v>42</v>
      </c>
      <c r="C275" s="1" t="s">
        <v>13</v>
      </c>
      <c r="D275" s="1">
        <v>68</v>
      </c>
      <c r="E275" s="2">
        <v>9.9372360858146058E-4</v>
      </c>
      <c r="F275" s="1">
        <v>73</v>
      </c>
      <c r="G275" s="1">
        <v>151</v>
      </c>
      <c r="H275" s="1">
        <v>28</v>
      </c>
    </row>
    <row r="276" spans="1:8" ht="19.5">
      <c r="A276" s="1" t="s">
        <v>297</v>
      </c>
      <c r="B276" s="1" t="s">
        <v>50</v>
      </c>
      <c r="C276" s="1" t="s">
        <v>13</v>
      </c>
      <c r="D276" s="1">
        <v>196</v>
      </c>
      <c r="E276" s="2">
        <v>1.1440204612378434E-3</v>
      </c>
      <c r="F276" s="1">
        <v>73</v>
      </c>
      <c r="G276" s="1">
        <v>163</v>
      </c>
      <c r="H276" s="1">
        <v>21</v>
      </c>
    </row>
    <row r="277" spans="1:8" ht="19.5">
      <c r="A277" s="1" t="s">
        <v>298</v>
      </c>
      <c r="B277" s="1" t="s">
        <v>39</v>
      </c>
      <c r="C277" s="1" t="s">
        <v>13</v>
      </c>
      <c r="D277" s="1">
        <v>521</v>
      </c>
      <c r="E277" s="2">
        <v>1.5792880447673995E-3</v>
      </c>
      <c r="F277" s="1">
        <v>79</v>
      </c>
      <c r="G277" s="1">
        <v>169</v>
      </c>
      <c r="H277" s="1">
        <v>24</v>
      </c>
    </row>
    <row r="278" spans="1:8" ht="19.5">
      <c r="A278" s="1" t="s">
        <v>299</v>
      </c>
      <c r="B278" s="1" t="s">
        <v>42</v>
      </c>
      <c r="C278" s="1" t="s">
        <v>13</v>
      </c>
      <c r="D278" s="1">
        <v>113</v>
      </c>
      <c r="E278" s="2">
        <v>9.2204490047231803E-4</v>
      </c>
      <c r="F278" s="1">
        <v>89</v>
      </c>
      <c r="G278" s="1">
        <v>187</v>
      </c>
      <c r="H278" s="1">
        <v>19</v>
      </c>
    </row>
    <row r="279" spans="1:8" ht="19.5">
      <c r="A279" s="1" t="s">
        <v>300</v>
      </c>
      <c r="B279" s="1" t="s">
        <v>301</v>
      </c>
      <c r="C279" s="1" t="s">
        <v>13</v>
      </c>
      <c r="D279" s="1">
        <v>80</v>
      </c>
      <c r="E279" s="2">
        <v>9.7997539028166431E-4</v>
      </c>
      <c r="F279" s="1">
        <v>93</v>
      </c>
      <c r="G279" s="1">
        <v>158</v>
      </c>
      <c r="H279" s="1">
        <v>25</v>
      </c>
    </row>
    <row r="280" spans="1:8" ht="19.5">
      <c r="A280" s="1" t="s">
        <v>302</v>
      </c>
      <c r="B280" s="1" t="s">
        <v>50</v>
      </c>
      <c r="C280" s="1" t="s">
        <v>13</v>
      </c>
      <c r="D280" s="1">
        <v>174</v>
      </c>
      <c r="E280" s="2">
        <v>1.0880984919179959E-3</v>
      </c>
      <c r="F280" s="1">
        <v>55</v>
      </c>
      <c r="G280" s="1">
        <v>130</v>
      </c>
      <c r="H280" s="1">
        <v>33</v>
      </c>
    </row>
    <row r="281" spans="1:8" ht="19.5">
      <c r="A281" s="1" t="s">
        <v>303</v>
      </c>
      <c r="B281" s="1" t="s">
        <v>39</v>
      </c>
      <c r="C281" s="1" t="s">
        <v>13</v>
      </c>
      <c r="D281" s="1">
        <v>451</v>
      </c>
      <c r="E281" s="2">
        <v>1.5141865360317015E-3</v>
      </c>
      <c r="F281" s="1">
        <v>73</v>
      </c>
      <c r="G281" s="1">
        <v>172</v>
      </c>
      <c r="H281" s="1">
        <v>26</v>
      </c>
    </row>
    <row r="282" spans="1:8" ht="19.5">
      <c r="A282" s="1" t="s">
        <v>304</v>
      </c>
      <c r="B282" s="1" t="s">
        <v>42</v>
      </c>
      <c r="C282" s="1" t="s">
        <v>13</v>
      </c>
      <c r="D282" s="1">
        <v>105</v>
      </c>
      <c r="E282" s="2">
        <v>9.8530286636117612E-4</v>
      </c>
      <c r="F282" s="1">
        <v>67</v>
      </c>
      <c r="G282" s="1">
        <v>137</v>
      </c>
      <c r="H282" s="1">
        <v>31</v>
      </c>
    </row>
    <row r="283" spans="1:8" ht="19.5">
      <c r="A283" s="1" t="s">
        <v>305</v>
      </c>
      <c r="B283" s="1" t="s">
        <v>42</v>
      </c>
      <c r="C283" s="1" t="s">
        <v>13</v>
      </c>
      <c r="D283" s="1">
        <v>96</v>
      </c>
      <c r="E283" s="2">
        <v>2.6069082269779306E-3</v>
      </c>
      <c r="F283" s="1">
        <v>61</v>
      </c>
      <c r="G283" s="1">
        <v>162</v>
      </c>
      <c r="H283" s="1">
        <v>33</v>
      </c>
    </row>
    <row r="284" spans="1:8" ht="19.5">
      <c r="A284" s="1" t="s">
        <v>306</v>
      </c>
      <c r="B284" s="1" t="s">
        <v>50</v>
      </c>
      <c r="C284" s="1" t="s">
        <v>13</v>
      </c>
      <c r="D284" s="1">
        <v>187</v>
      </c>
      <c r="E284" s="2">
        <v>1.0763681993544162E-4</v>
      </c>
      <c r="F284" s="1">
        <v>81</v>
      </c>
      <c r="G284" s="1">
        <v>0</v>
      </c>
      <c r="H284" s="1">
        <v>30</v>
      </c>
    </row>
    <row r="285" spans="1:8" ht="19.5">
      <c r="A285" s="1" t="s">
        <v>307</v>
      </c>
      <c r="B285" s="1" t="s">
        <v>39</v>
      </c>
      <c r="C285" s="1" t="s">
        <v>13</v>
      </c>
      <c r="D285" s="1">
        <v>424</v>
      </c>
      <c r="E285" s="2">
        <v>1.266811493691208E-3</v>
      </c>
      <c r="F285" s="1">
        <v>85</v>
      </c>
      <c r="G285" s="1">
        <v>162</v>
      </c>
      <c r="H285" s="1">
        <v>26</v>
      </c>
    </row>
    <row r="286" spans="1:8" ht="19.5">
      <c r="A286" s="1" t="s">
        <v>308</v>
      </c>
      <c r="B286" s="1" t="s">
        <v>42</v>
      </c>
      <c r="C286" s="1" t="s">
        <v>13</v>
      </c>
      <c r="D286" s="1">
        <v>103</v>
      </c>
      <c r="E286" s="2">
        <v>7.6265252519299473E-4</v>
      </c>
      <c r="F286" s="1">
        <v>84</v>
      </c>
      <c r="G286" s="1">
        <v>202</v>
      </c>
      <c r="H286" s="1">
        <v>23</v>
      </c>
    </row>
    <row r="287" spans="1:8" ht="19.5">
      <c r="A287" s="1" t="s">
        <v>309</v>
      </c>
      <c r="B287" s="1" t="s">
        <v>31</v>
      </c>
      <c r="C287" s="1" t="s">
        <v>13</v>
      </c>
      <c r="D287" s="1">
        <v>44</v>
      </c>
      <c r="E287" s="2">
        <v>1.1526767208558941E-3</v>
      </c>
      <c r="F287" s="1">
        <v>67</v>
      </c>
      <c r="G287" s="1">
        <v>130</v>
      </c>
      <c r="H287" s="1">
        <v>28</v>
      </c>
    </row>
    <row r="288" spans="1:8" ht="19.5">
      <c r="A288" s="1" t="s">
        <v>310</v>
      </c>
      <c r="B288" s="1" t="s">
        <v>37</v>
      </c>
      <c r="C288" s="1" t="s">
        <v>13</v>
      </c>
      <c r="D288" s="1">
        <v>111</v>
      </c>
      <c r="E288" s="2">
        <v>1.0627838653481333E-3</v>
      </c>
      <c r="F288" s="1">
        <v>92</v>
      </c>
      <c r="G288" s="1">
        <v>148</v>
      </c>
      <c r="H288" s="1">
        <v>18</v>
      </c>
    </row>
    <row r="289" spans="1:8" ht="19.5">
      <c r="A289" s="1" t="s">
        <v>311</v>
      </c>
      <c r="B289" s="1" t="s">
        <v>39</v>
      </c>
      <c r="C289" s="1" t="s">
        <v>13</v>
      </c>
      <c r="D289" s="1">
        <v>458</v>
      </c>
      <c r="E289" s="2">
        <v>2.3315391031799031E-3</v>
      </c>
      <c r="F289" s="1">
        <v>44</v>
      </c>
      <c r="G289" s="1">
        <v>130</v>
      </c>
      <c r="H289" s="1">
        <v>39</v>
      </c>
    </row>
    <row r="290" spans="1:8" ht="19.5">
      <c r="A290" s="1" t="s">
        <v>312</v>
      </c>
      <c r="B290" s="1" t="s">
        <v>42</v>
      </c>
      <c r="C290" s="1" t="s">
        <v>13</v>
      </c>
      <c r="D290" s="1">
        <v>100</v>
      </c>
      <c r="E290" s="2">
        <v>2.0831387916006735E-3</v>
      </c>
      <c r="F290" s="1">
        <v>67</v>
      </c>
      <c r="G290" s="1">
        <v>162</v>
      </c>
      <c r="H290" s="1">
        <v>28</v>
      </c>
    </row>
    <row r="291" spans="1:8" ht="19.5">
      <c r="A291" s="1" t="s">
        <v>313</v>
      </c>
      <c r="B291" s="1" t="s">
        <v>42</v>
      </c>
      <c r="C291" s="1" t="s">
        <v>13</v>
      </c>
      <c r="D291" s="1"/>
      <c r="E291" s="2">
        <v>1.9907764745034527E-3</v>
      </c>
      <c r="F291" s="1">
        <v>77</v>
      </c>
      <c r="G291" s="1">
        <v>162</v>
      </c>
      <c r="H291" s="1">
        <v>47</v>
      </c>
    </row>
    <row r="292" spans="1:8" ht="19.5">
      <c r="A292" s="1" t="s">
        <v>314</v>
      </c>
      <c r="B292" s="1" t="s">
        <v>50</v>
      </c>
      <c r="C292" s="1" t="s">
        <v>13</v>
      </c>
      <c r="D292" s="1">
        <v>435</v>
      </c>
      <c r="E292" s="2">
        <v>2.2924989115060486E-3</v>
      </c>
      <c r="F292" s="1">
        <v>90</v>
      </c>
      <c r="G292" s="1">
        <v>159</v>
      </c>
      <c r="H292" s="1">
        <v>41</v>
      </c>
    </row>
    <row r="293" spans="1:8" ht="19.5">
      <c r="A293" s="1" t="s">
        <v>315</v>
      </c>
      <c r="B293" s="1" t="s">
        <v>37</v>
      </c>
      <c r="C293" s="1" t="s">
        <v>13</v>
      </c>
      <c r="D293" s="1">
        <v>54</v>
      </c>
      <c r="E293" s="2">
        <v>1.2321540393020746E-4</v>
      </c>
      <c r="F293" s="1">
        <v>76</v>
      </c>
      <c r="G293" s="1">
        <v>149</v>
      </c>
      <c r="H293" s="1">
        <v>11</v>
      </c>
    </row>
    <row r="294" spans="1:8" ht="19.5">
      <c r="A294" s="1" t="s">
        <v>316</v>
      </c>
      <c r="B294" s="1" t="s">
        <v>42</v>
      </c>
      <c r="C294" s="1" t="s">
        <v>13</v>
      </c>
      <c r="D294" s="1">
        <v>83</v>
      </c>
      <c r="E294" s="2">
        <v>3.1347548894547217E-3</v>
      </c>
      <c r="F294" s="1">
        <v>91</v>
      </c>
      <c r="G294" s="1">
        <v>212</v>
      </c>
      <c r="H294" s="1">
        <v>26</v>
      </c>
    </row>
    <row r="295" spans="1:8" ht="19.5">
      <c r="A295" s="1" t="s">
        <v>317</v>
      </c>
      <c r="B295" s="1" t="s">
        <v>42</v>
      </c>
      <c r="C295" s="1" t="s">
        <v>20</v>
      </c>
      <c r="D295" s="1">
        <v>108</v>
      </c>
      <c r="E295" s="2">
        <v>9.3057977745856937E-4</v>
      </c>
      <c r="F295" s="1">
        <v>75</v>
      </c>
      <c r="G295" s="1">
        <v>138</v>
      </c>
      <c r="H295" s="1">
        <v>24</v>
      </c>
    </row>
    <row r="296" spans="1:8" ht="19.5">
      <c r="A296" s="1" t="s">
        <v>318</v>
      </c>
      <c r="B296" s="1" t="s">
        <v>301</v>
      </c>
      <c r="C296" s="1" t="s">
        <v>13</v>
      </c>
      <c r="D296" s="1">
        <v>80</v>
      </c>
      <c r="E296" s="2">
        <v>5.1834398942490962E-4</v>
      </c>
      <c r="F296" s="1">
        <v>159</v>
      </c>
      <c r="G296" s="1">
        <v>221</v>
      </c>
      <c r="H296" s="1">
        <v>14</v>
      </c>
    </row>
    <row r="297" spans="1:8" ht="19.5">
      <c r="A297" s="1" t="s">
        <v>319</v>
      </c>
      <c r="B297" s="1" t="s">
        <v>50</v>
      </c>
      <c r="C297" s="1" t="s">
        <v>13</v>
      </c>
      <c r="D297" s="1">
        <v>340</v>
      </c>
      <c r="E297" s="2">
        <v>1.9489402081661188E-3</v>
      </c>
      <c r="F297" s="1">
        <v>74</v>
      </c>
      <c r="G297" s="1">
        <v>110</v>
      </c>
      <c r="H297" s="1">
        <v>34</v>
      </c>
    </row>
    <row r="298" spans="1:8" ht="19.5">
      <c r="A298" s="1" t="s">
        <v>320</v>
      </c>
      <c r="B298" s="1" t="s">
        <v>39</v>
      </c>
      <c r="C298" s="1" t="s">
        <v>20</v>
      </c>
      <c r="D298" s="1">
        <v>545</v>
      </c>
      <c r="E298" s="2">
        <v>2.4800906936066516E-3</v>
      </c>
      <c r="F298" s="1">
        <v>39</v>
      </c>
      <c r="G298" s="1">
        <v>76</v>
      </c>
      <c r="H298" s="1">
        <v>46</v>
      </c>
    </row>
    <row r="299" spans="1:8" ht="19.5">
      <c r="A299" s="1" t="s">
        <v>321</v>
      </c>
      <c r="B299" s="1" t="s">
        <v>301</v>
      </c>
      <c r="C299" s="1" t="s">
        <v>13</v>
      </c>
      <c r="D299" s="1">
        <v>107</v>
      </c>
      <c r="E299" s="2">
        <v>4.1269937566282408E-3</v>
      </c>
      <c r="F299" s="1">
        <v>38</v>
      </c>
      <c r="G299" s="1">
        <v>139</v>
      </c>
      <c r="H299" s="1">
        <v>24</v>
      </c>
    </row>
    <row r="300" spans="1:8" ht="19.5">
      <c r="A300" s="1" t="s">
        <v>322</v>
      </c>
      <c r="B300" s="1" t="s">
        <v>31</v>
      </c>
      <c r="C300" s="1" t="s">
        <v>13</v>
      </c>
      <c r="D300" s="1">
        <v>29</v>
      </c>
      <c r="E300" s="2">
        <v>1.2503056261122085E-3</v>
      </c>
      <c r="F300" s="1">
        <v>68</v>
      </c>
      <c r="G300" s="1">
        <v>189</v>
      </c>
      <c r="H300" s="1">
        <v>22</v>
      </c>
    </row>
    <row r="301" spans="1:8" ht="19.5">
      <c r="A301" s="1" t="s">
        <v>323</v>
      </c>
      <c r="B301" s="1" t="s">
        <v>50</v>
      </c>
      <c r="C301" s="1" t="s">
        <v>13</v>
      </c>
      <c r="D301" s="1">
        <v>329</v>
      </c>
      <c r="E301" s="2">
        <v>2.5281662179402991E-3</v>
      </c>
      <c r="F301" s="1">
        <v>62</v>
      </c>
      <c r="G301" s="1">
        <v>106</v>
      </c>
      <c r="H301" s="1">
        <v>41</v>
      </c>
    </row>
    <row r="302" spans="1:8" ht="19.5">
      <c r="A302" s="1" t="s">
        <v>324</v>
      </c>
      <c r="B302" s="1" t="s">
        <v>37</v>
      </c>
      <c r="C302" s="1" t="s">
        <v>13</v>
      </c>
      <c r="D302" s="1">
        <v>98</v>
      </c>
      <c r="E302" s="2">
        <v>4.531345768970785E-4</v>
      </c>
      <c r="F302" s="1">
        <v>78</v>
      </c>
      <c r="G302" s="1">
        <v>192</v>
      </c>
      <c r="H302" s="1">
        <v>3</v>
      </c>
    </row>
    <row r="303" spans="1:8" ht="19.5">
      <c r="A303" s="1" t="s">
        <v>325</v>
      </c>
      <c r="B303" s="1" t="s">
        <v>39</v>
      </c>
      <c r="C303" s="1" t="s">
        <v>13</v>
      </c>
      <c r="D303" s="1">
        <v>394</v>
      </c>
      <c r="E303" s="2">
        <v>7.8068902985388075E-4</v>
      </c>
      <c r="F303" s="1">
        <v>67</v>
      </c>
      <c r="G303" s="1">
        <v>134</v>
      </c>
      <c r="H303" s="1">
        <v>24</v>
      </c>
    </row>
    <row r="304" spans="1:8" ht="19.5">
      <c r="A304" s="1" t="s">
        <v>326</v>
      </c>
      <c r="B304" s="1" t="s">
        <v>39</v>
      </c>
      <c r="C304" s="1" t="s">
        <v>13</v>
      </c>
      <c r="D304" s="1">
        <v>520</v>
      </c>
      <c r="E304" s="2">
        <v>2.9716577767143696E-4</v>
      </c>
      <c r="F304" s="1">
        <v>56</v>
      </c>
      <c r="G304" s="1">
        <v>130</v>
      </c>
      <c r="H304" s="1">
        <v>19</v>
      </c>
    </row>
    <row r="305" spans="1:8" ht="19.5">
      <c r="A305" s="1" t="s">
        <v>327</v>
      </c>
      <c r="B305" s="1" t="s">
        <v>42</v>
      </c>
      <c r="C305" s="1" t="s">
        <v>20</v>
      </c>
      <c r="D305" s="1">
        <v>83</v>
      </c>
      <c r="E305" s="2">
        <v>1.9363681728729537E-3</v>
      </c>
      <c r="F305" s="1">
        <v>35</v>
      </c>
      <c r="G305" s="1">
        <v>148</v>
      </c>
      <c r="H305" s="1">
        <v>39</v>
      </c>
    </row>
    <row r="306" spans="1:8" ht="19.5">
      <c r="A306" s="1" t="s">
        <v>328</v>
      </c>
      <c r="B306" s="1" t="s">
        <v>31</v>
      </c>
      <c r="C306" s="1" t="s">
        <v>20</v>
      </c>
      <c r="D306" s="1">
        <v>57</v>
      </c>
      <c r="E306" s="2">
        <v>1.5672836166011484E-3</v>
      </c>
      <c r="F306" s="1">
        <v>95</v>
      </c>
      <c r="G306" s="1">
        <v>125</v>
      </c>
      <c r="H306" s="1">
        <v>28</v>
      </c>
    </row>
    <row r="307" spans="1:8" ht="19.5">
      <c r="A307" s="1" t="s">
        <v>329</v>
      </c>
      <c r="B307" s="1" t="s">
        <v>50</v>
      </c>
      <c r="C307" s="1" t="s">
        <v>13</v>
      </c>
      <c r="D307" s="1">
        <v>354</v>
      </c>
      <c r="E307" s="2">
        <v>5.0910932630460872E-3</v>
      </c>
      <c r="F307" s="1">
        <v>46</v>
      </c>
      <c r="G307" s="1">
        <v>158</v>
      </c>
      <c r="H307" s="1">
        <v>32</v>
      </c>
    </row>
    <row r="308" spans="1:8" ht="19.5">
      <c r="A308" s="1" t="s">
        <v>330</v>
      </c>
      <c r="B308" s="1" t="s">
        <v>37</v>
      </c>
      <c r="C308" s="1" t="s">
        <v>13</v>
      </c>
      <c r="D308" s="1">
        <v>126</v>
      </c>
      <c r="E308" s="2">
        <v>1.6226056133674877E-3</v>
      </c>
      <c r="F308" s="1">
        <v>78</v>
      </c>
      <c r="G308" s="1">
        <v>159</v>
      </c>
      <c r="H308" s="1">
        <v>25</v>
      </c>
    </row>
    <row r="309" spans="1:8" ht="19.5">
      <c r="A309" s="1" t="s">
        <v>331</v>
      </c>
      <c r="B309" s="1" t="s">
        <v>39</v>
      </c>
      <c r="C309" s="1" t="s">
        <v>20</v>
      </c>
      <c r="D309" s="1">
        <v>514</v>
      </c>
      <c r="E309" s="2">
        <v>1.6031839732063165E-3</v>
      </c>
      <c r="F309" s="1">
        <v>40</v>
      </c>
      <c r="G309" s="1">
        <v>135</v>
      </c>
      <c r="H309" s="1">
        <v>29</v>
      </c>
    </row>
    <row r="310" spans="1:8" ht="19.5">
      <c r="A310" s="1" t="s">
        <v>332</v>
      </c>
      <c r="B310" s="1" t="s">
        <v>42</v>
      </c>
      <c r="C310" s="1" t="s">
        <v>13</v>
      </c>
      <c r="D310" s="1">
        <v>108</v>
      </c>
      <c r="E310" s="2">
        <v>8.4260991376833446E-4</v>
      </c>
      <c r="F310" s="1">
        <v>86</v>
      </c>
      <c r="G310" s="1">
        <v>145</v>
      </c>
      <c r="H310" s="1">
        <v>25</v>
      </c>
    </row>
    <row r="311" spans="1:8" ht="19.5">
      <c r="A311" s="1" t="s">
        <v>333</v>
      </c>
      <c r="B311" s="1" t="s">
        <v>42</v>
      </c>
      <c r="C311" s="1" t="s">
        <v>13</v>
      </c>
      <c r="D311" s="1">
        <v>100</v>
      </c>
      <c r="E311" s="2">
        <v>6.2344505507785409E-4</v>
      </c>
      <c r="F311" s="1">
        <v>112</v>
      </c>
      <c r="G311" s="1">
        <v>194</v>
      </c>
      <c r="H311" s="1">
        <v>21</v>
      </c>
    </row>
    <row r="312" spans="1:8" ht="19.5">
      <c r="A312" s="1" t="s">
        <v>334</v>
      </c>
      <c r="B312" s="1" t="s">
        <v>31</v>
      </c>
      <c r="C312" s="1" t="s">
        <v>20</v>
      </c>
      <c r="D312" s="1">
        <v>41</v>
      </c>
      <c r="E312" s="2">
        <v>2.3906956462812099E-3</v>
      </c>
      <c r="F312" s="1">
        <v>64</v>
      </c>
      <c r="G312" s="1">
        <v>125</v>
      </c>
      <c r="H312" s="1">
        <v>31</v>
      </c>
    </row>
    <row r="313" spans="1:8" ht="19.5">
      <c r="A313" s="1" t="s">
        <v>335</v>
      </c>
      <c r="B313" s="1" t="s">
        <v>50</v>
      </c>
      <c r="C313" s="1" t="s">
        <v>13</v>
      </c>
      <c r="D313" s="1">
        <v>314</v>
      </c>
      <c r="E313" s="2">
        <v>1.1287042926698646E-3</v>
      </c>
      <c r="F313" s="1">
        <v>74</v>
      </c>
      <c r="G313" s="1">
        <v>117</v>
      </c>
      <c r="H313" s="1">
        <v>25</v>
      </c>
    </row>
    <row r="314" spans="1:8" ht="19.5">
      <c r="A314" s="1" t="s">
        <v>336</v>
      </c>
      <c r="B314" s="1" t="s">
        <v>37</v>
      </c>
      <c r="C314" s="1" t="s">
        <v>13</v>
      </c>
      <c r="D314" s="1">
        <v>107</v>
      </c>
      <c r="E314" s="2">
        <v>1.6497064703795675E-3</v>
      </c>
      <c r="F314" s="1">
        <v>102</v>
      </c>
      <c r="G314" s="1">
        <v>190</v>
      </c>
      <c r="H314" s="1">
        <v>14</v>
      </c>
    </row>
    <row r="315" spans="1:8" ht="19.5">
      <c r="A315" s="1" t="s">
        <v>337</v>
      </c>
      <c r="B315" s="1" t="s">
        <v>42</v>
      </c>
      <c r="C315" s="1" t="s">
        <v>13</v>
      </c>
      <c r="D315" s="1">
        <v>86</v>
      </c>
      <c r="E315" s="2">
        <v>6.8130075569470877E-4</v>
      </c>
      <c r="F315" s="1">
        <v>125</v>
      </c>
      <c r="G315" s="1">
        <v>185</v>
      </c>
      <c r="H315" s="1">
        <v>21</v>
      </c>
    </row>
    <row r="316" spans="1:8" ht="19.5">
      <c r="A316" s="1" t="s">
        <v>338</v>
      </c>
      <c r="B316" s="1" t="s">
        <v>37</v>
      </c>
      <c r="C316" s="1" t="s">
        <v>13</v>
      </c>
      <c r="D316" s="1">
        <v>106</v>
      </c>
      <c r="E316" s="2">
        <v>1.4503102324051253E-3</v>
      </c>
      <c r="F316" s="1">
        <v>69</v>
      </c>
      <c r="G316" s="1">
        <v>126</v>
      </c>
      <c r="H316" s="1">
        <v>24</v>
      </c>
    </row>
    <row r="317" spans="1:8" ht="19.5">
      <c r="A317" s="1" t="s">
        <v>339</v>
      </c>
      <c r="B317" s="1" t="s">
        <v>42</v>
      </c>
      <c r="C317" s="1" t="s">
        <v>13</v>
      </c>
      <c r="D317" s="1">
        <v>121</v>
      </c>
      <c r="E317" s="2">
        <v>8.2231251289834582E-4</v>
      </c>
      <c r="F317" s="1">
        <v>107</v>
      </c>
      <c r="G317" s="1">
        <v>194</v>
      </c>
      <c r="H317" s="1">
        <v>25</v>
      </c>
    </row>
    <row r="318" spans="1:8" ht="19.5">
      <c r="A318" s="1" t="s">
        <v>340</v>
      </c>
      <c r="B318" s="1" t="s">
        <v>42</v>
      </c>
      <c r="C318" s="1" t="s">
        <v>20</v>
      </c>
      <c r="D318" s="1">
        <v>148</v>
      </c>
      <c r="E318" s="2">
        <v>1.8095931850302084E-3</v>
      </c>
      <c r="F318" s="1">
        <v>48</v>
      </c>
      <c r="G318" s="1">
        <v>118</v>
      </c>
      <c r="H318" s="1">
        <v>42</v>
      </c>
    </row>
    <row r="319" spans="1:8" ht="19.5">
      <c r="A319" s="1" t="s">
        <v>341</v>
      </c>
      <c r="B319" s="1" t="s">
        <v>301</v>
      </c>
      <c r="C319" s="1" t="s">
        <v>20</v>
      </c>
      <c r="D319" s="1">
        <v>101</v>
      </c>
      <c r="E319" s="2">
        <v>8.6676333050504119E-4</v>
      </c>
      <c r="F319" s="1">
        <v>96</v>
      </c>
      <c r="G319" s="1">
        <v>196</v>
      </c>
      <c r="H319" s="1">
        <v>20</v>
      </c>
    </row>
    <row r="320" spans="1:8" ht="19.5">
      <c r="A320" s="1" t="s">
        <v>342</v>
      </c>
      <c r="B320" s="1" t="s">
        <v>31</v>
      </c>
      <c r="C320" s="1" t="s">
        <v>13</v>
      </c>
      <c r="D320" s="1">
        <v>42</v>
      </c>
      <c r="E320" s="2">
        <v>1.7860386637608969E-3</v>
      </c>
      <c r="F320" s="1">
        <v>66</v>
      </c>
      <c r="G320" s="1">
        <v>122</v>
      </c>
      <c r="H320" s="1">
        <v>22</v>
      </c>
    </row>
    <row r="321" spans="1:8" ht="19.5">
      <c r="A321" s="1" t="s">
        <v>343</v>
      </c>
      <c r="B321" s="1" t="s">
        <v>50</v>
      </c>
      <c r="C321" s="1" t="s">
        <v>13</v>
      </c>
      <c r="D321" s="1">
        <v>229</v>
      </c>
      <c r="E321" s="2">
        <v>3.3142651151229553E-3</v>
      </c>
      <c r="F321" s="1">
        <v>105</v>
      </c>
      <c r="G321" s="1">
        <v>180</v>
      </c>
      <c r="H321" s="1">
        <v>36</v>
      </c>
    </row>
    <row r="322" spans="1:8" ht="19.5">
      <c r="A322" s="1" t="s">
        <v>344</v>
      </c>
      <c r="B322" s="1" t="s">
        <v>42</v>
      </c>
      <c r="C322" s="1" t="s">
        <v>13</v>
      </c>
      <c r="D322" s="1">
        <v>98</v>
      </c>
      <c r="E322" s="2">
        <v>1.8367512133188894E-3</v>
      </c>
      <c r="F322" s="1">
        <v>58</v>
      </c>
      <c r="G322" s="1">
        <v>159</v>
      </c>
      <c r="H322" s="1">
        <v>38</v>
      </c>
    </row>
    <row r="323" spans="1:8" ht="19.5">
      <c r="A323" s="1" t="s">
        <v>345</v>
      </c>
      <c r="B323" s="1" t="s">
        <v>42</v>
      </c>
      <c r="C323" s="1" t="s">
        <v>13</v>
      </c>
      <c r="D323" s="1">
        <v>115</v>
      </c>
      <c r="E323" s="2">
        <v>6.9934531102609776E-4</v>
      </c>
      <c r="F323" s="1">
        <v>59</v>
      </c>
      <c r="G323" s="1">
        <v>144</v>
      </c>
      <c r="H323" s="1">
        <v>18</v>
      </c>
    </row>
    <row r="324" spans="1:8" ht="19.5">
      <c r="A324" s="1" t="s">
        <v>346</v>
      </c>
      <c r="B324" s="1" t="s">
        <v>301</v>
      </c>
      <c r="C324" s="1" t="s">
        <v>13</v>
      </c>
      <c r="D324" s="1">
        <v>82</v>
      </c>
      <c r="E324" s="2">
        <v>1.4548092577724421E-3</v>
      </c>
      <c r="F324" s="1">
        <v>106</v>
      </c>
      <c r="G324" s="1">
        <v>205</v>
      </c>
      <c r="H324" s="1">
        <v>16</v>
      </c>
    </row>
    <row r="325" spans="1:8" ht="19.5">
      <c r="A325" s="1" t="s">
        <v>347</v>
      </c>
      <c r="B325" s="1" t="s">
        <v>31</v>
      </c>
      <c r="C325" s="1" t="s">
        <v>13</v>
      </c>
      <c r="D325" s="1">
        <v>38</v>
      </c>
      <c r="E325" s="2">
        <v>1.4308007204383308E-3</v>
      </c>
      <c r="F325" s="1">
        <v>107</v>
      </c>
      <c r="G325" s="1">
        <v>174</v>
      </c>
      <c r="H325" s="1">
        <v>31</v>
      </c>
    </row>
    <row r="326" spans="1:8" ht="19.5">
      <c r="A326" s="1" t="s">
        <v>348</v>
      </c>
      <c r="B326" s="1" t="s">
        <v>50</v>
      </c>
      <c r="C326" s="1" t="s">
        <v>13</v>
      </c>
      <c r="D326" s="1">
        <v>447</v>
      </c>
      <c r="E326" s="2">
        <v>3.066401753745441E-4</v>
      </c>
      <c r="F326" s="1">
        <v>85</v>
      </c>
      <c r="G326" s="1">
        <v>169</v>
      </c>
      <c r="H326" s="1">
        <v>28</v>
      </c>
    </row>
    <row r="327" spans="1:8" ht="19.5">
      <c r="A327" s="1" t="s">
        <v>349</v>
      </c>
      <c r="B327" s="1" t="s">
        <v>39</v>
      </c>
      <c r="C327" s="1" t="s">
        <v>13</v>
      </c>
      <c r="D327" s="1">
        <v>503</v>
      </c>
      <c r="E327" s="2">
        <v>1.8108346330725741E-3</v>
      </c>
      <c r="F327" s="1">
        <v>39</v>
      </c>
      <c r="G327" s="1">
        <v>108</v>
      </c>
      <c r="H327" s="1">
        <v>34</v>
      </c>
    </row>
    <row r="328" spans="1:8" ht="19.5">
      <c r="A328" s="1" t="s">
        <v>350</v>
      </c>
      <c r="B328" s="1" t="s">
        <v>42</v>
      </c>
      <c r="C328" s="1" t="s">
        <v>20</v>
      </c>
      <c r="D328" s="1">
        <v>115</v>
      </c>
      <c r="E328" s="2">
        <v>1.8453189822675356E-3</v>
      </c>
      <c r="F328" s="1">
        <v>74</v>
      </c>
      <c r="G328" s="1">
        <v>165</v>
      </c>
      <c r="H328" s="1">
        <v>48</v>
      </c>
    </row>
    <row r="329" spans="1:8" ht="19.5">
      <c r="A329" s="1" t="s">
        <v>351</v>
      </c>
      <c r="B329" s="1" t="s">
        <v>31</v>
      </c>
      <c r="C329" s="1" t="s">
        <v>13</v>
      </c>
      <c r="D329" s="1">
        <v>47</v>
      </c>
      <c r="E329" s="2">
        <v>2.0274706889447411E-3</v>
      </c>
      <c r="F329" s="1">
        <v>18</v>
      </c>
      <c r="G329" s="1">
        <v>100</v>
      </c>
      <c r="H329" s="1">
        <v>35</v>
      </c>
    </row>
    <row r="330" spans="1:8" ht="19.5">
      <c r="A330" s="1" t="s">
        <v>352</v>
      </c>
      <c r="B330" s="1" t="s">
        <v>50</v>
      </c>
      <c r="C330" s="1" t="s">
        <v>20</v>
      </c>
      <c r="D330" s="1">
        <v>450</v>
      </c>
      <c r="E330" s="2">
        <v>5.6022475756117884E-4</v>
      </c>
      <c r="F330" s="1">
        <v>90</v>
      </c>
      <c r="G330" s="1">
        <v>122</v>
      </c>
      <c r="H330" s="1">
        <v>24</v>
      </c>
    </row>
    <row r="331" spans="1:8" ht="19.5">
      <c r="A331" s="1" t="s">
        <v>353</v>
      </c>
      <c r="B331" s="1" t="s">
        <v>42</v>
      </c>
      <c r="C331" s="1" t="s">
        <v>13</v>
      </c>
      <c r="D331" s="1">
        <v>94</v>
      </c>
      <c r="E331" s="2">
        <v>1.4493063893046265E-3</v>
      </c>
      <c r="F331" s="1">
        <v>126</v>
      </c>
      <c r="G331" s="1">
        <v>212</v>
      </c>
      <c r="H331" s="1">
        <v>25</v>
      </c>
    </row>
    <row r="332" spans="1:8" ht="19.5">
      <c r="A332" s="1" t="s">
        <v>354</v>
      </c>
      <c r="B332" s="1" t="s">
        <v>37</v>
      </c>
      <c r="C332" s="1" t="s">
        <v>13</v>
      </c>
      <c r="D332" s="1">
        <v>87</v>
      </c>
      <c r="E332" s="2">
        <v>4.32431687531054E-4</v>
      </c>
      <c r="F332" s="1">
        <v>77</v>
      </c>
      <c r="G332" s="1">
        <v>177</v>
      </c>
      <c r="H332" s="1">
        <v>32</v>
      </c>
    </row>
    <row r="333" spans="1:8" ht="19.5">
      <c r="A333" s="1" t="s">
        <v>355</v>
      </c>
      <c r="B333" s="1" t="s">
        <v>39</v>
      </c>
      <c r="C333" s="1" t="s">
        <v>20</v>
      </c>
      <c r="D333" s="1">
        <v>528</v>
      </c>
      <c r="E333" s="2">
        <v>2.3805731127188143E-3</v>
      </c>
      <c r="F333" s="1">
        <v>23</v>
      </c>
      <c r="G333" s="1">
        <v>102</v>
      </c>
      <c r="H333" s="1">
        <v>33</v>
      </c>
    </row>
    <row r="334" spans="1:8" ht="19.5">
      <c r="A334" s="1" t="s">
        <v>356</v>
      </c>
      <c r="B334" s="1" t="s">
        <v>301</v>
      </c>
      <c r="C334" s="1" t="s">
        <v>20</v>
      </c>
      <c r="D334" s="1">
        <v>92</v>
      </c>
      <c r="E334" s="2">
        <v>8.00922142835682E-4</v>
      </c>
      <c r="F334" s="1">
        <v>97</v>
      </c>
      <c r="G334" s="1">
        <v>153</v>
      </c>
      <c r="H334" s="1">
        <v>19</v>
      </c>
    </row>
    <row r="335" spans="1:8" ht="19.5">
      <c r="A335" s="1" t="s">
        <v>357</v>
      </c>
      <c r="B335" s="1" t="s">
        <v>39</v>
      </c>
      <c r="C335" s="1" t="s">
        <v>13</v>
      </c>
      <c r="D335" s="1">
        <v>518</v>
      </c>
      <c r="E335" s="2">
        <v>7.0566107695104417E-4</v>
      </c>
      <c r="F335" s="1">
        <v>101</v>
      </c>
      <c r="G335" s="1">
        <v>223</v>
      </c>
      <c r="H335" s="1">
        <v>7</v>
      </c>
    </row>
    <row r="336" spans="1:8" ht="19.5">
      <c r="A336" s="1" t="s">
        <v>358</v>
      </c>
      <c r="B336" s="1" t="s">
        <v>39</v>
      </c>
      <c r="C336" s="1" t="s">
        <v>20</v>
      </c>
      <c r="D336" s="1">
        <v>413</v>
      </c>
      <c r="E336" s="2">
        <v>1.7032488247577689E-3</v>
      </c>
      <c r="F336" s="1">
        <v>29</v>
      </c>
      <c r="G336" s="1">
        <v>102</v>
      </c>
      <c r="H336" s="1">
        <v>36</v>
      </c>
    </row>
    <row r="337" spans="1:8" ht="19.5">
      <c r="A337" s="1" t="s">
        <v>359</v>
      </c>
      <c r="B337" s="1" t="s">
        <v>42</v>
      </c>
      <c r="C337" s="1" t="s">
        <v>16</v>
      </c>
      <c r="D337" s="1">
        <v>94</v>
      </c>
      <c r="E337" s="2">
        <v>2.0896862746392643E-3</v>
      </c>
      <c r="F337" s="1">
        <v>39</v>
      </c>
      <c r="G337" s="1">
        <v>119</v>
      </c>
      <c r="H337" s="1">
        <v>44</v>
      </c>
    </row>
    <row r="338" spans="1:8" ht="19.5">
      <c r="A338" s="1" t="s">
        <v>360</v>
      </c>
      <c r="B338" s="1" t="s">
        <v>42</v>
      </c>
      <c r="C338" s="1" t="s">
        <v>32</v>
      </c>
      <c r="D338" s="1">
        <v>83</v>
      </c>
      <c r="E338" s="2">
        <v>1.266246876788878E-3</v>
      </c>
      <c r="F338" s="1">
        <v>91</v>
      </c>
      <c r="G338" s="1">
        <v>160</v>
      </c>
      <c r="H338" s="1">
        <v>35</v>
      </c>
    </row>
    <row r="339" spans="1:8" ht="19.5">
      <c r="A339" s="1" t="s">
        <v>361</v>
      </c>
      <c r="B339" s="1" t="s">
        <v>301</v>
      </c>
      <c r="C339" s="1" t="s">
        <v>13</v>
      </c>
      <c r="D339" s="1">
        <v>132</v>
      </c>
      <c r="E339" s="2">
        <v>1.0765561108893112E-3</v>
      </c>
      <c r="F339" s="1">
        <v>82</v>
      </c>
      <c r="G339" s="1">
        <v>231</v>
      </c>
      <c r="H339" s="1">
        <v>11</v>
      </c>
    </row>
    <row r="340" spans="1:8" ht="19.5">
      <c r="A340" s="1" t="s">
        <v>362</v>
      </c>
      <c r="B340" s="1" t="s">
        <v>31</v>
      </c>
      <c r="C340" s="1" t="s">
        <v>13</v>
      </c>
      <c r="D340" s="1">
        <v>37</v>
      </c>
      <c r="E340" s="2">
        <v>2.456361491204804E-3</v>
      </c>
      <c r="F340" s="1">
        <v>56</v>
      </c>
      <c r="G340" s="1">
        <v>97</v>
      </c>
      <c r="H340" s="1">
        <v>43</v>
      </c>
    </row>
    <row r="341" spans="1:8" ht="19.5">
      <c r="A341" s="1" t="s">
        <v>363</v>
      </c>
      <c r="B341" s="1" t="s">
        <v>50</v>
      </c>
      <c r="C341" s="1" t="s">
        <v>13</v>
      </c>
      <c r="D341" s="1">
        <v>328</v>
      </c>
      <c r="E341" s="2">
        <v>1.2330406826546484E-3</v>
      </c>
      <c r="F341" s="1">
        <v>102</v>
      </c>
      <c r="G341" s="1">
        <v>139</v>
      </c>
      <c r="H341" s="1">
        <v>22</v>
      </c>
    </row>
    <row r="342" spans="1:8" ht="19.5">
      <c r="A342" s="1" t="s">
        <v>364</v>
      </c>
      <c r="B342" s="1" t="s">
        <v>39</v>
      </c>
      <c r="C342" s="1" t="s">
        <v>20</v>
      </c>
      <c r="D342" s="1">
        <v>664</v>
      </c>
      <c r="E342" s="2">
        <v>2.5833272860504553E-3</v>
      </c>
      <c r="F342" s="1">
        <v>82</v>
      </c>
      <c r="G342" s="1">
        <v>148</v>
      </c>
      <c r="H342" s="1">
        <v>49</v>
      </c>
    </row>
    <row r="343" spans="1:8" ht="19.5">
      <c r="A343" s="1" t="s">
        <v>365</v>
      </c>
      <c r="B343" s="1" t="s">
        <v>39</v>
      </c>
      <c r="C343" s="1" t="s">
        <v>32</v>
      </c>
      <c r="D343" s="1">
        <v>534</v>
      </c>
      <c r="E343" s="2">
        <v>2.0586567072589414E-3</v>
      </c>
      <c r="F343" s="1">
        <v>42</v>
      </c>
      <c r="G343" s="1">
        <v>92</v>
      </c>
      <c r="H343" s="1">
        <v>37</v>
      </c>
    </row>
    <row r="344" spans="1:8" ht="19.5">
      <c r="A344" s="1" t="s">
        <v>366</v>
      </c>
      <c r="B344" s="1" t="s">
        <v>42</v>
      </c>
      <c r="C344" s="1" t="s">
        <v>13</v>
      </c>
      <c r="D344" s="1">
        <v>102</v>
      </c>
      <c r="E344" s="2">
        <v>1.0221561867521261E-3</v>
      </c>
      <c r="F344" s="1">
        <v>57</v>
      </c>
      <c r="G344" s="1">
        <v>124</v>
      </c>
      <c r="H344" s="1">
        <v>26</v>
      </c>
    </row>
    <row r="345" spans="1:8" ht="19.5">
      <c r="A345" s="1" t="s">
        <v>367</v>
      </c>
      <c r="B345" s="1" t="s">
        <v>301</v>
      </c>
      <c r="C345" s="1" t="s">
        <v>13</v>
      </c>
      <c r="D345" s="1">
        <v>78</v>
      </c>
      <c r="E345" s="2">
        <v>1.4307805427420687E-3</v>
      </c>
      <c r="F345" s="1">
        <v>88</v>
      </c>
      <c r="G345" s="1">
        <v>152</v>
      </c>
      <c r="H345" s="1">
        <v>19</v>
      </c>
    </row>
    <row r="346" spans="1:8" ht="19.5">
      <c r="A346" s="1" t="s">
        <v>368</v>
      </c>
      <c r="B346" s="1" t="s">
        <v>31</v>
      </c>
      <c r="C346" s="1" t="s">
        <v>13</v>
      </c>
      <c r="D346" s="1">
        <v>37</v>
      </c>
      <c r="E346" s="2">
        <v>9.2728194721971603E-4</v>
      </c>
      <c r="F346" s="1">
        <v>50</v>
      </c>
      <c r="G346" s="1">
        <v>179</v>
      </c>
      <c r="H346" s="1">
        <v>20</v>
      </c>
    </row>
    <row r="347" spans="1:8" ht="19.5">
      <c r="A347" s="1" t="s">
        <v>369</v>
      </c>
      <c r="B347" s="1" t="s">
        <v>34</v>
      </c>
      <c r="C347" s="1" t="s">
        <v>20</v>
      </c>
      <c r="D347" s="1">
        <v>187</v>
      </c>
      <c r="E347" s="2">
        <v>2.4556763634013233E-3</v>
      </c>
      <c r="F347" s="1">
        <v>50</v>
      </c>
      <c r="G347" s="1">
        <v>100</v>
      </c>
      <c r="H347" s="1">
        <v>36</v>
      </c>
    </row>
    <row r="348" spans="1:8" ht="19.5">
      <c r="A348" s="1" t="s">
        <v>370</v>
      </c>
      <c r="B348" s="1" t="s">
        <v>37</v>
      </c>
      <c r="C348" s="1" t="s">
        <v>20</v>
      </c>
      <c r="D348" s="1">
        <v>110</v>
      </c>
      <c r="E348" s="2">
        <v>2.4150486219842488E-3</v>
      </c>
      <c r="F348" s="1">
        <v>83</v>
      </c>
      <c r="G348" s="1">
        <v>133</v>
      </c>
      <c r="H348" s="1">
        <v>39</v>
      </c>
    </row>
    <row r="349" spans="1:8" ht="19.5">
      <c r="A349" s="1" t="s">
        <v>371</v>
      </c>
      <c r="B349" s="1" t="s">
        <v>39</v>
      </c>
      <c r="C349" s="1" t="s">
        <v>13</v>
      </c>
      <c r="D349" s="1">
        <v>571</v>
      </c>
      <c r="E349" s="2">
        <v>7.1693505712553264E-4</v>
      </c>
      <c r="F349" s="1">
        <v>59</v>
      </c>
      <c r="G349" s="1">
        <v>165</v>
      </c>
      <c r="H349" s="1">
        <v>10</v>
      </c>
    </row>
    <row r="350" spans="1:8" ht="19.5">
      <c r="A350" s="1" t="s">
        <v>372</v>
      </c>
      <c r="B350" s="1" t="s">
        <v>39</v>
      </c>
      <c r="C350" s="1" t="s">
        <v>13</v>
      </c>
      <c r="D350" s="1">
        <v>529</v>
      </c>
      <c r="E350" s="2">
        <v>1.4877412654913289E-3</v>
      </c>
      <c r="F350" s="1">
        <v>78</v>
      </c>
      <c r="G350" s="1">
        <v>150</v>
      </c>
      <c r="H350" s="1">
        <v>24</v>
      </c>
    </row>
    <row r="351" spans="1:8" ht="19.5">
      <c r="A351" s="1" t="s">
        <v>373</v>
      </c>
      <c r="B351" s="1" t="s">
        <v>42</v>
      </c>
      <c r="C351" s="1" t="s">
        <v>13</v>
      </c>
      <c r="D351" s="1">
        <v>88</v>
      </c>
      <c r="E351" s="2">
        <v>1.6676695878314639E-3</v>
      </c>
      <c r="F351" s="1">
        <v>76</v>
      </c>
      <c r="G351" s="1">
        <v>148</v>
      </c>
      <c r="H351" s="1">
        <v>35</v>
      </c>
    </row>
    <row r="352" spans="1:8" ht="19.5">
      <c r="A352" s="1" t="s">
        <v>374</v>
      </c>
      <c r="B352" s="1" t="s">
        <v>50</v>
      </c>
      <c r="C352" s="1" t="s">
        <v>13</v>
      </c>
      <c r="D352" s="1">
        <v>310</v>
      </c>
      <c r="E352" s="2">
        <v>1.4882092433911344E-3</v>
      </c>
      <c r="F352" s="1">
        <v>86</v>
      </c>
      <c r="G352" s="1">
        <v>161</v>
      </c>
      <c r="H352" s="1">
        <v>32</v>
      </c>
    </row>
    <row r="353" spans="1:8" ht="19.5">
      <c r="A353" s="1" t="s">
        <v>375</v>
      </c>
      <c r="B353" s="1" t="s">
        <v>37</v>
      </c>
      <c r="C353" s="1" t="s">
        <v>13</v>
      </c>
      <c r="D353" s="1">
        <v>100</v>
      </c>
      <c r="E353" s="2">
        <v>1.1929652163971622E-3</v>
      </c>
      <c r="F353" s="1">
        <v>70</v>
      </c>
      <c r="G353" s="1">
        <v>180</v>
      </c>
      <c r="H353" s="1">
        <v>20</v>
      </c>
    </row>
    <row r="354" spans="1:8" ht="19.5">
      <c r="A354" s="1" t="s">
        <v>376</v>
      </c>
      <c r="B354" s="1" t="s">
        <v>42</v>
      </c>
      <c r="C354" s="1" t="s">
        <v>20</v>
      </c>
      <c r="D354" s="1">
        <v>131</v>
      </c>
      <c r="E354" s="2">
        <v>1.4466001543210645E-3</v>
      </c>
      <c r="F354" s="1">
        <v>68</v>
      </c>
      <c r="G354" s="1">
        <v>168</v>
      </c>
      <c r="H354" s="1">
        <v>34</v>
      </c>
    </row>
    <row r="355" spans="1:8" ht="19.5">
      <c r="A355" s="1" t="s">
        <v>377</v>
      </c>
      <c r="B355" s="1" t="s">
        <v>50</v>
      </c>
      <c r="C355" s="1" t="s">
        <v>13</v>
      </c>
      <c r="D355" s="1">
        <v>262</v>
      </c>
      <c r="E355" s="2">
        <v>1.7133549928059822E-3</v>
      </c>
      <c r="F355" s="1">
        <v>61</v>
      </c>
      <c r="G355" s="1">
        <v>110</v>
      </c>
      <c r="H355" s="1">
        <v>29</v>
      </c>
    </row>
    <row r="356" spans="1:8" ht="19.5">
      <c r="A356" s="1" t="s">
        <v>378</v>
      </c>
      <c r="B356" s="1" t="s">
        <v>37</v>
      </c>
      <c r="C356" s="1" t="s">
        <v>20</v>
      </c>
      <c r="D356" s="1">
        <v>92</v>
      </c>
      <c r="E356" s="2">
        <v>2.5553148510806872E-3</v>
      </c>
      <c r="F356" s="1">
        <v>79</v>
      </c>
      <c r="G356" s="1">
        <v>197</v>
      </c>
      <c r="H356" s="1">
        <v>26</v>
      </c>
    </row>
    <row r="357" spans="1:8" ht="19.5">
      <c r="A357" s="1" t="s">
        <v>379</v>
      </c>
      <c r="B357" s="1" t="s">
        <v>39</v>
      </c>
      <c r="C357" s="1" t="s">
        <v>16</v>
      </c>
      <c r="D357" s="1">
        <v>598</v>
      </c>
      <c r="E357" s="2">
        <v>1.2056736275955547E-3</v>
      </c>
      <c r="F357" s="1">
        <v>83</v>
      </c>
      <c r="G357" s="1">
        <v>146</v>
      </c>
      <c r="H357" s="1">
        <v>25</v>
      </c>
    </row>
    <row r="358" spans="1:8" ht="19.5">
      <c r="A358" s="1" t="s">
        <v>380</v>
      </c>
      <c r="B358" s="1" t="s">
        <v>39</v>
      </c>
      <c r="C358" s="1" t="s">
        <v>13</v>
      </c>
      <c r="D358" s="1">
        <v>438</v>
      </c>
      <c r="E358" s="2">
        <v>3.1565835153885358E-3</v>
      </c>
      <c r="F358" s="1">
        <v>47</v>
      </c>
      <c r="G358" s="1">
        <v>94</v>
      </c>
      <c r="H358" s="1">
        <v>44</v>
      </c>
    </row>
    <row r="359" spans="1:8" ht="19.5">
      <c r="A359" s="1" t="s">
        <v>381</v>
      </c>
      <c r="B359" s="1" t="s">
        <v>42</v>
      </c>
      <c r="C359" s="1" t="s">
        <v>13</v>
      </c>
      <c r="D359" s="1">
        <v>103</v>
      </c>
      <c r="E359" s="2">
        <v>1.1676669897209132E-3</v>
      </c>
      <c r="F359" s="1">
        <v>76</v>
      </c>
      <c r="G359" s="1">
        <v>164</v>
      </c>
      <c r="H359" s="1">
        <v>28</v>
      </c>
    </row>
    <row r="360" spans="1:8" ht="19.5">
      <c r="A360" s="1" t="s">
        <v>382</v>
      </c>
      <c r="B360" s="1" t="s">
        <v>301</v>
      </c>
      <c r="C360" s="1" t="s">
        <v>20</v>
      </c>
      <c r="D360" s="1">
        <v>100</v>
      </c>
      <c r="E360" s="2">
        <v>1.8828527604548785E-3</v>
      </c>
      <c r="F360" s="1">
        <v>49</v>
      </c>
      <c r="G360" s="1">
        <v>113</v>
      </c>
      <c r="H360" s="1">
        <v>35</v>
      </c>
    </row>
    <row r="361" spans="1:8" ht="19.5">
      <c r="A361" s="1" t="s">
        <v>383</v>
      </c>
      <c r="B361" s="1" t="s">
        <v>31</v>
      </c>
      <c r="C361" s="1" t="s">
        <v>13</v>
      </c>
      <c r="D361" s="1">
        <v>40</v>
      </c>
      <c r="E361" s="2">
        <v>7.4760124070403524E-4</v>
      </c>
      <c r="F361" s="1">
        <v>89</v>
      </c>
      <c r="G361" s="1">
        <v>170</v>
      </c>
      <c r="H361" s="1">
        <v>30</v>
      </c>
    </row>
    <row r="362" spans="1:8" ht="19.5">
      <c r="A362" s="1" t="s">
        <v>384</v>
      </c>
      <c r="B362" s="1" t="s">
        <v>37</v>
      </c>
      <c r="C362" s="1" t="s">
        <v>13</v>
      </c>
      <c r="D362" s="1">
        <v>62</v>
      </c>
      <c r="E362" s="2">
        <v>9.4919217394983063E-4</v>
      </c>
      <c r="F362" s="1">
        <v>49</v>
      </c>
      <c r="G362" s="1">
        <v>141</v>
      </c>
      <c r="H362" s="1">
        <v>24</v>
      </c>
    </row>
    <row r="363" spans="1:8" ht="19.5">
      <c r="A363" s="1" t="s">
        <v>385</v>
      </c>
      <c r="B363" s="1" t="s">
        <v>39</v>
      </c>
      <c r="C363" s="1" t="s">
        <v>20</v>
      </c>
      <c r="D363" s="1">
        <v>370</v>
      </c>
      <c r="E363" s="2">
        <v>1.178711330848125E-3</v>
      </c>
      <c r="F363" s="1">
        <v>81</v>
      </c>
      <c r="G363" s="1">
        <v>152</v>
      </c>
      <c r="H363" s="1">
        <v>18</v>
      </c>
    </row>
    <row r="364" spans="1:8" ht="19.5">
      <c r="A364" s="1" t="s">
        <v>386</v>
      </c>
      <c r="B364" s="1" t="s">
        <v>42</v>
      </c>
      <c r="C364" s="1" t="s">
        <v>20</v>
      </c>
      <c r="D364" s="1">
        <v>58</v>
      </c>
      <c r="E364" s="2">
        <v>1.9209084415026329E-3</v>
      </c>
      <c r="F364" s="1">
        <v>112</v>
      </c>
      <c r="G364" s="1">
        <v>193</v>
      </c>
      <c r="H364" s="1">
        <v>34</v>
      </c>
    </row>
    <row r="365" spans="1:8" ht="19.5">
      <c r="A365" s="1" t="s">
        <v>387</v>
      </c>
      <c r="B365" s="1" t="s">
        <v>34</v>
      </c>
      <c r="C365" s="1" t="s">
        <v>13</v>
      </c>
      <c r="D365" s="1">
        <v>188</v>
      </c>
      <c r="E365" s="2">
        <v>3.5098568623427961E-3</v>
      </c>
      <c r="F365" s="1">
        <v>53</v>
      </c>
      <c r="G365" s="1">
        <v>131</v>
      </c>
      <c r="H365" s="1">
        <v>20</v>
      </c>
    </row>
    <row r="366" spans="1:8" ht="19.5">
      <c r="A366" s="1" t="s">
        <v>388</v>
      </c>
      <c r="B366" s="1" t="s">
        <v>50</v>
      </c>
      <c r="C366" s="1" t="s">
        <v>13</v>
      </c>
      <c r="D366" s="1">
        <v>322</v>
      </c>
      <c r="E366" s="2">
        <v>1.0344733382422944E-3</v>
      </c>
      <c r="F366" s="1">
        <v>94</v>
      </c>
      <c r="G366" s="1">
        <v>163</v>
      </c>
      <c r="H366" s="1">
        <v>24</v>
      </c>
    </row>
    <row r="367" spans="1:8" ht="19.5">
      <c r="A367" s="1" t="s">
        <v>389</v>
      </c>
      <c r="B367" s="1" t="s">
        <v>39</v>
      </c>
      <c r="C367" s="1" t="s">
        <v>20</v>
      </c>
      <c r="D367" s="1">
        <v>420</v>
      </c>
      <c r="E367" s="2">
        <v>4.3014904886000266E-3</v>
      </c>
      <c r="F367" s="1">
        <v>25</v>
      </c>
      <c r="G367" s="1">
        <v>126</v>
      </c>
      <c r="H367" s="1">
        <v>41</v>
      </c>
    </row>
    <row r="368" spans="1:8" ht="19.5">
      <c r="A368" s="1" t="s">
        <v>390</v>
      </c>
      <c r="B368" s="1" t="s">
        <v>42</v>
      </c>
      <c r="C368" s="1" t="s">
        <v>13</v>
      </c>
      <c r="D368" s="1">
        <v>79</v>
      </c>
      <c r="E368" s="2">
        <v>6.5832418461601741E-4</v>
      </c>
      <c r="F368" s="1">
        <v>101</v>
      </c>
      <c r="G368" s="1">
        <v>181</v>
      </c>
      <c r="H368" s="1">
        <v>26</v>
      </c>
    </row>
    <row r="369" spans="1:8" ht="19.5">
      <c r="A369" s="1" t="s">
        <v>391</v>
      </c>
      <c r="B369" s="1" t="s">
        <v>42</v>
      </c>
      <c r="C369" s="1" t="s">
        <v>20</v>
      </c>
      <c r="D369" s="1">
        <v>117</v>
      </c>
      <c r="E369" s="2">
        <v>2.3623244039936934E-3</v>
      </c>
      <c r="F369" s="1">
        <v>45</v>
      </c>
      <c r="G369" s="1">
        <v>99</v>
      </c>
      <c r="H369" s="1">
        <v>53</v>
      </c>
    </row>
    <row r="370" spans="1:8" ht="19.5">
      <c r="A370" s="1" t="s">
        <v>392</v>
      </c>
      <c r="B370" s="1" t="s">
        <v>301</v>
      </c>
      <c r="C370" s="1" t="s">
        <v>13</v>
      </c>
      <c r="D370" s="1">
        <v>76</v>
      </c>
      <c r="E370" s="2">
        <v>3.5361966837615483E-4</v>
      </c>
      <c r="F370" s="1">
        <v>45</v>
      </c>
      <c r="G370" s="1">
        <v>150</v>
      </c>
      <c r="H370" s="1">
        <v>35</v>
      </c>
    </row>
    <row r="371" spans="1:8" ht="19.5">
      <c r="A371" s="1" t="s">
        <v>393</v>
      </c>
      <c r="B371" s="1" t="s">
        <v>31</v>
      </c>
      <c r="C371" s="1" t="s">
        <v>13</v>
      </c>
      <c r="D371" s="1">
        <v>42</v>
      </c>
      <c r="E371" s="2">
        <v>3.4172823831332779E-3</v>
      </c>
      <c r="F371" s="1">
        <v>102</v>
      </c>
      <c r="G371" s="1">
        <v>245</v>
      </c>
      <c r="H371" s="1">
        <v>5</v>
      </c>
    </row>
    <row r="372" spans="1:8" ht="19.5">
      <c r="A372" s="1" t="s">
        <v>394</v>
      </c>
      <c r="B372" s="1" t="s">
        <v>50</v>
      </c>
      <c r="C372" s="1" t="s">
        <v>20</v>
      </c>
      <c r="D372" s="1">
        <v>294</v>
      </c>
      <c r="E372" s="2">
        <v>5.0450977828482568E-4</v>
      </c>
      <c r="F372" s="1">
        <v>93</v>
      </c>
      <c r="G372" s="1">
        <v>156</v>
      </c>
      <c r="H372" s="1">
        <v>23</v>
      </c>
    </row>
    <row r="373" spans="1:8" ht="19.5">
      <c r="A373" s="1" t="s">
        <v>395</v>
      </c>
      <c r="B373" s="1" t="s">
        <v>39</v>
      </c>
      <c r="C373" s="1" t="s">
        <v>13</v>
      </c>
      <c r="D373" s="1">
        <v>403</v>
      </c>
      <c r="E373" s="2">
        <v>1.0490183493181279E-3</v>
      </c>
      <c r="F373" s="1">
        <v>65</v>
      </c>
      <c r="G373" s="1">
        <v>166</v>
      </c>
      <c r="H373" s="1">
        <v>21</v>
      </c>
    </row>
    <row r="374" spans="1:8" ht="19.5">
      <c r="A374" s="1" t="s">
        <v>396</v>
      </c>
      <c r="B374" s="1" t="s">
        <v>39</v>
      </c>
      <c r="C374" s="1" t="s">
        <v>20</v>
      </c>
      <c r="D374" s="1">
        <v>440</v>
      </c>
      <c r="E374" s="2">
        <v>1.1408915706667862E-3</v>
      </c>
      <c r="F374" s="1">
        <v>107</v>
      </c>
      <c r="G374" s="1">
        <v>186</v>
      </c>
      <c r="H374" s="1">
        <v>27</v>
      </c>
    </row>
    <row r="375" spans="1:8" ht="19.5">
      <c r="A375" s="1" t="s">
        <v>397</v>
      </c>
      <c r="B375" s="1" t="s">
        <v>301</v>
      </c>
      <c r="C375" s="1" t="s">
        <v>13</v>
      </c>
      <c r="D375" s="1">
        <v>99</v>
      </c>
      <c r="E375" s="2">
        <v>2.4576076790735124E-3</v>
      </c>
      <c r="F375" s="1">
        <v>104</v>
      </c>
      <c r="G375" s="1">
        <v>142</v>
      </c>
      <c r="H375" s="1">
        <v>44</v>
      </c>
    </row>
    <row r="376" spans="1:8" ht="19.5">
      <c r="A376" s="1" t="s">
        <v>398</v>
      </c>
      <c r="B376" s="1" t="s">
        <v>37</v>
      </c>
      <c r="C376" s="1" t="s">
        <v>13</v>
      </c>
      <c r="D376" s="1">
        <v>139</v>
      </c>
      <c r="E376" s="2">
        <v>1.364345053434598E-3</v>
      </c>
      <c r="F376" s="1">
        <v>37</v>
      </c>
      <c r="G376" s="1">
        <v>125</v>
      </c>
      <c r="H376" s="1">
        <v>28</v>
      </c>
    </row>
    <row r="377" spans="1:8" ht="19.5">
      <c r="A377" s="1" t="s">
        <v>399</v>
      </c>
      <c r="B377" s="1" t="s">
        <v>39</v>
      </c>
      <c r="C377" s="1" t="s">
        <v>13</v>
      </c>
      <c r="D377" s="1">
        <v>591</v>
      </c>
      <c r="E377" s="2">
        <v>2.2129294682610616E-3</v>
      </c>
      <c r="F377" s="1">
        <v>48</v>
      </c>
      <c r="G377" s="1">
        <v>97</v>
      </c>
      <c r="H377" s="1">
        <v>34</v>
      </c>
    </row>
    <row r="378" spans="1:8" ht="19.5">
      <c r="A378" s="1" t="s">
        <v>400</v>
      </c>
      <c r="B378" s="1" t="s">
        <v>39</v>
      </c>
      <c r="C378" s="1" t="s">
        <v>13</v>
      </c>
      <c r="D378" s="1">
        <v>400</v>
      </c>
      <c r="E378" s="2">
        <v>7.5032292628956858E-4</v>
      </c>
      <c r="F378" s="1">
        <v>83</v>
      </c>
      <c r="G378" s="1">
        <v>180</v>
      </c>
      <c r="H378" s="1">
        <v>11</v>
      </c>
    </row>
    <row r="379" spans="1:8" ht="19.5">
      <c r="A379" s="1" t="s">
        <v>401</v>
      </c>
      <c r="B379" s="1" t="s">
        <v>42</v>
      </c>
      <c r="C379" s="1" t="s">
        <v>13</v>
      </c>
      <c r="D379" s="1">
        <v>107</v>
      </c>
      <c r="E379" s="2">
        <v>9.1452848364951243E-4</v>
      </c>
      <c r="F379" s="1">
        <v>132</v>
      </c>
      <c r="G379" s="1">
        <v>212</v>
      </c>
      <c r="H379" s="1">
        <v>22</v>
      </c>
    </row>
    <row r="380" spans="1:8" ht="19.5">
      <c r="A380" s="1" t="s">
        <v>402</v>
      </c>
      <c r="B380" s="1" t="s">
        <v>42</v>
      </c>
      <c r="C380" s="1" t="s">
        <v>13</v>
      </c>
      <c r="D380" s="1">
        <v>143</v>
      </c>
      <c r="E380" s="2">
        <v>2.7867945591535199E-3</v>
      </c>
      <c r="F380" s="1">
        <v>60</v>
      </c>
      <c r="G380" s="1">
        <v>164</v>
      </c>
      <c r="H380" s="1">
        <v>29</v>
      </c>
    </row>
    <row r="381" spans="1:8" ht="19.5">
      <c r="A381" s="1" t="s">
        <v>403</v>
      </c>
      <c r="B381" s="1" t="s">
        <v>301</v>
      </c>
      <c r="C381" s="1" t="s">
        <v>13</v>
      </c>
      <c r="D381" s="1">
        <v>84</v>
      </c>
      <c r="E381" s="2">
        <v>2.7256218319409828E-3</v>
      </c>
      <c r="F381" s="1">
        <v>93</v>
      </c>
      <c r="G381" s="1">
        <v>166</v>
      </c>
      <c r="H381" s="1">
        <v>31</v>
      </c>
    </row>
    <row r="382" spans="1:8" ht="19.5">
      <c r="A382" s="1" t="s">
        <v>404</v>
      </c>
      <c r="B382" s="1" t="s">
        <v>50</v>
      </c>
      <c r="C382" s="1" t="s">
        <v>20</v>
      </c>
      <c r="D382" s="1">
        <v>266</v>
      </c>
      <c r="E382" s="2">
        <v>8.0038092415786488E-4</v>
      </c>
      <c r="F382" s="1">
        <v>105</v>
      </c>
      <c r="G382" s="1">
        <v>159</v>
      </c>
      <c r="H382" s="1">
        <v>25</v>
      </c>
    </row>
    <row r="383" spans="1:8" ht="19.5">
      <c r="A383" s="1" t="s">
        <v>405</v>
      </c>
      <c r="B383" s="1" t="s">
        <v>37</v>
      </c>
      <c r="C383" s="1" t="s">
        <v>13</v>
      </c>
      <c r="D383" s="1">
        <v>102</v>
      </c>
      <c r="E383" s="2">
        <v>1.3663664453849498E-3</v>
      </c>
      <c r="F383" s="1">
        <v>71</v>
      </c>
      <c r="G383" s="1">
        <v>134</v>
      </c>
      <c r="H383" s="1">
        <v>46</v>
      </c>
    </row>
    <row r="384" spans="1:8" ht="19.5">
      <c r="A384" s="1" t="s">
        <v>406</v>
      </c>
      <c r="B384" s="1" t="s">
        <v>39</v>
      </c>
      <c r="C384" s="1" t="s">
        <v>20</v>
      </c>
      <c r="D384" s="1">
        <v>486</v>
      </c>
      <c r="E384" s="2">
        <v>8.441008478131171E-4</v>
      </c>
      <c r="F384" s="1">
        <v>91</v>
      </c>
      <c r="G384" s="1">
        <v>171</v>
      </c>
      <c r="H384" s="1">
        <v>27</v>
      </c>
    </row>
    <row r="385" spans="1:8" ht="19.5">
      <c r="A385" s="1" t="s">
        <v>407</v>
      </c>
      <c r="B385" s="1" t="s">
        <v>39</v>
      </c>
      <c r="C385" s="1" t="s">
        <v>13</v>
      </c>
      <c r="D385" s="1">
        <v>644</v>
      </c>
      <c r="E385" s="2">
        <v>1.5040704162111041E-6</v>
      </c>
      <c r="F385" s="1">
        <v>53</v>
      </c>
      <c r="G385" s="1">
        <v>156</v>
      </c>
      <c r="H385" s="1">
        <v>36</v>
      </c>
    </row>
    <row r="386" spans="1:8" ht="19.5">
      <c r="A386" s="1" t="s">
        <v>408</v>
      </c>
      <c r="B386" s="1" t="s">
        <v>42</v>
      </c>
      <c r="C386" s="1" t="s">
        <v>13</v>
      </c>
      <c r="D386" s="1">
        <v>86</v>
      </c>
      <c r="E386" s="2">
        <v>7.8773821771288533E-4</v>
      </c>
      <c r="F386" s="1">
        <v>66</v>
      </c>
      <c r="G386" s="1">
        <v>127</v>
      </c>
      <c r="H386" s="1">
        <v>36</v>
      </c>
    </row>
    <row r="387" spans="1:8" ht="19.5">
      <c r="A387" s="1" t="s">
        <v>409</v>
      </c>
      <c r="B387" s="1" t="s">
        <v>301</v>
      </c>
      <c r="C387" s="1" t="s">
        <v>13</v>
      </c>
      <c r="D387" s="1">
        <v>117</v>
      </c>
      <c r="E387" s="2">
        <v>3.7896251863727678E-4</v>
      </c>
      <c r="F387" s="1">
        <v>78</v>
      </c>
      <c r="G387" s="1">
        <v>231</v>
      </c>
      <c r="H387" s="1">
        <v>12</v>
      </c>
    </row>
    <row r="388" spans="1:8" ht="19.5">
      <c r="A388" s="1" t="s">
        <v>410</v>
      </c>
      <c r="B388" s="1" t="s">
        <v>31</v>
      </c>
      <c r="C388" s="1" t="s">
        <v>13</v>
      </c>
      <c r="D388" s="1">
        <v>52</v>
      </c>
      <c r="E388" s="2">
        <v>1.7593402879669722E-3</v>
      </c>
      <c r="F388" s="1">
        <v>82</v>
      </c>
      <c r="G388" s="1">
        <v>154</v>
      </c>
      <c r="H388" s="1">
        <v>33</v>
      </c>
    </row>
    <row r="389" spans="1:8" ht="19.5">
      <c r="A389" s="1" t="s">
        <v>411</v>
      </c>
      <c r="B389" s="1" t="s">
        <v>34</v>
      </c>
      <c r="C389" s="1" t="s">
        <v>13</v>
      </c>
      <c r="D389" s="1">
        <v>216</v>
      </c>
      <c r="E389" s="2">
        <v>1.5600780015197564E-3</v>
      </c>
      <c r="F389" s="1">
        <v>72</v>
      </c>
      <c r="G389" s="1">
        <v>170</v>
      </c>
      <c r="H389" s="1">
        <v>29</v>
      </c>
    </row>
    <row r="390" spans="1:8" ht="19.5">
      <c r="A390" s="1" t="s">
        <v>412</v>
      </c>
      <c r="B390" s="1" t="s">
        <v>50</v>
      </c>
      <c r="C390" s="1" t="s">
        <v>20</v>
      </c>
      <c r="D390" s="1">
        <v>265</v>
      </c>
      <c r="E390" s="2">
        <v>4.5769892181829223E-3</v>
      </c>
      <c r="F390" s="1">
        <v>82</v>
      </c>
      <c r="G390" s="1">
        <v>128</v>
      </c>
      <c r="H390" s="1">
        <v>24</v>
      </c>
    </row>
    <row r="391" spans="1:8" ht="19.5">
      <c r="A391" s="1" t="s">
        <v>413</v>
      </c>
      <c r="B391" s="1" t="s">
        <v>39</v>
      </c>
      <c r="C391" s="1" t="s">
        <v>13</v>
      </c>
      <c r="D391" s="1">
        <v>608</v>
      </c>
      <c r="E391" s="2">
        <v>1.3512162074714377E-3</v>
      </c>
      <c r="F391" s="1">
        <v>94</v>
      </c>
      <c r="G391" s="1">
        <v>187</v>
      </c>
      <c r="H391" s="1">
        <v>17</v>
      </c>
    </row>
    <row r="392" spans="1:8" ht="19.5">
      <c r="A392" s="1" t="s">
        <v>414</v>
      </c>
      <c r="B392" s="1" t="s">
        <v>42</v>
      </c>
      <c r="C392" s="1" t="s">
        <v>13</v>
      </c>
      <c r="D392" s="1">
        <v>122</v>
      </c>
      <c r="E392" s="2">
        <v>2.0045140528866101E-4</v>
      </c>
      <c r="F392" s="1">
        <v>79</v>
      </c>
      <c r="G392" s="1">
        <v>142</v>
      </c>
      <c r="H392" s="1">
        <v>18</v>
      </c>
    </row>
    <row r="393" spans="1:8" ht="19.5">
      <c r="A393" s="1" t="s">
        <v>415</v>
      </c>
      <c r="B393" s="1" t="s">
        <v>42</v>
      </c>
      <c r="C393" s="1" t="s">
        <v>13</v>
      </c>
      <c r="D393" s="1">
        <v>136</v>
      </c>
      <c r="E393" s="2">
        <v>1.5172864742822904E-3</v>
      </c>
      <c r="F393" s="1">
        <v>53</v>
      </c>
      <c r="G393" s="1">
        <v>158</v>
      </c>
      <c r="H393" s="1">
        <v>37</v>
      </c>
    </row>
    <row r="394" spans="1:8" ht="19.5">
      <c r="A394" s="1" t="s">
        <v>416</v>
      </c>
      <c r="B394" s="1" t="s">
        <v>301</v>
      </c>
      <c r="C394" s="1" t="s">
        <v>13</v>
      </c>
      <c r="D394" s="1">
        <v>118</v>
      </c>
      <c r="E394" s="2">
        <v>5.7392662011016612E-4</v>
      </c>
      <c r="F394" s="1">
        <v>47</v>
      </c>
      <c r="G394" s="1">
        <v>174</v>
      </c>
      <c r="H394" s="1">
        <v>32</v>
      </c>
    </row>
    <row r="395" spans="1:8" ht="19.5">
      <c r="A395" s="1" t="s">
        <v>417</v>
      </c>
      <c r="B395" s="1" t="s">
        <v>37</v>
      </c>
      <c r="C395" s="1" t="s">
        <v>13</v>
      </c>
      <c r="D395" s="1">
        <v>76</v>
      </c>
      <c r="E395" s="2">
        <v>1.9366485536107321E-3</v>
      </c>
      <c r="F395" s="1">
        <v>50</v>
      </c>
      <c r="G395" s="1">
        <v>136</v>
      </c>
      <c r="H395" s="1">
        <v>36</v>
      </c>
    </row>
    <row r="396" spans="1:8" ht="19.5">
      <c r="A396" s="1" t="s">
        <v>418</v>
      </c>
      <c r="B396" s="1" t="s">
        <v>31</v>
      </c>
      <c r="C396" s="1" t="s">
        <v>13</v>
      </c>
      <c r="D396" s="1">
        <v>58</v>
      </c>
      <c r="E396" s="2">
        <v>2.8451240220922274E-3</v>
      </c>
      <c r="F396" s="1">
        <v>95</v>
      </c>
      <c r="G396" s="1">
        <v>131</v>
      </c>
      <c r="H396" s="1">
        <v>31</v>
      </c>
    </row>
    <row r="397" spans="1:8" ht="19.5">
      <c r="A397" s="1" t="s">
        <v>419</v>
      </c>
      <c r="B397" s="1" t="s">
        <v>34</v>
      </c>
      <c r="C397" s="1" t="s">
        <v>20</v>
      </c>
      <c r="D397" s="1">
        <v>167</v>
      </c>
      <c r="E397" s="2">
        <v>2.9878169044149669E-3</v>
      </c>
      <c r="F397" s="1">
        <v>82</v>
      </c>
      <c r="G397" s="1">
        <v>184</v>
      </c>
      <c r="H397" s="1">
        <v>35</v>
      </c>
    </row>
    <row r="398" spans="1:8" ht="19.5">
      <c r="A398" s="1" t="s">
        <v>420</v>
      </c>
      <c r="B398" s="1" t="s">
        <v>37</v>
      </c>
      <c r="C398" s="1" t="s">
        <v>13</v>
      </c>
      <c r="D398" s="1">
        <v>118</v>
      </c>
      <c r="E398" s="2">
        <v>1.0371880030629517E-3</v>
      </c>
      <c r="F398" s="1">
        <v>59</v>
      </c>
      <c r="G398" s="1">
        <v>127</v>
      </c>
      <c r="H398" s="1">
        <v>23</v>
      </c>
    </row>
    <row r="399" spans="1:8" ht="19.5">
      <c r="A399" s="1" t="s">
        <v>421</v>
      </c>
      <c r="B399" s="1" t="s">
        <v>39</v>
      </c>
      <c r="C399" s="1" t="s">
        <v>13</v>
      </c>
      <c r="D399" s="1">
        <v>406</v>
      </c>
      <c r="E399" s="2">
        <v>8.4163114564572933E-4</v>
      </c>
      <c r="F399" s="1">
        <v>86</v>
      </c>
      <c r="G399" s="1">
        <v>193</v>
      </c>
      <c r="H399" s="1">
        <v>14</v>
      </c>
    </row>
    <row r="400" spans="1:8" ht="19.5">
      <c r="A400" s="1" t="s">
        <v>422</v>
      </c>
      <c r="B400" s="1" t="s">
        <v>39</v>
      </c>
      <c r="C400" s="1" t="s">
        <v>13</v>
      </c>
      <c r="D400" s="1">
        <v>408</v>
      </c>
      <c r="E400" s="2">
        <v>2.2223082751876852E-3</v>
      </c>
      <c r="F400" s="1">
        <v>90</v>
      </c>
      <c r="G400" s="1">
        <v>146</v>
      </c>
      <c r="H400" s="1">
        <v>30</v>
      </c>
    </row>
    <row r="401" spans="1:8" ht="19.5">
      <c r="A401" s="1" t="s">
        <v>423</v>
      </c>
      <c r="B401" s="1" t="s">
        <v>42</v>
      </c>
      <c r="C401" s="1" t="s">
        <v>20</v>
      </c>
      <c r="D401" s="1">
        <v>95</v>
      </c>
      <c r="E401" s="2">
        <v>1.6758914147299972E-3</v>
      </c>
      <c r="F401" s="1">
        <v>59</v>
      </c>
      <c r="G401" s="1">
        <v>108</v>
      </c>
      <c r="H401" s="1">
        <v>43</v>
      </c>
    </row>
    <row r="402" spans="1:8" ht="19.5">
      <c r="A402" s="1" t="s">
        <v>424</v>
      </c>
      <c r="B402" s="1"/>
      <c r="C402" s="1" t="s">
        <v>13</v>
      </c>
      <c r="D402" s="1">
        <v>89</v>
      </c>
      <c r="E402" s="2">
        <v>2.2289394978461095E-3</v>
      </c>
      <c r="F402" s="1">
        <v>66</v>
      </c>
      <c r="G402" s="1">
        <v>126</v>
      </c>
      <c r="H402" s="1">
        <v>39</v>
      </c>
    </row>
    <row r="403" spans="1:8" ht="19.5">
      <c r="A403" s="1" t="s">
        <v>425</v>
      </c>
      <c r="B403" s="1" t="s">
        <v>301</v>
      </c>
      <c r="C403" s="1" t="s">
        <v>32</v>
      </c>
      <c r="D403" s="1">
        <v>94</v>
      </c>
      <c r="E403" s="2">
        <v>1.7467039445429548E-3</v>
      </c>
      <c r="F403" s="1">
        <v>38</v>
      </c>
      <c r="G403" s="1">
        <v>143</v>
      </c>
      <c r="H403" s="1">
        <v>16</v>
      </c>
    </row>
    <row r="404" spans="1:8" ht="19.5">
      <c r="A404" s="1" t="s">
        <v>426</v>
      </c>
      <c r="B404" s="1" t="s">
        <v>50</v>
      </c>
      <c r="C404" s="1" t="s">
        <v>13</v>
      </c>
      <c r="D404" s="1">
        <v>360</v>
      </c>
      <c r="E404" s="2">
        <v>1.6997121108903279E-3</v>
      </c>
      <c r="F404" s="1">
        <v>75</v>
      </c>
      <c r="G404" s="1">
        <v>139</v>
      </c>
      <c r="H404" s="1">
        <v>34</v>
      </c>
    </row>
    <row r="405" spans="1:8" ht="19.5">
      <c r="A405" s="1" t="s">
        <v>427</v>
      </c>
      <c r="B405" s="1" t="s">
        <v>37</v>
      </c>
      <c r="C405" s="1" t="s">
        <v>20</v>
      </c>
      <c r="D405" s="1">
        <v>75</v>
      </c>
      <c r="E405" s="2">
        <v>7.4420717741803316E-4</v>
      </c>
      <c r="F405" s="1">
        <v>76</v>
      </c>
      <c r="G405" s="1">
        <v>132</v>
      </c>
      <c r="H405" s="1">
        <v>16</v>
      </c>
    </row>
    <row r="406" spans="1:8" ht="19.5">
      <c r="A406" s="1" t="s">
        <v>428</v>
      </c>
      <c r="B406" s="1" t="s">
        <v>39</v>
      </c>
      <c r="C406" s="1" t="s">
        <v>13</v>
      </c>
      <c r="D406" s="1">
        <v>525</v>
      </c>
      <c r="E406" s="2">
        <v>1.6453190302720502E-3</v>
      </c>
      <c r="F406" s="1">
        <v>93</v>
      </c>
      <c r="G406" s="1">
        <v>170</v>
      </c>
      <c r="H406" s="1">
        <v>27</v>
      </c>
    </row>
    <row r="407" spans="1:8" ht="19.5">
      <c r="A407" s="1" t="s">
        <v>429</v>
      </c>
      <c r="B407" s="1" t="s">
        <v>39</v>
      </c>
      <c r="C407" s="1" t="s">
        <v>13</v>
      </c>
      <c r="D407" s="1">
        <v>435</v>
      </c>
      <c r="E407" s="2">
        <v>1.2330011428138235E-3</v>
      </c>
      <c r="F407" s="1">
        <v>81</v>
      </c>
      <c r="G407" s="1">
        <v>172</v>
      </c>
      <c r="H407" s="1">
        <v>37</v>
      </c>
    </row>
    <row r="408" spans="1:8" ht="19.5">
      <c r="A408" s="1" t="s">
        <v>430</v>
      </c>
      <c r="B408" s="1" t="s">
        <v>301</v>
      </c>
      <c r="C408" s="1" t="s">
        <v>13</v>
      </c>
      <c r="D408" s="1">
        <v>85</v>
      </c>
      <c r="E408" s="2">
        <v>1.1297116562729271E-3</v>
      </c>
      <c r="F408" s="1">
        <v>71</v>
      </c>
      <c r="G408" s="1">
        <v>142</v>
      </c>
      <c r="H408" s="1">
        <v>21</v>
      </c>
    </row>
    <row r="409" spans="1:8" ht="19.5">
      <c r="A409" s="1" t="s">
        <v>431</v>
      </c>
      <c r="B409" s="1" t="s">
        <v>50</v>
      </c>
      <c r="C409" s="1" t="s">
        <v>20</v>
      </c>
      <c r="D409" s="1">
        <v>445</v>
      </c>
      <c r="E409" s="2">
        <v>1.5448430437995774E-3</v>
      </c>
      <c r="F409" s="1">
        <v>70</v>
      </c>
      <c r="G409" s="1">
        <v>116</v>
      </c>
      <c r="H409" s="1">
        <v>29</v>
      </c>
    </row>
    <row r="410" spans="1:8" ht="19.5">
      <c r="A410" s="1" t="s">
        <v>432</v>
      </c>
      <c r="B410" s="1" t="s">
        <v>37</v>
      </c>
      <c r="C410" s="1" t="s">
        <v>13</v>
      </c>
      <c r="D410" s="1">
        <v>114</v>
      </c>
      <c r="E410" s="2">
        <v>1.8104583050983728E-3</v>
      </c>
      <c r="F410" s="1">
        <v>68</v>
      </c>
      <c r="G410" s="1">
        <v>122</v>
      </c>
      <c r="H410" s="1">
        <v>34</v>
      </c>
    </row>
    <row r="411" spans="1:8" ht="19.5">
      <c r="A411" s="1" t="s">
        <v>433</v>
      </c>
      <c r="B411" s="1" t="s">
        <v>39</v>
      </c>
      <c r="C411" s="1" t="s">
        <v>20</v>
      </c>
      <c r="D411" s="1">
        <v>378</v>
      </c>
      <c r="E411" s="2">
        <v>2.6494252838710061E-3</v>
      </c>
      <c r="F411" s="1">
        <v>66</v>
      </c>
      <c r="G411" s="1">
        <v>152</v>
      </c>
      <c r="H411" s="1">
        <v>28</v>
      </c>
    </row>
    <row r="412" spans="1:8" ht="19.5">
      <c r="A412" s="1" t="s">
        <v>434</v>
      </c>
      <c r="B412" s="1" t="s">
        <v>42</v>
      </c>
      <c r="C412" s="1" t="s">
        <v>13</v>
      </c>
      <c r="D412" s="1">
        <v>112</v>
      </c>
      <c r="E412" s="2">
        <v>2.0375283062955551E-3</v>
      </c>
      <c r="F412" s="1">
        <v>83</v>
      </c>
      <c r="G412" s="1">
        <v>168</v>
      </c>
      <c r="H412" s="1">
        <v>24</v>
      </c>
    </row>
    <row r="413" spans="1:8" ht="19.5">
      <c r="A413" s="1" t="s">
        <v>435</v>
      </c>
      <c r="B413" s="1" t="s">
        <v>301</v>
      </c>
      <c r="C413" s="1" t="s">
        <v>13</v>
      </c>
      <c r="D413" s="1">
        <v>83</v>
      </c>
      <c r="E413" s="2">
        <v>1.0413940648475442E-3</v>
      </c>
      <c r="F413" s="1">
        <v>59</v>
      </c>
      <c r="G413" s="1">
        <v>0</v>
      </c>
      <c r="H413" s="1">
        <v>20</v>
      </c>
    </row>
    <row r="414" spans="1:8" ht="19.5">
      <c r="A414" s="1" t="s">
        <v>436</v>
      </c>
      <c r="B414" s="1" t="s">
        <v>50</v>
      </c>
      <c r="C414" s="1" t="s">
        <v>13</v>
      </c>
      <c r="D414" s="1">
        <v>323</v>
      </c>
      <c r="E414" s="2">
        <v>7.9769503253432925E-4</v>
      </c>
      <c r="F414" s="1">
        <v>102</v>
      </c>
      <c r="G414" s="1">
        <v>190</v>
      </c>
      <c r="H414" s="1">
        <v>17</v>
      </c>
    </row>
    <row r="415" spans="1:8" ht="19.5">
      <c r="A415" s="1" t="s">
        <v>437</v>
      </c>
      <c r="B415" s="1" t="s">
        <v>39</v>
      </c>
      <c r="C415" s="1" t="s">
        <v>13</v>
      </c>
      <c r="D415" s="1">
        <v>480</v>
      </c>
      <c r="E415" s="2">
        <v>1.4620791265190648E-3</v>
      </c>
      <c r="F415" s="1">
        <v>104</v>
      </c>
      <c r="G415" s="1">
        <v>196</v>
      </c>
      <c r="H415" s="1">
        <v>28</v>
      </c>
    </row>
    <row r="416" spans="1:8" ht="19.5">
      <c r="A416" s="1" t="s">
        <v>438</v>
      </c>
      <c r="B416" s="1" t="s">
        <v>39</v>
      </c>
      <c r="C416" s="1" t="s">
        <v>13</v>
      </c>
      <c r="D416" s="1">
        <v>647</v>
      </c>
      <c r="E416" s="2">
        <v>4.3520774532817522E-4</v>
      </c>
      <c r="F416" s="1">
        <v>88</v>
      </c>
      <c r="G416" s="1">
        <v>169</v>
      </c>
      <c r="H416" s="1">
        <v>20</v>
      </c>
    </row>
    <row r="417" spans="1:8" ht="19.5">
      <c r="A417" s="1" t="s">
        <v>439</v>
      </c>
      <c r="B417" s="1" t="s">
        <v>42</v>
      </c>
      <c r="C417" s="1" t="s">
        <v>13</v>
      </c>
      <c r="D417" s="1">
        <v>96</v>
      </c>
      <c r="E417" s="2">
        <v>1.33787639415248E-3</v>
      </c>
      <c r="F417" s="1">
        <v>50</v>
      </c>
      <c r="G417" s="1">
        <v>139</v>
      </c>
      <c r="H417" s="1">
        <v>38</v>
      </c>
    </row>
    <row r="418" spans="1:8" ht="19.5">
      <c r="A418" s="1" t="s">
        <v>440</v>
      </c>
      <c r="B418" s="1" t="s">
        <v>301</v>
      </c>
      <c r="C418" s="1" t="s">
        <v>13</v>
      </c>
      <c r="D418" s="1"/>
      <c r="E418" s="2">
        <v>8.8712029306550961E-4</v>
      </c>
      <c r="F418" s="1">
        <v>79</v>
      </c>
      <c r="G418" s="1">
        <v>189</v>
      </c>
      <c r="H418" s="1">
        <v>18</v>
      </c>
    </row>
    <row r="419" spans="1:8" ht="19.5">
      <c r="A419" s="1" t="s">
        <v>441</v>
      </c>
      <c r="B419" s="1" t="s">
        <v>34</v>
      </c>
      <c r="C419" s="1" t="s">
        <v>13</v>
      </c>
      <c r="D419" s="1">
        <v>245</v>
      </c>
      <c r="E419" s="2">
        <v>1.5372152911969432E-4</v>
      </c>
      <c r="F419" s="1">
        <v>101</v>
      </c>
      <c r="G419" s="1">
        <v>154</v>
      </c>
      <c r="H419" s="1">
        <v>22</v>
      </c>
    </row>
    <row r="420" spans="1:8" ht="19.5">
      <c r="A420" s="1" t="s">
        <v>442</v>
      </c>
      <c r="B420" s="1" t="s">
        <v>37</v>
      </c>
      <c r="C420" s="1" t="s">
        <v>20</v>
      </c>
      <c r="D420" s="1">
        <v>147</v>
      </c>
      <c r="E420" s="2">
        <v>1.6557376276132246E-3</v>
      </c>
      <c r="F420" s="1">
        <v>110</v>
      </c>
      <c r="G420" s="1">
        <v>211</v>
      </c>
      <c r="H420" s="1">
        <v>21</v>
      </c>
    </row>
    <row r="421" spans="1:8" ht="19.5">
      <c r="A421" s="1" t="s">
        <v>443</v>
      </c>
      <c r="B421" s="1" t="s">
        <v>39</v>
      </c>
      <c r="C421" s="1" t="s">
        <v>20</v>
      </c>
      <c r="D421" s="1">
        <v>485</v>
      </c>
      <c r="E421" s="2">
        <v>5.1743853124063661E-4</v>
      </c>
      <c r="F421" s="1">
        <v>45</v>
      </c>
      <c r="G421" s="1">
        <v>168</v>
      </c>
      <c r="H421" s="1">
        <v>25</v>
      </c>
    </row>
    <row r="422" spans="1:8" ht="19.5">
      <c r="A422" s="1" t="s">
        <v>444</v>
      </c>
      <c r="B422" s="1" t="s">
        <v>39</v>
      </c>
      <c r="C422" s="1" t="s">
        <v>13</v>
      </c>
      <c r="D422" s="1">
        <v>554</v>
      </c>
      <c r="E422" s="2">
        <v>2.057800133678029E-3</v>
      </c>
      <c r="F422" s="1">
        <v>42</v>
      </c>
      <c r="G422" s="1">
        <v>103</v>
      </c>
      <c r="H422" s="1">
        <v>31</v>
      </c>
    </row>
    <row r="423" spans="1:8" ht="19.5">
      <c r="A423" s="1" t="s">
        <v>445</v>
      </c>
      <c r="B423" s="1" t="s">
        <v>42</v>
      </c>
      <c r="C423" s="1" t="s">
        <v>20</v>
      </c>
      <c r="D423" s="1">
        <v>92</v>
      </c>
      <c r="E423" s="2">
        <v>1.3986906220521955E-3</v>
      </c>
      <c r="F423" s="1">
        <v>74</v>
      </c>
      <c r="G423" s="1">
        <v>197</v>
      </c>
      <c r="H423" s="1">
        <v>32</v>
      </c>
    </row>
    <row r="424" spans="1:8" ht="19.5">
      <c r="A424" s="1" t="s">
        <v>446</v>
      </c>
      <c r="B424" s="1" t="s">
        <v>42</v>
      </c>
      <c r="C424" s="1" t="s">
        <v>13</v>
      </c>
      <c r="D424" s="1">
        <v>120</v>
      </c>
      <c r="E424" s="2">
        <v>1.08609967048553E-3</v>
      </c>
      <c r="F424" s="1">
        <v>52</v>
      </c>
      <c r="G424" s="1">
        <v>117</v>
      </c>
      <c r="H424" s="1">
        <v>33</v>
      </c>
    </row>
    <row r="425" spans="1:8" ht="19.5">
      <c r="A425" s="1" t="s">
        <v>447</v>
      </c>
      <c r="B425" s="1" t="s">
        <v>34</v>
      </c>
      <c r="C425" s="1" t="s">
        <v>13</v>
      </c>
      <c r="D425" s="1">
        <v>211</v>
      </c>
      <c r="E425" s="2">
        <v>1.2627240376432175E-4</v>
      </c>
      <c r="F425" s="1">
        <v>45</v>
      </c>
      <c r="G425" s="1">
        <v>182</v>
      </c>
      <c r="H425" s="1">
        <v>8</v>
      </c>
    </row>
    <row r="426" spans="1:8" ht="19.5">
      <c r="A426" s="1" t="s">
        <v>448</v>
      </c>
      <c r="B426" s="1" t="s">
        <v>50</v>
      </c>
      <c r="C426" s="1" t="s">
        <v>13</v>
      </c>
      <c r="D426" s="1">
        <v>248</v>
      </c>
      <c r="E426" s="2">
        <v>1.534375510860249E-3</v>
      </c>
      <c r="F426" s="1">
        <v>94</v>
      </c>
      <c r="G426" s="1">
        <v>212</v>
      </c>
      <c r="H426" s="1">
        <v>15</v>
      </c>
    </row>
    <row r="427" spans="1:8" ht="19.5">
      <c r="A427" s="1" t="s">
        <v>449</v>
      </c>
      <c r="B427" s="1" t="s">
        <v>39</v>
      </c>
      <c r="C427" s="1" t="s">
        <v>13</v>
      </c>
      <c r="D427" s="1">
        <v>461</v>
      </c>
      <c r="E427" s="2">
        <v>1.6267525668120964E-3</v>
      </c>
      <c r="F427" s="1">
        <v>128</v>
      </c>
      <c r="G427" s="1">
        <v>173</v>
      </c>
      <c r="H427" s="1">
        <v>26</v>
      </c>
    </row>
    <row r="428" spans="1:8" ht="19.5">
      <c r="A428" s="1" t="s">
        <v>450</v>
      </c>
      <c r="B428" s="1" t="s">
        <v>37</v>
      </c>
      <c r="C428" s="1" t="s">
        <v>13</v>
      </c>
      <c r="D428" s="1">
        <v>69</v>
      </c>
      <c r="E428" s="2">
        <v>1.5520491345140186E-3</v>
      </c>
      <c r="F428" s="1">
        <v>70</v>
      </c>
      <c r="G428" s="1">
        <v>160</v>
      </c>
      <c r="H428" s="1">
        <v>20</v>
      </c>
    </row>
    <row r="429" spans="1:8" ht="19.5">
      <c r="A429" s="1" t="s">
        <v>451</v>
      </c>
      <c r="B429" s="1" t="s">
        <v>42</v>
      </c>
      <c r="C429" s="1" t="s">
        <v>20</v>
      </c>
      <c r="D429" s="1">
        <v>111</v>
      </c>
      <c r="E429" s="2">
        <v>9.1794531304502478E-4</v>
      </c>
      <c r="F429" s="1">
        <v>45</v>
      </c>
      <c r="G429" s="1">
        <v>130</v>
      </c>
      <c r="H429" s="1">
        <v>26</v>
      </c>
    </row>
    <row r="430" spans="1:8" ht="19.5">
      <c r="A430" s="1" t="s">
        <v>452</v>
      </c>
      <c r="B430" s="1" t="s">
        <v>301</v>
      </c>
      <c r="C430" s="1" t="s">
        <v>13</v>
      </c>
      <c r="D430" s="1">
        <v>99</v>
      </c>
      <c r="E430" s="2">
        <v>1.6055971486838862E-3</v>
      </c>
      <c r="F430" s="1">
        <v>46</v>
      </c>
      <c r="G430" s="1">
        <v>122</v>
      </c>
      <c r="H430" s="1">
        <v>33</v>
      </c>
    </row>
    <row r="431" spans="1:8" ht="19.5">
      <c r="A431" s="1" t="s">
        <v>453</v>
      </c>
      <c r="B431" s="1" t="s">
        <v>31</v>
      </c>
      <c r="C431" s="1" t="s">
        <v>20</v>
      </c>
      <c r="D431" s="1">
        <v>62</v>
      </c>
      <c r="E431" s="2">
        <v>1.2631941101209183E-3</v>
      </c>
      <c r="F431" s="1">
        <v>93</v>
      </c>
      <c r="G431" s="1">
        <v>145</v>
      </c>
      <c r="H431" s="1">
        <v>23</v>
      </c>
    </row>
    <row r="432" spans="1:8" ht="19.5">
      <c r="A432" s="1" t="s">
        <v>454</v>
      </c>
      <c r="B432" s="1" t="s">
        <v>34</v>
      </c>
      <c r="C432" s="1" t="s">
        <v>13</v>
      </c>
      <c r="D432" s="1">
        <v>223</v>
      </c>
      <c r="E432" s="2">
        <v>1.5816097122218504E-3</v>
      </c>
      <c r="F432" s="1">
        <v>101</v>
      </c>
      <c r="G432" s="1">
        <v>146</v>
      </c>
      <c r="H432" s="1">
        <v>21</v>
      </c>
    </row>
    <row r="433" spans="1:8" ht="19.5">
      <c r="A433" s="1" t="s">
        <v>455</v>
      </c>
      <c r="B433" s="1" t="s">
        <v>39</v>
      </c>
      <c r="C433" s="1" t="s">
        <v>20</v>
      </c>
      <c r="D433" s="1">
        <v>590</v>
      </c>
      <c r="E433" s="2">
        <v>2.6291486538712553E-3</v>
      </c>
      <c r="F433" s="1">
        <v>75</v>
      </c>
      <c r="G433" s="1">
        <v>127</v>
      </c>
      <c r="H433" s="1">
        <v>43</v>
      </c>
    </row>
    <row r="434" spans="1:8" ht="19.5">
      <c r="A434" s="1" t="s">
        <v>456</v>
      </c>
      <c r="B434" s="1" t="s">
        <v>39</v>
      </c>
      <c r="C434" s="1" t="s">
        <v>13</v>
      </c>
      <c r="D434" s="1">
        <v>613</v>
      </c>
      <c r="E434" s="2">
        <v>3.1336712002945966E-3</v>
      </c>
      <c r="F434" s="1">
        <v>49</v>
      </c>
      <c r="G434" s="1">
        <v>101</v>
      </c>
      <c r="H434" s="1">
        <v>36</v>
      </c>
    </row>
    <row r="435" spans="1:8" ht="19.5">
      <c r="A435" s="1" t="s">
        <v>457</v>
      </c>
      <c r="B435" s="1" t="s">
        <v>42</v>
      </c>
      <c r="C435" s="1" t="s">
        <v>20</v>
      </c>
      <c r="D435" s="1">
        <v>115</v>
      </c>
      <c r="E435" s="2">
        <v>1.3453046986003688E-3</v>
      </c>
      <c r="F435" s="1">
        <v>82</v>
      </c>
      <c r="G435" s="1">
        <v>188</v>
      </c>
      <c r="H435" s="1">
        <v>34</v>
      </c>
    </row>
    <row r="436" spans="1:8" ht="19.5">
      <c r="A436" s="1" t="s">
        <v>458</v>
      </c>
      <c r="B436" s="1" t="s">
        <v>42</v>
      </c>
      <c r="C436" s="1" t="s">
        <v>13</v>
      </c>
      <c r="D436" s="1">
        <v>100</v>
      </c>
      <c r="E436" s="2">
        <v>9.4712567010745525E-4</v>
      </c>
      <c r="F436" s="1">
        <v>59</v>
      </c>
      <c r="G436" s="1">
        <v>177</v>
      </c>
      <c r="H436" s="1">
        <v>25</v>
      </c>
    </row>
    <row r="437" spans="1:8" ht="19.5">
      <c r="A437" s="1" t="s">
        <v>459</v>
      </c>
      <c r="B437" s="1" t="s">
        <v>301</v>
      </c>
      <c r="C437" s="1" t="s">
        <v>13</v>
      </c>
      <c r="D437" s="1">
        <v>98</v>
      </c>
      <c r="E437" s="2">
        <v>7.7014042980161151E-4</v>
      </c>
      <c r="F437" s="1">
        <v>126</v>
      </c>
      <c r="G437" s="1">
        <v>213</v>
      </c>
      <c r="H437" s="1">
        <v>14</v>
      </c>
    </row>
    <row r="438" spans="1:8" ht="19.5">
      <c r="A438" s="1" t="s">
        <v>460</v>
      </c>
      <c r="B438" s="1" t="s">
        <v>31</v>
      </c>
      <c r="C438" s="1" t="s">
        <v>13</v>
      </c>
      <c r="D438" s="1">
        <v>58</v>
      </c>
      <c r="E438" s="2">
        <v>1.2982790044099659E-3</v>
      </c>
      <c r="F438" s="1">
        <v>66</v>
      </c>
      <c r="G438" s="1">
        <v>175</v>
      </c>
      <c r="H438" s="1">
        <v>24</v>
      </c>
    </row>
    <row r="439" spans="1:8" ht="19.5">
      <c r="A439" s="1" t="s">
        <v>461</v>
      </c>
      <c r="B439" s="1" t="s">
        <v>39</v>
      </c>
      <c r="C439" s="1" t="s">
        <v>13</v>
      </c>
      <c r="D439" s="1">
        <v>267</v>
      </c>
      <c r="E439" s="2">
        <v>1.6236902315022244E-3</v>
      </c>
      <c r="F439" s="1">
        <v>74</v>
      </c>
      <c r="G439" s="1">
        <v>113</v>
      </c>
      <c r="H439" s="1">
        <v>38</v>
      </c>
    </row>
    <row r="440" spans="1:8" ht="19.5">
      <c r="A440" s="1" t="s">
        <v>462</v>
      </c>
      <c r="B440" s="1" t="s">
        <v>42</v>
      </c>
      <c r="C440" s="1" t="s">
        <v>13</v>
      </c>
      <c r="D440" s="1">
        <v>113</v>
      </c>
      <c r="E440" s="2">
        <v>1.7989339493120126E-3</v>
      </c>
      <c r="F440" s="1">
        <v>15</v>
      </c>
      <c r="G440" s="1">
        <v>61</v>
      </c>
      <c r="H440" s="1">
        <v>61</v>
      </c>
    </row>
    <row r="441" spans="1:8" ht="19.5">
      <c r="A441" s="1" t="s">
        <v>463</v>
      </c>
      <c r="B441" s="1" t="s">
        <v>301</v>
      </c>
      <c r="C441" s="1" t="s">
        <v>13</v>
      </c>
      <c r="D441" s="1">
        <v>90</v>
      </c>
      <c r="E441" s="2">
        <v>2.9460793245449858E-3</v>
      </c>
      <c r="F441" s="1">
        <v>90</v>
      </c>
      <c r="G441" s="1">
        <v>138</v>
      </c>
      <c r="H441" s="1">
        <v>30</v>
      </c>
    </row>
    <row r="442" spans="1:8" ht="19.5">
      <c r="A442" s="1" t="s">
        <v>464</v>
      </c>
      <c r="B442" s="1" t="s">
        <v>34</v>
      </c>
      <c r="C442" s="1" t="s">
        <v>13</v>
      </c>
      <c r="D442" s="1">
        <v>284</v>
      </c>
      <c r="E442" s="2">
        <v>1.2861779444426711E-3</v>
      </c>
      <c r="F442" s="1">
        <v>115</v>
      </c>
      <c r="G442" s="1">
        <v>167</v>
      </c>
      <c r="H442" s="1">
        <v>41</v>
      </c>
    </row>
    <row r="443" spans="1:8" ht="19.5">
      <c r="A443" s="1" t="s">
        <v>465</v>
      </c>
      <c r="B443" s="1" t="s">
        <v>39</v>
      </c>
      <c r="C443" s="1" t="s">
        <v>13</v>
      </c>
      <c r="D443" s="1">
        <v>472</v>
      </c>
      <c r="E443" s="2">
        <v>1.5453752914323584E-3</v>
      </c>
      <c r="F443" s="1">
        <v>97</v>
      </c>
      <c r="G443" s="1">
        <v>162</v>
      </c>
      <c r="H443" s="1">
        <v>28</v>
      </c>
    </row>
    <row r="444" spans="1:8" ht="19.5">
      <c r="A444" s="1" t="s">
        <v>466</v>
      </c>
      <c r="B444" s="1" t="s">
        <v>39</v>
      </c>
      <c r="C444" s="1" t="s">
        <v>13</v>
      </c>
      <c r="D444" s="1">
        <v>377</v>
      </c>
      <c r="E444" s="2">
        <v>1.0940291466712414E-3</v>
      </c>
      <c r="F444" s="1">
        <v>58</v>
      </c>
      <c r="G444" s="1">
        <v>144</v>
      </c>
      <c r="H444" s="1">
        <v>27</v>
      </c>
    </row>
    <row r="445" spans="1:8" ht="19.5">
      <c r="A445" s="1" t="s">
        <v>467</v>
      </c>
      <c r="B445" s="1" t="s">
        <v>42</v>
      </c>
      <c r="C445" s="1" t="s">
        <v>20</v>
      </c>
      <c r="D445" s="1">
        <v>57</v>
      </c>
      <c r="E445" s="2">
        <v>2.6552074914936189E-3</v>
      </c>
      <c r="F445" s="1">
        <v>75</v>
      </c>
      <c r="G445" s="1">
        <v>120</v>
      </c>
      <c r="H445" s="1">
        <v>28</v>
      </c>
    </row>
    <row r="446" spans="1:8" ht="19.5">
      <c r="A446" s="1" t="s">
        <v>468</v>
      </c>
      <c r="B446" s="1" t="s">
        <v>301</v>
      </c>
      <c r="C446" s="1" t="s">
        <v>13</v>
      </c>
      <c r="D446" s="1">
        <v>79</v>
      </c>
      <c r="E446" s="2">
        <v>6.0165222139853508E-4</v>
      </c>
      <c r="F446" s="1">
        <v>75</v>
      </c>
      <c r="G446" s="1">
        <v>188</v>
      </c>
      <c r="H446" s="1">
        <v>14</v>
      </c>
    </row>
    <row r="447" spans="1:8" ht="19.5">
      <c r="A447" s="1" t="s">
        <v>469</v>
      </c>
      <c r="B447" s="1" t="s">
        <v>31</v>
      </c>
      <c r="C447" s="1" t="s">
        <v>20</v>
      </c>
      <c r="D447" s="1">
        <v>48</v>
      </c>
      <c r="E447" s="2">
        <v>1.3770818956090299E-3</v>
      </c>
      <c r="F447" s="1">
        <v>42</v>
      </c>
      <c r="G447" s="1">
        <v>112</v>
      </c>
      <c r="H447" s="1">
        <v>30</v>
      </c>
    </row>
    <row r="448" spans="1:8" ht="19.5">
      <c r="A448" s="1" t="s">
        <v>470</v>
      </c>
      <c r="B448" s="1" t="s">
        <v>34</v>
      </c>
      <c r="C448" s="1" t="s">
        <v>13</v>
      </c>
      <c r="D448" s="1">
        <v>214</v>
      </c>
      <c r="E448" s="2">
        <v>1.2629078204108425E-3</v>
      </c>
      <c r="F448" s="1">
        <v>68</v>
      </c>
      <c r="G448" s="1">
        <v>171</v>
      </c>
      <c r="H448" s="1">
        <v>13</v>
      </c>
    </row>
    <row r="449" spans="1:8" ht="19.5">
      <c r="A449" s="1" t="s">
        <v>471</v>
      </c>
      <c r="B449" s="1" t="s">
        <v>50</v>
      </c>
      <c r="C449" s="1" t="s">
        <v>20</v>
      </c>
      <c r="D449" s="1">
        <v>315</v>
      </c>
      <c r="E449" s="2">
        <v>7.2679011003973096E-4</v>
      </c>
      <c r="F449" s="1">
        <v>37</v>
      </c>
      <c r="G449" s="1">
        <v>78</v>
      </c>
      <c r="H449" s="1">
        <v>45</v>
      </c>
    </row>
    <row r="450" spans="1:8" ht="19.5">
      <c r="A450" s="1" t="s">
        <v>472</v>
      </c>
      <c r="B450" s="1" t="s">
        <v>37</v>
      </c>
      <c r="C450" s="1" t="s">
        <v>13</v>
      </c>
      <c r="D450" s="1">
        <v>87</v>
      </c>
      <c r="E450" s="2">
        <v>1.2716322659779139E-3</v>
      </c>
      <c r="F450" s="1">
        <v>131</v>
      </c>
      <c r="G450" s="1">
        <v>203</v>
      </c>
      <c r="H450" s="1">
        <v>11</v>
      </c>
    </row>
    <row r="451" spans="1:8" ht="19.5">
      <c r="A451" s="1" t="s">
        <v>473</v>
      </c>
      <c r="B451" s="1" t="s">
        <v>39</v>
      </c>
      <c r="C451" s="1" t="s">
        <v>13</v>
      </c>
      <c r="D451" s="1">
        <v>359</v>
      </c>
      <c r="E451" s="2">
        <v>2.1130992759316796E-3</v>
      </c>
      <c r="F451" s="1">
        <v>78</v>
      </c>
      <c r="G451" s="1">
        <v>126</v>
      </c>
      <c r="H451" s="1">
        <v>36</v>
      </c>
    </row>
    <row r="452" spans="1:8" ht="19.5">
      <c r="A452" s="1" t="s">
        <v>474</v>
      </c>
      <c r="B452" s="1" t="s">
        <v>42</v>
      </c>
      <c r="C452" s="1" t="s">
        <v>13</v>
      </c>
      <c r="D452" s="1">
        <v>91</v>
      </c>
      <c r="E452" s="2">
        <v>5.0526754631870315E-5</v>
      </c>
      <c r="F452" s="1">
        <v>93</v>
      </c>
      <c r="G452" s="1">
        <v>128</v>
      </c>
      <c r="H452" s="1">
        <v>27</v>
      </c>
    </row>
    <row r="453" spans="1:8" ht="19.5">
      <c r="A453" s="1" t="s">
        <v>475</v>
      </c>
      <c r="B453" s="1" t="s">
        <v>42</v>
      </c>
      <c r="C453" s="1" t="s">
        <v>20</v>
      </c>
      <c r="D453" s="1">
        <v>87</v>
      </c>
      <c r="E453" s="2">
        <v>2.452452891464708E-3</v>
      </c>
      <c r="F453" s="1">
        <v>27</v>
      </c>
      <c r="G453" s="1">
        <v>130</v>
      </c>
      <c r="H453" s="1">
        <v>41</v>
      </c>
    </row>
    <row r="454" spans="1:8" ht="19.5">
      <c r="A454" s="1" t="s">
        <v>476</v>
      </c>
      <c r="B454" s="1" t="s">
        <v>301</v>
      </c>
      <c r="C454" s="1" t="s">
        <v>20</v>
      </c>
      <c r="D454" s="1">
        <v>108</v>
      </c>
      <c r="E454" s="2">
        <v>4.8180072219132752E-4</v>
      </c>
      <c r="F454" s="1">
        <v>39</v>
      </c>
      <c r="G454" s="1">
        <v>121</v>
      </c>
      <c r="H454" s="1">
        <v>34</v>
      </c>
    </row>
    <row r="455" spans="1:8" ht="19.5">
      <c r="A455" s="1" t="s">
        <v>477</v>
      </c>
      <c r="B455" s="1" t="s">
        <v>31</v>
      </c>
      <c r="C455" s="1" t="s">
        <v>20</v>
      </c>
      <c r="D455" s="1">
        <v>37</v>
      </c>
      <c r="E455" s="2">
        <v>2.9303987591541222E-3</v>
      </c>
      <c r="F455" s="1">
        <v>15</v>
      </c>
      <c r="G455" s="1">
        <v>79</v>
      </c>
      <c r="H455" s="1">
        <v>51</v>
      </c>
    </row>
    <row r="456" spans="1:8" ht="19.5">
      <c r="A456" s="1" t="s">
        <v>478</v>
      </c>
      <c r="B456" s="1" t="s">
        <v>34</v>
      </c>
      <c r="C456" s="1" t="s">
        <v>20</v>
      </c>
      <c r="D456" s="1">
        <v>168</v>
      </c>
      <c r="E456" s="2">
        <v>1.5158102827036669E-3</v>
      </c>
      <c r="F456" s="1">
        <v>98</v>
      </c>
      <c r="G456" s="1">
        <v>150</v>
      </c>
      <c r="H456" s="1">
        <v>38</v>
      </c>
    </row>
    <row r="457" spans="1:8" ht="19.5">
      <c r="A457" s="1" t="s">
        <v>479</v>
      </c>
      <c r="B457" s="1" t="s">
        <v>50</v>
      </c>
      <c r="C457" s="1" t="s">
        <v>20</v>
      </c>
      <c r="D457" s="1">
        <v>382</v>
      </c>
      <c r="E457" s="2">
        <v>1.0975336164482739E-3</v>
      </c>
      <c r="F457" s="1">
        <v>86</v>
      </c>
      <c r="G457" s="1">
        <v>135</v>
      </c>
      <c r="H457" s="1">
        <v>19</v>
      </c>
    </row>
    <row r="458" spans="1:8" ht="19.5">
      <c r="A458" s="1" t="s">
        <v>480</v>
      </c>
      <c r="B458" s="1" t="s">
        <v>39</v>
      </c>
      <c r="C458" s="1" t="s">
        <v>13</v>
      </c>
      <c r="D458" s="1">
        <v>411</v>
      </c>
      <c r="E458" s="2">
        <v>1.1665421647025977E-3</v>
      </c>
      <c r="F458" s="1">
        <v>112</v>
      </c>
      <c r="G458" s="1">
        <v>226</v>
      </c>
      <c r="H458" s="1">
        <v>9</v>
      </c>
    </row>
    <row r="459" spans="1:8" ht="19.5">
      <c r="A459" s="1" t="s">
        <v>481</v>
      </c>
      <c r="B459" s="1" t="s">
        <v>39</v>
      </c>
      <c r="C459" s="1" t="s">
        <v>13</v>
      </c>
      <c r="D459" s="1">
        <v>558</v>
      </c>
      <c r="E459" s="2">
        <v>3.9222864888453562E-4</v>
      </c>
      <c r="F459" s="1">
        <v>114</v>
      </c>
      <c r="G459" s="1">
        <v>176</v>
      </c>
      <c r="H459" s="1">
        <v>19</v>
      </c>
    </row>
    <row r="460" spans="1:8" ht="19.5">
      <c r="A460" s="1" t="s">
        <v>482</v>
      </c>
      <c r="B460" s="1" t="s">
        <v>42</v>
      </c>
      <c r="C460" s="1" t="s">
        <v>13</v>
      </c>
      <c r="D460" s="1">
        <v>95</v>
      </c>
      <c r="E460" s="2">
        <v>7.2253342293772469E-4</v>
      </c>
      <c r="F460" s="1">
        <v>78</v>
      </c>
      <c r="G460" s="1">
        <v>158</v>
      </c>
      <c r="H460" s="1">
        <v>24</v>
      </c>
    </row>
    <row r="461" spans="1:8" ht="19.5">
      <c r="A461" s="1" t="s">
        <v>483</v>
      </c>
      <c r="B461" s="1"/>
      <c r="C461" s="1" t="s">
        <v>13</v>
      </c>
      <c r="D461" s="1">
        <v>89</v>
      </c>
      <c r="E461" s="2">
        <v>1.2417317094581084E-3</v>
      </c>
      <c r="F461" s="1">
        <v>68</v>
      </c>
      <c r="G461" s="1">
        <v>136</v>
      </c>
      <c r="H461" s="1">
        <v>29</v>
      </c>
    </row>
    <row r="462" spans="1:8" ht="19.5">
      <c r="A462" s="1" t="s">
        <v>484</v>
      </c>
      <c r="B462" s="1" t="s">
        <v>34</v>
      </c>
      <c r="C462" s="1" t="s">
        <v>13</v>
      </c>
      <c r="D462" s="1">
        <v>172</v>
      </c>
      <c r="E462" s="2">
        <v>3.4658317582169604E-4</v>
      </c>
      <c r="F462" s="1">
        <v>62</v>
      </c>
      <c r="G462" s="1">
        <v>134</v>
      </c>
      <c r="H462" s="1">
        <v>30</v>
      </c>
    </row>
    <row r="463" spans="1:8" ht="19.5">
      <c r="A463" s="1" t="s">
        <v>485</v>
      </c>
      <c r="B463" s="1" t="s">
        <v>50</v>
      </c>
      <c r="C463" s="1" t="s">
        <v>13</v>
      </c>
      <c r="D463" s="1">
        <v>257</v>
      </c>
      <c r="E463" s="2">
        <v>8.2548058192567363E-4</v>
      </c>
      <c r="F463" s="1">
        <v>51</v>
      </c>
      <c r="G463" s="1">
        <v>171</v>
      </c>
      <c r="H463" s="1">
        <v>25</v>
      </c>
    </row>
    <row r="464" spans="1:8" ht="19.5">
      <c r="A464" s="1" t="s">
        <v>486</v>
      </c>
      <c r="B464" s="1" t="s">
        <v>37</v>
      </c>
      <c r="C464" s="1" t="s">
        <v>13</v>
      </c>
      <c r="D464" s="1">
        <v>108</v>
      </c>
      <c r="E464" s="2">
        <v>4.1370908715067487E-4</v>
      </c>
      <c r="F464" s="1">
        <v>85</v>
      </c>
      <c r="G464" s="1">
        <v>192</v>
      </c>
      <c r="H464" s="1">
        <v>10</v>
      </c>
    </row>
    <row r="465" spans="1:8" ht="19.5">
      <c r="A465" s="1" t="s">
        <v>487</v>
      </c>
      <c r="B465" s="1" t="s">
        <v>39</v>
      </c>
      <c r="C465" s="1" t="s">
        <v>13</v>
      </c>
      <c r="D465" s="1">
        <v>484</v>
      </c>
      <c r="E465" s="2">
        <v>1.4566385932371128E-3</v>
      </c>
      <c r="F465" s="1">
        <v>94</v>
      </c>
      <c r="G465" s="1">
        <v>184</v>
      </c>
      <c r="H465" s="1">
        <v>35</v>
      </c>
    </row>
    <row r="466" spans="1:8" ht="19.5">
      <c r="A466" s="1" t="s">
        <v>488</v>
      </c>
      <c r="B466" s="1" t="s">
        <v>39</v>
      </c>
      <c r="C466" s="1" t="s">
        <v>13</v>
      </c>
      <c r="D466" s="1">
        <v>474</v>
      </c>
      <c r="E466" s="2">
        <v>2.3132191057017078E-3</v>
      </c>
      <c r="F466" s="1">
        <v>98</v>
      </c>
      <c r="G466" s="1">
        <v>137</v>
      </c>
      <c r="H466" s="1">
        <v>43</v>
      </c>
    </row>
    <row r="467" spans="1:8" ht="19.5">
      <c r="A467" s="1" t="s">
        <v>489</v>
      </c>
      <c r="B467" s="1" t="s">
        <v>42</v>
      </c>
      <c r="C467" s="1" t="s">
        <v>13</v>
      </c>
      <c r="D467" s="1">
        <v>81</v>
      </c>
      <c r="E467" s="2">
        <v>1.4317558513957497E-4</v>
      </c>
      <c r="F467" s="1">
        <v>69</v>
      </c>
      <c r="G467" s="1">
        <v>161</v>
      </c>
      <c r="H467" s="1">
        <v>30</v>
      </c>
    </row>
    <row r="468" spans="1:8" ht="19.5">
      <c r="A468" s="1" t="s">
        <v>490</v>
      </c>
      <c r="B468" s="1" t="s">
        <v>42</v>
      </c>
      <c r="C468" s="1" t="s">
        <v>13</v>
      </c>
      <c r="D468" s="1">
        <v>79</v>
      </c>
      <c r="E468" s="2">
        <v>6.7915136875968296E-4</v>
      </c>
      <c r="F468" s="1">
        <v>105</v>
      </c>
      <c r="G468" s="1">
        <v>205</v>
      </c>
      <c r="H468" s="1">
        <v>13</v>
      </c>
    </row>
    <row r="469" spans="1:8" ht="19.5">
      <c r="A469" s="1" t="s">
        <v>491</v>
      </c>
      <c r="B469" s="1" t="s">
        <v>301</v>
      </c>
      <c r="C469" s="1" t="s">
        <v>16</v>
      </c>
      <c r="D469" s="1">
        <v>88</v>
      </c>
      <c r="E469" s="2">
        <v>1.366898609417252E-3</v>
      </c>
      <c r="F469" s="1">
        <v>77</v>
      </c>
      <c r="G469" s="1">
        <v>146</v>
      </c>
      <c r="H469" s="1">
        <v>34</v>
      </c>
    </row>
    <row r="470" spans="1:8" ht="19.5">
      <c r="A470" s="1" t="s">
        <v>492</v>
      </c>
      <c r="B470" s="1" t="s">
        <v>31</v>
      </c>
      <c r="C470" s="1" t="s">
        <v>20</v>
      </c>
      <c r="D470" s="1">
        <v>49</v>
      </c>
      <c r="E470" s="2">
        <v>2.2594233125458542E-3</v>
      </c>
      <c r="F470" s="1">
        <v>68</v>
      </c>
      <c r="G470" s="1">
        <v>127</v>
      </c>
      <c r="H470" s="1">
        <v>42</v>
      </c>
    </row>
    <row r="471" spans="1:8" ht="19.5">
      <c r="A471" s="1" t="s">
        <v>493</v>
      </c>
      <c r="B471" s="1" t="s">
        <v>34</v>
      </c>
      <c r="C471" s="1" t="s">
        <v>13</v>
      </c>
      <c r="D471" s="1">
        <v>168</v>
      </c>
      <c r="E471" s="2">
        <v>1.0366360920322549E-3</v>
      </c>
      <c r="F471" s="1">
        <v>59</v>
      </c>
      <c r="G471" s="1">
        <v>182</v>
      </c>
      <c r="H471" s="1">
        <v>18</v>
      </c>
    </row>
    <row r="472" spans="1:8" ht="19.5">
      <c r="A472" s="1" t="s">
        <v>494</v>
      </c>
      <c r="B472" s="1" t="s">
        <v>50</v>
      </c>
      <c r="C472" s="1" t="s">
        <v>32</v>
      </c>
      <c r="D472" s="1">
        <v>424</v>
      </c>
      <c r="E472" s="2">
        <v>5.9731351653085653E-4</v>
      </c>
      <c r="F472" s="1">
        <v>79</v>
      </c>
      <c r="G472" s="1">
        <v>176</v>
      </c>
      <c r="H472" s="1">
        <v>18</v>
      </c>
    </row>
    <row r="473" spans="1:8" ht="19.5">
      <c r="A473" s="1" t="s">
        <v>495</v>
      </c>
      <c r="B473" s="1" t="s">
        <v>37</v>
      </c>
      <c r="C473" s="1" t="s">
        <v>13</v>
      </c>
      <c r="D473" s="1">
        <v>107</v>
      </c>
      <c r="E473" s="2">
        <v>4.409629758166273E-4</v>
      </c>
      <c r="F473" s="1">
        <v>89</v>
      </c>
      <c r="G473" s="1">
        <v>177</v>
      </c>
      <c r="H473" s="1">
        <v>18</v>
      </c>
    </row>
    <row r="474" spans="1:8" ht="19.5">
      <c r="A474" s="1" t="s">
        <v>496</v>
      </c>
      <c r="B474" s="1" t="s">
        <v>39</v>
      </c>
      <c r="C474" s="1" t="s">
        <v>13</v>
      </c>
      <c r="D474" s="1">
        <v>474</v>
      </c>
      <c r="E474" s="2">
        <v>1.0183700202399161E-3</v>
      </c>
      <c r="F474" s="1">
        <v>65</v>
      </c>
      <c r="G474" s="1">
        <v>138</v>
      </c>
      <c r="H474" s="1">
        <v>28</v>
      </c>
    </row>
    <row r="475" spans="1:8" ht="19.5">
      <c r="A475" s="1" t="s">
        <v>497</v>
      </c>
      <c r="B475" s="1" t="s">
        <v>39</v>
      </c>
      <c r="C475" s="1" t="s">
        <v>13</v>
      </c>
      <c r="D475" s="1">
        <v>514</v>
      </c>
      <c r="E475" s="2">
        <v>4.9697144120999174E-4</v>
      </c>
      <c r="F475" s="1">
        <v>67</v>
      </c>
      <c r="G475" s="1">
        <v>133</v>
      </c>
      <c r="H475" s="1">
        <v>17</v>
      </c>
    </row>
    <row r="476" spans="1:8" ht="19.5">
      <c r="A476" s="1" t="s">
        <v>498</v>
      </c>
      <c r="B476" s="1" t="s">
        <v>31</v>
      </c>
      <c r="C476" s="1" t="s">
        <v>20</v>
      </c>
      <c r="D476" s="1">
        <v>39</v>
      </c>
      <c r="E476" s="2">
        <v>1.5676548917442853E-3</v>
      </c>
      <c r="F476" s="1">
        <v>65</v>
      </c>
      <c r="G476" s="1">
        <v>112</v>
      </c>
      <c r="H476" s="1">
        <v>36</v>
      </c>
    </row>
    <row r="477" spans="1:8" ht="19.5">
      <c r="A477" s="1" t="s">
        <v>499</v>
      </c>
      <c r="B477" s="1" t="s">
        <v>50</v>
      </c>
      <c r="C477" s="1" t="s">
        <v>13</v>
      </c>
      <c r="D477" s="1">
        <v>292</v>
      </c>
      <c r="E477" s="2">
        <v>1.7613632518899513E-3</v>
      </c>
      <c r="F477" s="1">
        <v>88</v>
      </c>
      <c r="G477" s="1">
        <v>144</v>
      </c>
      <c r="H477" s="1">
        <v>24</v>
      </c>
    </row>
    <row r="478" spans="1:8" ht="19.5">
      <c r="A478" s="1" t="s">
        <v>500</v>
      </c>
      <c r="B478" s="1" t="s">
        <v>39</v>
      </c>
      <c r="C478" s="1" t="s">
        <v>13</v>
      </c>
      <c r="D478" s="1">
        <v>606</v>
      </c>
      <c r="E478" s="2">
        <v>2.2019660152202917E-3</v>
      </c>
      <c r="F478" s="1">
        <v>88</v>
      </c>
      <c r="G478" s="1">
        <v>159</v>
      </c>
      <c r="H478" s="1">
        <v>21</v>
      </c>
    </row>
    <row r="479" spans="1:8" ht="19.5">
      <c r="A479" s="1" t="s">
        <v>501</v>
      </c>
      <c r="B479" s="1" t="s">
        <v>42</v>
      </c>
      <c r="C479" s="1" t="s">
        <v>13</v>
      </c>
      <c r="D479" s="1">
        <v>106</v>
      </c>
      <c r="E479" s="2">
        <v>1.7736518381051745E-3</v>
      </c>
      <c r="F479" s="1">
        <v>126</v>
      </c>
      <c r="G479" s="1">
        <v>165</v>
      </c>
      <c r="H479" s="1">
        <v>24</v>
      </c>
    </row>
    <row r="480" spans="1:8" ht="19.5">
      <c r="A480" s="1" t="s">
        <v>502</v>
      </c>
      <c r="B480" s="1" t="s">
        <v>301</v>
      </c>
      <c r="C480" s="1" t="s">
        <v>13</v>
      </c>
      <c r="D480" s="1">
        <v>89</v>
      </c>
      <c r="E480" s="2">
        <v>1.2066367727129957E-3</v>
      </c>
      <c r="F480" s="1">
        <v>100</v>
      </c>
      <c r="G480" s="1">
        <v>150</v>
      </c>
      <c r="H480" s="1">
        <v>25</v>
      </c>
    </row>
    <row r="481" spans="1:8" ht="19.5">
      <c r="A481" s="1" t="s">
        <v>503</v>
      </c>
      <c r="B481" s="1" t="s">
        <v>34</v>
      </c>
      <c r="C481" s="1" t="s">
        <v>20</v>
      </c>
      <c r="D481" s="1">
        <v>165</v>
      </c>
      <c r="E481" s="2">
        <v>2.6097036362009232E-3</v>
      </c>
      <c r="F481" s="1">
        <v>72</v>
      </c>
      <c r="G481" s="1">
        <v>141</v>
      </c>
      <c r="H481" s="1">
        <v>43</v>
      </c>
    </row>
    <row r="482" spans="1:8" ht="19.5">
      <c r="A482" s="1" t="s">
        <v>504</v>
      </c>
      <c r="B482" s="1" t="s">
        <v>37</v>
      </c>
      <c r="C482" s="1" t="s">
        <v>13</v>
      </c>
      <c r="D482" s="1">
        <v>103</v>
      </c>
      <c r="E482" s="2">
        <v>1.5924123813612402E-3</v>
      </c>
      <c r="F482" s="1">
        <v>77</v>
      </c>
      <c r="G482" s="1">
        <v>99</v>
      </c>
      <c r="H482" s="1">
        <v>32</v>
      </c>
    </row>
    <row r="483" spans="1:8" ht="19.5">
      <c r="A483" s="1" t="s">
        <v>505</v>
      </c>
      <c r="B483" s="1" t="s">
        <v>31</v>
      </c>
      <c r="C483" s="1" t="s">
        <v>13</v>
      </c>
      <c r="D483" s="1">
        <v>54</v>
      </c>
      <c r="E483" s="2">
        <v>1.412290843103558E-3</v>
      </c>
      <c r="F483" s="1">
        <v>65</v>
      </c>
      <c r="G483" s="1">
        <v>170</v>
      </c>
      <c r="H483" s="1">
        <v>29</v>
      </c>
    </row>
    <row r="484" spans="1:8" ht="19.5">
      <c r="A484" s="1" t="s">
        <v>506</v>
      </c>
      <c r="B484" s="1" t="s">
        <v>34</v>
      </c>
      <c r="C484" s="1" t="s">
        <v>20</v>
      </c>
      <c r="D484" s="1">
        <v>230</v>
      </c>
      <c r="E484" s="2">
        <v>4.99844529871639E-5</v>
      </c>
      <c r="F484" s="1">
        <v>74</v>
      </c>
      <c r="G484" s="1">
        <v>100</v>
      </c>
      <c r="H484" s="1">
        <v>36</v>
      </c>
    </row>
    <row r="485" spans="1:8" ht="19.5">
      <c r="A485" s="1" t="s">
        <v>507</v>
      </c>
      <c r="B485" s="1" t="s">
        <v>39</v>
      </c>
      <c r="C485" s="1" t="s">
        <v>13</v>
      </c>
      <c r="D485" s="1">
        <v>603</v>
      </c>
      <c r="E485" s="2">
        <v>1.9391484435501453E-5</v>
      </c>
      <c r="F485" s="1">
        <v>85</v>
      </c>
      <c r="G485" s="1">
        <v>129</v>
      </c>
      <c r="H485" s="1">
        <v>19</v>
      </c>
    </row>
    <row r="486" spans="1:8" ht="19.5">
      <c r="A486" s="1" t="s">
        <v>508</v>
      </c>
      <c r="B486" s="1" t="s">
        <v>42</v>
      </c>
      <c r="C486" s="1" t="s">
        <v>13</v>
      </c>
      <c r="D486" s="1">
        <v>114</v>
      </c>
      <c r="E486" s="2">
        <v>2.0151855483134017E-3</v>
      </c>
      <c r="F486" s="1">
        <v>76</v>
      </c>
      <c r="G486" s="1">
        <v>144</v>
      </c>
      <c r="H486" s="1">
        <v>46</v>
      </c>
    </row>
    <row r="487" spans="1:8" ht="19.5">
      <c r="A487" s="1" t="s">
        <v>509</v>
      </c>
      <c r="B487" s="1" t="s">
        <v>31</v>
      </c>
      <c r="C487" s="1" t="s">
        <v>20</v>
      </c>
      <c r="D487" s="1">
        <v>41</v>
      </c>
      <c r="E487" s="2">
        <v>1.0584939568117808E-3</v>
      </c>
      <c r="F487" s="1">
        <v>82</v>
      </c>
      <c r="G487" s="1">
        <v>200</v>
      </c>
      <c r="H487" s="1">
        <v>27</v>
      </c>
    </row>
    <row r="488" spans="1:8" ht="19.5">
      <c r="A488" s="1" t="s">
        <v>510</v>
      </c>
      <c r="B488" s="1" t="s">
        <v>50</v>
      </c>
      <c r="C488" s="1" t="s">
        <v>13</v>
      </c>
      <c r="D488" s="1">
        <v>83</v>
      </c>
      <c r="E488" s="2">
        <v>1.9125741147187072E-3</v>
      </c>
      <c r="F488" s="1">
        <v>71</v>
      </c>
      <c r="G488" s="1">
        <v>152</v>
      </c>
      <c r="H488" s="1">
        <v>32</v>
      </c>
    </row>
    <row r="489" spans="1:8" ht="19.5">
      <c r="A489" s="1" t="s">
        <v>511</v>
      </c>
      <c r="B489" s="1" t="s">
        <v>39</v>
      </c>
      <c r="C489" s="1" t="s">
        <v>13</v>
      </c>
      <c r="D489" s="1">
        <v>295</v>
      </c>
      <c r="E489" s="2">
        <v>1.143114642126142E-3</v>
      </c>
      <c r="F489" s="1">
        <v>88</v>
      </c>
      <c r="G489" s="1">
        <v>154</v>
      </c>
      <c r="H489" s="1">
        <v>27</v>
      </c>
    </row>
    <row r="490" spans="1:8" ht="19.5">
      <c r="A490" s="1" t="s">
        <v>512</v>
      </c>
      <c r="B490" s="1" t="s">
        <v>39</v>
      </c>
      <c r="C490" s="1" t="s">
        <v>13</v>
      </c>
      <c r="D490" s="1">
        <v>683</v>
      </c>
      <c r="E490" s="2">
        <v>6.4250769911445996E-4</v>
      </c>
      <c r="F490" s="1">
        <v>80</v>
      </c>
      <c r="G490" s="1">
        <v>166</v>
      </c>
      <c r="H490" s="1">
        <v>13</v>
      </c>
    </row>
    <row r="491" spans="1:8" ht="19.5">
      <c r="A491" s="1" t="s">
        <v>513</v>
      </c>
      <c r="B491" s="1" t="s">
        <v>42</v>
      </c>
      <c r="C491" s="1" t="s">
        <v>13</v>
      </c>
      <c r="D491" s="1">
        <v>85</v>
      </c>
      <c r="E491" s="2">
        <v>2.1517265188980609E-3</v>
      </c>
      <c r="F491" s="1">
        <v>68</v>
      </c>
      <c r="G491" s="1">
        <v>142</v>
      </c>
      <c r="H491" s="1">
        <v>45</v>
      </c>
    </row>
    <row r="492" spans="1:8" ht="19.5">
      <c r="A492" s="1" t="s">
        <v>514</v>
      </c>
      <c r="B492" s="1" t="s">
        <v>31</v>
      </c>
      <c r="C492" s="1" t="s">
        <v>13</v>
      </c>
      <c r="D492" s="1">
        <v>43</v>
      </c>
      <c r="E492" s="2">
        <v>2.1928257200041117E-3</v>
      </c>
      <c r="F492" s="1">
        <v>105</v>
      </c>
      <c r="G492" s="1">
        <v>183</v>
      </c>
      <c r="H492" s="1">
        <v>14</v>
      </c>
    </row>
    <row r="493" spans="1:8" ht="19.5">
      <c r="A493" s="1" t="s">
        <v>515</v>
      </c>
      <c r="B493" s="1" t="s">
        <v>34</v>
      </c>
      <c r="C493" s="1" t="s">
        <v>13</v>
      </c>
      <c r="D493" s="1">
        <v>216</v>
      </c>
      <c r="E493" s="2">
        <v>1.1954786555576191E-3</v>
      </c>
      <c r="F493" s="1">
        <v>71</v>
      </c>
      <c r="G493" s="1">
        <v>151</v>
      </c>
      <c r="H493" s="1">
        <v>24</v>
      </c>
    </row>
    <row r="494" spans="1:8" ht="19.5">
      <c r="A494" s="1" t="s">
        <v>516</v>
      </c>
      <c r="B494" s="1" t="s">
        <v>37</v>
      </c>
      <c r="C494" s="1" t="s">
        <v>20</v>
      </c>
      <c r="D494" s="1">
        <v>146</v>
      </c>
      <c r="E494" s="2">
        <v>2.2594233125458542E-3</v>
      </c>
      <c r="F494" s="1">
        <v>106</v>
      </c>
      <c r="G494" s="1">
        <v>118</v>
      </c>
      <c r="H494" s="1">
        <v>42</v>
      </c>
    </row>
    <row r="495" spans="1:8" ht="19.5">
      <c r="A495" s="1" t="s">
        <v>517</v>
      </c>
      <c r="B495" s="1" t="s">
        <v>39</v>
      </c>
      <c r="C495" s="1" t="s">
        <v>13</v>
      </c>
      <c r="D495" s="1">
        <v>660</v>
      </c>
      <c r="E495" s="2">
        <v>8.6254428308314492E-5</v>
      </c>
      <c r="F495" s="1">
        <v>89</v>
      </c>
      <c r="G495" s="1">
        <v>142</v>
      </c>
      <c r="H495" s="1">
        <v>22</v>
      </c>
    </row>
    <row r="496" spans="1:8" ht="19.5">
      <c r="A496" s="1" t="s">
        <v>518</v>
      </c>
      <c r="B496" s="1" t="s">
        <v>39</v>
      </c>
      <c r="C496" s="1" t="s">
        <v>20</v>
      </c>
      <c r="D496" s="1">
        <v>376</v>
      </c>
      <c r="E496" s="2">
        <v>1.1124533664373468E-3</v>
      </c>
      <c r="F496" s="1">
        <v>78</v>
      </c>
      <c r="G496" s="1">
        <v>158</v>
      </c>
      <c r="H496" s="1">
        <v>17</v>
      </c>
    </row>
    <row r="497" spans="1:8" ht="19.5">
      <c r="A497" s="1" t="s">
        <v>519</v>
      </c>
      <c r="B497" s="1" t="s">
        <v>42</v>
      </c>
      <c r="C497" s="1" t="s">
        <v>13</v>
      </c>
      <c r="D497" s="1">
        <v>119</v>
      </c>
      <c r="E497" s="2">
        <v>1.2787492045871955E-3</v>
      </c>
      <c r="F497" s="1">
        <v>15</v>
      </c>
      <c r="G497" s="1">
        <v>130</v>
      </c>
      <c r="H497" s="1">
        <v>33</v>
      </c>
    </row>
    <row r="498" spans="1:8" ht="19.5">
      <c r="A498" s="1" t="s">
        <v>520</v>
      </c>
      <c r="B498" s="1" t="s">
        <v>301</v>
      </c>
      <c r="C498" s="1" t="s">
        <v>13</v>
      </c>
      <c r="D498" s="1">
        <v>101</v>
      </c>
      <c r="E498" s="2">
        <v>1.4350045645014373E-4</v>
      </c>
      <c r="F498" s="1">
        <v>57</v>
      </c>
      <c r="G498" s="1">
        <v>138</v>
      </c>
      <c r="H498" s="1">
        <v>18</v>
      </c>
    </row>
    <row r="499" spans="1:8" ht="19.5">
      <c r="A499" s="1" t="s">
        <v>521</v>
      </c>
      <c r="B499" s="1" t="s">
        <v>31</v>
      </c>
      <c r="C499" s="1" t="s">
        <v>20</v>
      </c>
      <c r="D499" s="1">
        <v>58</v>
      </c>
      <c r="E499" s="2">
        <v>2.6759780983936585E-3</v>
      </c>
      <c r="F499" s="1">
        <v>54</v>
      </c>
      <c r="G499" s="1">
        <v>76</v>
      </c>
      <c r="H499" s="1">
        <v>47</v>
      </c>
    </row>
    <row r="500" spans="1:8" ht="19.5">
      <c r="A500" s="1" t="s">
        <v>522</v>
      </c>
      <c r="B500" s="1" t="s">
        <v>50</v>
      </c>
      <c r="C500" s="1" t="s">
        <v>32</v>
      </c>
      <c r="D500" s="1">
        <v>312</v>
      </c>
      <c r="E500" s="2">
        <v>6.3980452260375725E-4</v>
      </c>
      <c r="F500" s="1">
        <v>92</v>
      </c>
      <c r="G500" s="1">
        <v>164</v>
      </c>
      <c r="H500" s="1">
        <v>22</v>
      </c>
    </row>
    <row r="501" spans="1:8" ht="19.5">
      <c r="A501" s="1" t="s">
        <v>523</v>
      </c>
      <c r="B501" s="1" t="s">
        <v>37</v>
      </c>
      <c r="C501" s="1" t="s">
        <v>20</v>
      </c>
      <c r="D501" s="1">
        <v>102</v>
      </c>
      <c r="E501" s="2">
        <v>1.9801372720380192E-3</v>
      </c>
      <c r="F501" s="1">
        <v>72</v>
      </c>
      <c r="G501" s="1">
        <v>102</v>
      </c>
      <c r="H501" s="1">
        <v>42</v>
      </c>
    </row>
    <row r="502" spans="1:8" ht="19.5">
      <c r="A502" s="1" t="s">
        <v>524</v>
      </c>
      <c r="B502" s="1" t="s">
        <v>39</v>
      </c>
      <c r="C502" s="1" t="s">
        <v>13</v>
      </c>
      <c r="D502" s="1">
        <v>440</v>
      </c>
      <c r="E502" s="2">
        <v>1.7798186393856534E-3</v>
      </c>
      <c r="F502" s="1">
        <v>67</v>
      </c>
      <c r="G502" s="1">
        <v>113</v>
      </c>
      <c r="H502" s="1">
        <v>40</v>
      </c>
    </row>
    <row r="503" spans="1:8" ht="19.5">
      <c r="A503" s="1" t="s">
        <v>525</v>
      </c>
      <c r="B503" s="1" t="s">
        <v>39</v>
      </c>
      <c r="C503" s="1" t="s">
        <v>16</v>
      </c>
      <c r="D503" s="1">
        <v>524</v>
      </c>
      <c r="E503" s="2">
        <v>1.0940003444260455E-3</v>
      </c>
      <c r="F503" s="1">
        <v>105</v>
      </c>
      <c r="G503" s="1">
        <v>161</v>
      </c>
      <c r="H503" s="1">
        <v>19</v>
      </c>
    </row>
    <row r="504" spans="1:8" ht="19.5">
      <c r="A504" s="1" t="s">
        <v>526</v>
      </c>
      <c r="B504" s="1" t="s">
        <v>42</v>
      </c>
      <c r="C504" s="1" t="s">
        <v>13</v>
      </c>
      <c r="D504" s="1">
        <v>119</v>
      </c>
      <c r="E504" s="2">
        <v>1.11603491676765E-3</v>
      </c>
      <c r="F504" s="1">
        <v>70</v>
      </c>
      <c r="G504" s="1">
        <v>149</v>
      </c>
      <c r="H504" s="1">
        <v>25</v>
      </c>
    </row>
    <row r="505" spans="1:8" ht="19.5">
      <c r="A505" s="1" t="s">
        <v>527</v>
      </c>
      <c r="B505" s="1" t="s">
        <v>42</v>
      </c>
      <c r="C505" s="1" t="s">
        <v>13</v>
      </c>
      <c r="D505" s="1">
        <v>55</v>
      </c>
      <c r="E505" s="2">
        <v>1.1629921571647622E-3</v>
      </c>
      <c r="F505" s="1">
        <v>77</v>
      </c>
      <c r="G505" s="1">
        <v>184</v>
      </c>
      <c r="H505" s="1">
        <v>33</v>
      </c>
    </row>
    <row r="506" spans="1:8" ht="19.5">
      <c r="A506" s="1" t="s">
        <v>528</v>
      </c>
      <c r="B506" s="1" t="s">
        <v>31</v>
      </c>
      <c r="C506" s="1" t="s">
        <v>13</v>
      </c>
      <c r="D506" s="1">
        <v>59</v>
      </c>
      <c r="E506" s="2">
        <v>8.0454520793031103E-4</v>
      </c>
      <c r="F506" s="1">
        <v>83</v>
      </c>
      <c r="G506" s="1">
        <v>152</v>
      </c>
      <c r="H506" s="1">
        <v>16</v>
      </c>
    </row>
    <row r="507" spans="1:8" ht="19.5">
      <c r="A507" s="1" t="s">
        <v>529</v>
      </c>
      <c r="B507" s="1" t="s">
        <v>34</v>
      </c>
      <c r="C507" s="1" t="s">
        <v>13</v>
      </c>
      <c r="D507" s="1">
        <v>224</v>
      </c>
      <c r="E507" s="2">
        <v>5.1430246113888739E-4</v>
      </c>
      <c r="F507" s="1">
        <v>131</v>
      </c>
      <c r="G507" s="1">
        <v>224</v>
      </c>
      <c r="H507" s="1">
        <v>7</v>
      </c>
    </row>
    <row r="508" spans="1:8" ht="19.5">
      <c r="A508" s="1" t="s">
        <v>530</v>
      </c>
      <c r="B508" s="1" t="s">
        <v>50</v>
      </c>
      <c r="C508" s="1" t="s">
        <v>13</v>
      </c>
      <c r="D508" s="1">
        <v>184</v>
      </c>
      <c r="E508" s="2">
        <v>3.4176233496554008E-3</v>
      </c>
      <c r="F508" s="1">
        <v>79</v>
      </c>
      <c r="G508" s="1">
        <v>193</v>
      </c>
      <c r="H508" s="1">
        <v>9</v>
      </c>
    </row>
    <row r="509" spans="1:8" ht="19.5">
      <c r="A509" s="1" t="s">
        <v>531</v>
      </c>
      <c r="B509" s="1" t="s">
        <v>37</v>
      </c>
      <c r="C509" s="1" t="s">
        <v>20</v>
      </c>
      <c r="D509" s="1">
        <v>111</v>
      </c>
      <c r="E509" s="2">
        <v>3.0083082587812507E-3</v>
      </c>
      <c r="F509" s="1">
        <v>86</v>
      </c>
      <c r="G509" s="1">
        <v>167</v>
      </c>
      <c r="H509" s="1">
        <v>30</v>
      </c>
    </row>
    <row r="510" spans="1:8" ht="19.5">
      <c r="A510" s="1" t="s">
        <v>532</v>
      </c>
      <c r="B510" s="1" t="s">
        <v>39</v>
      </c>
      <c r="C510" s="1" t="s">
        <v>20</v>
      </c>
      <c r="D510" s="1">
        <v>472</v>
      </c>
      <c r="E510" s="2">
        <v>8.9301258450014587E-4</v>
      </c>
      <c r="F510" s="1">
        <v>93</v>
      </c>
      <c r="G510" s="1">
        <v>191</v>
      </c>
      <c r="H510" s="1">
        <v>19</v>
      </c>
    </row>
    <row r="511" spans="1:8" ht="19.5">
      <c r="A511" s="1" t="s">
        <v>533</v>
      </c>
      <c r="B511" s="1" t="s">
        <v>42</v>
      </c>
      <c r="C511" s="1" t="s">
        <v>20</v>
      </c>
      <c r="D511" s="1">
        <v>69</v>
      </c>
      <c r="E511" s="2">
        <v>1.9049248596662834E-3</v>
      </c>
      <c r="F511" s="1">
        <v>75</v>
      </c>
      <c r="G511" s="1">
        <v>181</v>
      </c>
      <c r="H511" s="1">
        <v>37</v>
      </c>
    </row>
    <row r="512" spans="1:8" ht="19.5">
      <c r="A512" s="1" t="s">
        <v>534</v>
      </c>
      <c r="B512" s="1" t="s">
        <v>31</v>
      </c>
      <c r="C512" s="1" t="s">
        <v>13</v>
      </c>
      <c r="D512" s="1">
        <v>44</v>
      </c>
      <c r="E512" s="2">
        <v>2.0408050604642626E-3</v>
      </c>
      <c r="F512" s="1">
        <v>109</v>
      </c>
      <c r="G512" s="1">
        <v>143</v>
      </c>
      <c r="H512" s="1">
        <v>21</v>
      </c>
    </row>
    <row r="513" spans="1:8" ht="19.5">
      <c r="A513" s="1" t="s">
        <v>535</v>
      </c>
      <c r="B513" s="1" t="s">
        <v>34</v>
      </c>
      <c r="C513" s="1" t="s">
        <v>20</v>
      </c>
      <c r="D513" s="1">
        <v>147</v>
      </c>
      <c r="E513" s="2">
        <v>7.8418707025182605E-4</v>
      </c>
      <c r="F513" s="1">
        <v>92</v>
      </c>
      <c r="G513" s="1">
        <v>123</v>
      </c>
      <c r="H513" s="1">
        <v>24</v>
      </c>
    </row>
    <row r="514" spans="1:8" ht="19.5">
      <c r="A514" s="1" t="s">
        <v>536</v>
      </c>
      <c r="B514" s="1" t="s">
        <v>50</v>
      </c>
      <c r="C514" s="1" t="s">
        <v>20</v>
      </c>
      <c r="D514" s="1">
        <v>294</v>
      </c>
      <c r="E514" s="2">
        <v>1.3960415944455349E-3</v>
      </c>
      <c r="F514" s="1">
        <v>64</v>
      </c>
      <c r="G514" s="1">
        <v>168</v>
      </c>
      <c r="H514" s="1">
        <v>26</v>
      </c>
    </row>
    <row r="515" spans="1:8" ht="19.5">
      <c r="A515" s="1" t="s">
        <v>537</v>
      </c>
      <c r="B515" s="1" t="s">
        <v>42</v>
      </c>
      <c r="C515" s="1" t="s">
        <v>13</v>
      </c>
      <c r="D515" s="1">
        <v>78</v>
      </c>
      <c r="E515" s="2">
        <v>1.5158744201015459E-4</v>
      </c>
      <c r="F515" s="1">
        <v>104</v>
      </c>
      <c r="G515" s="1">
        <v>188</v>
      </c>
      <c r="H515" s="1">
        <v>15</v>
      </c>
    </row>
    <row r="516" spans="1:8" ht="19.5">
      <c r="A516" s="1" t="s">
        <v>538</v>
      </c>
      <c r="B516" s="1" t="s">
        <v>31</v>
      </c>
      <c r="C516" s="1" t="s">
        <v>13</v>
      </c>
      <c r="D516" s="1">
        <v>45</v>
      </c>
      <c r="E516" s="2">
        <v>1.758389878806019E-3</v>
      </c>
      <c r="F516" s="1">
        <v>97</v>
      </c>
      <c r="G516" s="1">
        <v>177</v>
      </c>
      <c r="H516" s="1">
        <v>22</v>
      </c>
    </row>
    <row r="517" spans="1:8" ht="19.5">
      <c r="A517" s="1" t="s">
        <v>539</v>
      </c>
      <c r="B517" s="1" t="s">
        <v>50</v>
      </c>
      <c r="C517" s="1" t="s">
        <v>13</v>
      </c>
      <c r="D517" s="1">
        <v>345</v>
      </c>
      <c r="E517" s="2">
        <v>1.1995693568212047E-3</v>
      </c>
      <c r="F517" s="1">
        <v>79</v>
      </c>
      <c r="G517" s="1">
        <v>173</v>
      </c>
      <c r="H517" s="1">
        <v>31</v>
      </c>
    </row>
    <row r="518" spans="1:8" ht="19.5">
      <c r="A518" s="1" t="s">
        <v>540</v>
      </c>
      <c r="B518" s="1" t="s">
        <v>37</v>
      </c>
      <c r="C518" s="1" t="s">
        <v>13</v>
      </c>
      <c r="D518" s="1">
        <v>97</v>
      </c>
      <c r="E518" s="2">
        <v>1.1336917901301133E-3</v>
      </c>
      <c r="F518" s="1">
        <v>100</v>
      </c>
      <c r="G518" s="1">
        <v>167</v>
      </c>
      <c r="H518" s="1">
        <v>24</v>
      </c>
    </row>
    <row r="519" spans="1:8" ht="19.5">
      <c r="A519" s="1" t="s">
        <v>541</v>
      </c>
      <c r="B519" s="1" t="s">
        <v>39</v>
      </c>
      <c r="C519" s="1" t="s">
        <v>20</v>
      </c>
      <c r="D519" s="1">
        <v>371</v>
      </c>
      <c r="E519" s="2">
        <v>1.2898041113461347E-3</v>
      </c>
      <c r="F519" s="1">
        <v>76</v>
      </c>
      <c r="G519" s="1">
        <v>204</v>
      </c>
      <c r="H519" s="1">
        <v>22</v>
      </c>
    </row>
    <row r="520" spans="1:8" ht="19.5">
      <c r="A520" s="1" t="s">
        <v>542</v>
      </c>
      <c r="B520" s="1" t="s">
        <v>39</v>
      </c>
      <c r="C520" s="1" t="s">
        <v>13</v>
      </c>
      <c r="D520" s="1">
        <v>575</v>
      </c>
      <c r="E520" s="2">
        <v>1.6737136217756358E-3</v>
      </c>
      <c r="F520" s="1">
        <v>81</v>
      </c>
      <c r="G520" s="1">
        <v>148</v>
      </c>
      <c r="H520" s="1">
        <v>39</v>
      </c>
    </row>
    <row r="521" spans="1:8" ht="19.5">
      <c r="A521" s="1" t="s">
        <v>543</v>
      </c>
      <c r="B521" s="1" t="s">
        <v>31</v>
      </c>
      <c r="C521" s="1" t="s">
        <v>13</v>
      </c>
      <c r="D521" s="1">
        <v>41</v>
      </c>
      <c r="E521" s="2">
        <v>7.0495734871097663E-4</v>
      </c>
      <c r="F521" s="1">
        <v>82</v>
      </c>
      <c r="G521" s="1">
        <v>162</v>
      </c>
      <c r="H521" s="1">
        <v>17</v>
      </c>
    </row>
    <row r="522" spans="1:8" ht="19.5">
      <c r="A522" s="1" t="s">
        <v>544</v>
      </c>
      <c r="B522" s="1" t="s">
        <v>50</v>
      </c>
      <c r="C522" s="1" t="s">
        <v>13</v>
      </c>
      <c r="D522" s="1">
        <v>417</v>
      </c>
      <c r="E522" s="2">
        <v>9.0506449139425983E-4</v>
      </c>
      <c r="F522" s="1">
        <v>64</v>
      </c>
      <c r="G522" s="1">
        <v>133</v>
      </c>
      <c r="H522" s="1">
        <v>17</v>
      </c>
    </row>
    <row r="523" spans="1:8" ht="19.5">
      <c r="A523" s="1" t="s">
        <v>545</v>
      </c>
      <c r="B523" s="1" t="s">
        <v>37</v>
      </c>
      <c r="C523" s="1" t="s">
        <v>13</v>
      </c>
      <c r="D523" s="1">
        <v>78</v>
      </c>
      <c r="E523" s="2">
        <v>1.7147361984993701E-4</v>
      </c>
      <c r="F523" s="1">
        <v>78</v>
      </c>
      <c r="G523" s="1">
        <v>134</v>
      </c>
      <c r="H523" s="1">
        <v>17</v>
      </c>
    </row>
    <row r="524" spans="1:8" ht="19.5">
      <c r="A524" s="1" t="s">
        <v>546</v>
      </c>
      <c r="B524" s="1" t="s">
        <v>39</v>
      </c>
      <c r="C524" s="1" t="s">
        <v>13</v>
      </c>
      <c r="D524" s="1">
        <v>474</v>
      </c>
      <c r="E524" s="2">
        <v>1.1986091678556185E-3</v>
      </c>
      <c r="F524" s="1">
        <v>90</v>
      </c>
      <c r="G524" s="1">
        <v>175</v>
      </c>
      <c r="H524" s="1">
        <v>24</v>
      </c>
    </row>
    <row r="525" spans="1:8" ht="19.5">
      <c r="A525" s="1" t="s">
        <v>547</v>
      </c>
      <c r="B525" s="1" t="s">
        <v>42</v>
      </c>
      <c r="C525" s="1" t="s">
        <v>13</v>
      </c>
      <c r="D525" s="1">
        <v>99</v>
      </c>
      <c r="E525" s="2">
        <v>1.5881418004151265E-3</v>
      </c>
      <c r="F525" s="1">
        <v>92</v>
      </c>
      <c r="G525" s="1">
        <v>165</v>
      </c>
      <c r="H525" s="1">
        <v>33</v>
      </c>
    </row>
    <row r="526" spans="1:8" ht="19.5">
      <c r="A526" s="1" t="s">
        <v>548</v>
      </c>
      <c r="B526" s="1" t="s">
        <v>42</v>
      </c>
      <c r="C526" s="1" t="s">
        <v>13</v>
      </c>
      <c r="D526" s="1">
        <v>104</v>
      </c>
      <c r="E526" s="2">
        <v>2.2263032287186577E-4</v>
      </c>
      <c r="F526" s="1">
        <v>71</v>
      </c>
      <c r="G526" s="1">
        <v>144</v>
      </c>
      <c r="H526" s="1">
        <v>16</v>
      </c>
    </row>
    <row r="527" spans="1:8" ht="19.5">
      <c r="A527" s="1" t="s">
        <v>549</v>
      </c>
      <c r="B527" s="1" t="s">
        <v>31</v>
      </c>
      <c r="C527" s="1" t="s">
        <v>13</v>
      </c>
      <c r="D527" s="1">
        <v>31</v>
      </c>
      <c r="E527" s="2">
        <v>1.8988229763858549E-3</v>
      </c>
      <c r="F527" s="1">
        <v>86</v>
      </c>
      <c r="G527" s="1">
        <v>185</v>
      </c>
      <c r="H527" s="1">
        <v>32</v>
      </c>
    </row>
    <row r="528" spans="1:8" ht="19.5">
      <c r="A528" s="1" t="s">
        <v>550</v>
      </c>
      <c r="B528" s="1" t="s">
        <v>50</v>
      </c>
      <c r="C528" s="1" t="s">
        <v>13</v>
      </c>
      <c r="D528" s="1">
        <v>265</v>
      </c>
      <c r="E528" s="2">
        <v>1.1207255226062369E-3</v>
      </c>
      <c r="F528" s="1">
        <v>127</v>
      </c>
      <c r="G528" s="1">
        <v>205</v>
      </c>
      <c r="H528" s="1">
        <v>4</v>
      </c>
    </row>
    <row r="529" spans="1:8" ht="19.5">
      <c r="A529" s="1" t="s">
        <v>551</v>
      </c>
      <c r="B529" s="1" t="s">
        <v>39</v>
      </c>
      <c r="C529" s="1" t="s">
        <v>13</v>
      </c>
      <c r="D529" s="1">
        <v>532</v>
      </c>
      <c r="E529" s="2">
        <v>2.0431225745847618E-3</v>
      </c>
      <c r="F529" s="1">
        <v>114</v>
      </c>
      <c r="G529" s="1">
        <v>180</v>
      </c>
      <c r="H529" s="1">
        <v>30</v>
      </c>
    </row>
    <row r="530" spans="1:8" ht="19.5">
      <c r="A530" s="1" t="s">
        <v>552</v>
      </c>
      <c r="B530" s="1" t="s">
        <v>42</v>
      </c>
      <c r="C530" s="1" t="s">
        <v>13</v>
      </c>
      <c r="D530" s="1">
        <v>113</v>
      </c>
      <c r="E530" s="2">
        <v>1.8417522753570383E-3</v>
      </c>
      <c r="F530" s="1">
        <v>102</v>
      </c>
      <c r="G530" s="1">
        <v>157</v>
      </c>
      <c r="H530" s="1">
        <v>24</v>
      </c>
    </row>
    <row r="531" spans="1:8" ht="19.5">
      <c r="A531" s="1" t="s">
        <v>553</v>
      </c>
      <c r="B531" s="1" t="s">
        <v>31</v>
      </c>
      <c r="C531" s="1" t="s">
        <v>20</v>
      </c>
      <c r="D531" s="1">
        <v>59</v>
      </c>
      <c r="E531" s="2">
        <v>2.543452193132126E-3</v>
      </c>
      <c r="F531" s="1">
        <v>100</v>
      </c>
      <c r="G531" s="1">
        <v>188</v>
      </c>
      <c r="H531" s="1">
        <v>17</v>
      </c>
    </row>
    <row r="532" spans="1:8" ht="19.5">
      <c r="A532" s="1" t="s">
        <v>554</v>
      </c>
      <c r="B532" s="1" t="s">
        <v>34</v>
      </c>
      <c r="C532" s="1" t="s">
        <v>13</v>
      </c>
      <c r="D532" s="1">
        <v>214</v>
      </c>
      <c r="E532" s="2">
        <v>8.0337430708301454E-4</v>
      </c>
      <c r="F532" s="1">
        <v>60</v>
      </c>
      <c r="G532" s="1">
        <v>178</v>
      </c>
      <c r="H532" s="1">
        <v>22</v>
      </c>
    </row>
    <row r="533" spans="1:8" ht="19.5">
      <c r="A533" s="1" t="s">
        <v>555</v>
      </c>
      <c r="B533" s="1" t="s">
        <v>37</v>
      </c>
      <c r="C533" s="1" t="s">
        <v>13</v>
      </c>
      <c r="D533" s="1">
        <v>84</v>
      </c>
      <c r="E533" s="2">
        <v>1.6676695878314639E-3</v>
      </c>
      <c r="F533" s="1">
        <v>63</v>
      </c>
      <c r="G533" s="1">
        <v>128</v>
      </c>
      <c r="H533" s="1">
        <v>31</v>
      </c>
    </row>
    <row r="534" spans="1:8" ht="19.5">
      <c r="A534" s="1" t="s">
        <v>556</v>
      </c>
      <c r="B534" s="1" t="s">
        <v>39</v>
      </c>
      <c r="C534" s="1" t="s">
        <v>13</v>
      </c>
      <c r="D534" s="1">
        <v>505</v>
      </c>
      <c r="E534" s="2">
        <v>1.187953628111285E-3</v>
      </c>
      <c r="F534" s="1">
        <v>89</v>
      </c>
      <c r="G534" s="1">
        <v>196</v>
      </c>
      <c r="H534" s="1">
        <v>23</v>
      </c>
    </row>
    <row r="535" spans="1:8" ht="19.5">
      <c r="A535" s="1" t="s">
        <v>557</v>
      </c>
      <c r="B535" s="1" t="s">
        <v>42</v>
      </c>
      <c r="C535" s="1" t="s">
        <v>20</v>
      </c>
      <c r="D535" s="1">
        <v>100</v>
      </c>
      <c r="E535" s="2">
        <v>4.3294353184578482E-3</v>
      </c>
      <c r="F535" s="1">
        <v>80</v>
      </c>
      <c r="G535" s="1">
        <v>151</v>
      </c>
      <c r="H535" s="1">
        <v>35</v>
      </c>
    </row>
    <row r="536" spans="1:8" ht="19.5">
      <c r="A536" s="1" t="s">
        <v>558</v>
      </c>
      <c r="B536" s="1" t="s">
        <v>42</v>
      </c>
      <c r="C536" s="1" t="s">
        <v>13</v>
      </c>
      <c r="D536" s="1">
        <v>125</v>
      </c>
      <c r="E536" s="2">
        <v>3.8982871030393447E-3</v>
      </c>
      <c r="F536" s="1">
        <v>78</v>
      </c>
      <c r="G536" s="1">
        <v>132</v>
      </c>
      <c r="H536" s="1">
        <v>39</v>
      </c>
    </row>
    <row r="537" spans="1:8" ht="19.5">
      <c r="A537" s="1" t="s">
        <v>559</v>
      </c>
      <c r="B537" s="1" t="s">
        <v>31</v>
      </c>
      <c r="C537" s="1" t="s">
        <v>13</v>
      </c>
      <c r="D537" s="1">
        <v>41</v>
      </c>
      <c r="E537" s="2">
        <v>3.140714044512547E-3</v>
      </c>
      <c r="F537" s="1">
        <v>51</v>
      </c>
      <c r="G537" s="1">
        <v>90</v>
      </c>
      <c r="H537" s="1">
        <v>50</v>
      </c>
    </row>
    <row r="538" spans="1:8" ht="19.5">
      <c r="A538" s="1" t="s">
        <v>560</v>
      </c>
      <c r="B538" s="1" t="s">
        <v>50</v>
      </c>
      <c r="C538" s="1" t="s">
        <v>20</v>
      </c>
      <c r="D538" s="1">
        <v>224</v>
      </c>
      <c r="E538" s="2">
        <v>1.4729551543504562E-3</v>
      </c>
      <c r="F538" s="1">
        <v>114</v>
      </c>
      <c r="G538" s="1">
        <v>181</v>
      </c>
      <c r="H538" s="1">
        <v>26</v>
      </c>
    </row>
    <row r="539" spans="1:8" ht="19.5">
      <c r="A539" s="1" t="s">
        <v>561</v>
      </c>
      <c r="B539" s="1" t="s">
        <v>39</v>
      </c>
      <c r="C539" s="1" t="s">
        <v>13</v>
      </c>
      <c r="D539" s="1">
        <v>556</v>
      </c>
      <c r="E539" s="2">
        <v>9.2901974948471073E-4</v>
      </c>
      <c r="F539" s="1">
        <v>73</v>
      </c>
      <c r="G539" s="1">
        <v>139</v>
      </c>
      <c r="H539" s="1">
        <v>23</v>
      </c>
    </row>
    <row r="540" spans="1:8" ht="19.5">
      <c r="A540" s="1" t="s">
        <v>562</v>
      </c>
      <c r="B540" s="1" t="s">
        <v>42</v>
      </c>
      <c r="C540" s="1" t="s">
        <v>20</v>
      </c>
      <c r="D540" s="1">
        <v>113</v>
      </c>
      <c r="E540" s="2">
        <v>1.5553272924701848E-3</v>
      </c>
      <c r="F540" s="1">
        <v>77</v>
      </c>
      <c r="G540" s="1">
        <v>150</v>
      </c>
      <c r="H540" s="1">
        <v>37</v>
      </c>
    </row>
    <row r="541" spans="1:8" ht="19.5">
      <c r="A541" s="1" t="s">
        <v>563</v>
      </c>
      <c r="B541" s="1" t="s">
        <v>42</v>
      </c>
      <c r="C541" s="1" t="s">
        <v>20</v>
      </c>
      <c r="D541" s="1">
        <v>92</v>
      </c>
      <c r="E541" s="2">
        <v>2.0817306126104727E-3</v>
      </c>
      <c r="F541" s="1">
        <v>53</v>
      </c>
      <c r="G541" s="1">
        <v>84</v>
      </c>
      <c r="H541" s="1">
        <v>50</v>
      </c>
    </row>
    <row r="542" spans="1:8" ht="19.5">
      <c r="A542" s="1" t="s">
        <v>564</v>
      </c>
      <c r="B542" s="1" t="s">
        <v>301</v>
      </c>
      <c r="C542" s="1" t="s">
        <v>20</v>
      </c>
      <c r="D542" s="1">
        <v>87</v>
      </c>
      <c r="E542" s="2">
        <v>1.9838516806935454E-3</v>
      </c>
      <c r="F542" s="1">
        <v>77</v>
      </c>
      <c r="G542" s="1">
        <v>150</v>
      </c>
      <c r="H542" s="1">
        <v>31</v>
      </c>
    </row>
    <row r="543" spans="1:8" ht="19.5">
      <c r="A543" s="1" t="s">
        <v>565</v>
      </c>
      <c r="B543" s="1" t="s">
        <v>31</v>
      </c>
      <c r="C543" s="1" t="s">
        <v>32</v>
      </c>
      <c r="D543" s="1">
        <v>62</v>
      </c>
      <c r="E543" s="2">
        <v>3.0581307819163867E-3</v>
      </c>
      <c r="F543" s="1">
        <v>102</v>
      </c>
      <c r="G543" s="1">
        <v>196</v>
      </c>
      <c r="H543" s="1">
        <v>23</v>
      </c>
    </row>
    <row r="544" spans="1:8" ht="19.5">
      <c r="A544" s="1" t="s">
        <v>566</v>
      </c>
      <c r="B544" s="1" t="s">
        <v>34</v>
      </c>
      <c r="C544" s="1" t="s">
        <v>20</v>
      </c>
      <c r="D544" s="1">
        <v>187</v>
      </c>
      <c r="E544" s="2">
        <v>2.2833161990234519E-3</v>
      </c>
      <c r="F544" s="1">
        <v>61</v>
      </c>
      <c r="G544" s="1">
        <v>125</v>
      </c>
      <c r="H544" s="1">
        <v>34</v>
      </c>
    </row>
    <row r="545" spans="1:8" ht="19.5">
      <c r="A545" s="1" t="s">
        <v>567</v>
      </c>
      <c r="B545" s="1" t="s">
        <v>39</v>
      </c>
      <c r="C545" s="1" t="s">
        <v>20</v>
      </c>
      <c r="D545" s="1">
        <v>604</v>
      </c>
      <c r="E545" s="2">
        <v>1.2149982201569074E-3</v>
      </c>
      <c r="F545" s="1">
        <v>89</v>
      </c>
      <c r="G545" s="1">
        <v>164</v>
      </c>
      <c r="H545" s="1">
        <v>34</v>
      </c>
    </row>
    <row r="546" spans="1:8" ht="19.5">
      <c r="A546" s="1" t="s">
        <v>568</v>
      </c>
      <c r="B546" s="1" t="s">
        <v>42</v>
      </c>
      <c r="C546" s="1" t="s">
        <v>13</v>
      </c>
      <c r="D546" s="1">
        <v>106</v>
      </c>
      <c r="E546" s="2">
        <v>1.8173104510061744E-3</v>
      </c>
      <c r="F546" s="1">
        <v>86</v>
      </c>
      <c r="G546" s="1">
        <v>134</v>
      </c>
      <c r="H546" s="1">
        <v>33</v>
      </c>
    </row>
    <row r="547" spans="1:8" ht="19.5">
      <c r="A547" s="1" t="s">
        <v>569</v>
      </c>
      <c r="B547" s="1" t="s">
        <v>42</v>
      </c>
      <c r="C547" s="1" t="s">
        <v>13</v>
      </c>
      <c r="D547" s="1">
        <v>97</v>
      </c>
      <c r="E547" s="2">
        <v>2.3729319839809718E-3</v>
      </c>
      <c r="F547" s="1">
        <v>58</v>
      </c>
      <c r="G547" s="1">
        <v>139</v>
      </c>
      <c r="H547" s="1">
        <v>48</v>
      </c>
    </row>
    <row r="548" spans="1:8" ht="19.5">
      <c r="A548" s="1" t="s">
        <v>570</v>
      </c>
      <c r="B548" s="1" t="s">
        <v>301</v>
      </c>
      <c r="C548" s="1" t="s">
        <v>13</v>
      </c>
      <c r="D548" s="1">
        <v>92</v>
      </c>
      <c r="E548" s="2">
        <v>1.0468887201323933E-3</v>
      </c>
      <c r="F548" s="1">
        <v>51</v>
      </c>
      <c r="G548" s="1">
        <v>105</v>
      </c>
      <c r="H548" s="1">
        <v>29</v>
      </c>
    </row>
    <row r="549" spans="1:8" ht="19.5">
      <c r="A549" s="1" t="s">
        <v>571</v>
      </c>
      <c r="B549" s="1" t="s">
        <v>34</v>
      </c>
      <c r="C549" s="1" t="s">
        <v>20</v>
      </c>
      <c r="D549" s="1">
        <v>175</v>
      </c>
      <c r="E549" s="2">
        <v>4.947163182912785E-4</v>
      </c>
      <c r="F549" s="1">
        <v>82</v>
      </c>
      <c r="G549" s="1">
        <v>185</v>
      </c>
      <c r="H549" s="1">
        <v>35</v>
      </c>
    </row>
    <row r="550" spans="1:8" ht="19.5">
      <c r="A550" s="1" t="s">
        <v>572</v>
      </c>
      <c r="B550" s="1" t="s">
        <v>50</v>
      </c>
      <c r="C550" s="1" t="s">
        <v>20</v>
      </c>
      <c r="D550" s="1">
        <v>337</v>
      </c>
      <c r="E550" s="2">
        <v>9.3014183735731424E-4</v>
      </c>
      <c r="F550" s="1">
        <v>66</v>
      </c>
      <c r="G550" s="1">
        <v>138</v>
      </c>
      <c r="H550" s="1">
        <v>28</v>
      </c>
    </row>
    <row r="551" spans="1:8" ht="19.5">
      <c r="A551" s="1" t="s">
        <v>573</v>
      </c>
      <c r="B551" s="1" t="s">
        <v>37</v>
      </c>
      <c r="C551" s="1" t="s">
        <v>13</v>
      </c>
      <c r="D551" s="1">
        <v>83</v>
      </c>
      <c r="E551" s="2">
        <v>1.8414856295507832E-3</v>
      </c>
      <c r="F551" s="1">
        <v>67</v>
      </c>
      <c r="G551" s="1">
        <v>158</v>
      </c>
      <c r="H551" s="1">
        <v>28</v>
      </c>
    </row>
    <row r="552" spans="1:8" ht="19.5">
      <c r="A552" s="1" t="s">
        <v>574</v>
      </c>
      <c r="B552" s="1" t="s">
        <v>39</v>
      </c>
      <c r="C552" s="1" t="s">
        <v>13</v>
      </c>
      <c r="D552" s="1">
        <v>677</v>
      </c>
      <c r="E552" s="2">
        <v>1.0221200699612198E-3</v>
      </c>
      <c r="F552" s="1">
        <v>42</v>
      </c>
      <c r="G552" s="1">
        <v>130</v>
      </c>
      <c r="H552" s="1">
        <v>19</v>
      </c>
    </row>
    <row r="553" spans="1:8" ht="19.5">
      <c r="A553" s="1" t="s">
        <v>575</v>
      </c>
      <c r="B553" s="1"/>
      <c r="C553" s="1" t="s">
        <v>13</v>
      </c>
      <c r="D553" s="1">
        <v>482</v>
      </c>
      <c r="E553" s="2">
        <v>9.7659907042466857E-4</v>
      </c>
      <c r="F553" s="1">
        <v>73</v>
      </c>
      <c r="G553" s="1">
        <v>162</v>
      </c>
      <c r="H553" s="1">
        <v>22</v>
      </c>
    </row>
    <row r="554" spans="1:8" ht="19.5">
      <c r="A554" s="1" t="s">
        <v>576</v>
      </c>
      <c r="B554" s="1" t="s">
        <v>42</v>
      </c>
      <c r="C554" s="1" t="s">
        <v>13</v>
      </c>
      <c r="D554" s="1">
        <v>75</v>
      </c>
      <c r="E554" s="2">
        <v>1.0075541514560228E-3</v>
      </c>
      <c r="F554" s="1">
        <v>18</v>
      </c>
      <c r="G554" s="1">
        <v>153</v>
      </c>
      <c r="H554" s="1">
        <v>26</v>
      </c>
    </row>
    <row r="555" spans="1:8" ht="19.5">
      <c r="A555" s="1" t="s">
        <v>577</v>
      </c>
      <c r="B555" s="1" t="s">
        <v>34</v>
      </c>
      <c r="C555" s="1" t="s">
        <v>13</v>
      </c>
      <c r="D555" s="1">
        <v>120</v>
      </c>
      <c r="E555" s="2">
        <v>1.5789745625351145E-3</v>
      </c>
      <c r="F555" s="1">
        <v>70</v>
      </c>
      <c r="G555" s="1">
        <v>154</v>
      </c>
      <c r="H555" s="1">
        <v>29</v>
      </c>
    </row>
    <row r="556" spans="1:8" ht="19.5">
      <c r="A556" s="1" t="s">
        <v>578</v>
      </c>
      <c r="B556" s="1" t="s">
        <v>37</v>
      </c>
      <c r="C556" s="1" t="s">
        <v>13</v>
      </c>
      <c r="D556" s="1">
        <v>71</v>
      </c>
      <c r="E556" s="2">
        <v>2.3856496052785106E-3</v>
      </c>
      <c r="F556" s="1">
        <v>70</v>
      </c>
      <c r="G556" s="1">
        <v>152</v>
      </c>
      <c r="H556" s="1">
        <v>35</v>
      </c>
    </row>
    <row r="557" spans="1:8" ht="19.5">
      <c r="A557" s="1" t="s">
        <v>579</v>
      </c>
      <c r="B557" s="1" t="s">
        <v>42</v>
      </c>
      <c r="C557" s="1" t="s">
        <v>13</v>
      </c>
      <c r="D557" s="1">
        <v>108</v>
      </c>
      <c r="E557" s="2">
        <v>3.0746699872019156E-3</v>
      </c>
      <c r="F557" s="1">
        <v>82</v>
      </c>
      <c r="G557" s="1">
        <v>174</v>
      </c>
      <c r="H557" s="1">
        <v>32</v>
      </c>
    </row>
    <row r="558" spans="1:8" ht="19.5">
      <c r="A558" s="1" t="s">
        <v>580</v>
      </c>
      <c r="B558" s="1" t="s">
        <v>31</v>
      </c>
      <c r="C558" s="1" t="s">
        <v>13</v>
      </c>
      <c r="D558" s="1">
        <v>36</v>
      </c>
      <c r="E558" s="2">
        <v>2.7688064798372957E-3</v>
      </c>
      <c r="F558" s="1">
        <v>63</v>
      </c>
      <c r="G558" s="1">
        <v>134</v>
      </c>
      <c r="H558" s="1">
        <v>44</v>
      </c>
    </row>
    <row r="559" spans="1:8" ht="19.5">
      <c r="A559" s="1" t="s">
        <v>581</v>
      </c>
      <c r="B559" s="1" t="s">
        <v>34</v>
      </c>
      <c r="C559" s="1" t="s">
        <v>20</v>
      </c>
      <c r="D559" s="1">
        <v>187</v>
      </c>
      <c r="E559" s="2">
        <v>1.6720620844230827E-3</v>
      </c>
      <c r="F559" s="1">
        <v>91</v>
      </c>
      <c r="G559" s="1">
        <v>170</v>
      </c>
      <c r="H559" s="1">
        <v>32</v>
      </c>
    </row>
    <row r="560" spans="1:8" ht="19.5">
      <c r="A560" s="1" t="s">
        <v>582</v>
      </c>
      <c r="B560" s="1" t="s">
        <v>34</v>
      </c>
      <c r="C560" s="1" t="s">
        <v>13</v>
      </c>
      <c r="D560" s="1">
        <v>182</v>
      </c>
      <c r="E560" s="2">
        <v>6.2525235177803441E-4</v>
      </c>
      <c r="F560" s="1">
        <v>107</v>
      </c>
      <c r="G560" s="1">
        <v>205</v>
      </c>
      <c r="H560" s="1">
        <v>8</v>
      </c>
    </row>
    <row r="561" spans="1:8" ht="19.5">
      <c r="A561" s="1" t="s">
        <v>583</v>
      </c>
      <c r="B561" s="1" t="s">
        <v>39</v>
      </c>
      <c r="C561" s="1" t="s">
        <v>13</v>
      </c>
      <c r="D561" s="1">
        <v>356</v>
      </c>
      <c r="E561" s="2">
        <v>1.920359226579823E-3</v>
      </c>
      <c r="F561" s="1">
        <v>68</v>
      </c>
      <c r="G561" s="1">
        <v>148</v>
      </c>
      <c r="H561" s="1">
        <v>30</v>
      </c>
    </row>
    <row r="562" spans="1:8" ht="19.5">
      <c r="A562" s="1" t="s">
        <v>584</v>
      </c>
      <c r="B562" s="1" t="s">
        <v>42</v>
      </c>
      <c r="C562" s="1" t="s">
        <v>20</v>
      </c>
      <c r="D562" s="1">
        <v>92</v>
      </c>
      <c r="E562" s="2">
        <v>2.5711306692622173E-3</v>
      </c>
      <c r="F562" s="1">
        <v>76</v>
      </c>
      <c r="G562" s="1">
        <v>139</v>
      </c>
      <c r="H562" s="1">
        <v>42</v>
      </c>
    </row>
    <row r="563" spans="1:8" ht="19.5">
      <c r="A563" s="1" t="s">
        <v>585</v>
      </c>
      <c r="B563" s="1" t="s">
        <v>42</v>
      </c>
      <c r="C563" s="1" t="s">
        <v>13</v>
      </c>
      <c r="D563" s="1">
        <v>113</v>
      </c>
      <c r="E563" s="2">
        <v>1.9072651390531555E-3</v>
      </c>
      <c r="F563" s="1">
        <v>88</v>
      </c>
      <c r="G563" s="1">
        <v>140</v>
      </c>
      <c r="H563" s="1">
        <v>44</v>
      </c>
    </row>
    <row r="564" spans="1:8" ht="19.5">
      <c r="A564" s="1" t="s">
        <v>586</v>
      </c>
      <c r="B564" s="1" t="s">
        <v>301</v>
      </c>
      <c r="C564" s="1" t="s">
        <v>20</v>
      </c>
      <c r="D564" s="1">
        <v>108</v>
      </c>
      <c r="E564" s="2">
        <v>2.6272966663581135E-3</v>
      </c>
      <c r="F564" s="1">
        <v>15</v>
      </c>
      <c r="G564" s="1">
        <v>86</v>
      </c>
      <c r="H564" s="1">
        <v>41</v>
      </c>
    </row>
    <row r="565" spans="1:8" ht="19.5">
      <c r="A565" s="1" t="s">
        <v>587</v>
      </c>
      <c r="B565" s="1" t="s">
        <v>31</v>
      </c>
      <c r="C565" s="1" t="s">
        <v>20</v>
      </c>
      <c r="D565" s="1">
        <v>60</v>
      </c>
      <c r="E565" s="2">
        <v>8.4414757447350333E-4</v>
      </c>
      <c r="F565" s="1">
        <v>66</v>
      </c>
      <c r="G565" s="1">
        <v>169</v>
      </c>
      <c r="H565" s="1">
        <v>19</v>
      </c>
    </row>
    <row r="566" spans="1:8" ht="19.5">
      <c r="A566" s="1" t="s">
        <v>588</v>
      </c>
      <c r="B566" s="1" t="s">
        <v>50</v>
      </c>
      <c r="C566" s="1" t="s">
        <v>13</v>
      </c>
      <c r="D566" s="1">
        <v>252</v>
      </c>
      <c r="E566" s="2">
        <v>2.2594233125458542E-3</v>
      </c>
      <c r="F566" s="1">
        <v>56</v>
      </c>
      <c r="G566" s="1">
        <v>138</v>
      </c>
      <c r="H566" s="1">
        <v>42</v>
      </c>
    </row>
    <row r="567" spans="1:8" ht="19.5">
      <c r="A567" s="1" t="s">
        <v>589</v>
      </c>
      <c r="B567" s="1" t="s">
        <v>39</v>
      </c>
      <c r="C567" s="1" t="s">
        <v>13</v>
      </c>
      <c r="D567" s="1">
        <v>299</v>
      </c>
      <c r="E567" s="2">
        <v>8.961612504037067E-4</v>
      </c>
      <c r="F567" s="1">
        <v>128</v>
      </c>
      <c r="G567" s="1">
        <v>167</v>
      </c>
      <c r="H567" s="1">
        <v>30</v>
      </c>
    </row>
    <row r="568" spans="1:8" ht="19.5">
      <c r="A568" s="1" t="s">
        <v>590</v>
      </c>
      <c r="B568" s="1" t="s">
        <v>42</v>
      </c>
      <c r="C568" s="1" t="s">
        <v>13</v>
      </c>
      <c r="D568" s="1">
        <v>130</v>
      </c>
      <c r="E568" s="2">
        <v>2.263224003553536E-4</v>
      </c>
      <c r="F568" s="1">
        <v>94</v>
      </c>
      <c r="G568" s="1">
        <v>234</v>
      </c>
      <c r="H568" s="1">
        <v>13</v>
      </c>
    </row>
    <row r="569" spans="1:8" ht="19.5">
      <c r="A569" s="1" t="s">
        <v>591</v>
      </c>
      <c r="B569" s="1" t="s">
        <v>42</v>
      </c>
      <c r="C569" s="1" t="s">
        <v>13</v>
      </c>
      <c r="D569" s="1">
        <v>134</v>
      </c>
      <c r="E569" s="2">
        <v>1.188792614600634E-3</v>
      </c>
      <c r="F569" s="1">
        <v>66</v>
      </c>
      <c r="G569" s="1">
        <v>171</v>
      </c>
      <c r="H569" s="1">
        <v>34</v>
      </c>
    </row>
    <row r="570" spans="1:8" ht="19.5">
      <c r="A570" s="1" t="s">
        <v>592</v>
      </c>
      <c r="B570" s="1" t="s">
        <v>301</v>
      </c>
      <c r="C570" s="1" t="s">
        <v>20</v>
      </c>
      <c r="D570" s="1">
        <v>97</v>
      </c>
      <c r="E570" s="2">
        <v>3.052730371448412E-3</v>
      </c>
      <c r="F570" s="1">
        <v>74</v>
      </c>
      <c r="G570" s="1">
        <v>125</v>
      </c>
      <c r="H570" s="1">
        <v>38</v>
      </c>
    </row>
    <row r="571" spans="1:8" ht="19.5">
      <c r="A571" s="1" t="s">
        <v>593</v>
      </c>
      <c r="B571" s="1" t="s">
        <v>31</v>
      </c>
      <c r="C571" s="1" t="s">
        <v>13</v>
      </c>
      <c r="D571" s="1">
        <v>39</v>
      </c>
      <c r="E571" s="2">
        <v>1.0850048989338502E-3</v>
      </c>
      <c r="F571" s="1">
        <v>84</v>
      </c>
      <c r="G571" s="1">
        <v>181</v>
      </c>
      <c r="H571" s="1">
        <v>17</v>
      </c>
    </row>
    <row r="572" spans="1:8" ht="19.5">
      <c r="A572" s="1" t="s">
        <v>594</v>
      </c>
      <c r="B572" s="1" t="s">
        <v>34</v>
      </c>
      <c r="C572" s="1" t="s">
        <v>13</v>
      </c>
      <c r="D572" s="1">
        <v>153</v>
      </c>
      <c r="E572" s="2">
        <v>2.917371841535159E-3</v>
      </c>
      <c r="F572" s="1">
        <v>25</v>
      </c>
      <c r="G572" s="1">
        <v>111</v>
      </c>
      <c r="H572" s="1">
        <v>37</v>
      </c>
    </row>
    <row r="573" spans="1:8" ht="19.5">
      <c r="A573" s="1" t="s">
        <v>595</v>
      </c>
      <c r="B573" s="1" t="s">
        <v>50</v>
      </c>
      <c r="C573" s="1" t="s">
        <v>13</v>
      </c>
      <c r="D573" s="1">
        <v>302</v>
      </c>
      <c r="E573" s="2">
        <v>1.6698627894121754E-3</v>
      </c>
      <c r="F573" s="1">
        <v>78</v>
      </c>
      <c r="G573" s="1">
        <v>184</v>
      </c>
      <c r="H573" s="1">
        <v>27</v>
      </c>
    </row>
    <row r="574" spans="1:8" ht="19.5">
      <c r="A574" s="1" t="s">
        <v>596</v>
      </c>
      <c r="B574" s="1" t="s">
        <v>39</v>
      </c>
      <c r="C574" s="1" t="s">
        <v>20</v>
      </c>
      <c r="D574" s="1">
        <v>287</v>
      </c>
      <c r="E574" s="2">
        <v>1.9366485536107321E-3</v>
      </c>
      <c r="F574" s="1">
        <v>78</v>
      </c>
      <c r="G574" s="1">
        <v>180</v>
      </c>
      <c r="H574" s="1">
        <v>36</v>
      </c>
    </row>
    <row r="575" spans="1:8" ht="19.5">
      <c r="A575" s="1" t="s">
        <v>597</v>
      </c>
      <c r="B575" s="1" t="s">
        <v>39</v>
      </c>
      <c r="C575" s="1" t="s">
        <v>20</v>
      </c>
      <c r="D575" s="1">
        <v>522</v>
      </c>
      <c r="E575" s="2">
        <v>1.9640303746596881E-3</v>
      </c>
      <c r="F575" s="1">
        <v>103</v>
      </c>
      <c r="G575" s="1">
        <v>195</v>
      </c>
      <c r="H575" s="1">
        <v>22</v>
      </c>
    </row>
    <row r="576" spans="1:8" ht="19.5">
      <c r="A576" s="1" t="s">
        <v>598</v>
      </c>
      <c r="B576" s="1" t="s">
        <v>31</v>
      </c>
      <c r="C576" s="1" t="s">
        <v>13</v>
      </c>
      <c r="D576" s="1">
        <v>47</v>
      </c>
      <c r="E576" s="2">
        <v>1.6397802860435196E-3</v>
      </c>
      <c r="F576" s="1">
        <v>80</v>
      </c>
      <c r="G576" s="1">
        <v>130</v>
      </c>
      <c r="H576" s="1">
        <v>30</v>
      </c>
    </row>
    <row r="577" spans="1:8" ht="19.5">
      <c r="A577" s="1" t="s">
        <v>599</v>
      </c>
      <c r="B577" s="1" t="s">
        <v>34</v>
      </c>
      <c r="C577" s="1" t="s">
        <v>20</v>
      </c>
      <c r="D577" s="1">
        <v>176</v>
      </c>
      <c r="E577" s="2">
        <v>3.7968061123726719E-5</v>
      </c>
      <c r="F577" s="1">
        <v>84</v>
      </c>
      <c r="G577" s="1">
        <v>168</v>
      </c>
      <c r="H577" s="1">
        <v>10</v>
      </c>
    </row>
    <row r="578" spans="1:8" ht="19.5">
      <c r="A578" s="1" t="s">
        <v>600</v>
      </c>
      <c r="B578" s="1" t="s">
        <v>39</v>
      </c>
      <c r="C578" s="1" t="s">
        <v>13</v>
      </c>
      <c r="D578" s="1">
        <v>602</v>
      </c>
      <c r="E578" s="2">
        <v>1.5062822083639028E-3</v>
      </c>
      <c r="F578" s="1">
        <v>61</v>
      </c>
      <c r="G578" s="1">
        <v>118</v>
      </c>
      <c r="H578" s="1">
        <v>28</v>
      </c>
    </row>
    <row r="579" spans="1:8" ht="19.5">
      <c r="A579" s="1" t="s">
        <v>601</v>
      </c>
      <c r="B579" s="1" t="s">
        <v>39</v>
      </c>
      <c r="C579" s="1" t="s">
        <v>20</v>
      </c>
      <c r="D579" s="1">
        <v>437</v>
      </c>
      <c r="E579" s="2">
        <v>7.8656153387764768E-4</v>
      </c>
      <c r="F579" s="1">
        <v>109</v>
      </c>
      <c r="G579" s="1">
        <v>153</v>
      </c>
      <c r="H579" s="1">
        <v>15</v>
      </c>
    </row>
    <row r="580" spans="1:8" ht="19.5">
      <c r="A580" s="1" t="s">
        <v>602</v>
      </c>
      <c r="B580" s="1" t="s">
        <v>42</v>
      </c>
      <c r="C580" s="1" t="s">
        <v>13</v>
      </c>
      <c r="D580" s="1">
        <v>117</v>
      </c>
      <c r="E580" s="2">
        <v>2.3754834705071652E-3</v>
      </c>
      <c r="F580" s="1">
        <v>66</v>
      </c>
      <c r="G580" s="1">
        <v>142</v>
      </c>
      <c r="H580" s="1">
        <v>35</v>
      </c>
    </row>
    <row r="581" spans="1:8" ht="19.5">
      <c r="A581" s="1" t="s">
        <v>603</v>
      </c>
      <c r="B581" s="1" t="s">
        <v>34</v>
      </c>
      <c r="C581" s="1" t="s">
        <v>20</v>
      </c>
      <c r="D581" s="1">
        <v>96</v>
      </c>
      <c r="E581" s="2">
        <v>2.8476924892382135E-3</v>
      </c>
      <c r="F581" s="1">
        <v>68</v>
      </c>
      <c r="G581" s="1">
        <v>135</v>
      </c>
      <c r="H581" s="1">
        <v>32</v>
      </c>
    </row>
    <row r="582" spans="1:8" ht="19.5">
      <c r="A582" s="1" t="s">
        <v>604</v>
      </c>
      <c r="B582" s="1" t="s">
        <v>34</v>
      </c>
      <c r="C582" s="1" t="s">
        <v>20</v>
      </c>
      <c r="D582" s="1">
        <v>248</v>
      </c>
      <c r="E582" s="2">
        <v>9.9849734149906741E-4</v>
      </c>
      <c r="F582" s="1">
        <v>46</v>
      </c>
      <c r="G582" s="1">
        <v>150</v>
      </c>
      <c r="H582" s="1">
        <v>23</v>
      </c>
    </row>
    <row r="583" spans="1:8" ht="19.5">
      <c r="A583" s="1" t="s">
        <v>605</v>
      </c>
      <c r="B583" s="1" t="s">
        <v>37</v>
      </c>
      <c r="C583" s="1" t="s">
        <v>20</v>
      </c>
      <c r="D583" s="1">
        <v>113</v>
      </c>
      <c r="E583" s="2">
        <v>9.3881852935500949E-4</v>
      </c>
      <c r="F583" s="1">
        <v>95</v>
      </c>
      <c r="G583" s="1">
        <v>179</v>
      </c>
      <c r="H583" s="1">
        <v>24</v>
      </c>
    </row>
    <row r="584" spans="1:8" ht="19.5">
      <c r="A584" s="1" t="s">
        <v>606</v>
      </c>
      <c r="B584" s="1" t="s">
        <v>39</v>
      </c>
      <c r="C584" s="1" t="s">
        <v>13</v>
      </c>
      <c r="D584" s="1">
        <v>520</v>
      </c>
      <c r="E584" s="2">
        <v>1.0691862806893044E-3</v>
      </c>
      <c r="F584" s="1">
        <v>48</v>
      </c>
      <c r="G584" s="1">
        <v>166</v>
      </c>
      <c r="H584" s="1">
        <v>27</v>
      </c>
    </row>
    <row r="585" spans="1:8" ht="19.5">
      <c r="A585" s="1" t="s">
        <v>607</v>
      </c>
      <c r="B585" s="1" t="s">
        <v>39</v>
      </c>
      <c r="C585" s="1" t="s">
        <v>20</v>
      </c>
      <c r="D585" s="1">
        <v>413</v>
      </c>
      <c r="E585" s="2">
        <v>2.4208106920134151E-3</v>
      </c>
      <c r="F585" s="1">
        <v>93</v>
      </c>
      <c r="G585" s="1">
        <v>161</v>
      </c>
      <c r="H585" s="1">
        <v>45</v>
      </c>
    </row>
    <row r="586" spans="1:8" ht="19.5">
      <c r="A586" s="1" t="s">
        <v>608</v>
      </c>
      <c r="B586" s="1" t="s">
        <v>42</v>
      </c>
      <c r="C586" s="1" t="s">
        <v>13</v>
      </c>
      <c r="D586" s="1">
        <v>69</v>
      </c>
      <c r="E586" s="2">
        <v>1.7115216846821995E-3</v>
      </c>
      <c r="F586" s="1">
        <v>71</v>
      </c>
      <c r="G586" s="1">
        <v>152</v>
      </c>
      <c r="H586" s="1">
        <v>25</v>
      </c>
    </row>
    <row r="587" spans="1:8" ht="19.5">
      <c r="A587" s="1" t="s">
        <v>609</v>
      </c>
      <c r="B587" s="1" t="s">
        <v>42</v>
      </c>
      <c r="C587" s="3" t="s">
        <v>32</v>
      </c>
      <c r="D587" s="1">
        <v>144</v>
      </c>
      <c r="E587" s="2">
        <v>1.1406515128995181E-3</v>
      </c>
      <c r="F587" s="1">
        <v>95</v>
      </c>
      <c r="G587" s="1">
        <v>143</v>
      </c>
      <c r="H587" s="1">
        <v>25</v>
      </c>
    </row>
    <row r="588" spans="1:8" ht="19.5">
      <c r="A588" s="1" t="s">
        <v>610</v>
      </c>
      <c r="B588" s="1" t="s">
        <v>31</v>
      </c>
      <c r="C588" s="1" t="s">
        <v>13</v>
      </c>
      <c r="D588" s="1">
        <v>53</v>
      </c>
      <c r="E588" s="2">
        <v>1.3547201511424263E-3</v>
      </c>
      <c r="F588" s="1">
        <v>72</v>
      </c>
      <c r="G588" s="1">
        <v>151</v>
      </c>
      <c r="H588" s="1">
        <v>33</v>
      </c>
    </row>
    <row r="589" spans="1:8" ht="19.5">
      <c r="A589" s="1" t="s">
        <v>611</v>
      </c>
      <c r="B589" s="1" t="s">
        <v>34</v>
      </c>
      <c r="C589" s="1" t="s">
        <v>13</v>
      </c>
      <c r="D589" s="1">
        <v>164</v>
      </c>
      <c r="E589" s="2">
        <v>2.607579695086861E-3</v>
      </c>
      <c r="F589" s="1">
        <v>58</v>
      </c>
      <c r="G589" s="1">
        <v>184</v>
      </c>
      <c r="H589" s="1">
        <v>30</v>
      </c>
    </row>
    <row r="590" spans="1:8" ht="19.5">
      <c r="A590" s="1" t="s">
        <v>612</v>
      </c>
      <c r="B590" s="1" t="s">
        <v>39</v>
      </c>
      <c r="C590" s="1" t="s">
        <v>20</v>
      </c>
      <c r="D590" s="1">
        <v>413</v>
      </c>
      <c r="E590" s="2">
        <v>1.5147723799035721E-3</v>
      </c>
      <c r="F590" s="1">
        <v>75</v>
      </c>
      <c r="G590" s="1">
        <v>166</v>
      </c>
      <c r="H590" s="1">
        <v>30</v>
      </c>
    </row>
    <row r="591" spans="1:8" ht="19.5">
      <c r="A591" s="1" t="s">
        <v>613</v>
      </c>
      <c r="B591" s="1" t="s">
        <v>42</v>
      </c>
      <c r="C591" s="1" t="s">
        <v>13</v>
      </c>
      <c r="D591" s="1">
        <v>108</v>
      </c>
      <c r="E591" s="2">
        <v>8.3489867134745792E-4</v>
      </c>
      <c r="F591" s="1">
        <v>96</v>
      </c>
      <c r="G591" s="1">
        <v>156</v>
      </c>
      <c r="H591" s="1">
        <v>32</v>
      </c>
    </row>
    <row r="592" spans="1:8" ht="19.5">
      <c r="A592" s="1" t="s">
        <v>614</v>
      </c>
      <c r="B592" s="1" t="s">
        <v>301</v>
      </c>
      <c r="C592" s="1" t="s">
        <v>13</v>
      </c>
      <c r="D592" s="1">
        <v>143</v>
      </c>
      <c r="E592" s="2">
        <v>1.5511539697444223E-3</v>
      </c>
      <c r="F592" s="1">
        <v>70</v>
      </c>
      <c r="G592" s="1">
        <v>132</v>
      </c>
      <c r="H592" s="1">
        <v>30</v>
      </c>
    </row>
    <row r="593" spans="1:8" ht="19.5">
      <c r="A593" s="1" t="s">
        <v>615</v>
      </c>
      <c r="B593" s="1" t="s">
        <v>31</v>
      </c>
      <c r="C593" s="1" t="s">
        <v>13</v>
      </c>
      <c r="D593" s="1">
        <v>57</v>
      </c>
      <c r="E593" s="2">
        <v>1.1536629123639378E-3</v>
      </c>
      <c r="F593" s="1">
        <v>54</v>
      </c>
      <c r="G593" s="1">
        <v>140</v>
      </c>
      <c r="H593" s="1">
        <v>22</v>
      </c>
    </row>
    <row r="594" spans="1:8" ht="19.5">
      <c r="A594" s="1" t="s">
        <v>616</v>
      </c>
      <c r="B594" s="1" t="s">
        <v>34</v>
      </c>
      <c r="C594" s="1" t="s">
        <v>13</v>
      </c>
      <c r="D594" s="1">
        <v>231</v>
      </c>
      <c r="E594" s="2">
        <v>1.4416965798596075E-3</v>
      </c>
      <c r="F594" s="1">
        <v>106</v>
      </c>
      <c r="G594" s="1">
        <v>161</v>
      </c>
      <c r="H594" s="1">
        <v>29</v>
      </c>
    </row>
    <row r="595" spans="1:8" ht="19.5">
      <c r="A595" s="1" t="s">
        <v>617</v>
      </c>
      <c r="B595" s="1" t="s">
        <v>50</v>
      </c>
      <c r="C595" s="1" t="s">
        <v>13</v>
      </c>
      <c r="D595" s="1">
        <v>294</v>
      </c>
      <c r="E595" s="2">
        <v>9.2288028607156027E-4</v>
      </c>
      <c r="F595" s="1">
        <v>125</v>
      </c>
      <c r="G595" s="1">
        <v>163</v>
      </c>
      <c r="H595" s="1">
        <v>14</v>
      </c>
    </row>
    <row r="596" spans="1:8" ht="19.5">
      <c r="A596" s="1" t="s">
        <v>618</v>
      </c>
      <c r="B596" s="1" t="s">
        <v>37</v>
      </c>
      <c r="C596" s="1" t="s">
        <v>20</v>
      </c>
      <c r="D596" s="1">
        <v>114</v>
      </c>
      <c r="E596" s="2">
        <v>5.6180428397912771E-4</v>
      </c>
      <c r="F596" s="1">
        <v>95</v>
      </c>
      <c r="G596" s="1">
        <v>136</v>
      </c>
      <c r="H596" s="1">
        <v>18</v>
      </c>
    </row>
    <row r="597" spans="1:8" ht="19.5">
      <c r="A597" s="1" t="s">
        <v>619</v>
      </c>
      <c r="B597" s="1" t="s">
        <v>39</v>
      </c>
      <c r="C597" s="1" t="s">
        <v>13</v>
      </c>
      <c r="D597" s="1">
        <v>389</v>
      </c>
      <c r="E597" s="2">
        <v>1.9643054755370047E-3</v>
      </c>
      <c r="F597" s="1">
        <v>84</v>
      </c>
      <c r="G597" s="1">
        <v>178</v>
      </c>
      <c r="H597" s="1">
        <v>34</v>
      </c>
    </row>
    <row r="598" spans="1:8" ht="19.5">
      <c r="A598" s="1" t="s">
        <v>620</v>
      </c>
      <c r="B598" s="1" t="s">
        <v>31</v>
      </c>
      <c r="C598" s="1" t="s">
        <v>20</v>
      </c>
      <c r="D598" s="1">
        <v>36</v>
      </c>
      <c r="E598" s="2">
        <v>1.7793120119596656E-3</v>
      </c>
      <c r="F598" s="1">
        <v>99</v>
      </c>
      <c r="G598" s="1">
        <v>190</v>
      </c>
      <c r="H598" s="1">
        <v>24</v>
      </c>
    </row>
    <row r="599" spans="1:8" ht="19.5">
      <c r="A599" s="1" t="s">
        <v>621</v>
      </c>
      <c r="B599" s="1" t="s">
        <v>34</v>
      </c>
      <c r="C599" s="1" t="s">
        <v>13</v>
      </c>
      <c r="D599" s="1">
        <v>228</v>
      </c>
      <c r="E599" s="2">
        <v>1.7214653809873176E-3</v>
      </c>
      <c r="F599" s="1">
        <v>80</v>
      </c>
      <c r="G599" s="1">
        <v>159</v>
      </c>
      <c r="H599" s="1">
        <v>32</v>
      </c>
    </row>
    <row r="600" spans="1:8" ht="19.5">
      <c r="A600" s="1" t="s">
        <v>622</v>
      </c>
      <c r="B600" s="1" t="s">
        <v>50</v>
      </c>
      <c r="C600" s="1" t="s">
        <v>13</v>
      </c>
      <c r="D600" s="1"/>
      <c r="E600" s="2">
        <v>1.0583445581276349E-3</v>
      </c>
      <c r="F600" s="1">
        <v>70</v>
      </c>
      <c r="G600" s="1">
        <v>144</v>
      </c>
      <c r="H600" s="1">
        <v>22</v>
      </c>
    </row>
    <row r="601" spans="1:8" ht="19.5">
      <c r="A601" s="1" t="s">
        <v>623</v>
      </c>
      <c r="B601" s="1" t="s">
        <v>37</v>
      </c>
      <c r="C601" s="1" t="s">
        <v>13</v>
      </c>
      <c r="D601" s="1">
        <v>114</v>
      </c>
      <c r="E601" s="2">
        <v>1.9244327709396342E-3</v>
      </c>
      <c r="F601" s="1">
        <v>42</v>
      </c>
      <c r="G601" s="1">
        <v>117</v>
      </c>
      <c r="H601" s="1">
        <v>38</v>
      </c>
    </row>
    <row r="602" spans="1:8" ht="19.5">
      <c r="A602" s="1" t="s">
        <v>624</v>
      </c>
      <c r="B602" s="1" t="s">
        <v>39</v>
      </c>
      <c r="C602" s="1" t="s">
        <v>13</v>
      </c>
      <c r="D602" s="1">
        <v>576</v>
      </c>
      <c r="E602" s="2">
        <v>1.8839650646760204E-3</v>
      </c>
      <c r="F602" s="1">
        <v>86</v>
      </c>
      <c r="G602" s="1">
        <v>157</v>
      </c>
      <c r="H602" s="1">
        <v>28</v>
      </c>
    </row>
    <row r="603" spans="1:8" ht="19.5">
      <c r="A603" s="1" t="s">
        <v>625</v>
      </c>
      <c r="B603" s="1" t="s">
        <v>39</v>
      </c>
      <c r="C603" s="1" t="s">
        <v>13</v>
      </c>
      <c r="D603" s="1">
        <v>579</v>
      </c>
      <c r="E603" s="2">
        <v>1.2568173220802073E-3</v>
      </c>
      <c r="F603" s="1">
        <v>107</v>
      </c>
      <c r="G603" s="1">
        <v>179</v>
      </c>
      <c r="H603" s="1">
        <v>19</v>
      </c>
    </row>
    <row r="604" spans="1:8" ht="19.5">
      <c r="A604" s="1" t="s">
        <v>626</v>
      </c>
      <c r="B604" s="1" t="s">
        <v>42</v>
      </c>
      <c r="C604" s="1" t="s">
        <v>13</v>
      </c>
      <c r="D604" s="1">
        <v>85</v>
      </c>
      <c r="E604" s="2">
        <v>1.3496970485346832E-3</v>
      </c>
      <c r="F604" s="1">
        <v>73</v>
      </c>
      <c r="G604" s="1">
        <v>150</v>
      </c>
      <c r="H604" s="1">
        <v>29</v>
      </c>
    </row>
    <row r="605" spans="1:8" ht="19.5">
      <c r="A605" s="1" t="s">
        <v>627</v>
      </c>
      <c r="B605" s="1" t="s">
        <v>628</v>
      </c>
      <c r="C605" s="1" t="s">
        <v>20</v>
      </c>
      <c r="D605" s="1">
        <v>68</v>
      </c>
      <c r="E605" s="2">
        <v>1.7835145898871738E-3</v>
      </c>
      <c r="F605" s="1">
        <v>115</v>
      </c>
      <c r="G605" s="1">
        <v>158</v>
      </c>
      <c r="H605" s="1">
        <v>29</v>
      </c>
    </row>
    <row r="606" spans="1:8" ht="19.5">
      <c r="A606" s="1" t="s">
        <v>629</v>
      </c>
      <c r="B606" s="1" t="s">
        <v>628</v>
      </c>
      <c r="C606" s="1" t="s">
        <v>20</v>
      </c>
      <c r="D606" s="1">
        <v>98</v>
      </c>
      <c r="E606" s="2">
        <v>5.1070402355257892E-3</v>
      </c>
      <c r="F606" s="1">
        <v>97</v>
      </c>
      <c r="G606" s="1">
        <v>150</v>
      </c>
      <c r="H606" s="1">
        <v>37</v>
      </c>
    </row>
    <row r="607" spans="1:8" ht="19.5">
      <c r="A607" s="1" t="s">
        <v>630</v>
      </c>
      <c r="B607" s="1" t="s">
        <v>628</v>
      </c>
      <c r="C607" s="1" t="s">
        <v>13</v>
      </c>
      <c r="D607" s="1">
        <v>80</v>
      </c>
      <c r="E607" s="2">
        <v>1.3777217048856824E-5</v>
      </c>
      <c r="F607" s="1">
        <v>104</v>
      </c>
      <c r="G607" s="1">
        <v>222</v>
      </c>
      <c r="H607" s="1">
        <v>2</v>
      </c>
    </row>
    <row r="608" spans="1:8" ht="19.5">
      <c r="A608" s="1" t="s">
        <v>631</v>
      </c>
      <c r="B608" s="1" t="s">
        <v>628</v>
      </c>
      <c r="C608" s="1" t="s">
        <v>13</v>
      </c>
      <c r="D608" s="1">
        <v>124</v>
      </c>
      <c r="E608" s="2">
        <v>1.3913311901432436E-3</v>
      </c>
      <c r="F608" s="1">
        <v>37</v>
      </c>
      <c r="G608" s="1">
        <v>140</v>
      </c>
      <c r="H608" s="1">
        <v>26</v>
      </c>
    </row>
    <row r="609" spans="1:8" ht="19.5">
      <c r="A609" s="1" t="s">
        <v>632</v>
      </c>
      <c r="B609" s="1" t="s">
        <v>628</v>
      </c>
      <c r="C609" s="1" t="s">
        <v>13</v>
      </c>
      <c r="D609" s="1">
        <v>136</v>
      </c>
      <c r="E609" s="2">
        <v>1.9233226179038593E-3</v>
      </c>
      <c r="F609" s="1">
        <v>77</v>
      </c>
      <c r="G609" s="1">
        <v>102</v>
      </c>
      <c r="H609" s="1">
        <v>32</v>
      </c>
    </row>
    <row r="610" spans="1:8" ht="19.5">
      <c r="A610" s="1" t="s">
        <v>633</v>
      </c>
      <c r="B610" s="1" t="s">
        <v>628</v>
      </c>
      <c r="C610" s="1" t="s">
        <v>13</v>
      </c>
      <c r="D610" s="1">
        <v>97</v>
      </c>
      <c r="E610" s="2">
        <v>1.3013304101209665E-3</v>
      </c>
      <c r="F610" s="1">
        <v>72</v>
      </c>
      <c r="G610" s="1">
        <v>127</v>
      </c>
      <c r="H610" s="1">
        <v>21</v>
      </c>
    </row>
    <row r="611" spans="1:8" ht="19.5">
      <c r="A611" s="1" t="s">
        <v>634</v>
      </c>
      <c r="B611" s="1" t="s">
        <v>628</v>
      </c>
      <c r="C611" s="1" t="s">
        <v>13</v>
      </c>
      <c r="D611" s="1">
        <v>120</v>
      </c>
      <c r="E611" s="2">
        <v>8.0693689733780504E-4</v>
      </c>
      <c r="F611" s="1">
        <v>60</v>
      </c>
      <c r="G611" s="1">
        <v>154</v>
      </c>
      <c r="H611" s="1">
        <v>15</v>
      </c>
    </row>
    <row r="612" spans="1:8" ht="19.5">
      <c r="A612" s="1" t="s">
        <v>635</v>
      </c>
      <c r="B612" s="1" t="s">
        <v>628</v>
      </c>
      <c r="C612" s="1" t="s">
        <v>13</v>
      </c>
      <c r="D612" s="1">
        <v>142</v>
      </c>
      <c r="E612" s="2">
        <v>1.7188008872500893E-3</v>
      </c>
      <c r="F612" s="1">
        <v>82</v>
      </c>
      <c r="G612" s="1">
        <v>153</v>
      </c>
      <c r="H612" s="1">
        <v>33</v>
      </c>
    </row>
    <row r="613" spans="1:8" ht="19.5">
      <c r="A613" s="1" t="s">
        <v>636</v>
      </c>
      <c r="B613" s="1" t="s">
        <v>628</v>
      </c>
      <c r="C613" s="1" t="s">
        <v>13</v>
      </c>
      <c r="D613" s="1">
        <v>102</v>
      </c>
      <c r="E613" s="2">
        <v>2.0133549035410529E-3</v>
      </c>
      <c r="F613" s="1">
        <v>97</v>
      </c>
      <c r="G613" s="1">
        <v>154</v>
      </c>
      <c r="H613" s="1">
        <v>27</v>
      </c>
    </row>
    <row r="614" spans="1:8" ht="19.5">
      <c r="A614" s="1" t="s">
        <v>637</v>
      </c>
      <c r="B614" s="1" t="s">
        <v>628</v>
      </c>
      <c r="C614" s="1" t="s">
        <v>20</v>
      </c>
      <c r="D614" s="1">
        <v>84</v>
      </c>
      <c r="E614" s="2">
        <v>1.5600780015197564E-3</v>
      </c>
      <c r="F614" s="1">
        <v>87</v>
      </c>
      <c r="G614" s="1">
        <v>127</v>
      </c>
      <c r="H614" s="1">
        <v>29</v>
      </c>
    </row>
    <row r="615" spans="1:8" ht="19.5">
      <c r="A615" s="1" t="s">
        <v>638</v>
      </c>
      <c r="B615" s="1" t="s">
        <v>628</v>
      </c>
      <c r="C615" s="1" t="s">
        <v>20</v>
      </c>
      <c r="D615" s="1">
        <v>104</v>
      </c>
      <c r="E615" s="2">
        <v>3.0169166803655279E-3</v>
      </c>
      <c r="F615" s="1">
        <v>61</v>
      </c>
      <c r="G615" s="1">
        <v>81</v>
      </c>
      <c r="H615" s="1">
        <v>47</v>
      </c>
    </row>
    <row r="616" spans="1:8" ht="19.5">
      <c r="A616" s="1" t="s">
        <v>639</v>
      </c>
      <c r="B616" s="1" t="s">
        <v>628</v>
      </c>
      <c r="C616" s="1" t="s">
        <v>13</v>
      </c>
      <c r="D616" s="1">
        <v>106</v>
      </c>
      <c r="E616" s="2">
        <v>1.3339493144649858E-3</v>
      </c>
      <c r="F616" s="1">
        <v>51</v>
      </c>
      <c r="G616" s="1">
        <v>168</v>
      </c>
      <c r="H616" s="1">
        <v>19</v>
      </c>
    </row>
    <row r="617" spans="1:8" ht="19.5">
      <c r="A617" s="1" t="s">
        <v>640</v>
      </c>
      <c r="B617" s="1" t="s">
        <v>628</v>
      </c>
      <c r="C617" s="1" t="s">
        <v>20</v>
      </c>
      <c r="D617" s="1">
        <v>128</v>
      </c>
      <c r="E617" s="2">
        <v>6.7168223840495371E-4</v>
      </c>
      <c r="F617" s="1">
        <v>53</v>
      </c>
      <c r="G617" s="1">
        <v>149</v>
      </c>
      <c r="H617" s="1">
        <v>23</v>
      </c>
    </row>
    <row r="618" spans="1:8" ht="19.5">
      <c r="A618" s="1" t="s">
        <v>641</v>
      </c>
      <c r="B618" s="1" t="s">
        <v>628</v>
      </c>
      <c r="C618" s="1" t="s">
        <v>13</v>
      </c>
      <c r="D618" s="1">
        <v>98</v>
      </c>
      <c r="E618" s="2">
        <v>1.4214120544219862E-3</v>
      </c>
      <c r="F618" s="1">
        <v>68</v>
      </c>
      <c r="G618" s="1">
        <v>142</v>
      </c>
      <c r="H618" s="1">
        <v>26</v>
      </c>
    </row>
    <row r="619" spans="1:8" ht="19.5">
      <c r="A619" s="1" t="s">
        <v>642</v>
      </c>
      <c r="B619" s="1" t="s">
        <v>628</v>
      </c>
      <c r="C619" s="1" t="s">
        <v>13</v>
      </c>
      <c r="D619" s="1">
        <v>76</v>
      </c>
      <c r="E619" s="2">
        <v>1.543723827899442E-3</v>
      </c>
      <c r="F619" s="1">
        <v>78</v>
      </c>
      <c r="G619" s="1">
        <v>126</v>
      </c>
      <c r="H619" s="1">
        <v>29</v>
      </c>
    </row>
    <row r="620" spans="1:8" ht="19.5">
      <c r="A620" s="1" t="s">
        <v>643</v>
      </c>
      <c r="B620" s="1" t="s">
        <v>34</v>
      </c>
      <c r="C620" s="1" t="s">
        <v>13</v>
      </c>
      <c r="D620" s="1">
        <v>206</v>
      </c>
      <c r="E620" s="2">
        <v>8.8765317915685262E-4</v>
      </c>
      <c r="F620" s="1">
        <v>45</v>
      </c>
      <c r="G620" s="1">
        <v>145</v>
      </c>
      <c r="H620" s="1">
        <v>17</v>
      </c>
    </row>
    <row r="621" spans="1:8" ht="19.5">
      <c r="A621" s="1" t="s">
        <v>644</v>
      </c>
      <c r="B621" s="1" t="s">
        <v>628</v>
      </c>
      <c r="C621" s="1" t="s">
        <v>20</v>
      </c>
      <c r="D621" s="1">
        <v>114</v>
      </c>
      <c r="E621" s="2">
        <v>1.3569854922031235E-3</v>
      </c>
      <c r="F621" s="1">
        <v>56</v>
      </c>
      <c r="G621" s="1">
        <v>161</v>
      </c>
      <c r="H621" s="1">
        <v>13</v>
      </c>
    </row>
    <row r="622" spans="1:8" ht="19.5">
      <c r="A622" s="1" t="s">
        <v>645</v>
      </c>
      <c r="B622" s="1" t="s">
        <v>628</v>
      </c>
      <c r="C622" s="1" t="s">
        <v>20</v>
      </c>
      <c r="D622" s="1">
        <v>71</v>
      </c>
      <c r="E622" s="2">
        <v>2.4943552268314796E-3</v>
      </c>
      <c r="F622" s="1">
        <v>50</v>
      </c>
      <c r="G622" s="1">
        <v>138</v>
      </c>
      <c r="H622" s="1">
        <v>45</v>
      </c>
    </row>
    <row r="623" spans="1:8" ht="19.5">
      <c r="A623" s="1" t="s">
        <v>646</v>
      </c>
      <c r="B623" s="1" t="s">
        <v>628</v>
      </c>
      <c r="C623" s="1" t="s">
        <v>20</v>
      </c>
      <c r="D623" s="1">
        <v>121</v>
      </c>
      <c r="E623" s="2">
        <v>2.6897896577926838E-3</v>
      </c>
      <c r="F623" s="1">
        <v>64</v>
      </c>
      <c r="G623" s="1">
        <v>111</v>
      </c>
      <c r="H623" s="1">
        <v>50</v>
      </c>
    </row>
    <row r="624" spans="1:8" ht="19.5">
      <c r="A624" s="1" t="s">
        <v>647</v>
      </c>
      <c r="B624" s="1" t="s">
        <v>628</v>
      </c>
      <c r="C624" s="1" t="s">
        <v>13</v>
      </c>
      <c r="D624" s="1">
        <v>99</v>
      </c>
      <c r="E624" s="2">
        <v>5.0810894198339196E-4</v>
      </c>
      <c r="F624" s="1">
        <v>138</v>
      </c>
      <c r="G624" s="1">
        <v>184</v>
      </c>
      <c r="H624" s="1">
        <v>12</v>
      </c>
    </row>
    <row r="625" spans="1:8" ht="19.5">
      <c r="A625" s="1" t="s">
        <v>648</v>
      </c>
      <c r="B625" s="1" t="s">
        <v>34</v>
      </c>
      <c r="C625" s="1" t="s">
        <v>13</v>
      </c>
      <c r="D625" s="1">
        <v>185</v>
      </c>
      <c r="E625" s="2">
        <v>7.2092874289690439E-4</v>
      </c>
      <c r="F625" s="1">
        <v>64</v>
      </c>
      <c r="G625" s="1">
        <v>111</v>
      </c>
      <c r="H625" s="1">
        <v>27</v>
      </c>
    </row>
    <row r="626" spans="1:8" ht="19.5">
      <c r="A626" s="1" t="s">
        <v>649</v>
      </c>
      <c r="B626" s="1" t="s">
        <v>650</v>
      </c>
      <c r="C626" s="1" t="s">
        <v>32</v>
      </c>
      <c r="D626" s="1">
        <v>52</v>
      </c>
      <c r="E626" s="2">
        <v>1.9661390309548854E-3</v>
      </c>
      <c r="F626" s="1">
        <v>68</v>
      </c>
      <c r="G626" s="1">
        <v>136</v>
      </c>
      <c r="H626" s="1">
        <v>50</v>
      </c>
    </row>
    <row r="627" spans="1:8" ht="19.5">
      <c r="A627" s="1" t="s">
        <v>651</v>
      </c>
      <c r="B627" s="1" t="s">
        <v>628</v>
      </c>
      <c r="C627" s="1" t="s">
        <v>20</v>
      </c>
      <c r="D627" s="1">
        <v>68</v>
      </c>
      <c r="E627" s="2">
        <v>2.373009776526019E-3</v>
      </c>
      <c r="F627" s="1">
        <v>36</v>
      </c>
      <c r="G627" s="1">
        <v>96</v>
      </c>
      <c r="H627" s="1">
        <v>34</v>
      </c>
    </row>
    <row r="628" spans="1:8" ht="19.5">
      <c r="A628" s="1" t="s">
        <v>652</v>
      </c>
      <c r="B628" s="1" t="s">
        <v>34</v>
      </c>
      <c r="C628" s="1" t="s">
        <v>13</v>
      </c>
      <c r="D628" s="1">
        <v>194</v>
      </c>
      <c r="E628" s="2">
        <v>5.1965596296481581E-5</v>
      </c>
      <c r="F628" s="1">
        <v>68</v>
      </c>
      <c r="G628" s="1">
        <v>196</v>
      </c>
      <c r="H628" s="1">
        <v>7</v>
      </c>
    </row>
    <row r="629" spans="1:8" ht="19.5">
      <c r="A629" s="1" t="s">
        <v>653</v>
      </c>
      <c r="B629" s="1" t="s">
        <v>628</v>
      </c>
      <c r="C629" s="1" t="s">
        <v>13</v>
      </c>
      <c r="D629" s="1">
        <v>133</v>
      </c>
      <c r="E629" s="2">
        <v>2.7221242926362388E-3</v>
      </c>
      <c r="F629" s="1">
        <v>40</v>
      </c>
      <c r="G629" s="1">
        <v>126</v>
      </c>
      <c r="H629" s="1">
        <v>50</v>
      </c>
    </row>
    <row r="630" spans="1:8" ht="19.5">
      <c r="A630" s="1" t="s">
        <v>654</v>
      </c>
      <c r="B630" s="1" t="s">
        <v>628</v>
      </c>
      <c r="C630" s="1" t="s">
        <v>20</v>
      </c>
      <c r="D630" s="1">
        <v>126</v>
      </c>
      <c r="E630" s="2">
        <v>2.0142103799001732E-3</v>
      </c>
      <c r="F630" s="1">
        <v>35</v>
      </c>
      <c r="G630" s="1">
        <v>109</v>
      </c>
      <c r="H630" s="1">
        <v>35</v>
      </c>
    </row>
    <row r="631" spans="1:8" ht="19.5">
      <c r="A631" s="1" t="s">
        <v>655</v>
      </c>
      <c r="B631" s="1" t="s">
        <v>34</v>
      </c>
      <c r="C631" s="1" t="s">
        <v>13</v>
      </c>
      <c r="D631" s="1">
        <v>226</v>
      </c>
      <c r="E631" s="2">
        <v>2.2587317923246147E-3</v>
      </c>
      <c r="F631" s="1">
        <v>78</v>
      </c>
      <c r="G631" s="1">
        <v>145</v>
      </c>
      <c r="H631" s="1">
        <v>33</v>
      </c>
    </row>
    <row r="632" spans="1:8" ht="19.5">
      <c r="A632" s="1" t="s">
        <v>656</v>
      </c>
      <c r="B632" s="1" t="s">
        <v>628</v>
      </c>
      <c r="C632" s="1" t="s">
        <v>13</v>
      </c>
      <c r="D632" s="1">
        <v>74</v>
      </c>
      <c r="E632" s="2">
        <v>1.3084648166145425E-3</v>
      </c>
      <c r="F632" s="1">
        <v>75</v>
      </c>
      <c r="G632" s="1">
        <v>167</v>
      </c>
      <c r="H632" s="1">
        <v>24</v>
      </c>
    </row>
    <row r="633" spans="1:8" ht="19.5">
      <c r="A633" s="1" t="s">
        <v>657</v>
      </c>
      <c r="B633" s="1" t="s">
        <v>650</v>
      </c>
      <c r="C633" s="1" t="s">
        <v>13</v>
      </c>
      <c r="D633" s="1">
        <v>54</v>
      </c>
      <c r="E633" s="2">
        <v>6.8158685435039173E-4</v>
      </c>
      <c r="F633" s="1">
        <v>78</v>
      </c>
      <c r="G633" s="1">
        <v>178</v>
      </c>
      <c r="H633" s="1">
        <v>24</v>
      </c>
    </row>
    <row r="634" spans="1:8" ht="19.5">
      <c r="A634" s="1" t="s">
        <v>658</v>
      </c>
      <c r="B634" s="1" t="s">
        <v>628</v>
      </c>
      <c r="C634" s="1" t="s">
        <v>13</v>
      </c>
      <c r="D634" s="1">
        <v>88</v>
      </c>
      <c r="E634" s="2">
        <v>1.3716215018994343E-3</v>
      </c>
      <c r="F634" s="1">
        <v>79</v>
      </c>
      <c r="G634" s="1">
        <v>170</v>
      </c>
      <c r="H634" s="1">
        <v>24</v>
      </c>
    </row>
    <row r="635" spans="1:8" ht="19.5">
      <c r="A635" s="1" t="s">
        <v>659</v>
      </c>
      <c r="B635" s="1" t="s">
        <v>628</v>
      </c>
      <c r="C635" s="1" t="s">
        <v>20</v>
      </c>
      <c r="D635" s="1">
        <v>104</v>
      </c>
      <c r="E635" s="2">
        <v>1.0180375759588193E-3</v>
      </c>
      <c r="F635" s="1">
        <v>81</v>
      </c>
      <c r="G635" s="1">
        <v>165</v>
      </c>
      <c r="H635" s="1">
        <v>21</v>
      </c>
    </row>
    <row r="636" spans="1:8" ht="19.5">
      <c r="A636" s="1" t="s">
        <v>660</v>
      </c>
      <c r="B636" s="1" t="s">
        <v>628</v>
      </c>
      <c r="C636" s="1" t="s">
        <v>20</v>
      </c>
      <c r="D636" s="1">
        <v>123</v>
      </c>
      <c r="E636" s="2">
        <v>2.7257415691996079E-4</v>
      </c>
      <c r="F636" s="1">
        <v>89</v>
      </c>
      <c r="G636" s="1">
        <v>218</v>
      </c>
      <c r="H636" s="1">
        <v>14</v>
      </c>
    </row>
    <row r="637" spans="1:8" ht="19.5">
      <c r="A637" s="1" t="s">
        <v>661</v>
      </c>
      <c r="B637" s="1" t="s">
        <v>628</v>
      </c>
      <c r="C637" s="1" t="s">
        <v>13</v>
      </c>
      <c r="D637" s="1">
        <v>87</v>
      </c>
      <c r="E637" s="2">
        <v>2.9019112780128958E-3</v>
      </c>
      <c r="F637" s="1">
        <v>98</v>
      </c>
      <c r="G637" s="1">
        <v>176</v>
      </c>
      <c r="H637" s="1">
        <v>21</v>
      </c>
    </row>
    <row r="638" spans="1:8" ht="19.5">
      <c r="A638" s="1" t="s">
        <v>662</v>
      </c>
      <c r="B638" s="1" t="s">
        <v>650</v>
      </c>
      <c r="C638" s="1" t="s">
        <v>13</v>
      </c>
      <c r="D638" s="1">
        <v>71</v>
      </c>
      <c r="E638" s="2">
        <v>1.9123614890860761E-3</v>
      </c>
      <c r="F638" s="1">
        <v>44</v>
      </c>
      <c r="G638" s="1">
        <v>80</v>
      </c>
      <c r="H638" s="1">
        <v>57</v>
      </c>
    </row>
    <row r="639" spans="1:8" ht="19.5">
      <c r="A639" s="1" t="s">
        <v>663</v>
      </c>
      <c r="B639" s="1" t="s">
        <v>628</v>
      </c>
      <c r="C639" s="1" t="s">
        <v>13</v>
      </c>
      <c r="D639" s="1">
        <v>129</v>
      </c>
      <c r="E639" s="2">
        <v>1.4198806480747598E-3</v>
      </c>
      <c r="F639" s="1">
        <v>58</v>
      </c>
      <c r="G639" s="1">
        <v>120</v>
      </c>
      <c r="H639" s="1">
        <v>25</v>
      </c>
    </row>
    <row r="640" spans="1:8" ht="19.5">
      <c r="A640" s="1" t="s">
        <v>664</v>
      </c>
      <c r="B640" s="1" t="s">
        <v>34</v>
      </c>
      <c r="C640" s="1" t="s">
        <v>20</v>
      </c>
      <c r="D640" s="1">
        <v>311</v>
      </c>
      <c r="E640" s="2">
        <v>1.4235788888124525E-3</v>
      </c>
      <c r="F640" s="1">
        <v>15</v>
      </c>
      <c r="G640" s="1">
        <v>116</v>
      </c>
      <c r="H640" s="1">
        <v>32</v>
      </c>
    </row>
    <row r="641" spans="1:8" ht="19.5">
      <c r="A641" s="1" t="s">
        <v>665</v>
      </c>
      <c r="B641" s="1" t="s">
        <v>34</v>
      </c>
      <c r="C641" s="1" t="s">
        <v>13</v>
      </c>
      <c r="D641" s="1">
        <v>177</v>
      </c>
      <c r="E641" s="2">
        <v>1.2373032425846344E-3</v>
      </c>
      <c r="F641" s="1">
        <v>67</v>
      </c>
      <c r="G641" s="1">
        <v>139</v>
      </c>
      <c r="H641" s="1">
        <v>23</v>
      </c>
    </row>
    <row r="642" spans="1:8" ht="19.5">
      <c r="A642" s="1" t="s">
        <v>666</v>
      </c>
      <c r="B642" s="1" t="s">
        <v>628</v>
      </c>
      <c r="C642" s="1" t="s">
        <v>13</v>
      </c>
      <c r="D642" s="1"/>
      <c r="E642" s="2">
        <v>1.1426898254894753E-3</v>
      </c>
      <c r="F642" s="1">
        <v>82</v>
      </c>
      <c r="G642" s="1">
        <v>163</v>
      </c>
      <c r="H642" s="1">
        <v>28</v>
      </c>
    </row>
    <row r="643" spans="1:8" ht="19.5">
      <c r="A643" s="1" t="s">
        <v>667</v>
      </c>
      <c r="B643" s="1" t="s">
        <v>34</v>
      </c>
      <c r="C643" s="1" t="s">
        <v>13</v>
      </c>
      <c r="D643" s="1">
        <v>203</v>
      </c>
      <c r="E643" s="2">
        <v>1.1297116562729271E-3</v>
      </c>
      <c r="F643" s="1">
        <v>92</v>
      </c>
      <c r="G643" s="1">
        <v>178</v>
      </c>
      <c r="H643" s="1">
        <v>21</v>
      </c>
    </row>
    <row r="644" spans="1:8" ht="19.5">
      <c r="A644" s="1" t="s">
        <v>668</v>
      </c>
      <c r="B644" s="1" t="s">
        <v>650</v>
      </c>
      <c r="C644" s="1" t="s">
        <v>20</v>
      </c>
      <c r="D644" s="1">
        <v>43</v>
      </c>
      <c r="E644" s="2">
        <v>1.6629633433017975E-3</v>
      </c>
      <c r="F644" s="1">
        <v>97</v>
      </c>
      <c r="G644" s="1">
        <v>155</v>
      </c>
      <c r="H644" s="1">
        <v>26</v>
      </c>
    </row>
    <row r="645" spans="1:8" ht="19.5">
      <c r="A645" s="1" t="s">
        <v>669</v>
      </c>
      <c r="B645" s="1" t="s">
        <v>650</v>
      </c>
      <c r="C645" s="1" t="s">
        <v>13</v>
      </c>
      <c r="D645" s="1">
        <v>62</v>
      </c>
      <c r="E645" s="2">
        <v>1.6849419614151314E-3</v>
      </c>
      <c r="F645" s="1">
        <v>112</v>
      </c>
      <c r="G645" s="1">
        <v>177</v>
      </c>
      <c r="H645" s="1">
        <v>28</v>
      </c>
    </row>
    <row r="646" spans="1:8" ht="19.5">
      <c r="A646" s="1" t="s">
        <v>670</v>
      </c>
      <c r="B646" s="1" t="s">
        <v>628</v>
      </c>
      <c r="C646" s="1" t="s">
        <v>13</v>
      </c>
      <c r="D646" s="1">
        <v>96</v>
      </c>
      <c r="E646" s="2">
        <v>5.8927935206429954E-4</v>
      </c>
      <c r="F646" s="1">
        <v>53</v>
      </c>
      <c r="G646" s="1">
        <v>152</v>
      </c>
      <c r="H646" s="1">
        <v>10</v>
      </c>
    </row>
    <row r="647" spans="1:8" ht="19.5">
      <c r="A647" s="1" t="s">
        <v>671</v>
      </c>
      <c r="B647" s="1" t="s">
        <v>628</v>
      </c>
      <c r="C647" s="1" t="s">
        <v>13</v>
      </c>
      <c r="D647" s="1">
        <v>119</v>
      </c>
      <c r="E647" s="2">
        <v>1.5102163140849971E-3</v>
      </c>
      <c r="F647" s="1">
        <v>62</v>
      </c>
      <c r="G647" s="1">
        <v>131</v>
      </c>
      <c r="H647" s="1">
        <v>21</v>
      </c>
    </row>
    <row r="648" spans="1:8" ht="19.5">
      <c r="A648" s="1" t="s">
        <v>672</v>
      </c>
      <c r="B648" s="1" t="s">
        <v>34</v>
      </c>
      <c r="C648" s="1" t="s">
        <v>20</v>
      </c>
      <c r="D648" s="1">
        <v>234</v>
      </c>
      <c r="E648" s="2">
        <v>2.003214586291113E-3</v>
      </c>
      <c r="F648" s="1">
        <v>30</v>
      </c>
      <c r="G648" s="1">
        <v>59</v>
      </c>
      <c r="H648" s="1">
        <v>56</v>
      </c>
    </row>
    <row r="649" spans="1:8" ht="19.5">
      <c r="A649" s="1" t="s">
        <v>673</v>
      </c>
      <c r="B649" s="1" t="s">
        <v>34</v>
      </c>
      <c r="C649" s="1" t="s">
        <v>13</v>
      </c>
      <c r="D649" s="1">
        <v>182</v>
      </c>
      <c r="E649" s="2">
        <v>1.8699847393746805E-3</v>
      </c>
      <c r="F649" s="1">
        <v>52</v>
      </c>
      <c r="G649" s="1">
        <v>148</v>
      </c>
      <c r="H649" s="1">
        <v>35</v>
      </c>
    </row>
    <row r="650" spans="1:8" ht="19.5">
      <c r="A650" s="1" t="s">
        <v>674</v>
      </c>
      <c r="B650" s="1" t="s">
        <v>650</v>
      </c>
      <c r="C650" s="1" t="s">
        <v>13</v>
      </c>
      <c r="D650" s="1">
        <v>43</v>
      </c>
      <c r="E650" s="2">
        <v>1.1140493975313795E-3</v>
      </c>
      <c r="F650" s="1">
        <v>110</v>
      </c>
      <c r="G650" s="1">
        <v>201</v>
      </c>
      <c r="H650" s="1">
        <v>23</v>
      </c>
    </row>
    <row r="651" spans="1:8" ht="19.5">
      <c r="A651" s="1" t="s">
        <v>675</v>
      </c>
      <c r="B651" s="1" t="s">
        <v>628</v>
      </c>
      <c r="C651" s="1" t="s">
        <v>13</v>
      </c>
      <c r="D651" s="1">
        <v>73</v>
      </c>
      <c r="E651" s="2">
        <v>9.235927332861178E-4</v>
      </c>
      <c r="F651" s="1">
        <v>83</v>
      </c>
      <c r="G651" s="1">
        <v>186</v>
      </c>
      <c r="H651" s="1">
        <v>14</v>
      </c>
    </row>
    <row r="652" spans="1:8" ht="19.5">
      <c r="A652" s="1" t="s">
        <v>676</v>
      </c>
      <c r="B652" s="1" t="s">
        <v>650</v>
      </c>
      <c r="C652" s="1" t="s">
        <v>13</v>
      </c>
      <c r="D652" s="1">
        <v>52</v>
      </c>
      <c r="E652" s="2">
        <v>9.1452848364951243E-4</v>
      </c>
      <c r="F652" s="1">
        <v>98</v>
      </c>
      <c r="G652" s="1">
        <v>191</v>
      </c>
      <c r="H652" s="1">
        <v>29</v>
      </c>
    </row>
    <row r="653" spans="1:8" ht="19.5">
      <c r="A653" s="1" t="s">
        <v>677</v>
      </c>
      <c r="B653" s="1" t="s">
        <v>628</v>
      </c>
      <c r="C653" s="3" t="s">
        <v>32</v>
      </c>
      <c r="D653" s="1">
        <v>141</v>
      </c>
      <c r="E653" s="2">
        <v>7.9524527268505236E-4</v>
      </c>
      <c r="F653" s="1">
        <v>86</v>
      </c>
      <c r="G653" s="1">
        <v>166</v>
      </c>
      <c r="H653" s="1">
        <v>22</v>
      </c>
    </row>
    <row r="654" spans="1:8" ht="19.5">
      <c r="A654" s="1" t="s">
        <v>678</v>
      </c>
      <c r="B654" s="1" t="s">
        <v>34</v>
      </c>
      <c r="C654" s="1" t="s">
        <v>13</v>
      </c>
      <c r="D654" s="1">
        <v>187</v>
      </c>
      <c r="E654" s="2">
        <v>6.1338297487642263E-4</v>
      </c>
      <c r="F654" s="1">
        <v>94</v>
      </c>
      <c r="G654" s="1">
        <v>187</v>
      </c>
      <c r="H654" s="1">
        <v>25</v>
      </c>
    </row>
    <row r="655" spans="1:8" ht="19.5">
      <c r="A655" s="1" t="s">
        <v>679</v>
      </c>
      <c r="B655" s="1" t="s">
        <v>650</v>
      </c>
      <c r="C655" s="1" t="s">
        <v>13</v>
      </c>
      <c r="D655" s="1">
        <v>33</v>
      </c>
      <c r="E655" s="2">
        <v>1.8941122618604588E-3</v>
      </c>
      <c r="F655" s="1">
        <v>43</v>
      </c>
      <c r="G655" s="1">
        <v>143</v>
      </c>
      <c r="H655" s="1">
        <v>44</v>
      </c>
    </row>
    <row r="656" spans="1:8" ht="19.5">
      <c r="A656" s="1" t="s">
        <v>680</v>
      </c>
      <c r="B656" s="1" t="s">
        <v>650</v>
      </c>
      <c r="C656" s="1" t="s">
        <v>13</v>
      </c>
      <c r="D656" s="1">
        <v>58</v>
      </c>
      <c r="E656" s="2">
        <v>1.3986906220521955E-3</v>
      </c>
      <c r="F656" s="1">
        <v>35</v>
      </c>
      <c r="G656" s="1">
        <v>113</v>
      </c>
      <c r="H656" s="1">
        <v>32</v>
      </c>
    </row>
    <row r="657" spans="1:8" ht="19.5">
      <c r="A657" s="1" t="s">
        <v>681</v>
      </c>
      <c r="B657" s="1" t="s">
        <v>628</v>
      </c>
      <c r="C657" s="1" t="s">
        <v>13</v>
      </c>
      <c r="D657" s="1">
        <v>120</v>
      </c>
      <c r="E657" s="2">
        <v>1.7651255227039862E-3</v>
      </c>
      <c r="F657" s="1">
        <v>87</v>
      </c>
      <c r="G657" s="1">
        <v>106</v>
      </c>
      <c r="H657" s="1">
        <v>28</v>
      </c>
    </row>
    <row r="658" spans="1:8" ht="19.5">
      <c r="A658" s="1" t="s">
        <v>682</v>
      </c>
      <c r="B658" s="1" t="s">
        <v>628</v>
      </c>
      <c r="C658" s="1" t="s">
        <v>13</v>
      </c>
      <c r="D658" s="1">
        <v>107</v>
      </c>
      <c r="E658" s="2">
        <v>9.5327513530995739E-5</v>
      </c>
      <c r="F658" s="1">
        <v>102</v>
      </c>
      <c r="G658" s="1">
        <v>194</v>
      </c>
      <c r="H658" s="1">
        <v>17</v>
      </c>
    </row>
    <row r="659" spans="1:8" ht="19.5">
      <c r="A659" s="1" t="s">
        <v>683</v>
      </c>
      <c r="B659" s="1" t="s">
        <v>650</v>
      </c>
      <c r="C659" s="1" t="s">
        <v>13</v>
      </c>
      <c r="D659" s="1">
        <v>57</v>
      </c>
      <c r="E659" s="2">
        <v>4.8145100249820258E-4</v>
      </c>
      <c r="F659" s="1">
        <v>93</v>
      </c>
      <c r="G659" s="1">
        <v>216</v>
      </c>
      <c r="H659" s="1">
        <v>22</v>
      </c>
    </row>
    <row r="660" spans="1:8" ht="19.5">
      <c r="A660" s="1" t="s">
        <v>684</v>
      </c>
      <c r="B660" s="1" t="s">
        <v>650</v>
      </c>
      <c r="C660" s="1" t="s">
        <v>13</v>
      </c>
      <c r="D660" s="1">
        <v>50</v>
      </c>
      <c r="E660" s="2">
        <v>7.6744666331988337E-4</v>
      </c>
      <c r="F660" s="1">
        <v>53</v>
      </c>
      <c r="G660" s="1">
        <v>122</v>
      </c>
      <c r="H660" s="1">
        <v>32</v>
      </c>
    </row>
    <row r="661" spans="1:8" ht="19.5">
      <c r="A661" s="1" t="s">
        <v>685</v>
      </c>
      <c r="B661" s="1" t="s">
        <v>628</v>
      </c>
      <c r="C661" s="3" t="s">
        <v>32</v>
      </c>
      <c r="D661" s="1">
        <v>75</v>
      </c>
      <c r="E661" s="2">
        <v>1.9668115049834758E-3</v>
      </c>
      <c r="F661" s="1">
        <v>94</v>
      </c>
      <c r="G661" s="1">
        <v>159</v>
      </c>
      <c r="H661" s="1">
        <v>33</v>
      </c>
    </row>
    <row r="662" spans="1:8" ht="19.5">
      <c r="A662" s="1" t="s">
        <v>686</v>
      </c>
      <c r="B662" s="1" t="s">
        <v>34</v>
      </c>
      <c r="C662" s="1" t="s">
        <v>13</v>
      </c>
      <c r="D662" s="1">
        <v>250</v>
      </c>
      <c r="E662" s="2">
        <v>2.3092915220357139E-3</v>
      </c>
      <c r="F662" s="1">
        <v>58</v>
      </c>
      <c r="G662" s="1">
        <v>147</v>
      </c>
      <c r="H662" s="1">
        <v>18</v>
      </c>
    </row>
    <row r="663" spans="1:8" ht="19.5">
      <c r="A663" s="1" t="s">
        <v>687</v>
      </c>
      <c r="B663" s="1" t="s">
        <v>628</v>
      </c>
      <c r="C663" s="1" t="s">
        <v>13</v>
      </c>
      <c r="D663" s="1">
        <v>104</v>
      </c>
      <c r="E663" s="2">
        <v>1.4454814719909673E-3</v>
      </c>
      <c r="F663" s="1">
        <v>26</v>
      </c>
      <c r="G663" s="1">
        <v>100</v>
      </c>
      <c r="H663" s="1">
        <v>33</v>
      </c>
    </row>
    <row r="664" spans="1:8" ht="19.5">
      <c r="A664" s="1" t="s">
        <v>688</v>
      </c>
      <c r="B664" s="1" t="s">
        <v>650</v>
      </c>
      <c r="C664" s="1" t="s">
        <v>20</v>
      </c>
      <c r="D664" s="1">
        <v>58</v>
      </c>
      <c r="E664" s="2">
        <v>8.3860147491108964E-4</v>
      </c>
      <c r="F664" s="1">
        <v>111</v>
      </c>
      <c r="G664" s="1">
        <v>205</v>
      </c>
      <c r="H664" s="1">
        <v>29</v>
      </c>
    </row>
    <row r="665" spans="1:8" ht="19.5">
      <c r="A665" s="1" t="s">
        <v>689</v>
      </c>
      <c r="B665" s="1" t="s">
        <v>628</v>
      </c>
      <c r="C665" s="1" t="s">
        <v>13</v>
      </c>
      <c r="D665" s="1">
        <v>83</v>
      </c>
      <c r="E665" s="2">
        <v>1.0111311626965444E-3</v>
      </c>
      <c r="F665" s="1">
        <v>84</v>
      </c>
      <c r="G665" s="1">
        <v>170</v>
      </c>
      <c r="H665" s="1">
        <v>36</v>
      </c>
    </row>
    <row r="666" spans="1:8" ht="19.5">
      <c r="A666" s="1" t="s">
        <v>690</v>
      </c>
      <c r="B666" s="1" t="s">
        <v>650</v>
      </c>
      <c r="C666" s="1" t="s">
        <v>20</v>
      </c>
      <c r="D666" s="1">
        <v>51</v>
      </c>
      <c r="E666" s="2">
        <v>1.0690427444627483E-3</v>
      </c>
      <c r="F666" s="1">
        <v>104</v>
      </c>
      <c r="G666" s="1">
        <v>164</v>
      </c>
      <c r="H666" s="1">
        <v>33</v>
      </c>
    </row>
    <row r="667" spans="1:8" ht="19.5">
      <c r="A667" s="1" t="s">
        <v>691</v>
      </c>
      <c r="B667" s="1" t="s">
        <v>650</v>
      </c>
      <c r="C667" s="1" t="s">
        <v>13</v>
      </c>
      <c r="D667" s="1">
        <v>47</v>
      </c>
      <c r="E667" s="2">
        <v>9.4381244674807564E-4</v>
      </c>
      <c r="F667" s="1">
        <v>61</v>
      </c>
      <c r="G667" s="1">
        <v>114</v>
      </c>
      <c r="H667" s="1">
        <v>35</v>
      </c>
    </row>
    <row r="668" spans="1:8" ht="19.5">
      <c r="A668" s="1" t="s">
        <v>692</v>
      </c>
      <c r="B668" s="1" t="s">
        <v>628</v>
      </c>
      <c r="C668" s="1" t="s">
        <v>13</v>
      </c>
      <c r="D668" s="1">
        <v>114</v>
      </c>
      <c r="E668" s="2">
        <v>2.6786639616444654E-3</v>
      </c>
      <c r="F668" s="1">
        <v>41</v>
      </c>
      <c r="G668" s="1">
        <v>113</v>
      </c>
      <c r="H668" s="1">
        <v>27</v>
      </c>
    </row>
    <row r="669" spans="1:8" ht="19.5">
      <c r="A669" s="1" t="s">
        <v>693</v>
      </c>
      <c r="B669" s="1" t="s">
        <v>650</v>
      </c>
      <c r="C669" s="1" t="s">
        <v>13</v>
      </c>
      <c r="D669" s="1">
        <v>64</v>
      </c>
      <c r="E669" s="2">
        <v>4.5165284057089244E-5</v>
      </c>
      <c r="F669" s="1">
        <v>95</v>
      </c>
      <c r="G669" s="1">
        <v>186</v>
      </c>
      <c r="H669" s="1">
        <v>14</v>
      </c>
    </row>
    <row r="670" spans="1:8" ht="19.5">
      <c r="A670" s="1" t="s">
        <v>694</v>
      </c>
      <c r="B670" s="1" t="s">
        <v>650</v>
      </c>
      <c r="C670" s="1" t="s">
        <v>13</v>
      </c>
      <c r="D670" s="1">
        <v>50</v>
      </c>
      <c r="E670" s="2">
        <v>1.9366485536107321E-3</v>
      </c>
      <c r="F670" s="1">
        <v>111</v>
      </c>
      <c r="G670" s="1">
        <v>146</v>
      </c>
      <c r="H670" s="1">
        <v>43</v>
      </c>
    </row>
    <row r="671" spans="1:8" ht="19.5">
      <c r="A671" s="1" t="s">
        <v>695</v>
      </c>
      <c r="B671" s="1" t="s">
        <v>650</v>
      </c>
      <c r="C671" s="1" t="s">
        <v>20</v>
      </c>
      <c r="D671" s="1">
        <v>30</v>
      </c>
      <c r="E671" s="2">
        <v>8.7796873972812686E-4</v>
      </c>
      <c r="F671" s="1">
        <v>76</v>
      </c>
      <c r="G671" s="1">
        <v>157</v>
      </c>
      <c r="H671" s="1">
        <v>42</v>
      </c>
    </row>
    <row r="672" spans="1:8" ht="19.5">
      <c r="A672" s="1" t="s">
        <v>696</v>
      </c>
      <c r="B672" s="1" t="s">
        <v>628</v>
      </c>
      <c r="C672" s="1" t="s">
        <v>13</v>
      </c>
      <c r="D672" s="1">
        <v>89</v>
      </c>
      <c r="E672" s="2">
        <v>1.4252914288792992E-3</v>
      </c>
      <c r="F672" s="1">
        <v>105</v>
      </c>
      <c r="G672" s="1">
        <v>161</v>
      </c>
      <c r="H672" s="1">
        <v>34</v>
      </c>
    </row>
    <row r="673" spans="1:8" ht="19.5">
      <c r="A673" s="1" t="s">
        <v>697</v>
      </c>
      <c r="B673" s="1" t="s">
        <v>650</v>
      </c>
      <c r="C673" s="1" t="s">
        <v>13</v>
      </c>
      <c r="D673" s="1">
        <v>51</v>
      </c>
      <c r="E673" s="2">
        <v>1.2479773904986093E-3</v>
      </c>
      <c r="F673" s="1">
        <v>126</v>
      </c>
      <c r="G673" s="1">
        <v>204</v>
      </c>
      <c r="H673" s="1">
        <v>21</v>
      </c>
    </row>
    <row r="674" spans="1:8" ht="19.5">
      <c r="A674" s="1" t="s">
        <v>698</v>
      </c>
      <c r="B674" s="1" t="s">
        <v>628</v>
      </c>
      <c r="C674" s="1" t="s">
        <v>16</v>
      </c>
      <c r="D674" s="1">
        <v>93</v>
      </c>
      <c r="E674" s="2">
        <v>2.5893057931747712E-3</v>
      </c>
      <c r="F674" s="1">
        <v>87</v>
      </c>
      <c r="G674" s="1">
        <v>137</v>
      </c>
      <c r="H674" s="1">
        <v>14</v>
      </c>
    </row>
    <row r="675" spans="1:8" ht="19.5">
      <c r="A675" s="1" t="s">
        <v>699</v>
      </c>
      <c r="B675" s="1" t="s">
        <v>650</v>
      </c>
      <c r="C675" s="1" t="s">
        <v>13</v>
      </c>
      <c r="D675" s="1">
        <v>57</v>
      </c>
      <c r="E675" s="2">
        <v>1.056842027736018E-3</v>
      </c>
      <c r="F675" s="1">
        <v>84</v>
      </c>
      <c r="G675" s="1">
        <v>171</v>
      </c>
      <c r="H675" s="1">
        <v>30</v>
      </c>
    </row>
    <row r="676" spans="1:8" ht="19.5">
      <c r="A676" s="1" t="s">
        <v>700</v>
      </c>
      <c r="B676" s="1" t="s">
        <v>628</v>
      </c>
      <c r="C676" s="1" t="s">
        <v>13</v>
      </c>
      <c r="D676" s="1">
        <v>116</v>
      </c>
      <c r="E676" s="2">
        <v>1.8186504109473851E-3</v>
      </c>
      <c r="F676" s="1">
        <v>90</v>
      </c>
      <c r="G676" s="1">
        <v>134</v>
      </c>
      <c r="H676" s="1">
        <v>27</v>
      </c>
    </row>
    <row r="677" spans="1:8" ht="19.5">
      <c r="A677" s="1" t="s">
        <v>701</v>
      </c>
      <c r="B677" s="1" t="s">
        <v>650</v>
      </c>
      <c r="C677" s="1" t="s">
        <v>13</v>
      </c>
      <c r="D677" s="1">
        <v>56</v>
      </c>
      <c r="E677" s="2">
        <v>8.833030129086789E-4</v>
      </c>
      <c r="F677" s="1">
        <v>154</v>
      </c>
      <c r="G677" s="1">
        <v>190</v>
      </c>
      <c r="H677" s="1">
        <v>25</v>
      </c>
    </row>
    <row r="678" spans="1:8" ht="19.5">
      <c r="A678" s="1" t="s">
        <v>702</v>
      </c>
      <c r="B678" s="1" t="s">
        <v>650</v>
      </c>
      <c r="C678" s="1" t="s">
        <v>20</v>
      </c>
      <c r="D678" s="1">
        <v>61</v>
      </c>
      <c r="E678" s="2">
        <v>1.2269376151985776E-3</v>
      </c>
      <c r="F678" s="1">
        <v>66</v>
      </c>
      <c r="G678" s="1">
        <v>112</v>
      </c>
      <c r="H678" s="1">
        <v>34</v>
      </c>
    </row>
    <row r="679" spans="1:8" ht="19.5">
      <c r="A679" s="1" t="s">
        <v>703</v>
      </c>
      <c r="B679" s="1" t="s">
        <v>650</v>
      </c>
      <c r="C679" s="1" t="s">
        <v>20</v>
      </c>
      <c r="D679" s="1">
        <v>66</v>
      </c>
      <c r="E679" s="2">
        <v>2.5233127493796823E-4</v>
      </c>
      <c r="F679" s="1">
        <v>66</v>
      </c>
      <c r="G679" s="1">
        <v>150</v>
      </c>
      <c r="H679" s="1">
        <v>34</v>
      </c>
    </row>
    <row r="680" spans="1:8" ht="19.5">
      <c r="A680" s="1" t="s">
        <v>704</v>
      </c>
      <c r="B680" s="1" t="s">
        <v>650</v>
      </c>
      <c r="C680" s="1" t="s">
        <v>13</v>
      </c>
      <c r="D680" s="1">
        <v>43</v>
      </c>
      <c r="E680" s="2">
        <v>3.8625191213990571E-3</v>
      </c>
      <c r="F680" s="1">
        <v>96</v>
      </c>
      <c r="G680" s="1">
        <v>110</v>
      </c>
      <c r="H680" s="1">
        <v>55</v>
      </c>
    </row>
    <row r="681" spans="1:8" ht="19.5">
      <c r="A681" s="1" t="s">
        <v>705</v>
      </c>
      <c r="B681" s="1" t="s">
        <v>628</v>
      </c>
      <c r="C681" s="1" t="s">
        <v>13</v>
      </c>
      <c r="D681" s="1">
        <v>100</v>
      </c>
      <c r="E681" s="2">
        <v>4.9504093667417733E-4</v>
      </c>
      <c r="F681" s="1">
        <v>77</v>
      </c>
      <c r="G681" s="1">
        <v>130</v>
      </c>
      <c r="H681" s="1">
        <v>18</v>
      </c>
    </row>
    <row r="682" spans="1:8" ht="19.5">
      <c r="A682" s="1" t="s">
        <v>706</v>
      </c>
      <c r="B682" s="1" t="s">
        <v>628</v>
      </c>
      <c r="C682" s="1" t="s">
        <v>13</v>
      </c>
      <c r="D682" s="1">
        <v>90</v>
      </c>
      <c r="E682" s="2">
        <v>8.3996249918305175E-4</v>
      </c>
      <c r="F682" s="1">
        <v>64</v>
      </c>
      <c r="G682" s="1">
        <v>167</v>
      </c>
      <c r="H682" s="1">
        <v>16</v>
      </c>
    </row>
    <row r="683" spans="1:8" ht="19.5">
      <c r="A683" s="1" t="s">
        <v>707</v>
      </c>
      <c r="B683" s="1" t="s">
        <v>628</v>
      </c>
      <c r="C683" s="1" t="s">
        <v>20</v>
      </c>
      <c r="D683" s="1">
        <v>112</v>
      </c>
      <c r="E683" s="2">
        <v>1.0221200699612198E-3</v>
      </c>
      <c r="F683" s="1">
        <v>73</v>
      </c>
      <c r="G683" s="1">
        <v>160</v>
      </c>
      <c r="H683" s="1">
        <v>19</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63B1-F212-43E1-991C-98E422B4470F}">
  <dimension ref="A1:K683"/>
  <sheetViews>
    <sheetView workbookViewId="0">
      <selection activeCell="E12" sqref="E12"/>
    </sheetView>
  </sheetViews>
  <sheetFormatPr defaultRowHeight="18.75"/>
  <cols>
    <col min="6" max="6" width="9.75" bestFit="1" customWidth="1"/>
  </cols>
  <sheetData>
    <row r="1" spans="1:11" ht="19.5">
      <c r="A1" s="1" t="s">
        <v>3</v>
      </c>
      <c r="B1" s="1" t="s">
        <v>10</v>
      </c>
      <c r="C1" s="1"/>
      <c r="D1" s="1"/>
      <c r="E1" s="1"/>
      <c r="F1" s="1"/>
      <c r="G1" s="1"/>
      <c r="H1" s="1"/>
      <c r="I1" s="1"/>
      <c r="J1" s="1"/>
      <c r="K1" s="1"/>
    </row>
    <row r="2" spans="1:11" ht="19.5">
      <c r="A2" s="1" t="s">
        <v>11</v>
      </c>
      <c r="B2" s="1">
        <v>22</v>
      </c>
      <c r="C2" s="1"/>
      <c r="D2" s="1" t="s">
        <v>708</v>
      </c>
      <c r="E2" s="1"/>
      <c r="F2" s="1"/>
      <c r="G2" s="1"/>
      <c r="H2" s="1"/>
      <c r="I2" s="1"/>
      <c r="J2" s="1"/>
      <c r="K2" s="1"/>
    </row>
    <row r="3" spans="1:11" ht="19.5">
      <c r="A3" s="1" t="s">
        <v>14</v>
      </c>
      <c r="B3" s="1">
        <v>49</v>
      </c>
      <c r="C3" s="1"/>
      <c r="D3" s="1" t="s">
        <v>709</v>
      </c>
      <c r="E3" s="6"/>
      <c r="F3" s="1">
        <f>AVERAGE(B2:B683)</f>
        <v>27.734604105571847</v>
      </c>
      <c r="G3" s="1"/>
      <c r="H3" s="1"/>
      <c r="I3" s="1"/>
      <c r="J3" s="1"/>
      <c r="K3" s="5"/>
    </row>
    <row r="4" spans="1:11" ht="19.5">
      <c r="A4" s="1" t="s">
        <v>15</v>
      </c>
      <c r="B4" s="1">
        <v>19</v>
      </c>
      <c r="C4" s="1"/>
      <c r="D4" s="1" t="s">
        <v>710</v>
      </c>
      <c r="E4" s="6"/>
      <c r="F4" s="1">
        <f>MEDIAN(B2:B683)</f>
        <v>27</v>
      </c>
      <c r="G4" s="1"/>
      <c r="H4" s="1"/>
      <c r="I4" s="1"/>
      <c r="J4" s="1"/>
      <c r="K4" s="5"/>
    </row>
    <row r="5" spans="1:11" ht="19.5">
      <c r="A5" s="1" t="s">
        <v>17</v>
      </c>
      <c r="B5" s="1">
        <v>14</v>
      </c>
      <c r="C5" s="1"/>
      <c r="D5" s="1" t="s">
        <v>711</v>
      </c>
      <c r="E5" s="6"/>
      <c r="F5" s="1">
        <f>_xlfn.VAR.S(B2:B683)</f>
        <v>95.123294189586687</v>
      </c>
      <c r="G5" s="1"/>
      <c r="H5" s="1"/>
      <c r="I5" s="1"/>
      <c r="J5" s="1"/>
      <c r="K5" s="5"/>
    </row>
    <row r="6" spans="1:11" ht="19.5">
      <c r="A6" s="1" t="s">
        <v>18</v>
      </c>
      <c r="B6" s="1">
        <v>19</v>
      </c>
      <c r="C6" s="1"/>
      <c r="D6" s="1" t="s">
        <v>712</v>
      </c>
      <c r="E6" s="6"/>
      <c r="F6" s="1">
        <f>_xlfn.STDEV.S(B2:B683)</f>
        <v>9.7531171524588327</v>
      </c>
      <c r="G6" s="1"/>
      <c r="H6" s="1"/>
      <c r="I6" s="1"/>
      <c r="J6" s="1"/>
      <c r="K6" s="5"/>
    </row>
    <row r="7" spans="1:11" ht="19.5">
      <c r="A7" s="1" t="s">
        <v>19</v>
      </c>
      <c r="B7" s="1">
        <v>25</v>
      </c>
      <c r="C7" s="1"/>
      <c r="D7" s="1" t="s">
        <v>713</v>
      </c>
      <c r="E7" s="6"/>
      <c r="F7" s="1">
        <f>MAX(B2:B683)</f>
        <v>61</v>
      </c>
      <c r="G7" s="1"/>
      <c r="H7" s="1"/>
      <c r="I7" s="1"/>
      <c r="J7" s="1"/>
      <c r="K7" s="5"/>
    </row>
    <row r="8" spans="1:11" ht="19.5">
      <c r="A8" s="1" t="s">
        <v>21</v>
      </c>
      <c r="B8" s="1">
        <v>27</v>
      </c>
      <c r="C8" s="1"/>
      <c r="D8" s="1" t="s">
        <v>714</v>
      </c>
      <c r="E8" s="6"/>
      <c r="F8" s="1">
        <f>MIN(B2:B683)</f>
        <v>2</v>
      </c>
      <c r="G8" s="1"/>
      <c r="H8" s="1"/>
      <c r="I8" s="1"/>
      <c r="J8" s="1"/>
      <c r="K8" s="5"/>
    </row>
    <row r="9" spans="1:11" ht="19.5">
      <c r="A9" s="1" t="s">
        <v>22</v>
      </c>
      <c r="B9" s="1">
        <v>51</v>
      </c>
      <c r="C9" s="1"/>
      <c r="D9" s="1"/>
      <c r="E9" s="1"/>
      <c r="F9" s="1"/>
      <c r="G9" s="1"/>
      <c r="H9" s="1"/>
      <c r="I9" s="1"/>
      <c r="J9" s="1"/>
      <c r="K9" s="1"/>
    </row>
    <row r="10" spans="1:11" ht="19.5">
      <c r="A10" s="1" t="s">
        <v>23</v>
      </c>
      <c r="B10" s="1">
        <v>33</v>
      </c>
      <c r="C10" s="1"/>
      <c r="D10" s="1"/>
      <c r="E10" s="1"/>
      <c r="F10" s="1"/>
      <c r="G10" s="1"/>
      <c r="H10" s="1"/>
      <c r="I10" s="1"/>
      <c r="J10" s="1"/>
      <c r="K10" s="1"/>
    </row>
    <row r="11" spans="1:11" ht="20.25" thickBot="1">
      <c r="A11" s="1" t="s">
        <v>24</v>
      </c>
      <c r="B11" s="1">
        <v>14</v>
      </c>
      <c r="C11" s="1"/>
      <c r="D11" s="1" t="s">
        <v>715</v>
      </c>
      <c r="E11" s="1"/>
      <c r="F11" s="1"/>
      <c r="G11" s="1"/>
      <c r="H11" s="1"/>
      <c r="I11" s="1"/>
      <c r="J11" s="1"/>
      <c r="K11" s="1"/>
    </row>
    <row r="12" spans="1:11" ht="19.5">
      <c r="A12" s="1" t="s">
        <v>25</v>
      </c>
      <c r="B12" s="1">
        <v>25</v>
      </c>
      <c r="C12" s="1"/>
      <c r="D12" s="9" t="s">
        <v>716</v>
      </c>
      <c r="E12" s="9"/>
      <c r="F12" s="1"/>
      <c r="G12" s="1"/>
      <c r="H12" s="4"/>
      <c r="I12" s="4"/>
      <c r="J12" s="1"/>
      <c r="K12" s="1"/>
    </row>
    <row r="13" spans="1:11" ht="19.5">
      <c r="A13" s="1" t="s">
        <v>26</v>
      </c>
      <c r="B13" s="1">
        <v>34</v>
      </c>
      <c r="C13" s="1"/>
      <c r="F13" s="1"/>
      <c r="G13" s="1"/>
      <c r="H13" s="1"/>
      <c r="I13" s="1"/>
      <c r="J13" s="1"/>
      <c r="K13" s="1"/>
    </row>
    <row r="14" spans="1:11" ht="19.5">
      <c r="A14" s="1" t="s">
        <v>27</v>
      </c>
      <c r="B14" s="1">
        <v>21</v>
      </c>
      <c r="C14" s="1"/>
      <c r="D14" t="s">
        <v>717</v>
      </c>
      <c r="E14">
        <v>27.734604105571847</v>
      </c>
      <c r="F14" s="1"/>
      <c r="G14" s="1"/>
      <c r="H14" s="1"/>
      <c r="I14" s="1"/>
      <c r="J14" s="1"/>
      <c r="K14" s="1"/>
    </row>
    <row r="15" spans="1:11" ht="19.5">
      <c r="A15" s="1" t="s">
        <v>28</v>
      </c>
      <c r="B15" s="1">
        <v>26</v>
      </c>
      <c r="C15" s="1"/>
      <c r="D15" t="s">
        <v>718</v>
      </c>
      <c r="E15">
        <v>0.37346615770705804</v>
      </c>
      <c r="F15" s="1"/>
      <c r="G15" s="1"/>
      <c r="H15" s="1"/>
      <c r="I15" s="1"/>
      <c r="J15" s="1"/>
      <c r="K15" s="1"/>
    </row>
    <row r="16" spans="1:11" ht="19.5">
      <c r="A16" s="1" t="s">
        <v>29</v>
      </c>
      <c r="B16" s="1">
        <v>15</v>
      </c>
      <c r="C16" s="1"/>
      <c r="D16" t="s">
        <v>719</v>
      </c>
      <c r="E16">
        <v>27</v>
      </c>
      <c r="F16" s="1"/>
      <c r="G16" s="1"/>
      <c r="H16" s="1"/>
      <c r="I16" s="1"/>
      <c r="J16" s="1"/>
      <c r="K16" s="1"/>
    </row>
    <row r="17" spans="1:5" ht="19.5">
      <c r="A17" s="1" t="s">
        <v>30</v>
      </c>
      <c r="B17" s="1">
        <v>18</v>
      </c>
      <c r="D17" t="s">
        <v>720</v>
      </c>
      <c r="E17">
        <v>24</v>
      </c>
    </row>
    <row r="18" spans="1:5" ht="19.5">
      <c r="A18" s="1" t="s">
        <v>33</v>
      </c>
      <c r="B18" s="1">
        <v>26</v>
      </c>
      <c r="D18" t="s">
        <v>721</v>
      </c>
      <c r="E18">
        <v>9.7531171524588327</v>
      </c>
    </row>
    <row r="19" spans="1:5" ht="19.5">
      <c r="A19" s="1" t="s">
        <v>35</v>
      </c>
      <c r="B19" s="1">
        <v>23</v>
      </c>
      <c r="D19" t="s">
        <v>722</v>
      </c>
      <c r="E19">
        <v>95.123294189586687</v>
      </c>
    </row>
    <row r="20" spans="1:5" ht="19.5">
      <c r="A20" s="1" t="s">
        <v>36</v>
      </c>
      <c r="B20" s="1">
        <v>21</v>
      </c>
      <c r="D20" t="s">
        <v>723</v>
      </c>
      <c r="E20">
        <v>-3.6758942846124576E-3</v>
      </c>
    </row>
    <row r="21" spans="1:5" ht="19.5">
      <c r="A21" s="1" t="s">
        <v>38</v>
      </c>
      <c r="B21" s="1">
        <v>36</v>
      </c>
      <c r="D21" t="s">
        <v>724</v>
      </c>
      <c r="E21">
        <v>0.28885416699963984</v>
      </c>
    </row>
    <row r="22" spans="1:5" ht="19.5">
      <c r="A22" s="1" t="s">
        <v>40</v>
      </c>
      <c r="B22" s="1">
        <v>24</v>
      </c>
      <c r="D22" t="s">
        <v>725</v>
      </c>
      <c r="E22">
        <v>59</v>
      </c>
    </row>
    <row r="23" spans="1:5" ht="19.5">
      <c r="A23" s="1" t="s">
        <v>41</v>
      </c>
      <c r="B23" s="1">
        <v>35</v>
      </c>
      <c r="D23" t="s">
        <v>726</v>
      </c>
      <c r="E23">
        <v>2</v>
      </c>
    </row>
    <row r="24" spans="1:5" ht="19.5">
      <c r="A24" s="1" t="s">
        <v>43</v>
      </c>
      <c r="B24" s="1">
        <v>18</v>
      </c>
      <c r="D24" t="s">
        <v>727</v>
      </c>
      <c r="E24">
        <v>61</v>
      </c>
    </row>
    <row r="25" spans="1:5" ht="19.5">
      <c r="A25" s="1" t="s">
        <v>44</v>
      </c>
      <c r="B25" s="1">
        <v>25</v>
      </c>
      <c r="D25" t="s">
        <v>728</v>
      </c>
      <c r="E25">
        <v>18915</v>
      </c>
    </row>
    <row r="26" spans="1:5" ht="20.25" thickBot="1">
      <c r="A26" s="1" t="s">
        <v>45</v>
      </c>
      <c r="B26" s="1">
        <v>31</v>
      </c>
      <c r="D26" s="7" t="s">
        <v>729</v>
      </c>
      <c r="E26" s="7">
        <v>682</v>
      </c>
    </row>
    <row r="27" spans="1:5" ht="19.5">
      <c r="A27" s="1" t="s">
        <v>46</v>
      </c>
      <c r="B27" s="1">
        <v>33</v>
      </c>
    </row>
    <row r="28" spans="1:5" ht="19.5">
      <c r="A28" s="1" t="s">
        <v>47</v>
      </c>
      <c r="B28" s="1">
        <v>15</v>
      </c>
    </row>
    <row r="29" spans="1:5" ht="19.5">
      <c r="A29" s="1" t="s">
        <v>48</v>
      </c>
      <c r="B29" s="1">
        <v>24</v>
      </c>
    </row>
    <row r="30" spans="1:5" ht="19.5">
      <c r="A30" s="1" t="s">
        <v>49</v>
      </c>
      <c r="B30" s="1">
        <v>26</v>
      </c>
    </row>
    <row r="31" spans="1:5" ht="19.5">
      <c r="A31" s="1" t="s">
        <v>51</v>
      </c>
      <c r="B31" s="1">
        <v>25</v>
      </c>
    </row>
    <row r="32" spans="1:5" ht="19.5">
      <c r="A32" s="1" t="s">
        <v>52</v>
      </c>
      <c r="B32" s="1">
        <v>30</v>
      </c>
    </row>
    <row r="33" spans="1:2" ht="19.5">
      <c r="A33" s="1" t="s">
        <v>53</v>
      </c>
      <c r="B33" s="1">
        <v>37</v>
      </c>
    </row>
    <row r="34" spans="1:2" ht="19.5">
      <c r="A34" s="1" t="s">
        <v>54</v>
      </c>
      <c r="B34" s="1">
        <v>38</v>
      </c>
    </row>
    <row r="35" spans="1:2" ht="19.5">
      <c r="A35" s="1" t="s">
        <v>55</v>
      </c>
      <c r="B35" s="1">
        <v>25</v>
      </c>
    </row>
    <row r="36" spans="1:2" ht="19.5">
      <c r="A36" s="1" t="s">
        <v>56</v>
      </c>
      <c r="B36" s="1">
        <v>17</v>
      </c>
    </row>
    <row r="37" spans="1:2" ht="19.5">
      <c r="A37" s="1" t="s">
        <v>57</v>
      </c>
      <c r="B37" s="1">
        <v>30</v>
      </c>
    </row>
    <row r="38" spans="1:2" ht="19.5">
      <c r="A38" s="1" t="s">
        <v>58</v>
      </c>
      <c r="B38" s="1">
        <v>25</v>
      </c>
    </row>
    <row r="39" spans="1:2" ht="19.5">
      <c r="A39" s="1" t="s">
        <v>59</v>
      </c>
      <c r="B39" s="1">
        <v>24</v>
      </c>
    </row>
    <row r="40" spans="1:2" ht="19.5">
      <c r="A40" s="1" t="s">
        <v>60</v>
      </c>
      <c r="B40" s="1">
        <v>36</v>
      </c>
    </row>
    <row r="41" spans="1:2" ht="19.5">
      <c r="A41" s="1" t="s">
        <v>61</v>
      </c>
      <c r="B41" s="1">
        <v>40</v>
      </c>
    </row>
    <row r="42" spans="1:2" ht="19.5">
      <c r="A42" s="1" t="s">
        <v>62</v>
      </c>
      <c r="B42" s="1">
        <v>37</v>
      </c>
    </row>
    <row r="43" spans="1:2" ht="19.5">
      <c r="A43" s="1" t="s">
        <v>63</v>
      </c>
      <c r="B43" s="1">
        <v>39</v>
      </c>
    </row>
    <row r="44" spans="1:2" ht="19.5">
      <c r="A44" s="1" t="s">
        <v>64</v>
      </c>
      <c r="B44" s="1">
        <v>19</v>
      </c>
    </row>
    <row r="45" spans="1:2" ht="19.5">
      <c r="A45" s="1" t="s">
        <v>65</v>
      </c>
      <c r="B45" s="1">
        <v>19</v>
      </c>
    </row>
    <row r="46" spans="1:2" ht="19.5">
      <c r="A46" s="1" t="s">
        <v>66</v>
      </c>
      <c r="B46" s="1">
        <v>33</v>
      </c>
    </row>
    <row r="47" spans="1:2" ht="19.5">
      <c r="A47" s="1" t="s">
        <v>67</v>
      </c>
      <c r="B47" s="1">
        <v>33</v>
      </c>
    </row>
    <row r="48" spans="1:2" ht="19.5">
      <c r="A48" s="1" t="s">
        <v>68</v>
      </c>
      <c r="B48" s="1">
        <v>27</v>
      </c>
    </row>
    <row r="49" spans="1:2" ht="19.5">
      <c r="A49" s="1" t="s">
        <v>69</v>
      </c>
      <c r="B49" s="1">
        <v>23</v>
      </c>
    </row>
    <row r="50" spans="1:2" ht="19.5">
      <c r="A50" s="1" t="s">
        <v>70</v>
      </c>
      <c r="B50" s="1">
        <v>27</v>
      </c>
    </row>
    <row r="51" spans="1:2" ht="19.5">
      <c r="A51" s="1" t="s">
        <v>71</v>
      </c>
      <c r="B51" s="1">
        <v>30</v>
      </c>
    </row>
    <row r="52" spans="1:2" ht="19.5">
      <c r="A52" s="1" t="s">
        <v>72</v>
      </c>
      <c r="B52" s="1">
        <v>42</v>
      </c>
    </row>
    <row r="53" spans="1:2" ht="19.5">
      <c r="A53" s="1" t="s">
        <v>73</v>
      </c>
      <c r="B53" s="1">
        <v>28</v>
      </c>
    </row>
    <row r="54" spans="1:2" ht="19.5">
      <c r="A54" s="1" t="s">
        <v>74</v>
      </c>
      <c r="B54" s="1">
        <v>22</v>
      </c>
    </row>
    <row r="55" spans="1:2" ht="19.5">
      <c r="A55" s="1" t="s">
        <v>75</v>
      </c>
      <c r="B55" s="1">
        <v>29</v>
      </c>
    </row>
    <row r="56" spans="1:2" ht="19.5">
      <c r="A56" s="1" t="s">
        <v>76</v>
      </c>
      <c r="B56" s="1">
        <v>33</v>
      </c>
    </row>
    <row r="57" spans="1:2" ht="19.5">
      <c r="A57" s="1" t="s">
        <v>77</v>
      </c>
      <c r="B57" s="1">
        <v>16</v>
      </c>
    </row>
    <row r="58" spans="1:2" ht="19.5">
      <c r="A58" s="1" t="s">
        <v>78</v>
      </c>
      <c r="B58" s="1">
        <v>35</v>
      </c>
    </row>
    <row r="59" spans="1:2" ht="19.5">
      <c r="A59" s="1" t="s">
        <v>79</v>
      </c>
      <c r="B59" s="1">
        <v>24</v>
      </c>
    </row>
    <row r="60" spans="1:2" ht="19.5">
      <c r="A60" s="1" t="s">
        <v>80</v>
      </c>
      <c r="B60" s="1">
        <v>31</v>
      </c>
    </row>
    <row r="61" spans="1:2" ht="19.5">
      <c r="A61" s="1" t="s">
        <v>81</v>
      </c>
      <c r="B61" s="1">
        <v>38</v>
      </c>
    </row>
    <row r="62" spans="1:2" ht="19.5">
      <c r="A62" s="1" t="s">
        <v>82</v>
      </c>
      <c r="B62" s="1">
        <v>26</v>
      </c>
    </row>
    <row r="63" spans="1:2" ht="19.5">
      <c r="A63" s="1" t="s">
        <v>83</v>
      </c>
      <c r="B63" s="1">
        <v>16</v>
      </c>
    </row>
    <row r="64" spans="1:2" ht="19.5">
      <c r="A64" s="1" t="s">
        <v>84</v>
      </c>
      <c r="B64" s="1">
        <v>18</v>
      </c>
    </row>
    <row r="65" spans="1:2" ht="19.5">
      <c r="A65" s="1" t="s">
        <v>85</v>
      </c>
      <c r="B65" s="1">
        <v>21</v>
      </c>
    </row>
    <row r="66" spans="1:2" ht="19.5">
      <c r="A66" s="1" t="s">
        <v>86</v>
      </c>
      <c r="B66" s="1">
        <v>19</v>
      </c>
    </row>
    <row r="67" spans="1:2" ht="19.5">
      <c r="A67" s="1" t="s">
        <v>87</v>
      </c>
      <c r="B67" s="1">
        <v>32</v>
      </c>
    </row>
    <row r="68" spans="1:2" ht="19.5">
      <c r="A68" s="1" t="s">
        <v>88</v>
      </c>
      <c r="B68" s="1">
        <v>28</v>
      </c>
    </row>
    <row r="69" spans="1:2" ht="19.5">
      <c r="A69" s="1" t="s">
        <v>89</v>
      </c>
      <c r="B69" s="1">
        <v>46</v>
      </c>
    </row>
    <row r="70" spans="1:2" ht="19.5">
      <c r="A70" s="1" t="s">
        <v>90</v>
      </c>
      <c r="B70" s="1">
        <v>22</v>
      </c>
    </row>
    <row r="71" spans="1:2" ht="19.5">
      <c r="A71" s="1" t="s">
        <v>91</v>
      </c>
      <c r="B71" s="1">
        <v>16</v>
      </c>
    </row>
    <row r="72" spans="1:2" ht="19.5">
      <c r="A72" s="1" t="s">
        <v>92</v>
      </c>
      <c r="B72" s="1">
        <v>26</v>
      </c>
    </row>
    <row r="73" spans="1:2" ht="19.5">
      <c r="A73" s="1" t="s">
        <v>93</v>
      </c>
      <c r="B73" s="1">
        <v>37</v>
      </c>
    </row>
    <row r="74" spans="1:2" ht="19.5">
      <c r="A74" s="1" t="s">
        <v>94</v>
      </c>
      <c r="B74" s="1">
        <v>32</v>
      </c>
    </row>
    <row r="75" spans="1:2" ht="19.5">
      <c r="A75" s="1" t="s">
        <v>95</v>
      </c>
      <c r="B75" s="1">
        <v>46</v>
      </c>
    </row>
    <row r="76" spans="1:2" ht="19.5">
      <c r="A76" s="1" t="s">
        <v>96</v>
      </c>
      <c r="B76" s="1">
        <v>20</v>
      </c>
    </row>
    <row r="77" spans="1:2" ht="19.5">
      <c r="A77" s="1" t="s">
        <v>97</v>
      </c>
      <c r="B77" s="1">
        <v>45</v>
      </c>
    </row>
    <row r="78" spans="1:2" ht="19.5">
      <c r="A78" s="1" t="s">
        <v>98</v>
      </c>
      <c r="B78" s="1">
        <v>34</v>
      </c>
    </row>
    <row r="79" spans="1:2" ht="19.5">
      <c r="A79" s="1" t="s">
        <v>99</v>
      </c>
      <c r="B79" s="1">
        <v>30</v>
      </c>
    </row>
    <row r="80" spans="1:2" ht="19.5">
      <c r="A80" s="1" t="s">
        <v>100</v>
      </c>
      <c r="B80" s="1">
        <v>19</v>
      </c>
    </row>
    <row r="81" spans="1:2" ht="19.5">
      <c r="A81" s="1" t="s">
        <v>101</v>
      </c>
      <c r="B81" s="1">
        <v>24</v>
      </c>
    </row>
    <row r="82" spans="1:2" ht="19.5">
      <c r="A82" s="1" t="s">
        <v>102</v>
      </c>
      <c r="B82" s="1">
        <v>11</v>
      </c>
    </row>
    <row r="83" spans="1:2" ht="19.5">
      <c r="A83" s="1" t="s">
        <v>103</v>
      </c>
      <c r="B83" s="1">
        <v>33</v>
      </c>
    </row>
    <row r="84" spans="1:2" ht="19.5">
      <c r="A84" s="1" t="s">
        <v>104</v>
      </c>
      <c r="B84" s="1">
        <v>21</v>
      </c>
    </row>
    <row r="85" spans="1:2" ht="19.5">
      <c r="A85" s="1" t="s">
        <v>105</v>
      </c>
      <c r="B85" s="1">
        <v>42</v>
      </c>
    </row>
    <row r="86" spans="1:2" ht="19.5">
      <c r="A86" s="1" t="s">
        <v>106</v>
      </c>
      <c r="B86" s="1">
        <v>27</v>
      </c>
    </row>
    <row r="87" spans="1:2" ht="19.5">
      <c r="A87" s="1" t="s">
        <v>107</v>
      </c>
      <c r="B87" s="1">
        <v>27</v>
      </c>
    </row>
    <row r="88" spans="1:2" ht="19.5">
      <c r="A88" s="1" t="s">
        <v>108</v>
      </c>
      <c r="B88" s="1">
        <v>18</v>
      </c>
    </row>
    <row r="89" spans="1:2" ht="19.5">
      <c r="A89" s="1" t="s">
        <v>109</v>
      </c>
      <c r="B89" s="1">
        <v>30</v>
      </c>
    </row>
    <row r="90" spans="1:2" ht="19.5">
      <c r="A90" s="1" t="s">
        <v>110</v>
      </c>
      <c r="B90" s="1">
        <v>18</v>
      </c>
    </row>
    <row r="91" spans="1:2" ht="19.5">
      <c r="A91" s="1" t="s">
        <v>111</v>
      </c>
      <c r="B91" s="1">
        <v>20</v>
      </c>
    </row>
    <row r="92" spans="1:2" ht="19.5">
      <c r="A92" s="1" t="s">
        <v>112</v>
      </c>
      <c r="B92" s="1">
        <v>26</v>
      </c>
    </row>
    <row r="93" spans="1:2" ht="19.5">
      <c r="A93" s="1" t="s">
        <v>113</v>
      </c>
      <c r="B93" s="1">
        <v>19</v>
      </c>
    </row>
    <row r="94" spans="1:2" ht="19.5">
      <c r="A94" s="1" t="s">
        <v>114</v>
      </c>
      <c r="B94" s="1">
        <v>26</v>
      </c>
    </row>
    <row r="95" spans="1:2" ht="19.5">
      <c r="A95" s="1" t="s">
        <v>115</v>
      </c>
      <c r="B95" s="1">
        <v>23</v>
      </c>
    </row>
    <row r="96" spans="1:2" ht="19.5">
      <c r="A96" s="1" t="s">
        <v>116</v>
      </c>
      <c r="B96" s="1">
        <v>20</v>
      </c>
    </row>
    <row r="97" spans="1:2" ht="19.5">
      <c r="A97" s="1" t="s">
        <v>117</v>
      </c>
      <c r="B97" s="1">
        <v>17</v>
      </c>
    </row>
    <row r="98" spans="1:2" ht="19.5">
      <c r="A98" s="1" t="s">
        <v>118</v>
      </c>
      <c r="B98" s="1">
        <v>15</v>
      </c>
    </row>
    <row r="99" spans="1:2" ht="19.5">
      <c r="A99" s="1" t="s">
        <v>119</v>
      </c>
      <c r="B99" s="1">
        <v>39</v>
      </c>
    </row>
    <row r="100" spans="1:2" ht="19.5">
      <c r="A100" s="1" t="s">
        <v>120</v>
      </c>
      <c r="B100" s="1">
        <v>30</v>
      </c>
    </row>
    <row r="101" spans="1:2" ht="19.5">
      <c r="A101" s="1" t="s">
        <v>121</v>
      </c>
      <c r="B101" s="1">
        <v>37</v>
      </c>
    </row>
    <row r="102" spans="1:2" ht="19.5">
      <c r="A102" s="1" t="s">
        <v>122</v>
      </c>
      <c r="B102" s="1">
        <v>31</v>
      </c>
    </row>
    <row r="103" spans="1:2" ht="19.5">
      <c r="A103" s="1" t="s">
        <v>123</v>
      </c>
      <c r="B103" s="1">
        <v>15</v>
      </c>
    </row>
    <row r="104" spans="1:2" ht="19.5">
      <c r="A104" s="1" t="s">
        <v>124</v>
      </c>
      <c r="B104" s="1">
        <v>33</v>
      </c>
    </row>
    <row r="105" spans="1:2" ht="19.5">
      <c r="A105" s="1" t="s">
        <v>125</v>
      </c>
      <c r="B105" s="1">
        <v>32</v>
      </c>
    </row>
    <row r="106" spans="1:2" ht="19.5">
      <c r="A106" s="1" t="s">
        <v>126</v>
      </c>
      <c r="B106" s="1">
        <v>33</v>
      </c>
    </row>
    <row r="107" spans="1:2" ht="19.5">
      <c r="A107" s="1" t="s">
        <v>127</v>
      </c>
      <c r="B107" s="1">
        <v>24</v>
      </c>
    </row>
    <row r="108" spans="1:2" ht="19.5">
      <c r="A108" s="1" t="s">
        <v>128</v>
      </c>
      <c r="B108" s="1">
        <v>25</v>
      </c>
    </row>
    <row r="109" spans="1:2" ht="19.5">
      <c r="A109" s="1" t="s">
        <v>129</v>
      </c>
      <c r="B109" s="1">
        <v>23</v>
      </c>
    </row>
    <row r="110" spans="1:2" ht="19.5">
      <c r="A110" s="1" t="s">
        <v>130</v>
      </c>
      <c r="B110" s="1">
        <v>27</v>
      </c>
    </row>
    <row r="111" spans="1:2" ht="19.5">
      <c r="A111" s="1" t="s">
        <v>131</v>
      </c>
      <c r="B111" s="1">
        <v>33</v>
      </c>
    </row>
    <row r="112" spans="1:2" ht="19.5">
      <c r="A112" s="1" t="s">
        <v>132</v>
      </c>
      <c r="B112" s="1">
        <v>11</v>
      </c>
    </row>
    <row r="113" spans="1:2" ht="19.5">
      <c r="A113" s="1" t="s">
        <v>133</v>
      </c>
      <c r="B113" s="1">
        <v>11</v>
      </c>
    </row>
    <row r="114" spans="1:2" ht="19.5">
      <c r="A114" s="1" t="s">
        <v>134</v>
      </c>
      <c r="B114" s="1">
        <v>29</v>
      </c>
    </row>
    <row r="115" spans="1:2" ht="19.5">
      <c r="A115" s="1" t="s">
        <v>135</v>
      </c>
      <c r="B115" s="1">
        <v>38</v>
      </c>
    </row>
    <row r="116" spans="1:2" ht="19.5">
      <c r="A116" s="1" t="s">
        <v>136</v>
      </c>
      <c r="B116" s="1">
        <v>26</v>
      </c>
    </row>
    <row r="117" spans="1:2" ht="19.5">
      <c r="A117" s="1" t="s">
        <v>137</v>
      </c>
      <c r="B117" s="1">
        <v>36</v>
      </c>
    </row>
    <row r="118" spans="1:2" ht="19.5">
      <c r="A118" s="1" t="s">
        <v>138</v>
      </c>
      <c r="B118" s="1">
        <v>32</v>
      </c>
    </row>
    <row r="119" spans="1:2" ht="19.5">
      <c r="A119" s="1" t="s">
        <v>139</v>
      </c>
      <c r="B119" s="1">
        <v>18</v>
      </c>
    </row>
    <row r="120" spans="1:2" ht="19.5">
      <c r="A120" s="1" t="s">
        <v>140</v>
      </c>
      <c r="B120" s="1">
        <v>21</v>
      </c>
    </row>
    <row r="121" spans="1:2" ht="19.5">
      <c r="A121" s="1" t="s">
        <v>141</v>
      </c>
      <c r="B121" s="1">
        <v>12</v>
      </c>
    </row>
    <row r="122" spans="1:2" ht="19.5">
      <c r="A122" s="1" t="s">
        <v>142</v>
      </c>
      <c r="B122" s="1">
        <v>12</v>
      </c>
    </row>
    <row r="123" spans="1:2" ht="19.5">
      <c r="A123" s="1" t="s">
        <v>143</v>
      </c>
      <c r="B123" s="1">
        <v>32</v>
      </c>
    </row>
    <row r="124" spans="1:2" ht="19.5">
      <c r="A124" s="1" t="s">
        <v>144</v>
      </c>
      <c r="B124" s="1">
        <v>23</v>
      </c>
    </row>
    <row r="125" spans="1:2" ht="19.5">
      <c r="A125" s="1" t="s">
        <v>145</v>
      </c>
      <c r="B125" s="1">
        <v>26</v>
      </c>
    </row>
    <row r="126" spans="1:2" ht="19.5">
      <c r="A126" s="1" t="s">
        <v>146</v>
      </c>
      <c r="B126" s="1">
        <v>30</v>
      </c>
    </row>
    <row r="127" spans="1:2" ht="19.5">
      <c r="A127" s="1" t="s">
        <v>147</v>
      </c>
      <c r="B127" s="1">
        <v>13</v>
      </c>
    </row>
    <row r="128" spans="1:2" ht="19.5">
      <c r="A128" s="1" t="s">
        <v>148</v>
      </c>
      <c r="B128" s="1">
        <v>16</v>
      </c>
    </row>
    <row r="129" spans="1:2" ht="19.5">
      <c r="A129" s="1" t="s">
        <v>150</v>
      </c>
      <c r="B129" s="1">
        <v>34</v>
      </c>
    </row>
    <row r="130" spans="1:2" ht="19.5">
      <c r="A130" s="1" t="s">
        <v>151</v>
      </c>
      <c r="B130" s="1">
        <v>32</v>
      </c>
    </row>
    <row r="131" spans="1:2" ht="19.5">
      <c r="A131" s="1" t="s">
        <v>152</v>
      </c>
      <c r="B131" s="1">
        <v>31</v>
      </c>
    </row>
    <row r="132" spans="1:2" ht="19.5">
      <c r="A132" s="1" t="s">
        <v>153</v>
      </c>
      <c r="B132" s="1">
        <v>36</v>
      </c>
    </row>
    <row r="133" spans="1:2" ht="19.5">
      <c r="A133" s="1" t="s">
        <v>154</v>
      </c>
      <c r="B133" s="1">
        <v>48</v>
      </c>
    </row>
    <row r="134" spans="1:2" ht="19.5">
      <c r="A134" s="1" t="s">
        <v>155</v>
      </c>
      <c r="B134" s="1">
        <v>23</v>
      </c>
    </row>
    <row r="135" spans="1:2" ht="19.5">
      <c r="A135" s="1" t="s">
        <v>156</v>
      </c>
      <c r="B135" s="1">
        <v>24</v>
      </c>
    </row>
    <row r="136" spans="1:2" ht="19.5">
      <c r="A136" s="1" t="s">
        <v>157</v>
      </c>
      <c r="B136" s="1">
        <v>41</v>
      </c>
    </row>
    <row r="137" spans="1:2" ht="19.5">
      <c r="A137" s="1" t="s">
        <v>158</v>
      </c>
      <c r="B137" s="1">
        <v>20</v>
      </c>
    </row>
    <row r="138" spans="1:2" ht="19.5">
      <c r="A138" s="1" t="s">
        <v>159</v>
      </c>
      <c r="B138" s="1">
        <v>24</v>
      </c>
    </row>
    <row r="139" spans="1:2" ht="19.5">
      <c r="A139" s="1" t="s">
        <v>160</v>
      </c>
      <c r="B139" s="1">
        <v>20</v>
      </c>
    </row>
    <row r="140" spans="1:2" ht="19.5">
      <c r="A140" s="1" t="s">
        <v>161</v>
      </c>
      <c r="B140" s="1">
        <v>19</v>
      </c>
    </row>
    <row r="141" spans="1:2" ht="19.5">
      <c r="A141" s="1" t="s">
        <v>162</v>
      </c>
      <c r="B141" s="1">
        <v>24</v>
      </c>
    </row>
    <row r="142" spans="1:2" ht="19.5">
      <c r="A142" s="1" t="s">
        <v>163</v>
      </c>
      <c r="B142" s="1">
        <v>20</v>
      </c>
    </row>
    <row r="143" spans="1:2" ht="19.5">
      <c r="A143" s="1" t="s">
        <v>164</v>
      </c>
      <c r="B143" s="1">
        <v>32</v>
      </c>
    </row>
    <row r="144" spans="1:2" ht="19.5">
      <c r="A144" s="1" t="s">
        <v>165</v>
      </c>
      <c r="B144" s="1">
        <v>32</v>
      </c>
    </row>
    <row r="145" spans="1:2" ht="19.5">
      <c r="A145" s="1" t="s">
        <v>166</v>
      </c>
      <c r="B145" s="1">
        <v>12</v>
      </c>
    </row>
    <row r="146" spans="1:2" ht="19.5">
      <c r="A146" s="1" t="s">
        <v>167</v>
      </c>
      <c r="B146" s="1">
        <v>25</v>
      </c>
    </row>
    <row r="147" spans="1:2" ht="19.5">
      <c r="A147" s="1" t="s">
        <v>168</v>
      </c>
      <c r="B147" s="1">
        <v>10</v>
      </c>
    </row>
    <row r="148" spans="1:2" ht="19.5">
      <c r="A148" s="1" t="s">
        <v>169</v>
      </c>
      <c r="B148" s="1">
        <v>39</v>
      </c>
    </row>
    <row r="149" spans="1:2" ht="19.5">
      <c r="A149" s="1" t="s">
        <v>170</v>
      </c>
      <c r="B149" s="1">
        <v>43</v>
      </c>
    </row>
    <row r="150" spans="1:2" ht="19.5">
      <c r="A150" s="1" t="s">
        <v>171</v>
      </c>
      <c r="B150" s="1">
        <v>20</v>
      </c>
    </row>
    <row r="151" spans="1:2" ht="19.5">
      <c r="A151" s="1" t="s">
        <v>172</v>
      </c>
      <c r="B151" s="1">
        <v>16</v>
      </c>
    </row>
    <row r="152" spans="1:2" ht="19.5">
      <c r="A152" s="1" t="s">
        <v>173</v>
      </c>
      <c r="B152" s="1">
        <v>41</v>
      </c>
    </row>
    <row r="153" spans="1:2" ht="19.5">
      <c r="A153" s="1" t="s">
        <v>174</v>
      </c>
      <c r="B153" s="1">
        <v>30</v>
      </c>
    </row>
    <row r="154" spans="1:2" ht="19.5">
      <c r="A154" s="1" t="s">
        <v>175</v>
      </c>
      <c r="B154" s="1">
        <v>50</v>
      </c>
    </row>
    <row r="155" spans="1:2" ht="19.5">
      <c r="A155" s="1" t="s">
        <v>176</v>
      </c>
      <c r="B155" s="1">
        <v>53</v>
      </c>
    </row>
    <row r="156" spans="1:2" ht="19.5">
      <c r="A156" s="1" t="s">
        <v>177</v>
      </c>
      <c r="B156" s="1">
        <v>32</v>
      </c>
    </row>
    <row r="157" spans="1:2" ht="19.5">
      <c r="A157" s="1" t="s">
        <v>178</v>
      </c>
      <c r="B157" s="1">
        <v>35</v>
      </c>
    </row>
    <row r="158" spans="1:2" ht="19.5">
      <c r="A158" s="1" t="s">
        <v>179</v>
      </c>
      <c r="B158" s="1">
        <v>29</v>
      </c>
    </row>
    <row r="159" spans="1:2" ht="19.5">
      <c r="A159" s="1" t="s">
        <v>180</v>
      </c>
      <c r="B159" s="1">
        <v>26</v>
      </c>
    </row>
    <row r="160" spans="1:2" ht="19.5">
      <c r="A160" s="1" t="s">
        <v>181</v>
      </c>
      <c r="B160" s="1">
        <v>22</v>
      </c>
    </row>
    <row r="161" spans="1:2" ht="19.5">
      <c r="A161" s="1" t="s">
        <v>182</v>
      </c>
      <c r="B161" s="1">
        <v>23</v>
      </c>
    </row>
    <row r="162" spans="1:2" ht="19.5">
      <c r="A162" s="1" t="s">
        <v>183</v>
      </c>
      <c r="B162" s="1">
        <v>52</v>
      </c>
    </row>
    <row r="163" spans="1:2" ht="19.5">
      <c r="A163" s="1" t="s">
        <v>184</v>
      </c>
      <c r="B163" s="1">
        <v>24</v>
      </c>
    </row>
    <row r="164" spans="1:2" ht="19.5">
      <c r="A164" s="1" t="s">
        <v>185</v>
      </c>
      <c r="B164" s="1">
        <v>42</v>
      </c>
    </row>
    <row r="165" spans="1:2" ht="19.5">
      <c r="A165" s="1" t="s">
        <v>186</v>
      </c>
      <c r="B165" s="1">
        <v>36</v>
      </c>
    </row>
    <row r="166" spans="1:2" ht="19.5">
      <c r="A166" s="1" t="s">
        <v>187</v>
      </c>
      <c r="B166" s="1">
        <v>16</v>
      </c>
    </row>
    <row r="167" spans="1:2" ht="19.5">
      <c r="A167" s="1" t="s">
        <v>188</v>
      </c>
      <c r="B167" s="1">
        <v>26</v>
      </c>
    </row>
    <row r="168" spans="1:2" ht="19.5">
      <c r="A168" s="1" t="s">
        <v>189</v>
      </c>
      <c r="B168" s="1">
        <v>28</v>
      </c>
    </row>
    <row r="169" spans="1:2" ht="19.5">
      <c r="A169" s="1" t="s">
        <v>190</v>
      </c>
      <c r="B169" s="1">
        <v>22</v>
      </c>
    </row>
    <row r="170" spans="1:2" ht="19.5">
      <c r="A170" s="1" t="s">
        <v>191</v>
      </c>
      <c r="B170" s="1">
        <v>36</v>
      </c>
    </row>
    <row r="171" spans="1:2" ht="19.5">
      <c r="A171" s="1" t="s">
        <v>192</v>
      </c>
      <c r="B171" s="1">
        <v>25</v>
      </c>
    </row>
    <row r="172" spans="1:2" ht="19.5">
      <c r="A172" s="1" t="s">
        <v>193</v>
      </c>
      <c r="B172" s="1">
        <v>17</v>
      </c>
    </row>
    <row r="173" spans="1:2" ht="19.5">
      <c r="A173" s="1" t="s">
        <v>194</v>
      </c>
      <c r="B173" s="1">
        <v>27</v>
      </c>
    </row>
    <row r="174" spans="1:2" ht="19.5">
      <c r="A174" s="1" t="s">
        <v>195</v>
      </c>
      <c r="B174" s="1">
        <v>31</v>
      </c>
    </row>
    <row r="175" spans="1:2" ht="19.5">
      <c r="A175" s="1" t="s">
        <v>196</v>
      </c>
      <c r="B175" s="1">
        <v>28</v>
      </c>
    </row>
    <row r="176" spans="1:2" ht="19.5">
      <c r="A176" s="1" t="s">
        <v>197</v>
      </c>
      <c r="B176" s="1">
        <v>41</v>
      </c>
    </row>
    <row r="177" spans="1:2" ht="19.5">
      <c r="A177" s="1" t="s">
        <v>198</v>
      </c>
      <c r="B177" s="1">
        <v>18</v>
      </c>
    </row>
    <row r="178" spans="1:2" ht="19.5">
      <c r="A178" s="1" t="s">
        <v>199</v>
      </c>
      <c r="B178" s="1">
        <v>16</v>
      </c>
    </row>
    <row r="179" spans="1:2" ht="19.5">
      <c r="A179" s="1" t="s">
        <v>200</v>
      </c>
      <c r="B179" s="1">
        <v>26</v>
      </c>
    </row>
    <row r="180" spans="1:2" ht="19.5">
      <c r="A180" s="1" t="s">
        <v>201</v>
      </c>
      <c r="B180" s="1">
        <v>14</v>
      </c>
    </row>
    <row r="181" spans="1:2" ht="19.5">
      <c r="A181" s="1" t="s">
        <v>202</v>
      </c>
      <c r="B181" s="1">
        <v>43</v>
      </c>
    </row>
    <row r="182" spans="1:2" ht="19.5">
      <c r="A182" s="1" t="s">
        <v>203</v>
      </c>
      <c r="B182" s="1">
        <v>23</v>
      </c>
    </row>
    <row r="183" spans="1:2" ht="19.5">
      <c r="A183" s="1" t="s">
        <v>204</v>
      </c>
      <c r="B183" s="1">
        <v>20</v>
      </c>
    </row>
    <row r="184" spans="1:2" ht="19.5">
      <c r="A184" s="1" t="s">
        <v>205</v>
      </c>
      <c r="B184" s="1">
        <v>31</v>
      </c>
    </row>
    <row r="185" spans="1:2" ht="19.5">
      <c r="A185" s="1" t="s">
        <v>206</v>
      </c>
      <c r="B185" s="1">
        <v>38</v>
      </c>
    </row>
    <row r="186" spans="1:2" ht="19.5">
      <c r="A186" s="1" t="s">
        <v>207</v>
      </c>
      <c r="B186" s="1">
        <v>33</v>
      </c>
    </row>
    <row r="187" spans="1:2" ht="19.5">
      <c r="A187" s="1" t="s">
        <v>208</v>
      </c>
      <c r="B187" s="1">
        <v>27</v>
      </c>
    </row>
    <row r="188" spans="1:2" ht="19.5">
      <c r="A188" s="1" t="s">
        <v>209</v>
      </c>
      <c r="B188" s="1">
        <v>24</v>
      </c>
    </row>
    <row r="189" spans="1:2" ht="19.5">
      <c r="A189" s="1" t="s">
        <v>210</v>
      </c>
      <c r="B189" s="1">
        <v>38</v>
      </c>
    </row>
    <row r="190" spans="1:2" ht="19.5">
      <c r="A190" s="1" t="s">
        <v>211</v>
      </c>
      <c r="B190" s="1">
        <v>47</v>
      </c>
    </row>
    <row r="191" spans="1:2" ht="19.5">
      <c r="A191" s="1" t="s">
        <v>212</v>
      </c>
      <c r="B191" s="1">
        <v>31</v>
      </c>
    </row>
    <row r="192" spans="1:2" ht="19.5">
      <c r="A192" s="1" t="s">
        <v>213</v>
      </c>
      <c r="B192" s="1">
        <v>20</v>
      </c>
    </row>
    <row r="193" spans="1:2" ht="19.5">
      <c r="A193" s="1" t="s">
        <v>214</v>
      </c>
      <c r="B193" s="1">
        <v>19</v>
      </c>
    </row>
    <row r="194" spans="1:2" ht="19.5">
      <c r="A194" s="1" t="s">
        <v>215</v>
      </c>
      <c r="B194" s="1">
        <v>45</v>
      </c>
    </row>
    <row r="195" spans="1:2" ht="19.5">
      <c r="A195" s="1" t="s">
        <v>216</v>
      </c>
      <c r="B195" s="1">
        <v>38</v>
      </c>
    </row>
    <row r="196" spans="1:2" ht="19.5">
      <c r="A196" s="1" t="s">
        <v>217</v>
      </c>
      <c r="B196" s="1">
        <v>18</v>
      </c>
    </row>
    <row r="197" spans="1:2" ht="19.5">
      <c r="A197" s="1" t="s">
        <v>218</v>
      </c>
      <c r="B197" s="1">
        <v>14</v>
      </c>
    </row>
    <row r="198" spans="1:2" ht="19.5">
      <c r="A198" s="1" t="s">
        <v>219</v>
      </c>
      <c r="B198" s="1">
        <v>42</v>
      </c>
    </row>
    <row r="199" spans="1:2" ht="19.5">
      <c r="A199" s="1" t="s">
        <v>220</v>
      </c>
      <c r="B199" s="1">
        <v>33</v>
      </c>
    </row>
    <row r="200" spans="1:2" ht="19.5">
      <c r="A200" s="1" t="s">
        <v>221</v>
      </c>
      <c r="B200" s="1">
        <v>34</v>
      </c>
    </row>
    <row r="201" spans="1:2" ht="19.5">
      <c r="A201" s="1" t="s">
        <v>222</v>
      </c>
      <c r="B201" s="1">
        <v>15</v>
      </c>
    </row>
    <row r="202" spans="1:2" ht="19.5">
      <c r="A202" s="1" t="s">
        <v>223</v>
      </c>
      <c r="B202" s="1">
        <v>22</v>
      </c>
    </row>
    <row r="203" spans="1:2" ht="19.5">
      <c r="A203" s="1" t="s">
        <v>224</v>
      </c>
      <c r="B203" s="1">
        <v>30</v>
      </c>
    </row>
    <row r="204" spans="1:2" ht="19.5">
      <c r="A204" s="1" t="s">
        <v>225</v>
      </c>
      <c r="B204" s="1">
        <v>25</v>
      </c>
    </row>
    <row r="205" spans="1:2" ht="19.5">
      <c r="A205" s="1" t="s">
        <v>226</v>
      </c>
      <c r="B205" s="1">
        <v>26</v>
      </c>
    </row>
    <row r="206" spans="1:2" ht="19.5">
      <c r="A206" s="1" t="s">
        <v>227</v>
      </c>
      <c r="B206" s="1">
        <v>11</v>
      </c>
    </row>
    <row r="207" spans="1:2" ht="19.5">
      <c r="A207" s="1" t="s">
        <v>228</v>
      </c>
      <c r="B207" s="1">
        <v>28</v>
      </c>
    </row>
    <row r="208" spans="1:2" ht="19.5">
      <c r="A208" s="1" t="s">
        <v>229</v>
      </c>
      <c r="B208" s="1">
        <v>22</v>
      </c>
    </row>
    <row r="209" spans="1:2" ht="19.5">
      <c r="A209" s="1" t="s">
        <v>230</v>
      </c>
      <c r="B209" s="1">
        <v>37</v>
      </c>
    </row>
    <row r="210" spans="1:2" ht="19.5">
      <c r="A210" s="1" t="s">
        <v>231</v>
      </c>
      <c r="B210" s="1">
        <v>31</v>
      </c>
    </row>
    <row r="211" spans="1:2" ht="19.5">
      <c r="A211" s="1" t="s">
        <v>232</v>
      </c>
      <c r="B211" s="1">
        <v>19</v>
      </c>
    </row>
    <row r="212" spans="1:2" ht="19.5">
      <c r="A212" s="1" t="s">
        <v>233</v>
      </c>
      <c r="B212" s="1">
        <v>32</v>
      </c>
    </row>
    <row r="213" spans="1:2" ht="19.5">
      <c r="A213" s="1" t="s">
        <v>234</v>
      </c>
      <c r="B213" s="1">
        <v>27</v>
      </c>
    </row>
    <row r="214" spans="1:2" ht="19.5">
      <c r="A214" s="1" t="s">
        <v>235</v>
      </c>
      <c r="B214" s="1">
        <v>13</v>
      </c>
    </row>
    <row r="215" spans="1:2" ht="19.5">
      <c r="A215" s="1" t="s">
        <v>236</v>
      </c>
      <c r="B215" s="1">
        <v>31</v>
      </c>
    </row>
    <row r="216" spans="1:2" ht="19.5">
      <c r="A216" s="1" t="s">
        <v>237</v>
      </c>
      <c r="B216" s="1">
        <v>20</v>
      </c>
    </row>
    <row r="217" spans="1:2" ht="19.5">
      <c r="A217" s="1" t="s">
        <v>238</v>
      </c>
      <c r="B217" s="1">
        <v>26</v>
      </c>
    </row>
    <row r="218" spans="1:2" ht="19.5">
      <c r="A218" s="1" t="s">
        <v>239</v>
      </c>
      <c r="B218" s="1">
        <v>42</v>
      </c>
    </row>
    <row r="219" spans="1:2" ht="19.5">
      <c r="A219" s="1" t="s">
        <v>240</v>
      </c>
      <c r="B219" s="1">
        <v>24</v>
      </c>
    </row>
    <row r="220" spans="1:2" ht="19.5">
      <c r="A220" s="1" t="s">
        <v>241</v>
      </c>
      <c r="B220" s="1">
        <v>50</v>
      </c>
    </row>
    <row r="221" spans="1:2" ht="19.5">
      <c r="A221" s="1" t="s">
        <v>242</v>
      </c>
      <c r="B221" s="1">
        <v>41</v>
      </c>
    </row>
    <row r="222" spans="1:2" ht="19.5">
      <c r="A222" s="1" t="s">
        <v>243</v>
      </c>
      <c r="B222" s="1">
        <v>22</v>
      </c>
    </row>
    <row r="223" spans="1:2" ht="19.5">
      <c r="A223" s="1" t="s">
        <v>244</v>
      </c>
      <c r="B223" s="1">
        <v>29</v>
      </c>
    </row>
    <row r="224" spans="1:2" ht="19.5">
      <c r="A224" s="1" t="s">
        <v>245</v>
      </c>
      <c r="B224" s="1">
        <v>23</v>
      </c>
    </row>
    <row r="225" spans="1:2" ht="19.5">
      <c r="A225" s="1" t="s">
        <v>246</v>
      </c>
      <c r="B225" s="1">
        <v>13</v>
      </c>
    </row>
    <row r="226" spans="1:2" ht="19.5">
      <c r="A226" s="1" t="s">
        <v>247</v>
      </c>
      <c r="B226" s="1">
        <v>32</v>
      </c>
    </row>
    <row r="227" spans="1:2" ht="19.5">
      <c r="A227" s="1" t="s">
        <v>248</v>
      </c>
      <c r="B227" s="1">
        <v>24</v>
      </c>
    </row>
    <row r="228" spans="1:2" ht="19.5">
      <c r="A228" s="1" t="s">
        <v>249</v>
      </c>
      <c r="B228" s="1">
        <v>33</v>
      </c>
    </row>
    <row r="229" spans="1:2" ht="19.5">
      <c r="A229" s="1" t="s">
        <v>250</v>
      </c>
      <c r="B229" s="1">
        <v>29</v>
      </c>
    </row>
    <row r="230" spans="1:2" ht="19.5">
      <c r="A230" s="1" t="s">
        <v>251</v>
      </c>
      <c r="B230" s="1">
        <v>24</v>
      </c>
    </row>
    <row r="231" spans="1:2" ht="19.5">
      <c r="A231" s="1" t="s">
        <v>252</v>
      </c>
      <c r="B231" s="1">
        <v>40</v>
      </c>
    </row>
    <row r="232" spans="1:2" ht="19.5">
      <c r="A232" s="1" t="s">
        <v>253</v>
      </c>
      <c r="B232" s="1">
        <v>16</v>
      </c>
    </row>
    <row r="233" spans="1:2" ht="19.5">
      <c r="A233" s="1" t="s">
        <v>254</v>
      </c>
      <c r="B233" s="1">
        <v>11</v>
      </c>
    </row>
    <row r="234" spans="1:2" ht="19.5">
      <c r="A234" s="1" t="s">
        <v>255</v>
      </c>
      <c r="B234" s="1">
        <v>19</v>
      </c>
    </row>
    <row r="235" spans="1:2" ht="19.5">
      <c r="A235" s="1" t="s">
        <v>256</v>
      </c>
      <c r="B235" s="1">
        <v>42</v>
      </c>
    </row>
    <row r="236" spans="1:2" ht="19.5">
      <c r="A236" s="1" t="s">
        <v>257</v>
      </c>
      <c r="B236" s="1">
        <v>27</v>
      </c>
    </row>
    <row r="237" spans="1:2" ht="19.5">
      <c r="A237" s="1" t="s">
        <v>258</v>
      </c>
      <c r="B237" s="1">
        <v>24</v>
      </c>
    </row>
    <row r="238" spans="1:2" ht="19.5">
      <c r="A238" s="1" t="s">
        <v>259</v>
      </c>
      <c r="B238" s="1">
        <v>27</v>
      </c>
    </row>
    <row r="239" spans="1:2" ht="19.5">
      <c r="A239" s="1" t="s">
        <v>260</v>
      </c>
      <c r="B239" s="1">
        <v>14</v>
      </c>
    </row>
    <row r="240" spans="1:2" ht="19.5">
      <c r="A240" s="1" t="s">
        <v>261</v>
      </c>
      <c r="B240" s="1">
        <v>12</v>
      </c>
    </row>
    <row r="241" spans="1:2" ht="19.5">
      <c r="A241" s="1" t="s">
        <v>262</v>
      </c>
      <c r="B241" s="1">
        <v>23</v>
      </c>
    </row>
    <row r="242" spans="1:2" ht="19.5">
      <c r="A242" s="1" t="s">
        <v>263</v>
      </c>
      <c r="B242" s="1">
        <v>40</v>
      </c>
    </row>
    <row r="243" spans="1:2" ht="19.5">
      <c r="A243" s="1" t="s">
        <v>264</v>
      </c>
      <c r="B243" s="1">
        <v>33</v>
      </c>
    </row>
    <row r="244" spans="1:2" ht="19.5">
      <c r="A244" s="1" t="s">
        <v>265</v>
      </c>
      <c r="B244" s="1">
        <v>33</v>
      </c>
    </row>
    <row r="245" spans="1:2" ht="19.5">
      <c r="A245" s="1" t="s">
        <v>266</v>
      </c>
      <c r="B245" s="1">
        <v>30</v>
      </c>
    </row>
    <row r="246" spans="1:2" ht="19.5">
      <c r="A246" s="1" t="s">
        <v>267</v>
      </c>
      <c r="B246" s="1">
        <v>35</v>
      </c>
    </row>
    <row r="247" spans="1:2" ht="19.5">
      <c r="A247" s="1" t="s">
        <v>268</v>
      </c>
      <c r="B247" s="1">
        <v>26</v>
      </c>
    </row>
    <row r="248" spans="1:2" ht="19.5">
      <c r="A248" s="1" t="s">
        <v>269</v>
      </c>
      <c r="B248" s="1">
        <v>6</v>
      </c>
    </row>
    <row r="249" spans="1:2" ht="19.5">
      <c r="A249" s="1" t="s">
        <v>270</v>
      </c>
      <c r="B249" s="1">
        <v>17</v>
      </c>
    </row>
    <row r="250" spans="1:2" ht="19.5">
      <c r="A250" s="1" t="s">
        <v>271</v>
      </c>
      <c r="B250" s="1">
        <v>41</v>
      </c>
    </row>
    <row r="251" spans="1:2" ht="19.5">
      <c r="A251" s="1" t="s">
        <v>272</v>
      </c>
      <c r="B251" s="1">
        <v>33</v>
      </c>
    </row>
    <row r="252" spans="1:2" ht="19.5">
      <c r="A252" s="1" t="s">
        <v>273</v>
      </c>
      <c r="B252" s="1">
        <v>39</v>
      </c>
    </row>
    <row r="253" spans="1:2" ht="19.5">
      <c r="A253" s="1" t="s">
        <v>274</v>
      </c>
      <c r="B253" s="1">
        <v>17</v>
      </c>
    </row>
    <row r="254" spans="1:2" ht="19.5">
      <c r="A254" s="1" t="s">
        <v>275</v>
      </c>
      <c r="B254" s="1">
        <v>24</v>
      </c>
    </row>
    <row r="255" spans="1:2" ht="19.5">
      <c r="A255" s="1" t="s">
        <v>276</v>
      </c>
      <c r="B255" s="1">
        <v>35</v>
      </c>
    </row>
    <row r="256" spans="1:2" ht="19.5">
      <c r="A256" s="1" t="s">
        <v>277</v>
      </c>
      <c r="B256" s="1">
        <v>18</v>
      </c>
    </row>
    <row r="257" spans="1:2" ht="19.5">
      <c r="A257" s="1" t="s">
        <v>278</v>
      </c>
      <c r="B257" s="1">
        <v>20</v>
      </c>
    </row>
    <row r="258" spans="1:2" ht="19.5">
      <c r="A258" s="1" t="s">
        <v>279</v>
      </c>
      <c r="B258" s="1">
        <v>24</v>
      </c>
    </row>
    <row r="259" spans="1:2" ht="19.5">
      <c r="A259" s="1" t="s">
        <v>280</v>
      </c>
      <c r="B259" s="1">
        <v>40</v>
      </c>
    </row>
    <row r="260" spans="1:2" ht="19.5">
      <c r="A260" s="1" t="s">
        <v>281</v>
      </c>
      <c r="B260" s="1">
        <v>13</v>
      </c>
    </row>
    <row r="261" spans="1:2" ht="19.5">
      <c r="A261" s="1" t="s">
        <v>282</v>
      </c>
      <c r="B261" s="1">
        <v>32</v>
      </c>
    </row>
    <row r="262" spans="1:2" ht="19.5">
      <c r="A262" s="1" t="s">
        <v>283</v>
      </c>
      <c r="B262" s="1">
        <v>34</v>
      </c>
    </row>
    <row r="263" spans="1:2" ht="19.5">
      <c r="A263" s="1" t="s">
        <v>284</v>
      </c>
      <c r="B263" s="1">
        <v>34</v>
      </c>
    </row>
    <row r="264" spans="1:2" ht="19.5">
      <c r="A264" s="1" t="s">
        <v>285</v>
      </c>
      <c r="B264" s="1">
        <v>31</v>
      </c>
    </row>
    <row r="265" spans="1:2" ht="19.5">
      <c r="A265" s="1" t="s">
        <v>286</v>
      </c>
      <c r="B265" s="1">
        <v>47</v>
      </c>
    </row>
    <row r="266" spans="1:2" ht="19.5">
      <c r="A266" s="1" t="s">
        <v>287</v>
      </c>
      <c r="B266" s="1">
        <v>43</v>
      </c>
    </row>
    <row r="267" spans="1:2" ht="19.5">
      <c r="A267" s="1" t="s">
        <v>288</v>
      </c>
      <c r="B267" s="1">
        <v>27</v>
      </c>
    </row>
    <row r="268" spans="1:2" ht="19.5">
      <c r="A268" s="1" t="s">
        <v>289</v>
      </c>
      <c r="B268" s="1">
        <v>11</v>
      </c>
    </row>
    <row r="269" spans="1:2" ht="19.5">
      <c r="A269" s="1" t="s">
        <v>290</v>
      </c>
      <c r="B269" s="1">
        <v>37</v>
      </c>
    </row>
    <row r="270" spans="1:2" ht="19.5">
      <c r="A270" s="1" t="s">
        <v>291</v>
      </c>
      <c r="B270" s="1">
        <v>26</v>
      </c>
    </row>
    <row r="271" spans="1:2" ht="19.5">
      <c r="A271" s="1" t="s">
        <v>292</v>
      </c>
      <c r="B271" s="1">
        <v>27</v>
      </c>
    </row>
    <row r="272" spans="1:2" ht="19.5">
      <c r="A272" s="1" t="s">
        <v>293</v>
      </c>
      <c r="B272" s="1">
        <v>21</v>
      </c>
    </row>
    <row r="273" spans="1:2" ht="19.5">
      <c r="A273" s="1" t="s">
        <v>294</v>
      </c>
      <c r="B273" s="1">
        <v>35</v>
      </c>
    </row>
    <row r="274" spans="1:2" ht="19.5">
      <c r="A274" s="1" t="s">
        <v>295</v>
      </c>
      <c r="B274" s="1">
        <v>25</v>
      </c>
    </row>
    <row r="275" spans="1:2" ht="19.5">
      <c r="A275" s="1" t="s">
        <v>296</v>
      </c>
      <c r="B275" s="1">
        <v>28</v>
      </c>
    </row>
    <row r="276" spans="1:2" ht="19.5">
      <c r="A276" s="1" t="s">
        <v>297</v>
      </c>
      <c r="B276" s="1">
        <v>21</v>
      </c>
    </row>
    <row r="277" spans="1:2" ht="19.5">
      <c r="A277" s="1" t="s">
        <v>298</v>
      </c>
      <c r="B277" s="1">
        <v>24</v>
      </c>
    </row>
    <row r="278" spans="1:2" ht="19.5">
      <c r="A278" s="1" t="s">
        <v>299</v>
      </c>
      <c r="B278" s="1">
        <v>19</v>
      </c>
    </row>
    <row r="279" spans="1:2" ht="19.5">
      <c r="A279" s="1" t="s">
        <v>300</v>
      </c>
      <c r="B279" s="1">
        <v>25</v>
      </c>
    </row>
    <row r="280" spans="1:2" ht="19.5">
      <c r="A280" s="1" t="s">
        <v>302</v>
      </c>
      <c r="B280" s="1">
        <v>33</v>
      </c>
    </row>
    <row r="281" spans="1:2" ht="19.5">
      <c r="A281" s="1" t="s">
        <v>303</v>
      </c>
      <c r="B281" s="1">
        <v>26</v>
      </c>
    </row>
    <row r="282" spans="1:2" ht="19.5">
      <c r="A282" s="1" t="s">
        <v>304</v>
      </c>
      <c r="B282" s="1">
        <v>31</v>
      </c>
    </row>
    <row r="283" spans="1:2" ht="19.5">
      <c r="A283" s="1" t="s">
        <v>305</v>
      </c>
      <c r="B283" s="1">
        <v>33</v>
      </c>
    </row>
    <row r="284" spans="1:2" ht="19.5">
      <c r="A284" s="1" t="s">
        <v>306</v>
      </c>
      <c r="B284" s="1">
        <v>30</v>
      </c>
    </row>
    <row r="285" spans="1:2" ht="19.5">
      <c r="A285" s="1" t="s">
        <v>307</v>
      </c>
      <c r="B285" s="1">
        <v>26</v>
      </c>
    </row>
    <row r="286" spans="1:2" ht="19.5">
      <c r="A286" s="1" t="s">
        <v>308</v>
      </c>
      <c r="B286" s="1">
        <v>23</v>
      </c>
    </row>
    <row r="287" spans="1:2" ht="19.5">
      <c r="A287" s="1" t="s">
        <v>309</v>
      </c>
      <c r="B287" s="1">
        <v>28</v>
      </c>
    </row>
    <row r="288" spans="1:2" ht="19.5">
      <c r="A288" s="1" t="s">
        <v>310</v>
      </c>
      <c r="B288" s="1">
        <v>18</v>
      </c>
    </row>
    <row r="289" spans="1:2" ht="19.5">
      <c r="A289" s="1" t="s">
        <v>311</v>
      </c>
      <c r="B289" s="1">
        <v>39</v>
      </c>
    </row>
    <row r="290" spans="1:2" ht="19.5">
      <c r="A290" s="1" t="s">
        <v>312</v>
      </c>
      <c r="B290" s="1">
        <v>28</v>
      </c>
    </row>
    <row r="291" spans="1:2" ht="19.5">
      <c r="A291" s="1" t="s">
        <v>313</v>
      </c>
      <c r="B291" s="1">
        <v>47</v>
      </c>
    </row>
    <row r="292" spans="1:2" ht="19.5">
      <c r="A292" s="1" t="s">
        <v>314</v>
      </c>
      <c r="B292" s="1">
        <v>41</v>
      </c>
    </row>
    <row r="293" spans="1:2" ht="19.5">
      <c r="A293" s="1" t="s">
        <v>315</v>
      </c>
      <c r="B293" s="1">
        <v>11</v>
      </c>
    </row>
    <row r="294" spans="1:2" ht="19.5">
      <c r="A294" s="1" t="s">
        <v>316</v>
      </c>
      <c r="B294" s="1">
        <v>26</v>
      </c>
    </row>
    <row r="295" spans="1:2" ht="19.5">
      <c r="A295" s="1" t="s">
        <v>317</v>
      </c>
      <c r="B295" s="1">
        <v>24</v>
      </c>
    </row>
    <row r="296" spans="1:2" ht="19.5">
      <c r="A296" s="1" t="s">
        <v>318</v>
      </c>
      <c r="B296" s="1">
        <v>14</v>
      </c>
    </row>
    <row r="297" spans="1:2" ht="19.5">
      <c r="A297" s="1" t="s">
        <v>319</v>
      </c>
      <c r="B297" s="1">
        <v>34</v>
      </c>
    </row>
    <row r="298" spans="1:2" ht="19.5">
      <c r="A298" s="1" t="s">
        <v>320</v>
      </c>
      <c r="B298" s="1">
        <v>46</v>
      </c>
    </row>
    <row r="299" spans="1:2" ht="19.5">
      <c r="A299" s="1" t="s">
        <v>321</v>
      </c>
      <c r="B299" s="1">
        <v>24</v>
      </c>
    </row>
    <row r="300" spans="1:2" ht="19.5">
      <c r="A300" s="1" t="s">
        <v>322</v>
      </c>
      <c r="B300" s="1">
        <v>22</v>
      </c>
    </row>
    <row r="301" spans="1:2" ht="19.5">
      <c r="A301" s="1" t="s">
        <v>323</v>
      </c>
      <c r="B301" s="1">
        <v>41</v>
      </c>
    </row>
    <row r="302" spans="1:2" ht="19.5">
      <c r="A302" s="1" t="s">
        <v>324</v>
      </c>
      <c r="B302" s="1">
        <v>3</v>
      </c>
    </row>
    <row r="303" spans="1:2" ht="19.5">
      <c r="A303" s="1" t="s">
        <v>325</v>
      </c>
      <c r="B303" s="1">
        <v>24</v>
      </c>
    </row>
    <row r="304" spans="1:2" ht="19.5">
      <c r="A304" s="1" t="s">
        <v>326</v>
      </c>
      <c r="B304" s="1">
        <v>19</v>
      </c>
    </row>
    <row r="305" spans="1:2" ht="19.5">
      <c r="A305" s="1" t="s">
        <v>327</v>
      </c>
      <c r="B305" s="1">
        <v>39</v>
      </c>
    </row>
    <row r="306" spans="1:2" ht="19.5">
      <c r="A306" s="1" t="s">
        <v>328</v>
      </c>
      <c r="B306" s="1">
        <v>28</v>
      </c>
    </row>
    <row r="307" spans="1:2" ht="19.5">
      <c r="A307" s="1" t="s">
        <v>329</v>
      </c>
      <c r="B307" s="1">
        <v>32</v>
      </c>
    </row>
    <row r="308" spans="1:2" ht="19.5">
      <c r="A308" s="1" t="s">
        <v>330</v>
      </c>
      <c r="B308" s="1">
        <v>25</v>
      </c>
    </row>
    <row r="309" spans="1:2" ht="19.5">
      <c r="A309" s="1" t="s">
        <v>331</v>
      </c>
      <c r="B309" s="1">
        <v>29</v>
      </c>
    </row>
    <row r="310" spans="1:2" ht="19.5">
      <c r="A310" s="1" t="s">
        <v>332</v>
      </c>
      <c r="B310" s="1">
        <v>25</v>
      </c>
    </row>
    <row r="311" spans="1:2" ht="19.5">
      <c r="A311" s="1" t="s">
        <v>333</v>
      </c>
      <c r="B311" s="1">
        <v>21</v>
      </c>
    </row>
    <row r="312" spans="1:2" ht="19.5">
      <c r="A312" s="1" t="s">
        <v>334</v>
      </c>
      <c r="B312" s="1">
        <v>31</v>
      </c>
    </row>
    <row r="313" spans="1:2" ht="19.5">
      <c r="A313" s="1" t="s">
        <v>335</v>
      </c>
      <c r="B313" s="1">
        <v>25</v>
      </c>
    </row>
    <row r="314" spans="1:2" ht="19.5">
      <c r="A314" s="1" t="s">
        <v>336</v>
      </c>
      <c r="B314" s="1">
        <v>14</v>
      </c>
    </row>
    <row r="315" spans="1:2" ht="19.5">
      <c r="A315" s="1" t="s">
        <v>337</v>
      </c>
      <c r="B315" s="1">
        <v>21</v>
      </c>
    </row>
    <row r="316" spans="1:2" ht="19.5">
      <c r="A316" s="1" t="s">
        <v>338</v>
      </c>
      <c r="B316" s="1">
        <v>24</v>
      </c>
    </row>
    <row r="317" spans="1:2" ht="19.5">
      <c r="A317" s="1" t="s">
        <v>339</v>
      </c>
      <c r="B317" s="1">
        <v>25</v>
      </c>
    </row>
    <row r="318" spans="1:2" ht="19.5">
      <c r="A318" s="1" t="s">
        <v>340</v>
      </c>
      <c r="B318" s="1">
        <v>42</v>
      </c>
    </row>
    <row r="319" spans="1:2" ht="19.5">
      <c r="A319" s="1" t="s">
        <v>341</v>
      </c>
      <c r="B319" s="1">
        <v>20</v>
      </c>
    </row>
    <row r="320" spans="1:2" ht="19.5">
      <c r="A320" s="1" t="s">
        <v>342</v>
      </c>
      <c r="B320" s="1">
        <v>22</v>
      </c>
    </row>
    <row r="321" spans="1:2" ht="19.5">
      <c r="A321" s="1" t="s">
        <v>343</v>
      </c>
      <c r="B321" s="1">
        <v>36</v>
      </c>
    </row>
    <row r="322" spans="1:2" ht="19.5">
      <c r="A322" s="1" t="s">
        <v>344</v>
      </c>
      <c r="B322" s="1">
        <v>38</v>
      </c>
    </row>
    <row r="323" spans="1:2" ht="19.5">
      <c r="A323" s="1" t="s">
        <v>345</v>
      </c>
      <c r="B323" s="1">
        <v>18</v>
      </c>
    </row>
    <row r="324" spans="1:2" ht="19.5">
      <c r="A324" s="1" t="s">
        <v>346</v>
      </c>
      <c r="B324" s="1">
        <v>16</v>
      </c>
    </row>
    <row r="325" spans="1:2" ht="19.5">
      <c r="A325" s="1" t="s">
        <v>347</v>
      </c>
      <c r="B325" s="1">
        <v>31</v>
      </c>
    </row>
    <row r="326" spans="1:2" ht="19.5">
      <c r="A326" s="1" t="s">
        <v>348</v>
      </c>
      <c r="B326" s="1">
        <v>28</v>
      </c>
    </row>
    <row r="327" spans="1:2" ht="19.5">
      <c r="A327" s="1" t="s">
        <v>349</v>
      </c>
      <c r="B327" s="1">
        <v>34</v>
      </c>
    </row>
    <row r="328" spans="1:2" ht="19.5">
      <c r="A328" s="1" t="s">
        <v>350</v>
      </c>
      <c r="B328" s="1">
        <v>48</v>
      </c>
    </row>
    <row r="329" spans="1:2" ht="19.5">
      <c r="A329" s="1" t="s">
        <v>351</v>
      </c>
      <c r="B329" s="1">
        <v>35</v>
      </c>
    </row>
    <row r="330" spans="1:2" ht="19.5">
      <c r="A330" s="1" t="s">
        <v>352</v>
      </c>
      <c r="B330" s="1">
        <v>24</v>
      </c>
    </row>
    <row r="331" spans="1:2" ht="19.5">
      <c r="A331" s="1" t="s">
        <v>353</v>
      </c>
      <c r="B331" s="1">
        <v>25</v>
      </c>
    </row>
    <row r="332" spans="1:2" ht="19.5">
      <c r="A332" s="1" t="s">
        <v>354</v>
      </c>
      <c r="B332" s="1">
        <v>32</v>
      </c>
    </row>
    <row r="333" spans="1:2" ht="19.5">
      <c r="A333" s="1" t="s">
        <v>355</v>
      </c>
      <c r="B333" s="1">
        <v>33</v>
      </c>
    </row>
    <row r="334" spans="1:2" ht="19.5">
      <c r="A334" s="1" t="s">
        <v>356</v>
      </c>
      <c r="B334" s="1">
        <v>19</v>
      </c>
    </row>
    <row r="335" spans="1:2" ht="19.5">
      <c r="A335" s="1" t="s">
        <v>357</v>
      </c>
      <c r="B335" s="1">
        <v>7</v>
      </c>
    </row>
    <row r="336" spans="1:2" ht="19.5">
      <c r="A336" s="1" t="s">
        <v>358</v>
      </c>
      <c r="B336" s="1">
        <v>36</v>
      </c>
    </row>
    <row r="337" spans="1:2" ht="19.5">
      <c r="A337" s="1" t="s">
        <v>359</v>
      </c>
      <c r="B337" s="1">
        <v>44</v>
      </c>
    </row>
    <row r="338" spans="1:2" ht="19.5">
      <c r="A338" s="1" t="s">
        <v>360</v>
      </c>
      <c r="B338" s="1">
        <v>35</v>
      </c>
    </row>
    <row r="339" spans="1:2" ht="19.5">
      <c r="A339" s="1" t="s">
        <v>361</v>
      </c>
      <c r="B339" s="1">
        <v>11</v>
      </c>
    </row>
    <row r="340" spans="1:2" ht="19.5">
      <c r="A340" s="1" t="s">
        <v>362</v>
      </c>
      <c r="B340" s="1">
        <v>43</v>
      </c>
    </row>
    <row r="341" spans="1:2" ht="19.5">
      <c r="A341" s="1" t="s">
        <v>363</v>
      </c>
      <c r="B341" s="1">
        <v>22</v>
      </c>
    </row>
    <row r="342" spans="1:2" ht="19.5">
      <c r="A342" s="1" t="s">
        <v>364</v>
      </c>
      <c r="B342" s="1">
        <v>49</v>
      </c>
    </row>
    <row r="343" spans="1:2" ht="19.5">
      <c r="A343" s="1" t="s">
        <v>365</v>
      </c>
      <c r="B343" s="1">
        <v>37</v>
      </c>
    </row>
    <row r="344" spans="1:2" ht="19.5">
      <c r="A344" s="1" t="s">
        <v>366</v>
      </c>
      <c r="B344" s="1">
        <v>26</v>
      </c>
    </row>
    <row r="345" spans="1:2" ht="19.5">
      <c r="A345" s="1" t="s">
        <v>367</v>
      </c>
      <c r="B345" s="1">
        <v>19</v>
      </c>
    </row>
    <row r="346" spans="1:2" ht="19.5">
      <c r="A346" s="1" t="s">
        <v>368</v>
      </c>
      <c r="B346" s="1">
        <v>20</v>
      </c>
    </row>
    <row r="347" spans="1:2" ht="19.5">
      <c r="A347" s="1" t="s">
        <v>369</v>
      </c>
      <c r="B347" s="1">
        <v>36</v>
      </c>
    </row>
    <row r="348" spans="1:2" ht="19.5">
      <c r="A348" s="1" t="s">
        <v>370</v>
      </c>
      <c r="B348" s="1">
        <v>39</v>
      </c>
    </row>
    <row r="349" spans="1:2" ht="19.5">
      <c r="A349" s="1" t="s">
        <v>371</v>
      </c>
      <c r="B349" s="1">
        <v>10</v>
      </c>
    </row>
    <row r="350" spans="1:2" ht="19.5">
      <c r="A350" s="1" t="s">
        <v>372</v>
      </c>
      <c r="B350" s="1">
        <v>24</v>
      </c>
    </row>
    <row r="351" spans="1:2" ht="19.5">
      <c r="A351" s="1" t="s">
        <v>373</v>
      </c>
      <c r="B351" s="1">
        <v>35</v>
      </c>
    </row>
    <row r="352" spans="1:2" ht="19.5">
      <c r="A352" s="1" t="s">
        <v>374</v>
      </c>
      <c r="B352" s="1">
        <v>32</v>
      </c>
    </row>
    <row r="353" spans="1:2" ht="19.5">
      <c r="A353" s="1" t="s">
        <v>375</v>
      </c>
      <c r="B353" s="1">
        <v>20</v>
      </c>
    </row>
    <row r="354" spans="1:2" ht="19.5">
      <c r="A354" s="1" t="s">
        <v>376</v>
      </c>
      <c r="B354" s="1">
        <v>34</v>
      </c>
    </row>
    <row r="355" spans="1:2" ht="19.5">
      <c r="A355" s="1" t="s">
        <v>377</v>
      </c>
      <c r="B355" s="1">
        <v>29</v>
      </c>
    </row>
    <row r="356" spans="1:2" ht="19.5">
      <c r="A356" s="1" t="s">
        <v>378</v>
      </c>
      <c r="B356" s="1">
        <v>26</v>
      </c>
    </row>
    <row r="357" spans="1:2" ht="19.5">
      <c r="A357" s="1" t="s">
        <v>379</v>
      </c>
      <c r="B357" s="1">
        <v>25</v>
      </c>
    </row>
    <row r="358" spans="1:2" ht="19.5">
      <c r="A358" s="1" t="s">
        <v>380</v>
      </c>
      <c r="B358" s="1">
        <v>44</v>
      </c>
    </row>
    <row r="359" spans="1:2" ht="19.5">
      <c r="A359" s="1" t="s">
        <v>381</v>
      </c>
      <c r="B359" s="1">
        <v>28</v>
      </c>
    </row>
    <row r="360" spans="1:2" ht="19.5">
      <c r="A360" s="1" t="s">
        <v>382</v>
      </c>
      <c r="B360" s="1">
        <v>35</v>
      </c>
    </row>
    <row r="361" spans="1:2" ht="19.5">
      <c r="A361" s="1" t="s">
        <v>383</v>
      </c>
      <c r="B361" s="1">
        <v>30</v>
      </c>
    </row>
    <row r="362" spans="1:2" ht="19.5">
      <c r="A362" s="1" t="s">
        <v>384</v>
      </c>
      <c r="B362" s="1">
        <v>24</v>
      </c>
    </row>
    <row r="363" spans="1:2" ht="19.5">
      <c r="A363" s="1" t="s">
        <v>385</v>
      </c>
      <c r="B363" s="1">
        <v>18</v>
      </c>
    </row>
    <row r="364" spans="1:2" ht="19.5">
      <c r="A364" s="1" t="s">
        <v>386</v>
      </c>
      <c r="B364" s="1">
        <v>34</v>
      </c>
    </row>
    <row r="365" spans="1:2" ht="19.5">
      <c r="A365" s="1" t="s">
        <v>387</v>
      </c>
      <c r="B365" s="1">
        <v>20</v>
      </c>
    </row>
    <row r="366" spans="1:2" ht="19.5">
      <c r="A366" s="1" t="s">
        <v>388</v>
      </c>
      <c r="B366" s="1">
        <v>24</v>
      </c>
    </row>
    <row r="367" spans="1:2" ht="19.5">
      <c r="A367" s="1" t="s">
        <v>389</v>
      </c>
      <c r="B367" s="1">
        <v>41</v>
      </c>
    </row>
    <row r="368" spans="1:2" ht="19.5">
      <c r="A368" s="1" t="s">
        <v>390</v>
      </c>
      <c r="B368" s="1">
        <v>26</v>
      </c>
    </row>
    <row r="369" spans="1:2" ht="19.5">
      <c r="A369" s="1" t="s">
        <v>391</v>
      </c>
      <c r="B369" s="1">
        <v>53</v>
      </c>
    </row>
    <row r="370" spans="1:2" ht="19.5">
      <c r="A370" s="1" t="s">
        <v>392</v>
      </c>
      <c r="B370" s="1">
        <v>35</v>
      </c>
    </row>
    <row r="371" spans="1:2" ht="19.5">
      <c r="A371" s="1" t="s">
        <v>393</v>
      </c>
      <c r="B371" s="1">
        <v>5</v>
      </c>
    </row>
    <row r="372" spans="1:2" ht="19.5">
      <c r="A372" s="1" t="s">
        <v>394</v>
      </c>
      <c r="B372" s="1">
        <v>23</v>
      </c>
    </row>
    <row r="373" spans="1:2" ht="19.5">
      <c r="A373" s="1" t="s">
        <v>395</v>
      </c>
      <c r="B373" s="1">
        <v>21</v>
      </c>
    </row>
    <row r="374" spans="1:2" ht="19.5">
      <c r="A374" s="1" t="s">
        <v>396</v>
      </c>
      <c r="B374" s="1">
        <v>27</v>
      </c>
    </row>
    <row r="375" spans="1:2" ht="19.5">
      <c r="A375" s="1" t="s">
        <v>397</v>
      </c>
      <c r="B375" s="1">
        <v>44</v>
      </c>
    </row>
    <row r="376" spans="1:2" ht="19.5">
      <c r="A376" s="1" t="s">
        <v>398</v>
      </c>
      <c r="B376" s="1">
        <v>28</v>
      </c>
    </row>
    <row r="377" spans="1:2" ht="19.5">
      <c r="A377" s="1" t="s">
        <v>399</v>
      </c>
      <c r="B377" s="1">
        <v>34</v>
      </c>
    </row>
    <row r="378" spans="1:2" ht="19.5">
      <c r="A378" s="1" t="s">
        <v>400</v>
      </c>
      <c r="B378" s="1">
        <v>11</v>
      </c>
    </row>
    <row r="379" spans="1:2" ht="19.5">
      <c r="A379" s="1" t="s">
        <v>401</v>
      </c>
      <c r="B379" s="1">
        <v>22</v>
      </c>
    </row>
    <row r="380" spans="1:2" ht="19.5">
      <c r="A380" s="1" t="s">
        <v>402</v>
      </c>
      <c r="B380" s="1">
        <v>29</v>
      </c>
    </row>
    <row r="381" spans="1:2" ht="19.5">
      <c r="A381" s="1" t="s">
        <v>403</v>
      </c>
      <c r="B381" s="1">
        <v>31</v>
      </c>
    </row>
    <row r="382" spans="1:2" ht="19.5">
      <c r="A382" s="1" t="s">
        <v>404</v>
      </c>
      <c r="B382" s="1">
        <v>25</v>
      </c>
    </row>
    <row r="383" spans="1:2" ht="19.5">
      <c r="A383" s="1" t="s">
        <v>405</v>
      </c>
      <c r="B383" s="1">
        <v>46</v>
      </c>
    </row>
    <row r="384" spans="1:2" ht="19.5">
      <c r="A384" s="1" t="s">
        <v>406</v>
      </c>
      <c r="B384" s="1">
        <v>27</v>
      </c>
    </row>
    <row r="385" spans="1:2" ht="19.5">
      <c r="A385" s="1" t="s">
        <v>407</v>
      </c>
      <c r="B385" s="1">
        <v>36</v>
      </c>
    </row>
    <row r="386" spans="1:2" ht="19.5">
      <c r="A386" s="1" t="s">
        <v>408</v>
      </c>
      <c r="B386" s="1">
        <v>36</v>
      </c>
    </row>
    <row r="387" spans="1:2" ht="19.5">
      <c r="A387" s="1" t="s">
        <v>409</v>
      </c>
      <c r="B387" s="1">
        <v>12</v>
      </c>
    </row>
    <row r="388" spans="1:2" ht="19.5">
      <c r="A388" s="1" t="s">
        <v>410</v>
      </c>
      <c r="B388" s="1">
        <v>33</v>
      </c>
    </row>
    <row r="389" spans="1:2" ht="19.5">
      <c r="A389" s="1" t="s">
        <v>411</v>
      </c>
      <c r="B389" s="1">
        <v>29</v>
      </c>
    </row>
    <row r="390" spans="1:2" ht="19.5">
      <c r="A390" s="1" t="s">
        <v>412</v>
      </c>
      <c r="B390" s="1">
        <v>24</v>
      </c>
    </row>
    <row r="391" spans="1:2" ht="19.5">
      <c r="A391" s="1" t="s">
        <v>413</v>
      </c>
      <c r="B391" s="1">
        <v>17</v>
      </c>
    </row>
    <row r="392" spans="1:2" ht="19.5">
      <c r="A392" s="1" t="s">
        <v>414</v>
      </c>
      <c r="B392" s="1">
        <v>18</v>
      </c>
    </row>
    <row r="393" spans="1:2" ht="19.5">
      <c r="A393" s="1" t="s">
        <v>415</v>
      </c>
      <c r="B393" s="1">
        <v>37</v>
      </c>
    </row>
    <row r="394" spans="1:2" ht="19.5">
      <c r="A394" s="1" t="s">
        <v>416</v>
      </c>
      <c r="B394" s="1">
        <v>32</v>
      </c>
    </row>
    <row r="395" spans="1:2" ht="19.5">
      <c r="A395" s="1" t="s">
        <v>417</v>
      </c>
      <c r="B395" s="1">
        <v>36</v>
      </c>
    </row>
    <row r="396" spans="1:2" ht="19.5">
      <c r="A396" s="1" t="s">
        <v>418</v>
      </c>
      <c r="B396" s="1">
        <v>31</v>
      </c>
    </row>
    <row r="397" spans="1:2" ht="19.5">
      <c r="A397" s="1" t="s">
        <v>419</v>
      </c>
      <c r="B397" s="1">
        <v>35</v>
      </c>
    </row>
    <row r="398" spans="1:2" ht="19.5">
      <c r="A398" s="1" t="s">
        <v>420</v>
      </c>
      <c r="B398" s="1">
        <v>23</v>
      </c>
    </row>
    <row r="399" spans="1:2" ht="19.5">
      <c r="A399" s="1" t="s">
        <v>421</v>
      </c>
      <c r="B399" s="1">
        <v>14</v>
      </c>
    </row>
    <row r="400" spans="1:2" ht="19.5">
      <c r="A400" s="1" t="s">
        <v>422</v>
      </c>
      <c r="B400" s="1">
        <v>30</v>
      </c>
    </row>
    <row r="401" spans="1:2" ht="19.5">
      <c r="A401" s="1" t="s">
        <v>423</v>
      </c>
      <c r="B401" s="1">
        <v>43</v>
      </c>
    </row>
    <row r="402" spans="1:2" ht="19.5">
      <c r="A402" s="1" t="s">
        <v>424</v>
      </c>
      <c r="B402" s="1">
        <v>39</v>
      </c>
    </row>
    <row r="403" spans="1:2" ht="19.5">
      <c r="A403" s="1" t="s">
        <v>425</v>
      </c>
      <c r="B403" s="1">
        <v>16</v>
      </c>
    </row>
    <row r="404" spans="1:2" ht="19.5">
      <c r="A404" s="1" t="s">
        <v>426</v>
      </c>
      <c r="B404" s="1">
        <v>34</v>
      </c>
    </row>
    <row r="405" spans="1:2" ht="19.5">
      <c r="A405" s="1" t="s">
        <v>427</v>
      </c>
      <c r="B405" s="1">
        <v>16</v>
      </c>
    </row>
    <row r="406" spans="1:2" ht="19.5">
      <c r="A406" s="1" t="s">
        <v>428</v>
      </c>
      <c r="B406" s="1">
        <v>27</v>
      </c>
    </row>
    <row r="407" spans="1:2" ht="19.5">
      <c r="A407" s="1" t="s">
        <v>429</v>
      </c>
      <c r="B407" s="1">
        <v>37</v>
      </c>
    </row>
    <row r="408" spans="1:2" ht="19.5">
      <c r="A408" s="1" t="s">
        <v>430</v>
      </c>
      <c r="B408" s="1">
        <v>21</v>
      </c>
    </row>
    <row r="409" spans="1:2" ht="19.5">
      <c r="A409" s="1" t="s">
        <v>431</v>
      </c>
      <c r="B409" s="1">
        <v>29</v>
      </c>
    </row>
    <row r="410" spans="1:2" ht="19.5">
      <c r="A410" s="1" t="s">
        <v>432</v>
      </c>
      <c r="B410" s="1">
        <v>34</v>
      </c>
    </row>
    <row r="411" spans="1:2" ht="19.5">
      <c r="A411" s="1" t="s">
        <v>433</v>
      </c>
      <c r="B411" s="1">
        <v>28</v>
      </c>
    </row>
    <row r="412" spans="1:2" ht="19.5">
      <c r="A412" s="1" t="s">
        <v>434</v>
      </c>
      <c r="B412" s="1">
        <v>24</v>
      </c>
    </row>
    <row r="413" spans="1:2" ht="19.5">
      <c r="A413" s="1" t="s">
        <v>435</v>
      </c>
      <c r="B413" s="1">
        <v>20</v>
      </c>
    </row>
    <row r="414" spans="1:2" ht="19.5">
      <c r="A414" s="1" t="s">
        <v>436</v>
      </c>
      <c r="B414" s="1">
        <v>17</v>
      </c>
    </row>
    <row r="415" spans="1:2" ht="19.5">
      <c r="A415" s="1" t="s">
        <v>437</v>
      </c>
      <c r="B415" s="1">
        <v>28</v>
      </c>
    </row>
    <row r="416" spans="1:2" ht="19.5">
      <c r="A416" s="1" t="s">
        <v>438</v>
      </c>
      <c r="B416" s="1">
        <v>20</v>
      </c>
    </row>
    <row r="417" spans="1:2" ht="19.5">
      <c r="A417" s="1" t="s">
        <v>439</v>
      </c>
      <c r="B417" s="1">
        <v>38</v>
      </c>
    </row>
    <row r="418" spans="1:2" ht="19.5">
      <c r="A418" s="1" t="s">
        <v>440</v>
      </c>
      <c r="B418" s="1">
        <v>18</v>
      </c>
    </row>
    <row r="419" spans="1:2" ht="19.5">
      <c r="A419" s="1" t="s">
        <v>441</v>
      </c>
      <c r="B419" s="1">
        <v>22</v>
      </c>
    </row>
    <row r="420" spans="1:2" ht="19.5">
      <c r="A420" s="1" t="s">
        <v>442</v>
      </c>
      <c r="B420" s="1">
        <v>21</v>
      </c>
    </row>
    <row r="421" spans="1:2" ht="19.5">
      <c r="A421" s="1" t="s">
        <v>443</v>
      </c>
      <c r="B421" s="1">
        <v>25</v>
      </c>
    </row>
    <row r="422" spans="1:2" ht="19.5">
      <c r="A422" s="1" t="s">
        <v>444</v>
      </c>
      <c r="B422" s="1">
        <v>31</v>
      </c>
    </row>
    <row r="423" spans="1:2" ht="19.5">
      <c r="A423" s="1" t="s">
        <v>445</v>
      </c>
      <c r="B423" s="1">
        <v>32</v>
      </c>
    </row>
    <row r="424" spans="1:2" ht="19.5">
      <c r="A424" s="1" t="s">
        <v>446</v>
      </c>
      <c r="B424" s="1">
        <v>33</v>
      </c>
    </row>
    <row r="425" spans="1:2" ht="19.5">
      <c r="A425" s="1" t="s">
        <v>447</v>
      </c>
      <c r="B425" s="1">
        <v>8</v>
      </c>
    </row>
    <row r="426" spans="1:2" ht="19.5">
      <c r="A426" s="1" t="s">
        <v>448</v>
      </c>
      <c r="B426" s="1">
        <v>15</v>
      </c>
    </row>
    <row r="427" spans="1:2" ht="19.5">
      <c r="A427" s="1" t="s">
        <v>449</v>
      </c>
      <c r="B427" s="1">
        <v>26</v>
      </c>
    </row>
    <row r="428" spans="1:2" ht="19.5">
      <c r="A428" s="1" t="s">
        <v>450</v>
      </c>
      <c r="B428" s="1">
        <v>20</v>
      </c>
    </row>
    <row r="429" spans="1:2" ht="19.5">
      <c r="A429" s="1" t="s">
        <v>451</v>
      </c>
      <c r="B429" s="1">
        <v>26</v>
      </c>
    </row>
    <row r="430" spans="1:2" ht="19.5">
      <c r="A430" s="1" t="s">
        <v>452</v>
      </c>
      <c r="B430" s="1">
        <v>33</v>
      </c>
    </row>
    <row r="431" spans="1:2" ht="19.5">
      <c r="A431" s="1" t="s">
        <v>453</v>
      </c>
      <c r="B431" s="1">
        <v>23</v>
      </c>
    </row>
    <row r="432" spans="1:2" ht="19.5">
      <c r="A432" s="1" t="s">
        <v>454</v>
      </c>
      <c r="B432" s="1">
        <v>21</v>
      </c>
    </row>
    <row r="433" spans="1:2" ht="19.5">
      <c r="A433" s="1" t="s">
        <v>455</v>
      </c>
      <c r="B433" s="1">
        <v>43</v>
      </c>
    </row>
    <row r="434" spans="1:2" ht="19.5">
      <c r="A434" s="1" t="s">
        <v>456</v>
      </c>
      <c r="B434" s="1">
        <v>36</v>
      </c>
    </row>
    <row r="435" spans="1:2" ht="19.5">
      <c r="A435" s="1" t="s">
        <v>457</v>
      </c>
      <c r="B435" s="1">
        <v>34</v>
      </c>
    </row>
    <row r="436" spans="1:2" ht="19.5">
      <c r="A436" s="1" t="s">
        <v>458</v>
      </c>
      <c r="B436" s="1">
        <v>25</v>
      </c>
    </row>
    <row r="437" spans="1:2" ht="19.5">
      <c r="A437" s="1" t="s">
        <v>459</v>
      </c>
      <c r="B437" s="1">
        <v>14</v>
      </c>
    </row>
    <row r="438" spans="1:2" ht="19.5">
      <c r="A438" s="1" t="s">
        <v>460</v>
      </c>
      <c r="B438" s="1">
        <v>24</v>
      </c>
    </row>
    <row r="439" spans="1:2" ht="19.5">
      <c r="A439" s="1" t="s">
        <v>461</v>
      </c>
      <c r="B439" s="1">
        <v>38</v>
      </c>
    </row>
    <row r="440" spans="1:2" ht="19.5">
      <c r="A440" s="1" t="s">
        <v>462</v>
      </c>
      <c r="B440" s="1">
        <v>61</v>
      </c>
    </row>
    <row r="441" spans="1:2" ht="19.5">
      <c r="A441" s="1" t="s">
        <v>463</v>
      </c>
      <c r="B441" s="1">
        <v>30</v>
      </c>
    </row>
    <row r="442" spans="1:2" ht="19.5">
      <c r="A442" s="1" t="s">
        <v>464</v>
      </c>
      <c r="B442" s="1">
        <v>41</v>
      </c>
    </row>
    <row r="443" spans="1:2" ht="19.5">
      <c r="A443" s="1" t="s">
        <v>465</v>
      </c>
      <c r="B443" s="1">
        <v>28</v>
      </c>
    </row>
    <row r="444" spans="1:2" ht="19.5">
      <c r="A444" s="1" t="s">
        <v>466</v>
      </c>
      <c r="B444" s="1">
        <v>27</v>
      </c>
    </row>
    <row r="445" spans="1:2" ht="19.5">
      <c r="A445" s="1" t="s">
        <v>467</v>
      </c>
      <c r="B445" s="1">
        <v>28</v>
      </c>
    </row>
    <row r="446" spans="1:2" ht="19.5">
      <c r="A446" s="1" t="s">
        <v>468</v>
      </c>
      <c r="B446" s="1">
        <v>14</v>
      </c>
    </row>
    <row r="447" spans="1:2" ht="19.5">
      <c r="A447" s="1" t="s">
        <v>469</v>
      </c>
      <c r="B447" s="1">
        <v>30</v>
      </c>
    </row>
    <row r="448" spans="1:2" ht="19.5">
      <c r="A448" s="1" t="s">
        <v>470</v>
      </c>
      <c r="B448" s="1">
        <v>13</v>
      </c>
    </row>
    <row r="449" spans="1:2" ht="19.5">
      <c r="A449" s="1" t="s">
        <v>471</v>
      </c>
      <c r="B449" s="1">
        <v>45</v>
      </c>
    </row>
    <row r="450" spans="1:2" ht="19.5">
      <c r="A450" s="1" t="s">
        <v>472</v>
      </c>
      <c r="B450" s="1">
        <v>11</v>
      </c>
    </row>
    <row r="451" spans="1:2" ht="19.5">
      <c r="A451" s="1" t="s">
        <v>473</v>
      </c>
      <c r="B451" s="1">
        <v>36</v>
      </c>
    </row>
    <row r="452" spans="1:2" ht="19.5">
      <c r="A452" s="1" t="s">
        <v>474</v>
      </c>
      <c r="B452" s="1">
        <v>27</v>
      </c>
    </row>
    <row r="453" spans="1:2" ht="19.5">
      <c r="A453" s="1" t="s">
        <v>475</v>
      </c>
      <c r="B453" s="1">
        <v>41</v>
      </c>
    </row>
    <row r="454" spans="1:2" ht="19.5">
      <c r="A454" s="1" t="s">
        <v>476</v>
      </c>
      <c r="B454" s="1">
        <v>34</v>
      </c>
    </row>
    <row r="455" spans="1:2" ht="19.5">
      <c r="A455" s="1" t="s">
        <v>477</v>
      </c>
      <c r="B455" s="1">
        <v>51</v>
      </c>
    </row>
    <row r="456" spans="1:2" ht="19.5">
      <c r="A456" s="1" t="s">
        <v>478</v>
      </c>
      <c r="B456" s="1">
        <v>38</v>
      </c>
    </row>
    <row r="457" spans="1:2" ht="19.5">
      <c r="A457" s="1" t="s">
        <v>479</v>
      </c>
      <c r="B457" s="1">
        <v>19</v>
      </c>
    </row>
    <row r="458" spans="1:2" ht="19.5">
      <c r="A458" s="1" t="s">
        <v>480</v>
      </c>
      <c r="B458" s="1">
        <v>9</v>
      </c>
    </row>
    <row r="459" spans="1:2" ht="19.5">
      <c r="A459" s="1" t="s">
        <v>481</v>
      </c>
      <c r="B459" s="1">
        <v>19</v>
      </c>
    </row>
    <row r="460" spans="1:2" ht="19.5">
      <c r="A460" s="1" t="s">
        <v>482</v>
      </c>
      <c r="B460" s="1">
        <v>24</v>
      </c>
    </row>
    <row r="461" spans="1:2" ht="19.5">
      <c r="A461" s="1" t="s">
        <v>483</v>
      </c>
      <c r="B461" s="1">
        <v>29</v>
      </c>
    </row>
    <row r="462" spans="1:2" ht="19.5">
      <c r="A462" s="1" t="s">
        <v>484</v>
      </c>
      <c r="B462" s="1">
        <v>30</v>
      </c>
    </row>
    <row r="463" spans="1:2" ht="19.5">
      <c r="A463" s="1" t="s">
        <v>485</v>
      </c>
      <c r="B463" s="1">
        <v>25</v>
      </c>
    </row>
    <row r="464" spans="1:2" ht="19.5">
      <c r="A464" s="1" t="s">
        <v>486</v>
      </c>
      <c r="B464" s="1">
        <v>10</v>
      </c>
    </row>
    <row r="465" spans="1:2" ht="19.5">
      <c r="A465" s="1" t="s">
        <v>487</v>
      </c>
      <c r="B465" s="1">
        <v>35</v>
      </c>
    </row>
    <row r="466" spans="1:2" ht="19.5">
      <c r="A466" s="1" t="s">
        <v>488</v>
      </c>
      <c r="B466" s="1">
        <v>43</v>
      </c>
    </row>
    <row r="467" spans="1:2" ht="19.5">
      <c r="A467" s="1" t="s">
        <v>489</v>
      </c>
      <c r="B467" s="1">
        <v>30</v>
      </c>
    </row>
    <row r="468" spans="1:2" ht="19.5">
      <c r="A468" s="1" t="s">
        <v>490</v>
      </c>
      <c r="B468" s="1">
        <v>13</v>
      </c>
    </row>
    <row r="469" spans="1:2" ht="19.5">
      <c r="A469" s="1" t="s">
        <v>491</v>
      </c>
      <c r="B469" s="1">
        <v>34</v>
      </c>
    </row>
    <row r="470" spans="1:2" ht="19.5">
      <c r="A470" s="1" t="s">
        <v>492</v>
      </c>
      <c r="B470" s="1">
        <v>42</v>
      </c>
    </row>
    <row r="471" spans="1:2" ht="19.5">
      <c r="A471" s="1" t="s">
        <v>493</v>
      </c>
      <c r="B471" s="1">
        <v>18</v>
      </c>
    </row>
    <row r="472" spans="1:2" ht="19.5">
      <c r="A472" s="1" t="s">
        <v>494</v>
      </c>
      <c r="B472" s="1">
        <v>18</v>
      </c>
    </row>
    <row r="473" spans="1:2" ht="19.5">
      <c r="A473" s="1" t="s">
        <v>495</v>
      </c>
      <c r="B473" s="1">
        <v>18</v>
      </c>
    </row>
    <row r="474" spans="1:2" ht="19.5">
      <c r="A474" s="1" t="s">
        <v>496</v>
      </c>
      <c r="B474" s="1">
        <v>28</v>
      </c>
    </row>
    <row r="475" spans="1:2" ht="19.5">
      <c r="A475" s="1" t="s">
        <v>497</v>
      </c>
      <c r="B475" s="1">
        <v>17</v>
      </c>
    </row>
    <row r="476" spans="1:2" ht="19.5">
      <c r="A476" s="1" t="s">
        <v>498</v>
      </c>
      <c r="B476" s="1">
        <v>36</v>
      </c>
    </row>
    <row r="477" spans="1:2" ht="19.5">
      <c r="A477" s="1" t="s">
        <v>499</v>
      </c>
      <c r="B477" s="1">
        <v>24</v>
      </c>
    </row>
    <row r="478" spans="1:2" ht="19.5">
      <c r="A478" s="1" t="s">
        <v>500</v>
      </c>
      <c r="B478" s="1">
        <v>21</v>
      </c>
    </row>
    <row r="479" spans="1:2" ht="19.5">
      <c r="A479" s="1" t="s">
        <v>501</v>
      </c>
      <c r="B479" s="1">
        <v>24</v>
      </c>
    </row>
    <row r="480" spans="1:2" ht="19.5">
      <c r="A480" s="1" t="s">
        <v>502</v>
      </c>
      <c r="B480" s="1">
        <v>25</v>
      </c>
    </row>
    <row r="481" spans="1:2" ht="19.5">
      <c r="A481" s="1" t="s">
        <v>503</v>
      </c>
      <c r="B481" s="1">
        <v>43</v>
      </c>
    </row>
    <row r="482" spans="1:2" ht="19.5">
      <c r="A482" s="1" t="s">
        <v>504</v>
      </c>
      <c r="B482" s="1">
        <v>32</v>
      </c>
    </row>
    <row r="483" spans="1:2" ht="19.5">
      <c r="A483" s="1" t="s">
        <v>505</v>
      </c>
      <c r="B483" s="1">
        <v>29</v>
      </c>
    </row>
    <row r="484" spans="1:2" ht="19.5">
      <c r="A484" s="1" t="s">
        <v>506</v>
      </c>
      <c r="B484" s="1">
        <v>36</v>
      </c>
    </row>
    <row r="485" spans="1:2" ht="19.5">
      <c r="A485" s="1" t="s">
        <v>507</v>
      </c>
      <c r="B485" s="1">
        <v>19</v>
      </c>
    </row>
    <row r="486" spans="1:2" ht="19.5">
      <c r="A486" s="1" t="s">
        <v>508</v>
      </c>
      <c r="B486" s="1">
        <v>46</v>
      </c>
    </row>
    <row r="487" spans="1:2" ht="19.5">
      <c r="A487" s="1" t="s">
        <v>509</v>
      </c>
      <c r="B487" s="1">
        <v>27</v>
      </c>
    </row>
    <row r="488" spans="1:2" ht="19.5">
      <c r="A488" s="1" t="s">
        <v>510</v>
      </c>
      <c r="B488" s="1">
        <v>32</v>
      </c>
    </row>
    <row r="489" spans="1:2" ht="19.5">
      <c r="A489" s="1" t="s">
        <v>511</v>
      </c>
      <c r="B489" s="1">
        <v>27</v>
      </c>
    </row>
    <row r="490" spans="1:2" ht="19.5">
      <c r="A490" s="1" t="s">
        <v>512</v>
      </c>
      <c r="B490" s="1">
        <v>13</v>
      </c>
    </row>
    <row r="491" spans="1:2" ht="19.5">
      <c r="A491" s="1" t="s">
        <v>513</v>
      </c>
      <c r="B491" s="1">
        <v>45</v>
      </c>
    </row>
    <row r="492" spans="1:2" ht="19.5">
      <c r="A492" s="1" t="s">
        <v>514</v>
      </c>
      <c r="B492" s="1">
        <v>14</v>
      </c>
    </row>
    <row r="493" spans="1:2" ht="19.5">
      <c r="A493" s="1" t="s">
        <v>515</v>
      </c>
      <c r="B493" s="1">
        <v>24</v>
      </c>
    </row>
    <row r="494" spans="1:2" ht="19.5">
      <c r="A494" s="1" t="s">
        <v>516</v>
      </c>
      <c r="B494" s="1">
        <v>42</v>
      </c>
    </row>
    <row r="495" spans="1:2" ht="19.5">
      <c r="A495" s="1" t="s">
        <v>517</v>
      </c>
      <c r="B495" s="1">
        <v>22</v>
      </c>
    </row>
    <row r="496" spans="1:2" ht="19.5">
      <c r="A496" s="1" t="s">
        <v>518</v>
      </c>
      <c r="B496" s="1">
        <v>17</v>
      </c>
    </row>
    <row r="497" spans="1:2" ht="19.5">
      <c r="A497" s="1" t="s">
        <v>519</v>
      </c>
      <c r="B497" s="1">
        <v>33</v>
      </c>
    </row>
    <row r="498" spans="1:2" ht="19.5">
      <c r="A498" s="1" t="s">
        <v>520</v>
      </c>
      <c r="B498" s="1">
        <v>18</v>
      </c>
    </row>
    <row r="499" spans="1:2" ht="19.5">
      <c r="A499" s="1" t="s">
        <v>521</v>
      </c>
      <c r="B499" s="1">
        <v>47</v>
      </c>
    </row>
    <row r="500" spans="1:2" ht="19.5">
      <c r="A500" s="1" t="s">
        <v>522</v>
      </c>
      <c r="B500" s="1">
        <v>22</v>
      </c>
    </row>
    <row r="501" spans="1:2" ht="19.5">
      <c r="A501" s="1" t="s">
        <v>523</v>
      </c>
      <c r="B501" s="1">
        <v>42</v>
      </c>
    </row>
    <row r="502" spans="1:2" ht="19.5">
      <c r="A502" s="1" t="s">
        <v>524</v>
      </c>
      <c r="B502" s="1">
        <v>40</v>
      </c>
    </row>
    <row r="503" spans="1:2" ht="19.5">
      <c r="A503" s="1" t="s">
        <v>525</v>
      </c>
      <c r="B503" s="1">
        <v>19</v>
      </c>
    </row>
    <row r="504" spans="1:2" ht="19.5">
      <c r="A504" s="1" t="s">
        <v>526</v>
      </c>
      <c r="B504" s="1">
        <v>25</v>
      </c>
    </row>
    <row r="505" spans="1:2" ht="19.5">
      <c r="A505" s="1" t="s">
        <v>527</v>
      </c>
      <c r="B505" s="1">
        <v>33</v>
      </c>
    </row>
    <row r="506" spans="1:2" ht="19.5">
      <c r="A506" s="1" t="s">
        <v>528</v>
      </c>
      <c r="B506" s="1">
        <v>16</v>
      </c>
    </row>
    <row r="507" spans="1:2" ht="19.5">
      <c r="A507" s="1" t="s">
        <v>529</v>
      </c>
      <c r="B507" s="1">
        <v>7</v>
      </c>
    </row>
    <row r="508" spans="1:2" ht="19.5">
      <c r="A508" s="1" t="s">
        <v>530</v>
      </c>
      <c r="B508" s="1">
        <v>9</v>
      </c>
    </row>
    <row r="509" spans="1:2" ht="19.5">
      <c r="A509" s="1" t="s">
        <v>531</v>
      </c>
      <c r="B509" s="1">
        <v>30</v>
      </c>
    </row>
    <row r="510" spans="1:2" ht="19.5">
      <c r="A510" s="1" t="s">
        <v>532</v>
      </c>
      <c r="B510" s="1">
        <v>19</v>
      </c>
    </row>
    <row r="511" spans="1:2" ht="19.5">
      <c r="A511" s="1" t="s">
        <v>533</v>
      </c>
      <c r="B511" s="1">
        <v>37</v>
      </c>
    </row>
    <row r="512" spans="1:2" ht="19.5">
      <c r="A512" s="1" t="s">
        <v>534</v>
      </c>
      <c r="B512" s="1">
        <v>21</v>
      </c>
    </row>
    <row r="513" spans="1:2" ht="19.5">
      <c r="A513" s="1" t="s">
        <v>535</v>
      </c>
      <c r="B513" s="1">
        <v>24</v>
      </c>
    </row>
    <row r="514" spans="1:2" ht="19.5">
      <c r="A514" s="1" t="s">
        <v>536</v>
      </c>
      <c r="B514" s="1">
        <v>26</v>
      </c>
    </row>
    <row r="515" spans="1:2" ht="19.5">
      <c r="A515" s="1" t="s">
        <v>537</v>
      </c>
      <c r="B515" s="1">
        <v>15</v>
      </c>
    </row>
    <row r="516" spans="1:2" ht="19.5">
      <c r="A516" s="1" t="s">
        <v>538</v>
      </c>
      <c r="B516" s="1">
        <v>22</v>
      </c>
    </row>
    <row r="517" spans="1:2" ht="19.5">
      <c r="A517" s="1" t="s">
        <v>539</v>
      </c>
      <c r="B517" s="1">
        <v>31</v>
      </c>
    </row>
    <row r="518" spans="1:2" ht="19.5">
      <c r="A518" s="1" t="s">
        <v>540</v>
      </c>
      <c r="B518" s="1">
        <v>24</v>
      </c>
    </row>
    <row r="519" spans="1:2" ht="19.5">
      <c r="A519" s="1" t="s">
        <v>541</v>
      </c>
      <c r="B519" s="1">
        <v>22</v>
      </c>
    </row>
    <row r="520" spans="1:2" ht="19.5">
      <c r="A520" s="1" t="s">
        <v>542</v>
      </c>
      <c r="B520" s="1">
        <v>39</v>
      </c>
    </row>
    <row r="521" spans="1:2" ht="19.5">
      <c r="A521" s="1" t="s">
        <v>543</v>
      </c>
      <c r="B521" s="1">
        <v>17</v>
      </c>
    </row>
    <row r="522" spans="1:2" ht="19.5">
      <c r="A522" s="1" t="s">
        <v>544</v>
      </c>
      <c r="B522" s="1">
        <v>17</v>
      </c>
    </row>
    <row r="523" spans="1:2" ht="19.5">
      <c r="A523" s="1" t="s">
        <v>545</v>
      </c>
      <c r="B523" s="1">
        <v>17</v>
      </c>
    </row>
    <row r="524" spans="1:2" ht="19.5">
      <c r="A524" s="1" t="s">
        <v>546</v>
      </c>
      <c r="B524" s="1">
        <v>24</v>
      </c>
    </row>
    <row r="525" spans="1:2" ht="19.5">
      <c r="A525" s="1" t="s">
        <v>547</v>
      </c>
      <c r="B525" s="1">
        <v>33</v>
      </c>
    </row>
    <row r="526" spans="1:2" ht="19.5">
      <c r="A526" s="1" t="s">
        <v>548</v>
      </c>
      <c r="B526" s="1">
        <v>16</v>
      </c>
    </row>
    <row r="527" spans="1:2" ht="19.5">
      <c r="A527" s="1" t="s">
        <v>549</v>
      </c>
      <c r="B527" s="1">
        <v>32</v>
      </c>
    </row>
    <row r="528" spans="1:2" ht="19.5">
      <c r="A528" s="1" t="s">
        <v>550</v>
      </c>
      <c r="B528" s="1">
        <v>4</v>
      </c>
    </row>
    <row r="529" spans="1:2" ht="19.5">
      <c r="A529" s="1" t="s">
        <v>551</v>
      </c>
      <c r="B529" s="1">
        <v>30</v>
      </c>
    </row>
    <row r="530" spans="1:2" ht="19.5">
      <c r="A530" s="1" t="s">
        <v>552</v>
      </c>
      <c r="B530" s="1">
        <v>24</v>
      </c>
    </row>
    <row r="531" spans="1:2" ht="19.5">
      <c r="A531" s="1" t="s">
        <v>553</v>
      </c>
      <c r="B531" s="1">
        <v>17</v>
      </c>
    </row>
    <row r="532" spans="1:2" ht="19.5">
      <c r="A532" s="1" t="s">
        <v>554</v>
      </c>
      <c r="B532" s="1">
        <v>22</v>
      </c>
    </row>
    <row r="533" spans="1:2" ht="19.5">
      <c r="A533" s="1" t="s">
        <v>555</v>
      </c>
      <c r="B533" s="1">
        <v>31</v>
      </c>
    </row>
    <row r="534" spans="1:2" ht="19.5">
      <c r="A534" s="1" t="s">
        <v>556</v>
      </c>
      <c r="B534" s="1">
        <v>23</v>
      </c>
    </row>
    <row r="535" spans="1:2" ht="19.5">
      <c r="A535" s="1" t="s">
        <v>557</v>
      </c>
      <c r="B535" s="1">
        <v>35</v>
      </c>
    </row>
    <row r="536" spans="1:2" ht="19.5">
      <c r="A536" s="1" t="s">
        <v>558</v>
      </c>
      <c r="B536" s="1">
        <v>39</v>
      </c>
    </row>
    <row r="537" spans="1:2" ht="19.5">
      <c r="A537" s="1" t="s">
        <v>559</v>
      </c>
      <c r="B537" s="1">
        <v>50</v>
      </c>
    </row>
    <row r="538" spans="1:2" ht="19.5">
      <c r="A538" s="1" t="s">
        <v>560</v>
      </c>
      <c r="B538" s="1">
        <v>26</v>
      </c>
    </row>
    <row r="539" spans="1:2" ht="19.5">
      <c r="A539" s="1" t="s">
        <v>561</v>
      </c>
      <c r="B539" s="1">
        <v>23</v>
      </c>
    </row>
    <row r="540" spans="1:2" ht="19.5">
      <c r="A540" s="1" t="s">
        <v>562</v>
      </c>
      <c r="B540" s="1">
        <v>37</v>
      </c>
    </row>
    <row r="541" spans="1:2" ht="19.5">
      <c r="A541" s="1" t="s">
        <v>563</v>
      </c>
      <c r="B541" s="1">
        <v>50</v>
      </c>
    </row>
    <row r="542" spans="1:2" ht="19.5">
      <c r="A542" s="1" t="s">
        <v>564</v>
      </c>
      <c r="B542" s="1">
        <v>31</v>
      </c>
    </row>
    <row r="543" spans="1:2" ht="19.5">
      <c r="A543" s="1" t="s">
        <v>565</v>
      </c>
      <c r="B543" s="1">
        <v>23</v>
      </c>
    </row>
    <row r="544" spans="1:2" ht="19.5">
      <c r="A544" s="1" t="s">
        <v>566</v>
      </c>
      <c r="B544" s="1">
        <v>34</v>
      </c>
    </row>
    <row r="545" spans="1:2" ht="19.5">
      <c r="A545" s="1" t="s">
        <v>567</v>
      </c>
      <c r="B545" s="1">
        <v>34</v>
      </c>
    </row>
    <row r="546" spans="1:2" ht="19.5">
      <c r="A546" s="1" t="s">
        <v>568</v>
      </c>
      <c r="B546" s="1">
        <v>33</v>
      </c>
    </row>
    <row r="547" spans="1:2" ht="19.5">
      <c r="A547" s="1" t="s">
        <v>569</v>
      </c>
      <c r="B547" s="1">
        <v>48</v>
      </c>
    </row>
    <row r="548" spans="1:2" ht="19.5">
      <c r="A548" s="1" t="s">
        <v>570</v>
      </c>
      <c r="B548" s="1">
        <v>29</v>
      </c>
    </row>
    <row r="549" spans="1:2" ht="19.5">
      <c r="A549" s="1" t="s">
        <v>571</v>
      </c>
      <c r="B549" s="1">
        <v>35</v>
      </c>
    </row>
    <row r="550" spans="1:2" ht="19.5">
      <c r="A550" s="1" t="s">
        <v>572</v>
      </c>
      <c r="B550" s="1">
        <v>28</v>
      </c>
    </row>
    <row r="551" spans="1:2" ht="19.5">
      <c r="A551" s="1" t="s">
        <v>573</v>
      </c>
      <c r="B551" s="1">
        <v>28</v>
      </c>
    </row>
    <row r="552" spans="1:2" ht="19.5">
      <c r="A552" s="1" t="s">
        <v>574</v>
      </c>
      <c r="B552" s="1">
        <v>19</v>
      </c>
    </row>
    <row r="553" spans="1:2" ht="19.5">
      <c r="A553" s="1" t="s">
        <v>575</v>
      </c>
      <c r="B553" s="1">
        <v>22</v>
      </c>
    </row>
    <row r="554" spans="1:2" ht="19.5">
      <c r="A554" s="1" t="s">
        <v>576</v>
      </c>
      <c r="B554" s="1">
        <v>26</v>
      </c>
    </row>
    <row r="555" spans="1:2" ht="19.5">
      <c r="A555" s="1" t="s">
        <v>577</v>
      </c>
      <c r="B555" s="1">
        <v>29</v>
      </c>
    </row>
    <row r="556" spans="1:2" ht="19.5">
      <c r="A556" s="1" t="s">
        <v>578</v>
      </c>
      <c r="B556" s="1">
        <v>35</v>
      </c>
    </row>
    <row r="557" spans="1:2" ht="19.5">
      <c r="A557" s="1" t="s">
        <v>579</v>
      </c>
      <c r="B557" s="1">
        <v>32</v>
      </c>
    </row>
    <row r="558" spans="1:2" ht="19.5">
      <c r="A558" s="1" t="s">
        <v>580</v>
      </c>
      <c r="B558" s="1">
        <v>44</v>
      </c>
    </row>
    <row r="559" spans="1:2" ht="19.5">
      <c r="A559" s="1" t="s">
        <v>581</v>
      </c>
      <c r="B559" s="1">
        <v>32</v>
      </c>
    </row>
    <row r="560" spans="1:2" ht="19.5">
      <c r="A560" s="1" t="s">
        <v>582</v>
      </c>
      <c r="B560" s="1">
        <v>8</v>
      </c>
    </row>
    <row r="561" spans="1:2" ht="19.5">
      <c r="A561" s="1" t="s">
        <v>583</v>
      </c>
      <c r="B561" s="1">
        <v>30</v>
      </c>
    </row>
    <row r="562" spans="1:2" ht="19.5">
      <c r="A562" s="1" t="s">
        <v>584</v>
      </c>
      <c r="B562" s="1">
        <v>42</v>
      </c>
    </row>
    <row r="563" spans="1:2" ht="19.5">
      <c r="A563" s="1" t="s">
        <v>585</v>
      </c>
      <c r="B563" s="1">
        <v>44</v>
      </c>
    </row>
    <row r="564" spans="1:2" ht="19.5">
      <c r="A564" s="1" t="s">
        <v>586</v>
      </c>
      <c r="B564" s="1">
        <v>41</v>
      </c>
    </row>
    <row r="565" spans="1:2" ht="19.5">
      <c r="A565" s="1" t="s">
        <v>587</v>
      </c>
      <c r="B565" s="1">
        <v>19</v>
      </c>
    </row>
    <row r="566" spans="1:2" ht="19.5">
      <c r="A566" s="1" t="s">
        <v>588</v>
      </c>
      <c r="B566" s="1">
        <v>42</v>
      </c>
    </row>
    <row r="567" spans="1:2" ht="19.5">
      <c r="A567" s="1" t="s">
        <v>589</v>
      </c>
      <c r="B567" s="1">
        <v>30</v>
      </c>
    </row>
    <row r="568" spans="1:2" ht="19.5">
      <c r="A568" s="1" t="s">
        <v>590</v>
      </c>
      <c r="B568" s="1">
        <v>13</v>
      </c>
    </row>
    <row r="569" spans="1:2" ht="19.5">
      <c r="A569" s="1" t="s">
        <v>591</v>
      </c>
      <c r="B569" s="1">
        <v>34</v>
      </c>
    </row>
    <row r="570" spans="1:2" ht="19.5">
      <c r="A570" s="1" t="s">
        <v>592</v>
      </c>
      <c r="B570" s="1">
        <v>38</v>
      </c>
    </row>
    <row r="571" spans="1:2" ht="19.5">
      <c r="A571" s="1" t="s">
        <v>593</v>
      </c>
      <c r="B571" s="1">
        <v>17</v>
      </c>
    </row>
    <row r="572" spans="1:2" ht="19.5">
      <c r="A572" s="1" t="s">
        <v>594</v>
      </c>
      <c r="B572" s="1">
        <v>37</v>
      </c>
    </row>
    <row r="573" spans="1:2" ht="19.5">
      <c r="A573" s="1" t="s">
        <v>595</v>
      </c>
      <c r="B573" s="1">
        <v>27</v>
      </c>
    </row>
    <row r="574" spans="1:2" ht="19.5">
      <c r="A574" s="1" t="s">
        <v>596</v>
      </c>
      <c r="B574" s="1">
        <v>36</v>
      </c>
    </row>
    <row r="575" spans="1:2" ht="19.5">
      <c r="A575" s="1" t="s">
        <v>597</v>
      </c>
      <c r="B575" s="1">
        <v>22</v>
      </c>
    </row>
    <row r="576" spans="1:2" ht="19.5">
      <c r="A576" s="1" t="s">
        <v>598</v>
      </c>
      <c r="B576" s="1">
        <v>30</v>
      </c>
    </row>
    <row r="577" spans="1:2" ht="19.5">
      <c r="A577" s="1" t="s">
        <v>599</v>
      </c>
      <c r="B577" s="1">
        <v>10</v>
      </c>
    </row>
    <row r="578" spans="1:2" ht="19.5">
      <c r="A578" s="1" t="s">
        <v>600</v>
      </c>
      <c r="B578" s="1">
        <v>28</v>
      </c>
    </row>
    <row r="579" spans="1:2" ht="19.5">
      <c r="A579" s="1" t="s">
        <v>601</v>
      </c>
      <c r="B579" s="1">
        <v>15</v>
      </c>
    </row>
    <row r="580" spans="1:2" ht="19.5">
      <c r="A580" s="1" t="s">
        <v>602</v>
      </c>
      <c r="B580" s="1">
        <v>35</v>
      </c>
    </row>
    <row r="581" spans="1:2" ht="19.5">
      <c r="A581" s="1" t="s">
        <v>603</v>
      </c>
      <c r="B581" s="1">
        <v>32</v>
      </c>
    </row>
    <row r="582" spans="1:2" ht="19.5">
      <c r="A582" s="1" t="s">
        <v>604</v>
      </c>
      <c r="B582" s="1">
        <v>23</v>
      </c>
    </row>
    <row r="583" spans="1:2" ht="19.5">
      <c r="A583" s="1" t="s">
        <v>605</v>
      </c>
      <c r="B583" s="1">
        <v>24</v>
      </c>
    </row>
    <row r="584" spans="1:2" ht="19.5">
      <c r="A584" s="1" t="s">
        <v>606</v>
      </c>
      <c r="B584" s="1">
        <v>27</v>
      </c>
    </row>
    <row r="585" spans="1:2" ht="19.5">
      <c r="A585" s="1" t="s">
        <v>607</v>
      </c>
      <c r="B585" s="1">
        <v>45</v>
      </c>
    </row>
    <row r="586" spans="1:2" ht="19.5">
      <c r="A586" s="1" t="s">
        <v>608</v>
      </c>
      <c r="B586" s="1">
        <v>25</v>
      </c>
    </row>
    <row r="587" spans="1:2" ht="19.5">
      <c r="A587" s="1" t="s">
        <v>609</v>
      </c>
      <c r="B587" s="1">
        <v>25</v>
      </c>
    </row>
    <row r="588" spans="1:2" ht="19.5">
      <c r="A588" s="1" t="s">
        <v>610</v>
      </c>
      <c r="B588" s="1">
        <v>33</v>
      </c>
    </row>
    <row r="589" spans="1:2" ht="19.5">
      <c r="A589" s="1" t="s">
        <v>611</v>
      </c>
      <c r="B589" s="1">
        <v>30</v>
      </c>
    </row>
    <row r="590" spans="1:2" ht="19.5">
      <c r="A590" s="1" t="s">
        <v>612</v>
      </c>
      <c r="B590" s="1">
        <v>30</v>
      </c>
    </row>
    <row r="591" spans="1:2" ht="19.5">
      <c r="A591" s="1" t="s">
        <v>613</v>
      </c>
      <c r="B591" s="1">
        <v>32</v>
      </c>
    </row>
    <row r="592" spans="1:2" ht="19.5">
      <c r="A592" s="1" t="s">
        <v>614</v>
      </c>
      <c r="B592" s="1">
        <v>30</v>
      </c>
    </row>
    <row r="593" spans="1:2" ht="19.5">
      <c r="A593" s="1" t="s">
        <v>615</v>
      </c>
      <c r="B593" s="1">
        <v>22</v>
      </c>
    </row>
    <row r="594" spans="1:2" ht="19.5">
      <c r="A594" s="1" t="s">
        <v>616</v>
      </c>
      <c r="B594" s="1">
        <v>29</v>
      </c>
    </row>
    <row r="595" spans="1:2" ht="19.5">
      <c r="A595" s="1" t="s">
        <v>617</v>
      </c>
      <c r="B595" s="1">
        <v>14</v>
      </c>
    </row>
    <row r="596" spans="1:2" ht="19.5">
      <c r="A596" s="1" t="s">
        <v>618</v>
      </c>
      <c r="B596" s="1">
        <v>18</v>
      </c>
    </row>
    <row r="597" spans="1:2" ht="19.5">
      <c r="A597" s="1" t="s">
        <v>619</v>
      </c>
      <c r="B597" s="1">
        <v>34</v>
      </c>
    </row>
    <row r="598" spans="1:2" ht="19.5">
      <c r="A598" s="1" t="s">
        <v>620</v>
      </c>
      <c r="B598" s="1">
        <v>24</v>
      </c>
    </row>
    <row r="599" spans="1:2" ht="19.5">
      <c r="A599" s="1" t="s">
        <v>621</v>
      </c>
      <c r="B599" s="1">
        <v>32</v>
      </c>
    </row>
    <row r="600" spans="1:2" ht="19.5">
      <c r="A600" s="1" t="s">
        <v>622</v>
      </c>
      <c r="B600" s="1">
        <v>22</v>
      </c>
    </row>
    <row r="601" spans="1:2" ht="19.5">
      <c r="A601" s="1" t="s">
        <v>623</v>
      </c>
      <c r="B601" s="1">
        <v>38</v>
      </c>
    </row>
    <row r="602" spans="1:2" ht="19.5">
      <c r="A602" s="1" t="s">
        <v>624</v>
      </c>
      <c r="B602" s="1">
        <v>28</v>
      </c>
    </row>
    <row r="603" spans="1:2" ht="19.5">
      <c r="A603" s="1" t="s">
        <v>625</v>
      </c>
      <c r="B603" s="1">
        <v>19</v>
      </c>
    </row>
    <row r="604" spans="1:2" ht="19.5">
      <c r="A604" s="1" t="s">
        <v>626</v>
      </c>
      <c r="B604" s="1">
        <v>29</v>
      </c>
    </row>
    <row r="605" spans="1:2" ht="19.5">
      <c r="A605" s="1" t="s">
        <v>627</v>
      </c>
      <c r="B605" s="1">
        <v>29</v>
      </c>
    </row>
    <row r="606" spans="1:2" ht="19.5">
      <c r="A606" s="1" t="s">
        <v>629</v>
      </c>
      <c r="B606" s="1">
        <v>37</v>
      </c>
    </row>
    <row r="607" spans="1:2" ht="19.5">
      <c r="A607" s="1" t="s">
        <v>630</v>
      </c>
      <c r="B607" s="1">
        <v>2</v>
      </c>
    </row>
    <row r="608" spans="1:2" ht="19.5">
      <c r="A608" s="1" t="s">
        <v>631</v>
      </c>
      <c r="B608" s="1">
        <v>26</v>
      </c>
    </row>
    <row r="609" spans="1:2" ht="19.5">
      <c r="A609" s="1" t="s">
        <v>632</v>
      </c>
      <c r="B609" s="1">
        <v>32</v>
      </c>
    </row>
    <row r="610" spans="1:2" ht="19.5">
      <c r="A610" s="1" t="s">
        <v>633</v>
      </c>
      <c r="B610" s="1">
        <v>21</v>
      </c>
    </row>
    <row r="611" spans="1:2" ht="19.5">
      <c r="A611" s="1" t="s">
        <v>634</v>
      </c>
      <c r="B611" s="1">
        <v>15</v>
      </c>
    </row>
    <row r="612" spans="1:2" ht="19.5">
      <c r="A612" s="1" t="s">
        <v>635</v>
      </c>
      <c r="B612" s="1">
        <v>33</v>
      </c>
    </row>
    <row r="613" spans="1:2" ht="19.5">
      <c r="A613" s="1" t="s">
        <v>636</v>
      </c>
      <c r="B613" s="1">
        <v>27</v>
      </c>
    </row>
    <row r="614" spans="1:2" ht="19.5">
      <c r="A614" s="1" t="s">
        <v>637</v>
      </c>
      <c r="B614" s="1">
        <v>29</v>
      </c>
    </row>
    <row r="615" spans="1:2" ht="19.5">
      <c r="A615" s="1" t="s">
        <v>638</v>
      </c>
      <c r="B615" s="1">
        <v>47</v>
      </c>
    </row>
    <row r="616" spans="1:2" ht="19.5">
      <c r="A616" s="1" t="s">
        <v>639</v>
      </c>
      <c r="B616" s="1">
        <v>19</v>
      </c>
    </row>
    <row r="617" spans="1:2" ht="19.5">
      <c r="A617" s="1" t="s">
        <v>640</v>
      </c>
      <c r="B617" s="1">
        <v>23</v>
      </c>
    </row>
    <row r="618" spans="1:2" ht="19.5">
      <c r="A618" s="1" t="s">
        <v>641</v>
      </c>
      <c r="B618" s="1">
        <v>26</v>
      </c>
    </row>
    <row r="619" spans="1:2" ht="19.5">
      <c r="A619" s="1" t="s">
        <v>642</v>
      </c>
      <c r="B619" s="1">
        <v>29</v>
      </c>
    </row>
    <row r="620" spans="1:2" ht="19.5">
      <c r="A620" s="1" t="s">
        <v>643</v>
      </c>
      <c r="B620" s="1">
        <v>17</v>
      </c>
    </row>
    <row r="621" spans="1:2" ht="19.5">
      <c r="A621" s="1" t="s">
        <v>644</v>
      </c>
      <c r="B621" s="1">
        <v>13</v>
      </c>
    </row>
    <row r="622" spans="1:2" ht="19.5">
      <c r="A622" s="1" t="s">
        <v>645</v>
      </c>
      <c r="B622" s="1">
        <v>45</v>
      </c>
    </row>
    <row r="623" spans="1:2" ht="19.5">
      <c r="A623" s="1" t="s">
        <v>646</v>
      </c>
      <c r="B623" s="1">
        <v>50</v>
      </c>
    </row>
    <row r="624" spans="1:2" ht="19.5">
      <c r="A624" s="1" t="s">
        <v>647</v>
      </c>
      <c r="B624" s="1">
        <v>12</v>
      </c>
    </row>
    <row r="625" spans="1:2" ht="19.5">
      <c r="A625" s="1" t="s">
        <v>648</v>
      </c>
      <c r="B625" s="1">
        <v>27</v>
      </c>
    </row>
    <row r="626" spans="1:2" ht="19.5">
      <c r="A626" s="1" t="s">
        <v>649</v>
      </c>
      <c r="B626" s="1">
        <v>50</v>
      </c>
    </row>
    <row r="627" spans="1:2" ht="19.5">
      <c r="A627" s="1" t="s">
        <v>651</v>
      </c>
      <c r="B627" s="1">
        <v>34</v>
      </c>
    </row>
    <row r="628" spans="1:2" ht="19.5">
      <c r="A628" s="1" t="s">
        <v>652</v>
      </c>
      <c r="B628" s="1">
        <v>7</v>
      </c>
    </row>
    <row r="629" spans="1:2" ht="19.5">
      <c r="A629" s="1" t="s">
        <v>653</v>
      </c>
      <c r="B629" s="1">
        <v>50</v>
      </c>
    </row>
    <row r="630" spans="1:2" ht="19.5">
      <c r="A630" s="1" t="s">
        <v>654</v>
      </c>
      <c r="B630" s="1">
        <v>35</v>
      </c>
    </row>
    <row r="631" spans="1:2" ht="19.5">
      <c r="A631" s="1" t="s">
        <v>655</v>
      </c>
      <c r="B631" s="1">
        <v>33</v>
      </c>
    </row>
    <row r="632" spans="1:2" ht="19.5">
      <c r="A632" s="1" t="s">
        <v>656</v>
      </c>
      <c r="B632" s="1">
        <v>24</v>
      </c>
    </row>
    <row r="633" spans="1:2" ht="19.5">
      <c r="A633" s="1" t="s">
        <v>657</v>
      </c>
      <c r="B633" s="1">
        <v>24</v>
      </c>
    </row>
    <row r="634" spans="1:2" ht="19.5">
      <c r="A634" s="1" t="s">
        <v>658</v>
      </c>
      <c r="B634" s="1">
        <v>24</v>
      </c>
    </row>
    <row r="635" spans="1:2" ht="19.5">
      <c r="A635" s="1" t="s">
        <v>659</v>
      </c>
      <c r="B635" s="1">
        <v>21</v>
      </c>
    </row>
    <row r="636" spans="1:2" ht="19.5">
      <c r="A636" s="1" t="s">
        <v>660</v>
      </c>
      <c r="B636" s="1">
        <v>14</v>
      </c>
    </row>
    <row r="637" spans="1:2" ht="19.5">
      <c r="A637" s="1" t="s">
        <v>661</v>
      </c>
      <c r="B637" s="1">
        <v>21</v>
      </c>
    </row>
    <row r="638" spans="1:2" ht="19.5">
      <c r="A638" s="1" t="s">
        <v>662</v>
      </c>
      <c r="B638" s="1">
        <v>57</v>
      </c>
    </row>
    <row r="639" spans="1:2" ht="19.5">
      <c r="A639" s="1" t="s">
        <v>663</v>
      </c>
      <c r="B639" s="1">
        <v>25</v>
      </c>
    </row>
    <row r="640" spans="1:2" ht="19.5">
      <c r="A640" s="1" t="s">
        <v>664</v>
      </c>
      <c r="B640" s="1">
        <v>32</v>
      </c>
    </row>
    <row r="641" spans="1:2" ht="19.5">
      <c r="A641" s="1" t="s">
        <v>665</v>
      </c>
      <c r="B641" s="1">
        <v>23</v>
      </c>
    </row>
    <row r="642" spans="1:2" ht="19.5">
      <c r="A642" s="1" t="s">
        <v>666</v>
      </c>
      <c r="B642" s="1">
        <v>28</v>
      </c>
    </row>
    <row r="643" spans="1:2" ht="19.5">
      <c r="A643" s="1" t="s">
        <v>667</v>
      </c>
      <c r="B643" s="1">
        <v>21</v>
      </c>
    </row>
    <row r="644" spans="1:2" ht="19.5">
      <c r="A644" s="1" t="s">
        <v>668</v>
      </c>
      <c r="B644" s="1">
        <v>26</v>
      </c>
    </row>
    <row r="645" spans="1:2" ht="19.5">
      <c r="A645" s="1" t="s">
        <v>669</v>
      </c>
      <c r="B645" s="1">
        <v>28</v>
      </c>
    </row>
    <row r="646" spans="1:2" ht="19.5">
      <c r="A646" s="1" t="s">
        <v>670</v>
      </c>
      <c r="B646" s="1">
        <v>10</v>
      </c>
    </row>
    <row r="647" spans="1:2" ht="19.5">
      <c r="A647" s="1" t="s">
        <v>671</v>
      </c>
      <c r="B647" s="1">
        <v>21</v>
      </c>
    </row>
    <row r="648" spans="1:2" ht="19.5">
      <c r="A648" s="1" t="s">
        <v>672</v>
      </c>
      <c r="B648" s="1">
        <v>56</v>
      </c>
    </row>
    <row r="649" spans="1:2" ht="19.5">
      <c r="A649" s="1" t="s">
        <v>673</v>
      </c>
      <c r="B649" s="1">
        <v>35</v>
      </c>
    </row>
    <row r="650" spans="1:2" ht="19.5">
      <c r="A650" s="1" t="s">
        <v>674</v>
      </c>
      <c r="B650" s="1">
        <v>23</v>
      </c>
    </row>
    <row r="651" spans="1:2" ht="19.5">
      <c r="A651" s="1" t="s">
        <v>675</v>
      </c>
      <c r="B651" s="1">
        <v>14</v>
      </c>
    </row>
    <row r="652" spans="1:2" ht="19.5">
      <c r="A652" s="1" t="s">
        <v>676</v>
      </c>
      <c r="B652" s="1">
        <v>29</v>
      </c>
    </row>
    <row r="653" spans="1:2" ht="19.5">
      <c r="A653" s="1" t="s">
        <v>677</v>
      </c>
      <c r="B653" s="1">
        <v>22</v>
      </c>
    </row>
    <row r="654" spans="1:2" ht="19.5">
      <c r="A654" s="1" t="s">
        <v>678</v>
      </c>
      <c r="B654" s="1">
        <v>25</v>
      </c>
    </row>
    <row r="655" spans="1:2" ht="19.5">
      <c r="A655" s="1" t="s">
        <v>679</v>
      </c>
      <c r="B655" s="1">
        <v>44</v>
      </c>
    </row>
    <row r="656" spans="1:2" ht="19.5">
      <c r="A656" s="1" t="s">
        <v>680</v>
      </c>
      <c r="B656" s="1">
        <v>32</v>
      </c>
    </row>
    <row r="657" spans="1:2" ht="19.5">
      <c r="A657" s="1" t="s">
        <v>681</v>
      </c>
      <c r="B657" s="1">
        <v>28</v>
      </c>
    </row>
    <row r="658" spans="1:2" ht="19.5">
      <c r="A658" s="1" t="s">
        <v>682</v>
      </c>
      <c r="B658" s="1">
        <v>17</v>
      </c>
    </row>
    <row r="659" spans="1:2" ht="19.5">
      <c r="A659" s="1" t="s">
        <v>683</v>
      </c>
      <c r="B659" s="1">
        <v>22</v>
      </c>
    </row>
    <row r="660" spans="1:2" ht="19.5">
      <c r="A660" s="1" t="s">
        <v>684</v>
      </c>
      <c r="B660" s="1">
        <v>32</v>
      </c>
    </row>
    <row r="661" spans="1:2" ht="19.5">
      <c r="A661" s="1" t="s">
        <v>685</v>
      </c>
      <c r="B661" s="1">
        <v>33</v>
      </c>
    </row>
    <row r="662" spans="1:2" ht="19.5">
      <c r="A662" s="1" t="s">
        <v>686</v>
      </c>
      <c r="B662" s="1">
        <v>18</v>
      </c>
    </row>
    <row r="663" spans="1:2" ht="19.5">
      <c r="A663" s="1" t="s">
        <v>687</v>
      </c>
      <c r="B663" s="1">
        <v>33</v>
      </c>
    </row>
    <row r="664" spans="1:2" ht="19.5">
      <c r="A664" s="1" t="s">
        <v>688</v>
      </c>
      <c r="B664" s="1">
        <v>29</v>
      </c>
    </row>
    <row r="665" spans="1:2" ht="19.5">
      <c r="A665" s="1" t="s">
        <v>689</v>
      </c>
      <c r="B665" s="1">
        <v>36</v>
      </c>
    </row>
    <row r="666" spans="1:2" ht="19.5">
      <c r="A666" s="1" t="s">
        <v>690</v>
      </c>
      <c r="B666" s="1">
        <v>33</v>
      </c>
    </row>
    <row r="667" spans="1:2" ht="19.5">
      <c r="A667" s="1" t="s">
        <v>691</v>
      </c>
      <c r="B667" s="1">
        <v>35</v>
      </c>
    </row>
    <row r="668" spans="1:2" ht="19.5">
      <c r="A668" s="1" t="s">
        <v>692</v>
      </c>
      <c r="B668" s="1">
        <v>27</v>
      </c>
    </row>
    <row r="669" spans="1:2" ht="19.5">
      <c r="A669" s="1" t="s">
        <v>693</v>
      </c>
      <c r="B669" s="1">
        <v>14</v>
      </c>
    </row>
    <row r="670" spans="1:2" ht="19.5">
      <c r="A670" s="1" t="s">
        <v>694</v>
      </c>
      <c r="B670" s="1">
        <v>43</v>
      </c>
    </row>
    <row r="671" spans="1:2" ht="19.5">
      <c r="A671" s="1" t="s">
        <v>695</v>
      </c>
      <c r="B671" s="1">
        <v>42</v>
      </c>
    </row>
    <row r="672" spans="1:2" ht="19.5">
      <c r="A672" s="1" t="s">
        <v>696</v>
      </c>
      <c r="B672" s="1">
        <v>34</v>
      </c>
    </row>
    <row r="673" spans="1:2" ht="19.5">
      <c r="A673" s="1" t="s">
        <v>697</v>
      </c>
      <c r="B673" s="1">
        <v>21</v>
      </c>
    </row>
    <row r="674" spans="1:2" ht="19.5">
      <c r="A674" s="1" t="s">
        <v>698</v>
      </c>
      <c r="B674" s="1">
        <v>14</v>
      </c>
    </row>
    <row r="675" spans="1:2" ht="19.5">
      <c r="A675" s="1" t="s">
        <v>699</v>
      </c>
      <c r="B675" s="1">
        <v>30</v>
      </c>
    </row>
    <row r="676" spans="1:2" ht="19.5">
      <c r="A676" s="1" t="s">
        <v>700</v>
      </c>
      <c r="B676" s="1">
        <v>27</v>
      </c>
    </row>
    <row r="677" spans="1:2" ht="19.5">
      <c r="A677" s="1" t="s">
        <v>701</v>
      </c>
      <c r="B677" s="1">
        <v>25</v>
      </c>
    </row>
    <row r="678" spans="1:2" ht="19.5">
      <c r="A678" s="1" t="s">
        <v>702</v>
      </c>
      <c r="B678" s="1">
        <v>34</v>
      </c>
    </row>
    <row r="679" spans="1:2" ht="19.5">
      <c r="A679" s="1" t="s">
        <v>703</v>
      </c>
      <c r="B679" s="1">
        <v>34</v>
      </c>
    </row>
    <row r="680" spans="1:2" ht="19.5">
      <c r="A680" s="1" t="s">
        <v>704</v>
      </c>
      <c r="B680" s="1">
        <v>55</v>
      </c>
    </row>
    <row r="681" spans="1:2" ht="19.5">
      <c r="A681" s="1" t="s">
        <v>705</v>
      </c>
      <c r="B681" s="1">
        <v>18</v>
      </c>
    </row>
    <row r="682" spans="1:2" ht="19.5">
      <c r="A682" s="1" t="s">
        <v>706</v>
      </c>
      <c r="B682" s="1">
        <v>16</v>
      </c>
    </row>
    <row r="683" spans="1:2" ht="19.5">
      <c r="A683" s="1" t="s">
        <v>707</v>
      </c>
      <c r="B683" s="1">
        <v>19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077EF-D5E3-453E-A924-2AEABF10ABE9}">
  <dimension ref="A1:L699"/>
  <sheetViews>
    <sheetView zoomScale="80" zoomScaleNormal="80" workbookViewId="0">
      <selection activeCell="J3" sqref="J3"/>
    </sheetView>
  </sheetViews>
  <sheetFormatPr defaultColWidth="12.25" defaultRowHeight="18.75"/>
  <cols>
    <col min="1" max="1" width="10.125" style="10" bestFit="1" customWidth="1"/>
    <col min="2" max="2" width="15.5" style="10" bestFit="1" customWidth="1"/>
    <col min="3" max="3" width="16.875" style="10" bestFit="1" customWidth="1"/>
    <col min="4" max="5" width="12.25" style="10"/>
    <col min="6" max="6" width="15.125" style="10" bestFit="1" customWidth="1"/>
    <col min="7" max="7" width="13.75" style="10" bestFit="1" customWidth="1"/>
    <col min="8" max="8" width="15.5" style="10" bestFit="1" customWidth="1"/>
    <col min="9" max="9" width="20" style="10" customWidth="1"/>
    <col min="10" max="10" width="11.875" style="10" bestFit="1" customWidth="1"/>
    <col min="11" max="11" width="13.75" style="10" bestFit="1" customWidth="1"/>
    <col min="12" max="12" width="14.25" style="10" bestFit="1" customWidth="1"/>
    <col min="13" max="13" width="13.75" style="10" bestFit="1" customWidth="1"/>
    <col min="14" max="15" width="12.25" style="10"/>
    <col min="16" max="16" width="15.5" style="10" bestFit="1" customWidth="1"/>
    <col min="17" max="18" width="15.75" style="10" bestFit="1" customWidth="1"/>
    <col min="19" max="16384" width="12.25" style="10"/>
  </cols>
  <sheetData>
    <row r="1" spans="1:12">
      <c r="A1" s="10" t="s">
        <v>3</v>
      </c>
      <c r="B1" s="10" t="s">
        <v>4</v>
      </c>
      <c r="C1" s="10" t="s">
        <v>5</v>
      </c>
      <c r="D1" s="10" t="s">
        <v>10</v>
      </c>
    </row>
    <row r="2" spans="1:12">
      <c r="A2" s="10" t="s">
        <v>11</v>
      </c>
      <c r="B2" s="10" t="s">
        <v>12</v>
      </c>
      <c r="C2" s="10" t="s">
        <v>13</v>
      </c>
      <c r="D2" s="10">
        <v>22</v>
      </c>
      <c r="F2" s="10" t="s">
        <v>730</v>
      </c>
      <c r="J2" s="10" t="s">
        <v>731</v>
      </c>
    </row>
    <row r="3" spans="1:12">
      <c r="A3" s="10" t="s">
        <v>14</v>
      </c>
      <c r="B3" s="10" t="s">
        <v>12</v>
      </c>
      <c r="C3" s="10" t="s">
        <v>13</v>
      </c>
      <c r="D3" s="10">
        <v>49</v>
      </c>
      <c r="F3" s="12" t="s">
        <v>733</v>
      </c>
      <c r="G3" t="s">
        <v>743</v>
      </c>
      <c r="H3" t="s">
        <v>744</v>
      </c>
      <c r="J3" s="12" t="s">
        <v>733</v>
      </c>
      <c r="K3" t="s">
        <v>743</v>
      </c>
      <c r="L3"/>
    </row>
    <row r="4" spans="1:12">
      <c r="A4" s="10" t="s">
        <v>15</v>
      </c>
      <c r="B4" s="10" t="s">
        <v>12</v>
      </c>
      <c r="C4" s="10" t="s">
        <v>16</v>
      </c>
      <c r="D4" s="10">
        <v>19</v>
      </c>
      <c r="F4" s="13" t="s">
        <v>734</v>
      </c>
      <c r="G4">
        <v>23</v>
      </c>
      <c r="H4">
        <v>33.130434782608695</v>
      </c>
      <c r="J4" s="13" t="s">
        <v>20</v>
      </c>
      <c r="K4">
        <v>178</v>
      </c>
      <c r="L4"/>
    </row>
    <row r="5" spans="1:12">
      <c r="A5" s="10" t="s">
        <v>17</v>
      </c>
      <c r="B5" s="10" t="s">
        <v>12</v>
      </c>
      <c r="C5" s="10" t="s">
        <v>13</v>
      </c>
      <c r="D5" s="10">
        <v>14</v>
      </c>
      <c r="F5" s="13" t="s">
        <v>42</v>
      </c>
      <c r="G5">
        <v>135</v>
      </c>
      <c r="H5">
        <v>30.829629629629629</v>
      </c>
      <c r="J5" s="13" t="s">
        <v>16</v>
      </c>
      <c r="K5">
        <v>11</v>
      </c>
      <c r="L5"/>
    </row>
    <row r="6" spans="1:12">
      <c r="A6" s="10" t="s">
        <v>18</v>
      </c>
      <c r="B6" s="10" t="s">
        <v>12</v>
      </c>
      <c r="C6" s="10" t="s">
        <v>13</v>
      </c>
      <c r="D6" s="10">
        <v>19</v>
      </c>
      <c r="F6" s="13" t="s">
        <v>39</v>
      </c>
      <c r="G6">
        <v>136</v>
      </c>
      <c r="H6">
        <v>28.073529411764707</v>
      </c>
      <c r="J6" s="13" t="s">
        <v>32</v>
      </c>
      <c r="K6">
        <v>18</v>
      </c>
      <c r="L6"/>
    </row>
    <row r="7" spans="1:12">
      <c r="A7" s="10" t="s">
        <v>19</v>
      </c>
      <c r="B7" s="10" t="s">
        <v>12</v>
      </c>
      <c r="C7" s="10" t="s">
        <v>20</v>
      </c>
      <c r="D7" s="10">
        <v>25</v>
      </c>
      <c r="F7" s="13" t="s">
        <v>741</v>
      </c>
      <c r="G7">
        <v>6</v>
      </c>
      <c r="H7">
        <v>28</v>
      </c>
      <c r="J7" s="13" t="s">
        <v>13</v>
      </c>
      <c r="K7">
        <v>475</v>
      </c>
      <c r="L7"/>
    </row>
    <row r="8" spans="1:12">
      <c r="A8" s="10" t="s">
        <v>21</v>
      </c>
      <c r="B8" s="10" t="s">
        <v>12</v>
      </c>
      <c r="C8" s="10" t="s">
        <v>13</v>
      </c>
      <c r="D8" s="10">
        <v>27</v>
      </c>
      <c r="F8" s="13" t="s">
        <v>737</v>
      </c>
      <c r="G8">
        <v>72</v>
      </c>
      <c r="H8">
        <v>27.277777777777779</v>
      </c>
      <c r="J8" s="13" t="s">
        <v>741</v>
      </c>
      <c r="K8"/>
      <c r="L8"/>
    </row>
    <row r="9" spans="1:12">
      <c r="A9" s="10" t="s">
        <v>22</v>
      </c>
      <c r="B9" s="10" t="s">
        <v>12</v>
      </c>
      <c r="C9" s="10" t="s">
        <v>20</v>
      </c>
      <c r="D9" s="10">
        <v>51</v>
      </c>
      <c r="F9" s="13" t="s">
        <v>739</v>
      </c>
      <c r="G9">
        <v>56</v>
      </c>
      <c r="H9">
        <v>27.267857142857142</v>
      </c>
      <c r="J9" s="13" t="s">
        <v>742</v>
      </c>
      <c r="K9">
        <v>682</v>
      </c>
      <c r="L9"/>
    </row>
    <row r="10" spans="1:12">
      <c r="A10" s="10" t="s">
        <v>23</v>
      </c>
      <c r="B10" s="10" t="s">
        <v>12</v>
      </c>
      <c r="C10" s="10" t="s">
        <v>20</v>
      </c>
      <c r="D10" s="10">
        <v>33</v>
      </c>
      <c r="F10" s="13" t="s">
        <v>735</v>
      </c>
      <c r="G10">
        <v>15</v>
      </c>
      <c r="H10">
        <v>26.266666666666666</v>
      </c>
      <c r="J10"/>
      <c r="K10"/>
      <c r="L10"/>
    </row>
    <row r="11" spans="1:12">
      <c r="A11" s="10" t="s">
        <v>24</v>
      </c>
      <c r="B11" s="10" t="s">
        <v>12</v>
      </c>
      <c r="C11" s="10" t="s">
        <v>13</v>
      </c>
      <c r="D11" s="10">
        <v>14</v>
      </c>
      <c r="F11" s="13" t="s">
        <v>740</v>
      </c>
      <c r="G11">
        <v>67</v>
      </c>
      <c r="H11">
        <v>26.238805970149254</v>
      </c>
      <c r="J11"/>
      <c r="K11"/>
      <c r="L11"/>
    </row>
    <row r="12" spans="1:12">
      <c r="A12" s="10" t="s">
        <v>25</v>
      </c>
      <c r="B12" s="10" t="s">
        <v>12</v>
      </c>
      <c r="C12" s="10" t="s">
        <v>20</v>
      </c>
      <c r="D12" s="10">
        <v>25</v>
      </c>
      <c r="F12" s="13" t="s">
        <v>628</v>
      </c>
      <c r="G12">
        <v>45</v>
      </c>
      <c r="H12">
        <v>25.777777777777779</v>
      </c>
      <c r="J12"/>
      <c r="K12"/>
      <c r="L12"/>
    </row>
    <row r="13" spans="1:12">
      <c r="A13" s="10" t="s">
        <v>26</v>
      </c>
      <c r="B13" s="10" t="s">
        <v>12</v>
      </c>
      <c r="C13" s="10" t="s">
        <v>13</v>
      </c>
      <c r="D13" s="10">
        <v>34</v>
      </c>
      <c r="F13" s="13" t="s">
        <v>37</v>
      </c>
      <c r="G13">
        <v>89</v>
      </c>
      <c r="H13">
        <v>25.359550561797754</v>
      </c>
      <c r="J13"/>
      <c r="K13"/>
      <c r="L13"/>
    </row>
    <row r="14" spans="1:12">
      <c r="A14" s="10" t="s">
        <v>27</v>
      </c>
      <c r="B14" s="10" t="s">
        <v>12</v>
      </c>
      <c r="C14" s="10" t="s">
        <v>13</v>
      </c>
      <c r="D14" s="10">
        <v>21</v>
      </c>
      <c r="F14" s="13" t="s">
        <v>736</v>
      </c>
      <c r="G14">
        <v>31</v>
      </c>
      <c r="H14">
        <v>25.258064516129032</v>
      </c>
      <c r="J14"/>
      <c r="K14"/>
      <c r="L14"/>
    </row>
    <row r="15" spans="1:12">
      <c r="A15" s="10" t="s">
        <v>28</v>
      </c>
      <c r="B15" s="10" t="s">
        <v>12</v>
      </c>
      <c r="C15" s="10" t="s">
        <v>13</v>
      </c>
      <c r="D15" s="10">
        <v>26</v>
      </c>
      <c r="F15" s="13" t="s">
        <v>738</v>
      </c>
      <c r="G15">
        <v>7</v>
      </c>
      <c r="H15">
        <v>23.142857142857142</v>
      </c>
      <c r="J15"/>
      <c r="K15"/>
      <c r="L15"/>
    </row>
    <row r="16" spans="1:12">
      <c r="A16" s="10" t="s">
        <v>29</v>
      </c>
      <c r="B16" s="10" t="s">
        <v>12</v>
      </c>
      <c r="C16" s="10" t="s">
        <v>13</v>
      </c>
      <c r="D16" s="10">
        <v>15</v>
      </c>
      <c r="F16" s="13" t="s">
        <v>742</v>
      </c>
      <c r="G16">
        <v>682</v>
      </c>
      <c r="H16">
        <v>27.734604105571847</v>
      </c>
      <c r="J16"/>
      <c r="K16"/>
      <c r="L16"/>
    </row>
    <row r="17" spans="1:12">
      <c r="A17" s="10" t="s">
        <v>30</v>
      </c>
      <c r="B17" s="10" t="s">
        <v>31</v>
      </c>
      <c r="C17" s="10" t="s">
        <v>32</v>
      </c>
      <c r="D17" s="10">
        <v>18</v>
      </c>
      <c r="F17"/>
      <c r="G17"/>
      <c r="H17"/>
      <c r="J17"/>
      <c r="K17"/>
      <c r="L17"/>
    </row>
    <row r="18" spans="1:12">
      <c r="A18" s="10" t="s">
        <v>33</v>
      </c>
      <c r="B18" s="10" t="s">
        <v>34</v>
      </c>
      <c r="C18" s="10" t="s">
        <v>13</v>
      </c>
      <c r="D18" s="10">
        <v>26</v>
      </c>
      <c r="F18"/>
      <c r="G18"/>
      <c r="H18"/>
      <c r="J18"/>
      <c r="K18"/>
      <c r="L18"/>
    </row>
    <row r="19" spans="1:12">
      <c r="A19" s="10" t="s">
        <v>35</v>
      </c>
      <c r="B19" s="10" t="s">
        <v>34</v>
      </c>
      <c r="C19" s="10" t="s">
        <v>32</v>
      </c>
      <c r="D19" s="10">
        <v>23</v>
      </c>
      <c r="F19"/>
      <c r="G19"/>
      <c r="H19"/>
      <c r="J19"/>
      <c r="K19"/>
      <c r="L19"/>
    </row>
    <row r="20" spans="1:12">
      <c r="A20" s="10" t="s">
        <v>36</v>
      </c>
      <c r="B20" s="10" t="s">
        <v>37</v>
      </c>
      <c r="C20" s="10" t="s">
        <v>13</v>
      </c>
      <c r="D20" s="10">
        <v>21</v>
      </c>
      <c r="F20"/>
      <c r="G20"/>
      <c r="H20"/>
      <c r="J20"/>
      <c r="K20"/>
      <c r="L20"/>
    </row>
    <row r="21" spans="1:12">
      <c r="A21" s="10" t="s">
        <v>38</v>
      </c>
      <c r="B21" s="10" t="s">
        <v>39</v>
      </c>
      <c r="C21" s="10" t="s">
        <v>13</v>
      </c>
      <c r="D21" s="10">
        <v>36</v>
      </c>
      <c r="F21"/>
      <c r="J21"/>
    </row>
    <row r="22" spans="1:12">
      <c r="A22" s="10" t="s">
        <v>40</v>
      </c>
      <c r="B22" s="10" t="s">
        <v>39</v>
      </c>
      <c r="C22" s="10" t="s">
        <v>13</v>
      </c>
      <c r="D22" s="10">
        <v>24</v>
      </c>
      <c r="F22"/>
      <c r="J22"/>
    </row>
    <row r="23" spans="1:12">
      <c r="A23" s="10" t="s">
        <v>41</v>
      </c>
      <c r="B23" s="10" t="s">
        <v>42</v>
      </c>
      <c r="C23" s="10" t="s">
        <v>20</v>
      </c>
      <c r="D23" s="10">
        <v>35</v>
      </c>
      <c r="F23"/>
      <c r="J23"/>
    </row>
    <row r="24" spans="1:12">
      <c r="A24" s="10" t="s">
        <v>43</v>
      </c>
      <c r="B24" s="10" t="s">
        <v>31</v>
      </c>
      <c r="C24" s="10" t="s">
        <v>13</v>
      </c>
      <c r="D24" s="10">
        <v>18</v>
      </c>
      <c r="F24"/>
      <c r="J24"/>
    </row>
    <row r="25" spans="1:12">
      <c r="A25" s="10" t="s">
        <v>44</v>
      </c>
      <c r="B25" s="10" t="s">
        <v>34</v>
      </c>
      <c r="C25" s="10" t="s">
        <v>13</v>
      </c>
      <c r="D25" s="10">
        <v>25</v>
      </c>
      <c r="F25"/>
      <c r="J25"/>
    </row>
    <row r="26" spans="1:12">
      <c r="A26" s="10" t="s">
        <v>45</v>
      </c>
      <c r="B26" s="10" t="s">
        <v>37</v>
      </c>
      <c r="C26" s="10" t="s">
        <v>13</v>
      </c>
      <c r="D26" s="10">
        <v>31</v>
      </c>
      <c r="F26"/>
      <c r="J26"/>
    </row>
    <row r="27" spans="1:12">
      <c r="A27" s="10" t="s">
        <v>46</v>
      </c>
      <c r="C27" s="10" t="s">
        <v>20</v>
      </c>
      <c r="D27" s="10">
        <v>33</v>
      </c>
      <c r="F27"/>
      <c r="J27"/>
    </row>
    <row r="28" spans="1:12">
      <c r="A28" s="10" t="s">
        <v>47</v>
      </c>
      <c r="B28" s="10" t="s">
        <v>34</v>
      </c>
      <c r="C28" s="10" t="s">
        <v>13</v>
      </c>
      <c r="D28" s="10">
        <v>15</v>
      </c>
      <c r="F28"/>
      <c r="J28"/>
    </row>
    <row r="29" spans="1:12">
      <c r="A29" s="10" t="s">
        <v>48</v>
      </c>
      <c r="B29" s="10" t="s">
        <v>37</v>
      </c>
      <c r="C29" s="10" t="s">
        <v>13</v>
      </c>
      <c r="D29" s="10">
        <v>24</v>
      </c>
      <c r="F29"/>
      <c r="J29"/>
    </row>
    <row r="30" spans="1:12">
      <c r="A30" s="10" t="s">
        <v>49</v>
      </c>
      <c r="B30" s="10" t="s">
        <v>50</v>
      </c>
      <c r="C30" s="10" t="s">
        <v>13</v>
      </c>
      <c r="D30" s="10">
        <v>26</v>
      </c>
      <c r="F30"/>
      <c r="J30"/>
    </row>
    <row r="31" spans="1:12">
      <c r="A31" s="10" t="s">
        <v>51</v>
      </c>
      <c r="B31" s="10" t="s">
        <v>39</v>
      </c>
      <c r="C31" s="10" t="s">
        <v>13</v>
      </c>
      <c r="D31" s="10">
        <v>25</v>
      </c>
      <c r="F31"/>
      <c r="J31"/>
    </row>
    <row r="32" spans="1:12">
      <c r="A32" s="10" t="s">
        <v>52</v>
      </c>
      <c r="B32" s="10" t="s">
        <v>39</v>
      </c>
      <c r="C32" s="10" t="s">
        <v>13</v>
      </c>
      <c r="D32" s="10">
        <v>30</v>
      </c>
      <c r="F32"/>
      <c r="J32"/>
    </row>
    <row r="33" spans="1:10">
      <c r="A33" s="10" t="s">
        <v>53</v>
      </c>
      <c r="B33" s="10" t="s">
        <v>42</v>
      </c>
      <c r="C33" s="10" t="s">
        <v>13</v>
      </c>
      <c r="D33" s="10">
        <v>37</v>
      </c>
      <c r="F33"/>
      <c r="J33"/>
    </row>
    <row r="34" spans="1:10">
      <c r="A34" s="10" t="s">
        <v>54</v>
      </c>
      <c r="B34" s="10" t="s">
        <v>42</v>
      </c>
      <c r="C34" s="10" t="s">
        <v>13</v>
      </c>
      <c r="D34" s="10">
        <v>38</v>
      </c>
      <c r="F34"/>
      <c r="J34"/>
    </row>
    <row r="35" spans="1:10">
      <c r="A35" s="10" t="s">
        <v>55</v>
      </c>
      <c r="B35" s="10" t="s">
        <v>31</v>
      </c>
      <c r="C35" s="10" t="s">
        <v>13</v>
      </c>
      <c r="D35" s="10">
        <v>25</v>
      </c>
      <c r="F35"/>
      <c r="J35"/>
    </row>
    <row r="36" spans="1:10">
      <c r="A36" s="10" t="s">
        <v>56</v>
      </c>
      <c r="B36" s="10" t="s">
        <v>34</v>
      </c>
      <c r="C36" s="10" t="s">
        <v>13</v>
      </c>
      <c r="D36" s="10">
        <v>17</v>
      </c>
      <c r="F36"/>
      <c r="J36"/>
    </row>
    <row r="37" spans="1:10">
      <c r="A37" s="10" t="s">
        <v>57</v>
      </c>
      <c r="B37" s="10" t="s">
        <v>34</v>
      </c>
      <c r="C37" s="10" t="s">
        <v>13</v>
      </c>
      <c r="D37" s="10">
        <v>30</v>
      </c>
      <c r="F37"/>
      <c r="J37"/>
    </row>
    <row r="38" spans="1:10">
      <c r="A38" s="10" t="s">
        <v>58</v>
      </c>
      <c r="B38" s="10" t="s">
        <v>37</v>
      </c>
      <c r="C38" s="10" t="s">
        <v>20</v>
      </c>
      <c r="D38" s="10">
        <v>25</v>
      </c>
      <c r="F38"/>
      <c r="J38"/>
    </row>
    <row r="39" spans="1:10">
      <c r="A39" s="10" t="s">
        <v>59</v>
      </c>
      <c r="B39" s="10" t="s">
        <v>39</v>
      </c>
      <c r="C39" s="10" t="s">
        <v>13</v>
      </c>
      <c r="D39" s="10">
        <v>24</v>
      </c>
      <c r="F39"/>
      <c r="J39"/>
    </row>
    <row r="40" spans="1:10">
      <c r="A40" s="10" t="s">
        <v>60</v>
      </c>
      <c r="B40" s="10" t="s">
        <v>39</v>
      </c>
      <c r="C40" s="10" t="s">
        <v>13</v>
      </c>
      <c r="D40" s="10">
        <v>36</v>
      </c>
      <c r="F40"/>
      <c r="J40"/>
    </row>
    <row r="41" spans="1:10">
      <c r="A41" s="10" t="s">
        <v>61</v>
      </c>
      <c r="B41" s="10" t="s">
        <v>42</v>
      </c>
      <c r="C41" s="10" t="s">
        <v>13</v>
      </c>
      <c r="D41" s="10">
        <v>40</v>
      </c>
      <c r="F41"/>
      <c r="J41"/>
    </row>
    <row r="42" spans="1:10">
      <c r="A42" s="10" t="s">
        <v>62</v>
      </c>
      <c r="B42" s="10" t="s">
        <v>31</v>
      </c>
      <c r="C42" s="10" t="s">
        <v>13</v>
      </c>
      <c r="D42" s="10">
        <v>37</v>
      </c>
      <c r="F42"/>
      <c r="J42"/>
    </row>
    <row r="43" spans="1:10">
      <c r="A43" s="10" t="s">
        <v>63</v>
      </c>
      <c r="B43" s="10" t="s">
        <v>34</v>
      </c>
      <c r="C43" s="10" t="s">
        <v>13</v>
      </c>
      <c r="D43" s="10">
        <v>39</v>
      </c>
      <c r="F43"/>
      <c r="J43"/>
    </row>
    <row r="44" spans="1:10">
      <c r="A44" s="10" t="s">
        <v>64</v>
      </c>
      <c r="B44" s="10" t="s">
        <v>37</v>
      </c>
      <c r="C44" s="10" t="s">
        <v>20</v>
      </c>
      <c r="D44" s="10">
        <v>19</v>
      </c>
      <c r="F44"/>
      <c r="J44"/>
    </row>
    <row r="45" spans="1:10">
      <c r="A45" s="10" t="s">
        <v>65</v>
      </c>
      <c r="B45" s="10" t="s">
        <v>39</v>
      </c>
      <c r="C45" s="10" t="s">
        <v>13</v>
      </c>
      <c r="D45" s="10">
        <v>19</v>
      </c>
      <c r="F45"/>
      <c r="J45"/>
    </row>
    <row r="46" spans="1:10">
      <c r="A46" s="10" t="s">
        <v>66</v>
      </c>
      <c r="B46" s="10" t="s">
        <v>31</v>
      </c>
      <c r="C46" s="10" t="s">
        <v>20</v>
      </c>
      <c r="D46" s="10">
        <v>33</v>
      </c>
      <c r="F46"/>
      <c r="J46"/>
    </row>
    <row r="47" spans="1:10">
      <c r="A47" s="10" t="s">
        <v>67</v>
      </c>
      <c r="B47" s="10" t="s">
        <v>37</v>
      </c>
      <c r="C47" s="10" t="s">
        <v>13</v>
      </c>
      <c r="D47" s="10">
        <v>33</v>
      </c>
      <c r="F47"/>
      <c r="J47"/>
    </row>
    <row r="48" spans="1:10">
      <c r="A48" s="10" t="s">
        <v>68</v>
      </c>
      <c r="B48" s="10" t="s">
        <v>39</v>
      </c>
      <c r="C48" s="10" t="s">
        <v>13</v>
      </c>
      <c r="D48" s="10">
        <v>27</v>
      </c>
      <c r="F48"/>
      <c r="J48"/>
    </row>
    <row r="49" spans="1:10">
      <c r="A49" s="10" t="s">
        <v>69</v>
      </c>
      <c r="B49" s="10" t="s">
        <v>42</v>
      </c>
      <c r="C49" s="10" t="s">
        <v>13</v>
      </c>
      <c r="D49" s="10">
        <v>23</v>
      </c>
      <c r="F49"/>
      <c r="J49"/>
    </row>
    <row r="50" spans="1:10">
      <c r="A50" s="10" t="s">
        <v>70</v>
      </c>
      <c r="B50" s="10" t="s">
        <v>31</v>
      </c>
      <c r="C50" s="10" t="s">
        <v>20</v>
      </c>
      <c r="D50" s="10">
        <v>27</v>
      </c>
      <c r="F50"/>
      <c r="J50"/>
    </row>
    <row r="51" spans="1:10">
      <c r="A51" s="10" t="s">
        <v>71</v>
      </c>
      <c r="B51" s="10" t="s">
        <v>34</v>
      </c>
      <c r="C51" s="10" t="s">
        <v>13</v>
      </c>
      <c r="D51" s="10">
        <v>30</v>
      </c>
      <c r="F51"/>
      <c r="J51"/>
    </row>
    <row r="52" spans="1:10">
      <c r="A52" s="10" t="s">
        <v>72</v>
      </c>
      <c r="B52" s="10" t="s">
        <v>39</v>
      </c>
      <c r="C52" s="10" t="s">
        <v>20</v>
      </c>
      <c r="D52" s="10">
        <v>42</v>
      </c>
      <c r="F52"/>
      <c r="J52"/>
    </row>
    <row r="53" spans="1:10">
      <c r="A53" s="10" t="s">
        <v>73</v>
      </c>
      <c r="B53" s="10" t="s">
        <v>42</v>
      </c>
      <c r="C53" s="10" t="s">
        <v>20</v>
      </c>
      <c r="D53" s="10">
        <v>28</v>
      </c>
      <c r="F53"/>
      <c r="J53"/>
    </row>
    <row r="54" spans="1:10">
      <c r="A54" s="10" t="s">
        <v>74</v>
      </c>
      <c r="B54" s="10" t="s">
        <v>31</v>
      </c>
      <c r="C54" s="10" t="s">
        <v>13</v>
      </c>
      <c r="D54" s="10">
        <v>22</v>
      </c>
      <c r="F54"/>
      <c r="J54"/>
    </row>
    <row r="55" spans="1:10">
      <c r="A55" s="10" t="s">
        <v>75</v>
      </c>
      <c r="B55" s="10" t="s">
        <v>34</v>
      </c>
      <c r="C55" s="10" t="s">
        <v>13</v>
      </c>
      <c r="D55" s="10">
        <v>29</v>
      </c>
      <c r="F55"/>
      <c r="J55"/>
    </row>
    <row r="56" spans="1:10">
      <c r="A56" s="10" t="s">
        <v>76</v>
      </c>
      <c r="B56" s="10" t="s">
        <v>39</v>
      </c>
      <c r="C56" s="10" t="s">
        <v>20</v>
      </c>
      <c r="D56" s="10">
        <v>33</v>
      </c>
      <c r="F56"/>
      <c r="J56"/>
    </row>
    <row r="57" spans="1:10">
      <c r="A57" s="10" t="s">
        <v>77</v>
      </c>
      <c r="B57" s="10" t="s">
        <v>34</v>
      </c>
      <c r="C57" s="10" t="s">
        <v>20</v>
      </c>
      <c r="D57" s="10">
        <v>16</v>
      </c>
      <c r="F57"/>
      <c r="J57"/>
    </row>
    <row r="58" spans="1:10">
      <c r="A58" s="10" t="s">
        <v>78</v>
      </c>
      <c r="B58" s="10" t="s">
        <v>37</v>
      </c>
      <c r="C58" s="10" t="s">
        <v>13</v>
      </c>
      <c r="D58" s="10">
        <v>35</v>
      </c>
      <c r="F58"/>
      <c r="J58"/>
    </row>
    <row r="59" spans="1:10">
      <c r="A59" s="10" t="s">
        <v>79</v>
      </c>
      <c r="B59" s="10" t="s">
        <v>39</v>
      </c>
      <c r="C59" s="10" t="s">
        <v>13</v>
      </c>
      <c r="D59" s="10">
        <v>24</v>
      </c>
      <c r="F59"/>
      <c r="J59"/>
    </row>
    <row r="60" spans="1:10">
      <c r="A60" s="10" t="s">
        <v>80</v>
      </c>
      <c r="B60" s="10" t="s">
        <v>39</v>
      </c>
      <c r="C60" s="10" t="s">
        <v>13</v>
      </c>
      <c r="D60" s="10">
        <v>31</v>
      </c>
      <c r="F60"/>
      <c r="J60"/>
    </row>
    <row r="61" spans="1:10">
      <c r="A61" s="10" t="s">
        <v>81</v>
      </c>
      <c r="B61" s="10" t="s">
        <v>42</v>
      </c>
      <c r="C61" s="10" t="s">
        <v>13</v>
      </c>
      <c r="D61" s="10">
        <v>38</v>
      </c>
      <c r="F61"/>
      <c r="J61"/>
    </row>
    <row r="62" spans="1:10">
      <c r="A62" s="10" t="s">
        <v>82</v>
      </c>
      <c r="B62" s="10" t="s">
        <v>42</v>
      </c>
      <c r="C62" s="10" t="s">
        <v>20</v>
      </c>
      <c r="D62" s="10">
        <v>26</v>
      </c>
      <c r="F62"/>
      <c r="J62"/>
    </row>
    <row r="63" spans="1:10">
      <c r="A63" s="10" t="s">
        <v>83</v>
      </c>
      <c r="B63" s="10" t="s">
        <v>31</v>
      </c>
      <c r="C63" s="10" t="s">
        <v>13</v>
      </c>
      <c r="D63" s="10">
        <v>16</v>
      </c>
      <c r="F63"/>
      <c r="J63"/>
    </row>
    <row r="64" spans="1:10">
      <c r="A64" s="10" t="s">
        <v>84</v>
      </c>
      <c r="B64" s="10" t="s">
        <v>34</v>
      </c>
      <c r="C64" s="10" t="s">
        <v>13</v>
      </c>
      <c r="D64" s="10">
        <v>18</v>
      </c>
      <c r="F64"/>
      <c r="J64"/>
    </row>
    <row r="65" spans="1:10">
      <c r="A65" s="10" t="s">
        <v>85</v>
      </c>
      <c r="B65" s="10" t="s">
        <v>39</v>
      </c>
      <c r="C65" s="10" t="s">
        <v>13</v>
      </c>
      <c r="D65" s="10">
        <v>21</v>
      </c>
      <c r="F65"/>
      <c r="J65"/>
    </row>
    <row r="66" spans="1:10">
      <c r="A66" s="10" t="s">
        <v>86</v>
      </c>
      <c r="B66" s="10" t="s">
        <v>42</v>
      </c>
      <c r="C66" s="10" t="s">
        <v>13</v>
      </c>
      <c r="D66" s="10">
        <v>19</v>
      </c>
      <c r="F66"/>
      <c r="J66"/>
    </row>
    <row r="67" spans="1:10">
      <c r="A67" s="10" t="s">
        <v>87</v>
      </c>
      <c r="B67" s="10" t="s">
        <v>31</v>
      </c>
      <c r="C67" s="10" t="s">
        <v>20</v>
      </c>
      <c r="D67" s="10">
        <v>32</v>
      </c>
      <c r="F67"/>
      <c r="J67"/>
    </row>
    <row r="68" spans="1:10">
      <c r="A68" s="10" t="s">
        <v>88</v>
      </c>
      <c r="B68" s="10" t="s">
        <v>34</v>
      </c>
      <c r="C68" s="10" t="s">
        <v>13</v>
      </c>
      <c r="D68" s="10">
        <v>28</v>
      </c>
      <c r="F68"/>
      <c r="J68"/>
    </row>
    <row r="69" spans="1:10">
      <c r="A69" s="10" t="s">
        <v>89</v>
      </c>
      <c r="B69" s="10" t="s">
        <v>37</v>
      </c>
      <c r="C69" s="10" t="s">
        <v>13</v>
      </c>
      <c r="D69" s="10">
        <v>46</v>
      </c>
      <c r="F69"/>
      <c r="J69"/>
    </row>
    <row r="70" spans="1:10">
      <c r="A70" s="10" t="s">
        <v>90</v>
      </c>
      <c r="B70" s="10" t="s">
        <v>37</v>
      </c>
      <c r="C70" s="10" t="s">
        <v>13</v>
      </c>
      <c r="D70" s="10">
        <v>22</v>
      </c>
      <c r="F70"/>
      <c r="J70"/>
    </row>
    <row r="71" spans="1:10">
      <c r="A71" s="10" t="s">
        <v>91</v>
      </c>
      <c r="B71" s="10" t="s">
        <v>37</v>
      </c>
      <c r="C71" s="10" t="s">
        <v>20</v>
      </c>
      <c r="D71" s="10">
        <v>16</v>
      </c>
      <c r="F71"/>
      <c r="J71"/>
    </row>
    <row r="72" spans="1:10">
      <c r="A72" s="10" t="s">
        <v>92</v>
      </c>
      <c r="B72" s="10" t="s">
        <v>39</v>
      </c>
      <c r="C72" s="10" t="s">
        <v>13</v>
      </c>
      <c r="D72" s="10">
        <v>26</v>
      </c>
      <c r="F72"/>
      <c r="J72"/>
    </row>
    <row r="73" spans="1:10">
      <c r="A73" s="10" t="s">
        <v>93</v>
      </c>
      <c r="B73" s="10" t="s">
        <v>39</v>
      </c>
      <c r="C73" s="10" t="s">
        <v>20</v>
      </c>
      <c r="D73" s="10">
        <v>37</v>
      </c>
      <c r="F73"/>
      <c r="J73"/>
    </row>
    <row r="74" spans="1:10">
      <c r="A74" s="10" t="s">
        <v>94</v>
      </c>
      <c r="B74" s="10" t="s">
        <v>37</v>
      </c>
      <c r="C74" s="10" t="s">
        <v>13</v>
      </c>
      <c r="D74" s="10">
        <v>32</v>
      </c>
      <c r="F74"/>
      <c r="J74"/>
    </row>
    <row r="75" spans="1:10">
      <c r="A75" s="10" t="s">
        <v>95</v>
      </c>
      <c r="B75" s="10" t="s">
        <v>39</v>
      </c>
      <c r="C75" s="10" t="s">
        <v>13</v>
      </c>
      <c r="D75" s="10">
        <v>46</v>
      </c>
      <c r="F75"/>
      <c r="J75"/>
    </row>
    <row r="76" spans="1:10">
      <c r="A76" s="10" t="s">
        <v>96</v>
      </c>
      <c r="B76" s="10" t="s">
        <v>39</v>
      </c>
      <c r="C76" s="10" t="s">
        <v>13</v>
      </c>
      <c r="D76" s="10">
        <v>20</v>
      </c>
      <c r="F76"/>
      <c r="J76"/>
    </row>
    <row r="77" spans="1:10">
      <c r="A77" s="10" t="s">
        <v>97</v>
      </c>
      <c r="B77" s="10" t="s">
        <v>42</v>
      </c>
      <c r="C77" s="10" t="s">
        <v>13</v>
      </c>
      <c r="D77" s="10">
        <v>45</v>
      </c>
      <c r="F77"/>
      <c r="J77"/>
    </row>
    <row r="78" spans="1:10">
      <c r="A78" s="10" t="s">
        <v>98</v>
      </c>
      <c r="B78" s="10" t="s">
        <v>31</v>
      </c>
      <c r="C78" s="10" t="s">
        <v>13</v>
      </c>
      <c r="D78" s="10">
        <v>34</v>
      </c>
      <c r="F78"/>
      <c r="J78"/>
    </row>
    <row r="79" spans="1:10">
      <c r="A79" s="10" t="s">
        <v>99</v>
      </c>
      <c r="B79" s="10" t="s">
        <v>37</v>
      </c>
      <c r="C79" s="10" t="s">
        <v>13</v>
      </c>
      <c r="D79" s="10">
        <v>30</v>
      </c>
      <c r="F79"/>
      <c r="J79"/>
    </row>
    <row r="80" spans="1:10">
      <c r="A80" s="10" t="s">
        <v>100</v>
      </c>
      <c r="B80" s="10" t="s">
        <v>42</v>
      </c>
      <c r="C80" s="10" t="s">
        <v>20</v>
      </c>
      <c r="D80" s="10">
        <v>19</v>
      </c>
      <c r="F80"/>
      <c r="J80"/>
    </row>
    <row r="81" spans="1:10">
      <c r="A81" s="10" t="s">
        <v>101</v>
      </c>
      <c r="B81" s="10" t="s">
        <v>37</v>
      </c>
      <c r="C81" s="10" t="s">
        <v>20</v>
      </c>
      <c r="D81" s="10">
        <v>24</v>
      </c>
      <c r="F81"/>
      <c r="J81"/>
    </row>
    <row r="82" spans="1:10">
      <c r="A82" s="10" t="s">
        <v>102</v>
      </c>
      <c r="B82" s="10" t="s">
        <v>39</v>
      </c>
      <c r="C82" s="10" t="s">
        <v>13</v>
      </c>
      <c r="D82" s="10">
        <v>11</v>
      </c>
      <c r="F82"/>
      <c r="J82"/>
    </row>
    <row r="83" spans="1:10">
      <c r="A83" s="10" t="s">
        <v>103</v>
      </c>
      <c r="B83" s="10" t="s">
        <v>39</v>
      </c>
      <c r="C83" s="10" t="s">
        <v>13</v>
      </c>
      <c r="D83" s="10">
        <v>33</v>
      </c>
      <c r="F83"/>
      <c r="J83"/>
    </row>
    <row r="84" spans="1:10">
      <c r="A84" s="10" t="s">
        <v>104</v>
      </c>
      <c r="B84" s="10" t="s">
        <v>42</v>
      </c>
      <c r="C84" s="10" t="s">
        <v>13</v>
      </c>
      <c r="D84" s="10">
        <v>21</v>
      </c>
      <c r="F84"/>
      <c r="J84"/>
    </row>
    <row r="85" spans="1:10">
      <c r="A85" s="10" t="s">
        <v>105</v>
      </c>
      <c r="B85" s="10" t="s">
        <v>39</v>
      </c>
      <c r="C85" s="10" t="s">
        <v>13</v>
      </c>
      <c r="D85" s="10">
        <v>42</v>
      </c>
      <c r="F85"/>
      <c r="J85"/>
    </row>
    <row r="86" spans="1:10">
      <c r="A86" s="10" t="s">
        <v>106</v>
      </c>
      <c r="B86" s="10" t="s">
        <v>31</v>
      </c>
      <c r="C86" s="10" t="s">
        <v>20</v>
      </c>
      <c r="D86" s="10">
        <v>27</v>
      </c>
      <c r="F86"/>
      <c r="J86"/>
    </row>
    <row r="87" spans="1:10">
      <c r="A87" s="10" t="s">
        <v>107</v>
      </c>
      <c r="B87" s="10" t="s">
        <v>37</v>
      </c>
      <c r="C87" s="10" t="s">
        <v>20</v>
      </c>
      <c r="D87" s="10">
        <v>27</v>
      </c>
      <c r="F87"/>
      <c r="J87"/>
    </row>
    <row r="88" spans="1:10">
      <c r="A88" s="10" t="s">
        <v>108</v>
      </c>
      <c r="B88" s="10" t="s">
        <v>37</v>
      </c>
      <c r="C88" s="10" t="s">
        <v>13</v>
      </c>
      <c r="D88" s="10">
        <v>18</v>
      </c>
      <c r="F88"/>
      <c r="J88"/>
    </row>
    <row r="89" spans="1:10">
      <c r="A89" s="10" t="s">
        <v>109</v>
      </c>
      <c r="B89" s="10" t="s">
        <v>39</v>
      </c>
      <c r="C89" s="10" t="s">
        <v>20</v>
      </c>
      <c r="D89" s="10">
        <v>30</v>
      </c>
      <c r="F89"/>
      <c r="J89"/>
    </row>
    <row r="90" spans="1:10">
      <c r="A90" s="10" t="s">
        <v>110</v>
      </c>
      <c r="B90" s="10" t="s">
        <v>31</v>
      </c>
      <c r="C90" s="10" t="s">
        <v>20</v>
      </c>
      <c r="D90" s="10">
        <v>18</v>
      </c>
      <c r="F90"/>
      <c r="J90"/>
    </row>
    <row r="91" spans="1:10">
      <c r="A91" s="10" t="s">
        <v>111</v>
      </c>
      <c r="B91" s="10" t="s">
        <v>34</v>
      </c>
      <c r="C91" s="10" t="s">
        <v>13</v>
      </c>
      <c r="D91" s="10">
        <v>20</v>
      </c>
      <c r="F91"/>
      <c r="J91"/>
    </row>
    <row r="92" spans="1:10">
      <c r="A92" s="10" t="s">
        <v>112</v>
      </c>
      <c r="B92" s="10" t="s">
        <v>34</v>
      </c>
      <c r="C92" s="10" t="s">
        <v>13</v>
      </c>
      <c r="D92" s="10">
        <v>26</v>
      </c>
      <c r="F92"/>
      <c r="J92"/>
    </row>
    <row r="93" spans="1:10">
      <c r="A93" s="10" t="s">
        <v>113</v>
      </c>
      <c r="B93" s="10" t="s">
        <v>37</v>
      </c>
      <c r="C93" s="10" t="s">
        <v>13</v>
      </c>
      <c r="D93" s="10">
        <v>19</v>
      </c>
      <c r="F93"/>
      <c r="J93"/>
    </row>
    <row r="94" spans="1:10">
      <c r="A94" s="10" t="s">
        <v>114</v>
      </c>
      <c r="B94" s="10" t="s">
        <v>42</v>
      </c>
      <c r="C94" s="10" t="s">
        <v>13</v>
      </c>
      <c r="D94" s="10">
        <v>26</v>
      </c>
      <c r="F94"/>
      <c r="J94"/>
    </row>
    <row r="95" spans="1:10">
      <c r="A95" s="10" t="s">
        <v>115</v>
      </c>
      <c r="B95" s="10" t="s">
        <v>31</v>
      </c>
      <c r="C95" s="10" t="s">
        <v>20</v>
      </c>
      <c r="D95" s="10">
        <v>23</v>
      </c>
      <c r="F95"/>
      <c r="J95"/>
    </row>
    <row r="96" spans="1:10">
      <c r="A96" s="10" t="s">
        <v>116</v>
      </c>
      <c r="B96" s="10" t="s">
        <v>34</v>
      </c>
      <c r="C96" s="10" t="s">
        <v>13</v>
      </c>
      <c r="D96" s="10">
        <v>20</v>
      </c>
      <c r="F96"/>
      <c r="J96"/>
    </row>
    <row r="97" spans="1:10">
      <c r="A97" s="10" t="s">
        <v>117</v>
      </c>
      <c r="B97" s="10" t="s">
        <v>34</v>
      </c>
      <c r="C97" s="10" t="s">
        <v>13</v>
      </c>
      <c r="D97" s="10">
        <v>17</v>
      </c>
      <c r="F97"/>
      <c r="J97"/>
    </row>
    <row r="98" spans="1:10">
      <c r="A98" s="10" t="s">
        <v>118</v>
      </c>
      <c r="B98" s="10" t="s">
        <v>37</v>
      </c>
      <c r="C98" s="10" t="s">
        <v>20</v>
      </c>
      <c r="D98" s="10">
        <v>15</v>
      </c>
      <c r="F98"/>
      <c r="J98"/>
    </row>
    <row r="99" spans="1:10">
      <c r="A99" s="10" t="s">
        <v>119</v>
      </c>
      <c r="B99" s="10" t="s">
        <v>39</v>
      </c>
      <c r="C99" s="10" t="s">
        <v>20</v>
      </c>
      <c r="D99" s="10">
        <v>39</v>
      </c>
      <c r="F99"/>
      <c r="J99"/>
    </row>
    <row r="100" spans="1:10">
      <c r="A100" s="10" t="s">
        <v>120</v>
      </c>
      <c r="B100" s="10" t="s">
        <v>31</v>
      </c>
      <c r="C100" s="10" t="s">
        <v>13</v>
      </c>
      <c r="D100" s="10">
        <v>30</v>
      </c>
      <c r="F100"/>
      <c r="J100"/>
    </row>
    <row r="101" spans="1:10">
      <c r="A101" s="10" t="s">
        <v>121</v>
      </c>
      <c r="B101" s="10" t="s">
        <v>37</v>
      </c>
      <c r="C101" s="10" t="s">
        <v>32</v>
      </c>
      <c r="D101" s="10">
        <v>37</v>
      </c>
      <c r="F101"/>
      <c r="J101"/>
    </row>
    <row r="102" spans="1:10">
      <c r="A102" s="10" t="s">
        <v>122</v>
      </c>
      <c r="C102" s="10" t="s">
        <v>13</v>
      </c>
      <c r="D102" s="10">
        <v>31</v>
      </c>
      <c r="F102"/>
      <c r="J102"/>
    </row>
    <row r="103" spans="1:10">
      <c r="A103" s="10" t="s">
        <v>123</v>
      </c>
      <c r="B103" s="10" t="s">
        <v>39</v>
      </c>
      <c r="C103" s="10" t="s">
        <v>13</v>
      </c>
      <c r="D103" s="10">
        <v>15</v>
      </c>
      <c r="F103"/>
      <c r="J103"/>
    </row>
    <row r="104" spans="1:10">
      <c r="A104" s="10" t="s">
        <v>124</v>
      </c>
      <c r="B104" s="10" t="s">
        <v>42</v>
      </c>
      <c r="C104" s="10" t="s">
        <v>13</v>
      </c>
      <c r="D104" s="10">
        <v>33</v>
      </c>
      <c r="F104"/>
      <c r="J104"/>
    </row>
    <row r="105" spans="1:10">
      <c r="A105" s="10" t="s">
        <v>125</v>
      </c>
      <c r="B105" s="10" t="s">
        <v>37</v>
      </c>
      <c r="C105" s="10" t="s">
        <v>13</v>
      </c>
      <c r="D105" s="10">
        <v>32</v>
      </c>
      <c r="F105"/>
      <c r="J105"/>
    </row>
    <row r="106" spans="1:10">
      <c r="A106" s="10" t="s">
        <v>126</v>
      </c>
      <c r="B106" s="10" t="s">
        <v>39</v>
      </c>
      <c r="C106" s="10" t="s">
        <v>16</v>
      </c>
      <c r="D106" s="10">
        <v>33</v>
      </c>
      <c r="F106"/>
      <c r="J106"/>
    </row>
    <row r="107" spans="1:10">
      <c r="A107" s="10" t="s">
        <v>127</v>
      </c>
      <c r="B107" s="10" t="s">
        <v>37</v>
      </c>
      <c r="C107" s="10" t="s">
        <v>13</v>
      </c>
      <c r="D107" s="10">
        <v>24</v>
      </c>
      <c r="F107"/>
      <c r="J107"/>
    </row>
    <row r="108" spans="1:10">
      <c r="A108" s="10" t="s">
        <v>128</v>
      </c>
      <c r="B108" s="10" t="s">
        <v>39</v>
      </c>
      <c r="C108" s="10" t="s">
        <v>20</v>
      </c>
      <c r="D108" s="10">
        <v>25</v>
      </c>
      <c r="F108"/>
      <c r="J108"/>
    </row>
    <row r="109" spans="1:10">
      <c r="A109" s="10" t="s">
        <v>129</v>
      </c>
      <c r="B109" s="10" t="s">
        <v>39</v>
      </c>
      <c r="C109" s="10" t="s">
        <v>13</v>
      </c>
      <c r="D109" s="10">
        <v>23</v>
      </c>
      <c r="F109"/>
      <c r="J109"/>
    </row>
    <row r="110" spans="1:10">
      <c r="A110" s="10" t="s">
        <v>130</v>
      </c>
      <c r="B110" s="10" t="s">
        <v>31</v>
      </c>
      <c r="C110" s="10" t="s">
        <v>13</v>
      </c>
      <c r="D110" s="10">
        <v>27</v>
      </c>
      <c r="F110"/>
      <c r="J110"/>
    </row>
    <row r="111" spans="1:10">
      <c r="A111" s="10" t="s">
        <v>131</v>
      </c>
      <c r="B111" s="10" t="s">
        <v>34</v>
      </c>
      <c r="C111" s="10" t="s">
        <v>13</v>
      </c>
      <c r="D111" s="10">
        <v>33</v>
      </c>
      <c r="F111"/>
      <c r="J111"/>
    </row>
    <row r="112" spans="1:10">
      <c r="A112" s="10" t="s">
        <v>132</v>
      </c>
      <c r="B112" s="10" t="s">
        <v>42</v>
      </c>
      <c r="C112" s="10" t="s">
        <v>13</v>
      </c>
      <c r="D112" s="10">
        <v>11</v>
      </c>
      <c r="F112"/>
      <c r="J112"/>
    </row>
    <row r="113" spans="1:10">
      <c r="A113" s="10" t="s">
        <v>133</v>
      </c>
      <c r="B113" s="10" t="s">
        <v>31</v>
      </c>
      <c r="C113" s="10" t="s">
        <v>13</v>
      </c>
      <c r="D113" s="10">
        <v>11</v>
      </c>
      <c r="F113"/>
      <c r="J113"/>
    </row>
    <row r="114" spans="1:10">
      <c r="A114" s="10" t="s">
        <v>134</v>
      </c>
      <c r="B114" s="10" t="s">
        <v>34</v>
      </c>
      <c r="C114" s="10" t="s">
        <v>13</v>
      </c>
      <c r="D114" s="10">
        <v>29</v>
      </c>
      <c r="F114"/>
      <c r="J114"/>
    </row>
    <row r="115" spans="1:10">
      <c r="A115" s="10" t="s">
        <v>135</v>
      </c>
      <c r="B115" s="10" t="s">
        <v>34</v>
      </c>
      <c r="C115" s="10" t="s">
        <v>16</v>
      </c>
      <c r="D115" s="10">
        <v>38</v>
      </c>
      <c r="F115"/>
      <c r="J115"/>
    </row>
    <row r="116" spans="1:10">
      <c r="A116" s="10" t="s">
        <v>136</v>
      </c>
      <c r="B116" s="10" t="s">
        <v>37</v>
      </c>
      <c r="C116" s="10" t="s">
        <v>20</v>
      </c>
      <c r="D116" s="10">
        <v>26</v>
      </c>
      <c r="F116"/>
      <c r="J116"/>
    </row>
    <row r="117" spans="1:10">
      <c r="A117" s="10" t="s">
        <v>137</v>
      </c>
      <c r="B117" s="10" t="s">
        <v>39</v>
      </c>
      <c r="C117" s="10" t="s">
        <v>13</v>
      </c>
      <c r="D117" s="10">
        <v>36</v>
      </c>
      <c r="F117"/>
      <c r="J117"/>
    </row>
    <row r="118" spans="1:10">
      <c r="A118" s="10" t="s">
        <v>138</v>
      </c>
      <c r="B118" s="10" t="s">
        <v>39</v>
      </c>
      <c r="C118" s="10" t="s">
        <v>13</v>
      </c>
      <c r="D118" s="10">
        <v>32</v>
      </c>
      <c r="F118"/>
      <c r="J118"/>
    </row>
    <row r="119" spans="1:10">
      <c r="A119" s="10" t="s">
        <v>139</v>
      </c>
      <c r="B119" s="10" t="s">
        <v>42</v>
      </c>
      <c r="C119" s="10" t="s">
        <v>20</v>
      </c>
      <c r="D119" s="10">
        <v>18</v>
      </c>
      <c r="F119"/>
      <c r="J119"/>
    </row>
    <row r="120" spans="1:10">
      <c r="A120" s="10" t="s">
        <v>140</v>
      </c>
      <c r="B120" s="10" t="s">
        <v>37</v>
      </c>
      <c r="C120" s="10" t="s">
        <v>16</v>
      </c>
      <c r="D120" s="10">
        <v>21</v>
      </c>
      <c r="F120"/>
      <c r="J120"/>
    </row>
    <row r="121" spans="1:10">
      <c r="A121" s="10" t="s">
        <v>141</v>
      </c>
      <c r="B121" s="10" t="s">
        <v>39</v>
      </c>
      <c r="C121" s="10" t="s">
        <v>32</v>
      </c>
      <c r="D121" s="10">
        <v>12</v>
      </c>
      <c r="F121"/>
      <c r="J121"/>
    </row>
    <row r="122" spans="1:10">
      <c r="A122" s="10" t="s">
        <v>142</v>
      </c>
      <c r="B122" s="10" t="s">
        <v>37</v>
      </c>
      <c r="C122" s="10" t="s">
        <v>13</v>
      </c>
      <c r="D122" s="10">
        <v>12</v>
      </c>
      <c r="F122"/>
      <c r="J122"/>
    </row>
    <row r="123" spans="1:10">
      <c r="A123" s="10" t="s">
        <v>143</v>
      </c>
      <c r="B123" s="10" t="s">
        <v>39</v>
      </c>
      <c r="C123" s="10" t="s">
        <v>13</v>
      </c>
      <c r="D123" s="10">
        <v>32</v>
      </c>
      <c r="F123"/>
      <c r="J123"/>
    </row>
    <row r="124" spans="1:10">
      <c r="A124" s="10" t="s">
        <v>144</v>
      </c>
      <c r="B124" s="10" t="s">
        <v>39</v>
      </c>
      <c r="C124" s="10" t="s">
        <v>32</v>
      </c>
      <c r="D124" s="10">
        <v>23</v>
      </c>
      <c r="F124"/>
      <c r="J124"/>
    </row>
    <row r="125" spans="1:10">
      <c r="A125" s="10" t="s">
        <v>145</v>
      </c>
      <c r="B125" s="10" t="s">
        <v>31</v>
      </c>
      <c r="C125" s="10" t="s">
        <v>13</v>
      </c>
      <c r="D125" s="10">
        <v>26</v>
      </c>
      <c r="F125"/>
      <c r="J125"/>
    </row>
    <row r="126" spans="1:10">
      <c r="A126" s="10" t="s">
        <v>146</v>
      </c>
      <c r="B126" s="10" t="s">
        <v>37</v>
      </c>
      <c r="C126" s="10" t="s">
        <v>13</v>
      </c>
      <c r="D126" s="10">
        <v>30</v>
      </c>
      <c r="F126"/>
      <c r="J126"/>
    </row>
    <row r="127" spans="1:10">
      <c r="A127" s="10" t="s">
        <v>147</v>
      </c>
      <c r="B127" s="10" t="s">
        <v>37</v>
      </c>
      <c r="C127" s="10" t="s">
        <v>13</v>
      </c>
      <c r="D127" s="10">
        <v>13</v>
      </c>
      <c r="F127"/>
      <c r="J127"/>
    </row>
    <row r="128" spans="1:10">
      <c r="A128" s="10" t="s">
        <v>148</v>
      </c>
      <c r="B128" s="10" t="s">
        <v>149</v>
      </c>
      <c r="C128" s="10" t="s">
        <v>13</v>
      </c>
      <c r="D128" s="10">
        <v>16</v>
      </c>
      <c r="F128"/>
      <c r="J128"/>
    </row>
    <row r="129" spans="1:10">
      <c r="A129" s="10" t="s">
        <v>150</v>
      </c>
      <c r="B129" s="10" t="s">
        <v>42</v>
      </c>
      <c r="C129" s="10" t="s">
        <v>13</v>
      </c>
      <c r="D129" s="10">
        <v>34</v>
      </c>
      <c r="F129"/>
      <c r="J129"/>
    </row>
    <row r="130" spans="1:10">
      <c r="A130" s="10" t="s">
        <v>151</v>
      </c>
      <c r="B130" s="10" t="s">
        <v>34</v>
      </c>
      <c r="C130" s="10" t="s">
        <v>13</v>
      </c>
      <c r="D130" s="10">
        <v>32</v>
      </c>
      <c r="F130"/>
      <c r="J130"/>
    </row>
    <row r="131" spans="1:10">
      <c r="A131" s="10" t="s">
        <v>152</v>
      </c>
      <c r="B131" s="10" t="s">
        <v>37</v>
      </c>
      <c r="C131" s="10" t="s">
        <v>13</v>
      </c>
      <c r="D131" s="10">
        <v>31</v>
      </c>
      <c r="F131"/>
      <c r="J131"/>
    </row>
    <row r="132" spans="1:10">
      <c r="A132" s="10" t="s">
        <v>153</v>
      </c>
      <c r="B132" s="10" t="s">
        <v>39</v>
      </c>
      <c r="C132" s="10" t="s">
        <v>13</v>
      </c>
      <c r="D132" s="10">
        <v>36</v>
      </c>
      <c r="F132"/>
      <c r="J132"/>
    </row>
    <row r="133" spans="1:10">
      <c r="A133" s="10" t="s">
        <v>154</v>
      </c>
      <c r="B133" s="10" t="s">
        <v>42</v>
      </c>
      <c r="C133" s="10" t="s">
        <v>20</v>
      </c>
      <c r="D133" s="10">
        <v>48</v>
      </c>
      <c r="F133"/>
      <c r="J133"/>
    </row>
    <row r="134" spans="1:10">
      <c r="A134" s="10" t="s">
        <v>155</v>
      </c>
      <c r="B134" s="10" t="s">
        <v>31</v>
      </c>
      <c r="C134" s="10" t="s">
        <v>13</v>
      </c>
      <c r="D134" s="10">
        <v>23</v>
      </c>
      <c r="F134"/>
      <c r="J134"/>
    </row>
    <row r="135" spans="1:10">
      <c r="A135" s="10" t="s">
        <v>156</v>
      </c>
      <c r="B135" s="10" t="s">
        <v>37</v>
      </c>
      <c r="C135" s="10" t="s">
        <v>20</v>
      </c>
      <c r="D135" s="10">
        <v>24</v>
      </c>
      <c r="F135"/>
      <c r="J135"/>
    </row>
    <row r="136" spans="1:10">
      <c r="A136" s="10" t="s">
        <v>157</v>
      </c>
      <c r="B136" s="10" t="s">
        <v>39</v>
      </c>
      <c r="C136" s="10" t="s">
        <v>13</v>
      </c>
      <c r="D136" s="10">
        <v>41</v>
      </c>
      <c r="F136"/>
      <c r="J136"/>
    </row>
    <row r="137" spans="1:10">
      <c r="A137" s="10" t="s">
        <v>158</v>
      </c>
      <c r="B137" s="10" t="s">
        <v>39</v>
      </c>
      <c r="C137" s="10" t="s">
        <v>20</v>
      </c>
      <c r="D137" s="10">
        <v>20</v>
      </c>
      <c r="F137"/>
      <c r="J137"/>
    </row>
    <row r="138" spans="1:10">
      <c r="A138" s="10" t="s">
        <v>159</v>
      </c>
      <c r="B138" s="10" t="s">
        <v>42</v>
      </c>
      <c r="C138" s="10" t="s">
        <v>13</v>
      </c>
      <c r="D138" s="10">
        <v>24</v>
      </c>
      <c r="F138"/>
      <c r="J138"/>
    </row>
    <row r="139" spans="1:10">
      <c r="A139" s="10" t="s">
        <v>160</v>
      </c>
      <c r="B139" s="10" t="s">
        <v>31</v>
      </c>
      <c r="C139" s="10" t="s">
        <v>13</v>
      </c>
      <c r="D139" s="10">
        <v>20</v>
      </c>
      <c r="F139"/>
      <c r="J139"/>
    </row>
    <row r="140" spans="1:10">
      <c r="A140" s="10" t="s">
        <v>161</v>
      </c>
      <c r="B140" s="10" t="s">
        <v>37</v>
      </c>
      <c r="C140" s="10" t="s">
        <v>20</v>
      </c>
      <c r="D140" s="10">
        <v>19</v>
      </c>
      <c r="F140"/>
      <c r="J140"/>
    </row>
    <row r="141" spans="1:10">
      <c r="A141" s="10" t="s">
        <v>162</v>
      </c>
      <c r="B141" s="10" t="s">
        <v>39</v>
      </c>
      <c r="C141" s="10" t="s">
        <v>13</v>
      </c>
      <c r="D141" s="10">
        <v>24</v>
      </c>
      <c r="F141"/>
      <c r="J141"/>
    </row>
    <row r="142" spans="1:10">
      <c r="A142" s="10" t="s">
        <v>163</v>
      </c>
      <c r="B142" s="10" t="s">
        <v>42</v>
      </c>
      <c r="C142" s="10" t="s">
        <v>20</v>
      </c>
      <c r="D142" s="10">
        <v>20</v>
      </c>
      <c r="F142"/>
      <c r="J142"/>
    </row>
    <row r="143" spans="1:10">
      <c r="A143" s="10" t="s">
        <v>164</v>
      </c>
      <c r="B143" s="10" t="s">
        <v>31</v>
      </c>
      <c r="C143" s="10" t="s">
        <v>20</v>
      </c>
      <c r="D143" s="10">
        <v>32</v>
      </c>
      <c r="F143"/>
      <c r="J143"/>
    </row>
    <row r="144" spans="1:10">
      <c r="A144" s="10" t="s">
        <v>165</v>
      </c>
      <c r="B144" s="10" t="s">
        <v>37</v>
      </c>
      <c r="C144" s="10" t="s">
        <v>13</v>
      </c>
      <c r="D144" s="10">
        <v>32</v>
      </c>
      <c r="F144"/>
      <c r="J144"/>
    </row>
    <row r="145" spans="1:10">
      <c r="A145" s="10" t="s">
        <v>166</v>
      </c>
      <c r="B145" s="10" t="s">
        <v>149</v>
      </c>
      <c r="C145" s="10" t="s">
        <v>13</v>
      </c>
      <c r="D145" s="10">
        <v>12</v>
      </c>
      <c r="F145"/>
      <c r="J145"/>
    </row>
    <row r="146" spans="1:10">
      <c r="A146" s="10" t="s">
        <v>167</v>
      </c>
      <c r="B146" s="10" t="s">
        <v>42</v>
      </c>
      <c r="C146" s="10" t="s">
        <v>20</v>
      </c>
      <c r="D146" s="10">
        <v>25</v>
      </c>
      <c r="F146"/>
      <c r="J146"/>
    </row>
    <row r="147" spans="1:10">
      <c r="A147" s="10" t="s">
        <v>168</v>
      </c>
      <c r="B147" s="10" t="s">
        <v>37</v>
      </c>
      <c r="C147" s="10" t="s">
        <v>13</v>
      </c>
      <c r="D147" s="10">
        <v>10</v>
      </c>
      <c r="F147"/>
      <c r="J147"/>
    </row>
    <row r="148" spans="1:10">
      <c r="A148" s="10" t="s">
        <v>169</v>
      </c>
      <c r="B148" s="10" t="s">
        <v>50</v>
      </c>
      <c r="C148" s="10" t="s">
        <v>20</v>
      </c>
      <c r="D148" s="10">
        <v>39</v>
      </c>
      <c r="F148"/>
      <c r="J148"/>
    </row>
    <row r="149" spans="1:10">
      <c r="A149" s="10" t="s">
        <v>170</v>
      </c>
      <c r="B149" s="10" t="s">
        <v>39</v>
      </c>
      <c r="C149" s="10" t="s">
        <v>13</v>
      </c>
      <c r="D149" s="10">
        <v>43</v>
      </c>
      <c r="F149"/>
      <c r="J149"/>
    </row>
    <row r="150" spans="1:10">
      <c r="A150" s="10" t="s">
        <v>171</v>
      </c>
      <c r="B150" s="10" t="s">
        <v>149</v>
      </c>
      <c r="C150" s="10" t="s">
        <v>20</v>
      </c>
      <c r="D150" s="10">
        <v>20</v>
      </c>
      <c r="F150"/>
      <c r="J150"/>
    </row>
    <row r="151" spans="1:10">
      <c r="A151" s="10" t="s">
        <v>172</v>
      </c>
      <c r="B151" s="10" t="s">
        <v>42</v>
      </c>
      <c r="C151" s="10" t="s">
        <v>13</v>
      </c>
      <c r="D151" s="10">
        <v>16</v>
      </c>
      <c r="F151"/>
      <c r="J151"/>
    </row>
    <row r="152" spans="1:10">
      <c r="A152" s="10" t="s">
        <v>173</v>
      </c>
      <c r="B152" s="10" t="s">
        <v>31</v>
      </c>
      <c r="C152" s="10" t="s">
        <v>13</v>
      </c>
      <c r="D152" s="10">
        <v>41</v>
      </c>
      <c r="F152"/>
      <c r="J152"/>
    </row>
    <row r="153" spans="1:10">
      <c r="A153" s="10" t="s">
        <v>174</v>
      </c>
      <c r="B153" s="10" t="s">
        <v>37</v>
      </c>
      <c r="C153" s="10" t="s">
        <v>13</v>
      </c>
      <c r="D153" s="10">
        <v>30</v>
      </c>
      <c r="F153"/>
      <c r="J153"/>
    </row>
    <row r="154" spans="1:10">
      <c r="A154" s="10" t="s">
        <v>175</v>
      </c>
      <c r="B154" s="10" t="s">
        <v>39</v>
      </c>
      <c r="C154" s="10" t="s">
        <v>13</v>
      </c>
      <c r="D154" s="10">
        <v>50</v>
      </c>
      <c r="F154"/>
      <c r="J154"/>
    </row>
    <row r="155" spans="1:10">
      <c r="A155" s="10" t="s">
        <v>176</v>
      </c>
      <c r="B155" s="10" t="s">
        <v>42</v>
      </c>
      <c r="C155" s="10" t="s">
        <v>13</v>
      </c>
      <c r="D155" s="10">
        <v>53</v>
      </c>
      <c r="F155"/>
      <c r="J155"/>
    </row>
    <row r="156" spans="1:10">
      <c r="A156" s="10" t="s">
        <v>177</v>
      </c>
      <c r="B156" s="10" t="s">
        <v>37</v>
      </c>
      <c r="C156" s="10" t="s">
        <v>13</v>
      </c>
      <c r="D156" s="10">
        <v>32</v>
      </c>
      <c r="F156"/>
      <c r="J156"/>
    </row>
    <row r="157" spans="1:10">
      <c r="A157" s="10" t="s">
        <v>178</v>
      </c>
      <c r="B157" s="10" t="s">
        <v>39</v>
      </c>
      <c r="C157" s="10" t="s">
        <v>13</v>
      </c>
      <c r="D157" s="10">
        <v>35</v>
      </c>
      <c r="F157"/>
      <c r="J157"/>
    </row>
    <row r="158" spans="1:10">
      <c r="A158" s="10" t="s">
        <v>179</v>
      </c>
      <c r="B158" s="10" t="s">
        <v>31</v>
      </c>
      <c r="C158" s="10" t="s">
        <v>13</v>
      </c>
      <c r="D158" s="10">
        <v>29</v>
      </c>
      <c r="F158"/>
      <c r="J158"/>
    </row>
    <row r="159" spans="1:10">
      <c r="A159" s="10" t="s">
        <v>180</v>
      </c>
      <c r="B159" s="10" t="s">
        <v>37</v>
      </c>
      <c r="C159" s="10" t="s">
        <v>13</v>
      </c>
      <c r="D159" s="10">
        <v>26</v>
      </c>
      <c r="F159"/>
      <c r="J159"/>
    </row>
    <row r="160" spans="1:10">
      <c r="A160" s="10" t="s">
        <v>181</v>
      </c>
      <c r="B160" s="10" t="s">
        <v>39</v>
      </c>
      <c r="C160" s="10" t="s">
        <v>13</v>
      </c>
      <c r="D160" s="10">
        <v>22</v>
      </c>
      <c r="F160"/>
      <c r="J160"/>
    </row>
    <row r="161" spans="1:10">
      <c r="A161" s="10" t="s">
        <v>182</v>
      </c>
      <c r="B161" s="10" t="s">
        <v>149</v>
      </c>
      <c r="C161" s="10" t="s">
        <v>13</v>
      </c>
      <c r="D161" s="10">
        <v>23</v>
      </c>
      <c r="F161"/>
      <c r="J161"/>
    </row>
    <row r="162" spans="1:10">
      <c r="A162" s="10" t="s">
        <v>183</v>
      </c>
      <c r="B162" s="10" t="s">
        <v>42</v>
      </c>
      <c r="C162" s="10" t="s">
        <v>13</v>
      </c>
      <c r="D162" s="10">
        <v>52</v>
      </c>
      <c r="F162"/>
      <c r="J162"/>
    </row>
    <row r="163" spans="1:10">
      <c r="A163" s="10" t="s">
        <v>184</v>
      </c>
      <c r="B163" s="10" t="s">
        <v>37</v>
      </c>
      <c r="C163" s="10" t="s">
        <v>13</v>
      </c>
      <c r="D163" s="10">
        <v>24</v>
      </c>
      <c r="F163"/>
      <c r="J163"/>
    </row>
    <row r="164" spans="1:10">
      <c r="A164" s="10" t="s">
        <v>185</v>
      </c>
      <c r="B164" s="10" t="s">
        <v>50</v>
      </c>
      <c r="C164" s="10" t="s">
        <v>13</v>
      </c>
      <c r="D164" s="10">
        <v>42</v>
      </c>
      <c r="F164"/>
      <c r="J164"/>
    </row>
    <row r="165" spans="1:10">
      <c r="A165" s="10" t="s">
        <v>186</v>
      </c>
      <c r="B165" s="10" t="s">
        <v>149</v>
      </c>
      <c r="C165" s="10" t="s">
        <v>20</v>
      </c>
      <c r="D165" s="10">
        <v>36</v>
      </c>
      <c r="F165"/>
      <c r="J165"/>
    </row>
    <row r="166" spans="1:10">
      <c r="A166" s="10" t="s">
        <v>187</v>
      </c>
      <c r="B166" s="10" t="s">
        <v>31</v>
      </c>
      <c r="C166" s="10" t="s">
        <v>13</v>
      </c>
      <c r="D166" s="10">
        <v>16</v>
      </c>
      <c r="F166"/>
      <c r="J166"/>
    </row>
    <row r="167" spans="1:10">
      <c r="A167" s="10" t="s">
        <v>188</v>
      </c>
      <c r="B167" s="10" t="s">
        <v>37</v>
      </c>
      <c r="C167" s="10" t="s">
        <v>13</v>
      </c>
      <c r="D167" s="10">
        <v>26</v>
      </c>
      <c r="F167"/>
      <c r="J167"/>
    </row>
    <row r="168" spans="1:10">
      <c r="A168" s="10" t="s">
        <v>189</v>
      </c>
      <c r="B168" s="10" t="s">
        <v>50</v>
      </c>
      <c r="C168" s="10" t="s">
        <v>20</v>
      </c>
      <c r="D168" s="10">
        <v>28</v>
      </c>
      <c r="F168"/>
      <c r="J168"/>
    </row>
    <row r="169" spans="1:10">
      <c r="A169" s="10" t="s">
        <v>190</v>
      </c>
      <c r="B169" s="10" t="s">
        <v>39</v>
      </c>
      <c r="C169" s="10" t="s">
        <v>20</v>
      </c>
      <c r="D169" s="10">
        <v>22</v>
      </c>
      <c r="F169"/>
      <c r="J169"/>
    </row>
    <row r="170" spans="1:10">
      <c r="A170" s="10" t="s">
        <v>191</v>
      </c>
      <c r="B170" s="10" t="s">
        <v>42</v>
      </c>
      <c r="C170" s="10" t="s">
        <v>32</v>
      </c>
      <c r="D170" s="10">
        <v>36</v>
      </c>
      <c r="F170"/>
      <c r="J170"/>
    </row>
    <row r="171" spans="1:10">
      <c r="A171" s="10" t="s">
        <v>192</v>
      </c>
      <c r="B171" s="10" t="s">
        <v>42</v>
      </c>
      <c r="C171" s="10" t="s">
        <v>13</v>
      </c>
      <c r="D171" s="10">
        <v>25</v>
      </c>
      <c r="F171"/>
      <c r="J171"/>
    </row>
    <row r="172" spans="1:10">
      <c r="A172" s="10" t="s">
        <v>193</v>
      </c>
      <c r="B172" s="10" t="s">
        <v>37</v>
      </c>
      <c r="C172" s="10" t="s">
        <v>13</v>
      </c>
      <c r="D172" s="10">
        <v>17</v>
      </c>
      <c r="F172"/>
      <c r="J172"/>
    </row>
    <row r="173" spans="1:10">
      <c r="A173" s="10" t="s">
        <v>194</v>
      </c>
      <c r="B173" s="10" t="s">
        <v>37</v>
      </c>
      <c r="C173" s="10" t="s">
        <v>13</v>
      </c>
      <c r="D173" s="10">
        <v>27</v>
      </c>
      <c r="F173"/>
      <c r="J173"/>
    </row>
    <row r="174" spans="1:10">
      <c r="A174" s="10" t="s">
        <v>195</v>
      </c>
      <c r="B174" s="10" t="s">
        <v>31</v>
      </c>
      <c r="C174" s="10" t="s">
        <v>13</v>
      </c>
      <c r="D174" s="10">
        <v>31</v>
      </c>
      <c r="F174"/>
      <c r="J174"/>
    </row>
    <row r="175" spans="1:10">
      <c r="A175" s="10" t="s">
        <v>196</v>
      </c>
      <c r="B175" s="10" t="s">
        <v>37</v>
      </c>
      <c r="C175" s="10" t="s">
        <v>13</v>
      </c>
      <c r="D175" s="10">
        <v>28</v>
      </c>
      <c r="F175"/>
      <c r="J175"/>
    </row>
    <row r="176" spans="1:10">
      <c r="A176" s="10" t="s">
        <v>197</v>
      </c>
      <c r="B176" s="10" t="s">
        <v>39</v>
      </c>
      <c r="C176" s="10" t="s">
        <v>20</v>
      </c>
      <c r="D176" s="10">
        <v>41</v>
      </c>
      <c r="F176"/>
      <c r="J176"/>
    </row>
    <row r="177" spans="1:10">
      <c r="A177" s="10" t="s">
        <v>198</v>
      </c>
      <c r="B177" s="10" t="s">
        <v>37</v>
      </c>
      <c r="C177" s="10" t="s">
        <v>13</v>
      </c>
      <c r="D177" s="10">
        <v>18</v>
      </c>
      <c r="F177"/>
      <c r="J177"/>
    </row>
    <row r="178" spans="1:10">
      <c r="A178" s="10" t="s">
        <v>199</v>
      </c>
      <c r="B178" s="10" t="s">
        <v>50</v>
      </c>
      <c r="C178" s="10" t="s">
        <v>13</v>
      </c>
      <c r="D178" s="10">
        <v>16</v>
      </c>
      <c r="F178"/>
      <c r="J178"/>
    </row>
    <row r="179" spans="1:10">
      <c r="A179" s="10" t="s">
        <v>200</v>
      </c>
      <c r="B179" s="10" t="s">
        <v>42</v>
      </c>
      <c r="C179" s="10" t="s">
        <v>13</v>
      </c>
      <c r="D179" s="10">
        <v>26</v>
      </c>
      <c r="F179"/>
      <c r="J179"/>
    </row>
    <row r="180" spans="1:10">
      <c r="A180" s="10" t="s">
        <v>201</v>
      </c>
      <c r="B180" s="10" t="s">
        <v>31</v>
      </c>
      <c r="C180" s="10" t="s">
        <v>13</v>
      </c>
      <c r="D180" s="10">
        <v>14</v>
      </c>
      <c r="F180"/>
      <c r="J180"/>
    </row>
    <row r="181" spans="1:10">
      <c r="A181" s="10" t="s">
        <v>202</v>
      </c>
      <c r="B181" s="10" t="s">
        <v>37</v>
      </c>
      <c r="C181" s="10" t="s">
        <v>13</v>
      </c>
      <c r="D181" s="10">
        <v>43</v>
      </c>
      <c r="F181"/>
      <c r="J181"/>
    </row>
    <row r="182" spans="1:10">
      <c r="A182" s="10" t="s">
        <v>203</v>
      </c>
      <c r="B182" s="10" t="s">
        <v>50</v>
      </c>
      <c r="C182" s="10" t="s">
        <v>32</v>
      </c>
      <c r="D182" s="10">
        <v>23</v>
      </c>
      <c r="F182"/>
      <c r="J182"/>
    </row>
    <row r="183" spans="1:10">
      <c r="A183" s="10" t="s">
        <v>204</v>
      </c>
      <c r="B183" s="10" t="s">
        <v>39</v>
      </c>
      <c r="C183" s="10" t="s">
        <v>13</v>
      </c>
      <c r="D183" s="10">
        <v>20</v>
      </c>
      <c r="F183"/>
      <c r="J183"/>
    </row>
    <row r="184" spans="1:10">
      <c r="A184" s="10" t="s">
        <v>205</v>
      </c>
      <c r="B184" s="10" t="s">
        <v>42</v>
      </c>
      <c r="C184" s="10" t="s">
        <v>13</v>
      </c>
      <c r="D184" s="10">
        <v>31</v>
      </c>
      <c r="F184"/>
      <c r="J184"/>
    </row>
    <row r="185" spans="1:10">
      <c r="A185" s="10" t="s">
        <v>206</v>
      </c>
      <c r="B185" s="10" t="s">
        <v>42</v>
      </c>
      <c r="C185" s="10" t="s">
        <v>13</v>
      </c>
      <c r="D185" s="10">
        <v>38</v>
      </c>
      <c r="F185"/>
      <c r="J185"/>
    </row>
    <row r="186" spans="1:10">
      <c r="A186" s="10" t="s">
        <v>207</v>
      </c>
      <c r="B186" s="10" t="s">
        <v>31</v>
      </c>
      <c r="C186" s="10" t="s">
        <v>13</v>
      </c>
      <c r="D186" s="10">
        <v>33</v>
      </c>
      <c r="F186"/>
      <c r="J186"/>
    </row>
    <row r="187" spans="1:10">
      <c r="A187" s="10" t="s">
        <v>208</v>
      </c>
      <c r="B187" s="10" t="s">
        <v>34</v>
      </c>
      <c r="C187" s="10" t="s">
        <v>13</v>
      </c>
      <c r="D187" s="10">
        <v>27</v>
      </c>
      <c r="F187"/>
      <c r="J187"/>
    </row>
    <row r="188" spans="1:10">
      <c r="A188" s="10" t="s">
        <v>209</v>
      </c>
      <c r="B188" s="10" t="s">
        <v>37</v>
      </c>
      <c r="C188" s="10" t="s">
        <v>13</v>
      </c>
      <c r="D188" s="10">
        <v>24</v>
      </c>
      <c r="F188"/>
      <c r="J188"/>
    </row>
    <row r="189" spans="1:10">
      <c r="A189" s="10" t="s">
        <v>210</v>
      </c>
      <c r="B189" s="10" t="s">
        <v>39</v>
      </c>
      <c r="C189" s="10" t="s">
        <v>13</v>
      </c>
      <c r="D189" s="10">
        <v>38</v>
      </c>
      <c r="F189"/>
      <c r="J189"/>
    </row>
    <row r="190" spans="1:10">
      <c r="A190" s="10" t="s">
        <v>211</v>
      </c>
      <c r="B190" s="10" t="s">
        <v>42</v>
      </c>
      <c r="C190" s="10" t="s">
        <v>13</v>
      </c>
      <c r="D190" s="10">
        <v>47</v>
      </c>
      <c r="F190"/>
      <c r="J190"/>
    </row>
    <row r="191" spans="1:10">
      <c r="A191" s="10" t="s">
        <v>212</v>
      </c>
      <c r="B191" s="10" t="s">
        <v>37</v>
      </c>
      <c r="C191" s="10" t="s">
        <v>20</v>
      </c>
      <c r="D191" s="10">
        <v>31</v>
      </c>
      <c r="F191"/>
      <c r="J191"/>
    </row>
    <row r="192" spans="1:10">
      <c r="A192" s="10" t="s">
        <v>213</v>
      </c>
      <c r="B192" s="10" t="s">
        <v>39</v>
      </c>
      <c r="C192" s="10" t="s">
        <v>13</v>
      </c>
      <c r="D192" s="10">
        <v>20</v>
      </c>
      <c r="F192"/>
      <c r="J192"/>
    </row>
    <row r="193" spans="1:10">
      <c r="A193" s="10" t="s">
        <v>214</v>
      </c>
      <c r="B193" s="10" t="s">
        <v>42</v>
      </c>
      <c r="C193" s="10" t="s">
        <v>13</v>
      </c>
      <c r="D193" s="10">
        <v>19</v>
      </c>
      <c r="F193"/>
      <c r="J193"/>
    </row>
    <row r="194" spans="1:10">
      <c r="A194" s="10" t="s">
        <v>215</v>
      </c>
      <c r="B194" s="10" t="s">
        <v>31</v>
      </c>
      <c r="C194" s="10" t="s">
        <v>20</v>
      </c>
      <c r="D194" s="10">
        <v>45</v>
      </c>
      <c r="F194"/>
      <c r="J194"/>
    </row>
    <row r="195" spans="1:10">
      <c r="A195" s="10" t="s">
        <v>216</v>
      </c>
      <c r="B195" s="10" t="s">
        <v>39</v>
      </c>
      <c r="C195" s="10" t="s">
        <v>13</v>
      </c>
      <c r="D195" s="10">
        <v>38</v>
      </c>
      <c r="F195"/>
      <c r="J195"/>
    </row>
    <row r="196" spans="1:10">
      <c r="A196" s="10" t="s">
        <v>217</v>
      </c>
      <c r="B196" s="10" t="s">
        <v>149</v>
      </c>
      <c r="C196" s="10" t="s">
        <v>13</v>
      </c>
      <c r="D196" s="10">
        <v>18</v>
      </c>
      <c r="F196"/>
      <c r="J196"/>
    </row>
    <row r="197" spans="1:10">
      <c r="A197" s="10" t="s">
        <v>218</v>
      </c>
      <c r="B197" s="10" t="s">
        <v>50</v>
      </c>
      <c r="C197" s="10" t="s">
        <v>13</v>
      </c>
      <c r="D197" s="10">
        <v>14</v>
      </c>
      <c r="F197"/>
      <c r="J197"/>
    </row>
    <row r="198" spans="1:10">
      <c r="A198" s="10" t="s">
        <v>219</v>
      </c>
      <c r="B198" s="10" t="s">
        <v>42</v>
      </c>
      <c r="C198" s="10" t="s">
        <v>13</v>
      </c>
      <c r="D198" s="10">
        <v>42</v>
      </c>
      <c r="F198"/>
      <c r="J198"/>
    </row>
    <row r="199" spans="1:10">
      <c r="A199" s="10" t="s">
        <v>220</v>
      </c>
      <c r="B199" s="10" t="s">
        <v>34</v>
      </c>
      <c r="C199" s="10" t="s">
        <v>16</v>
      </c>
      <c r="D199" s="10">
        <v>33</v>
      </c>
      <c r="F199"/>
      <c r="J199"/>
    </row>
    <row r="200" spans="1:10">
      <c r="A200" s="10" t="s">
        <v>221</v>
      </c>
      <c r="B200" s="10" t="s">
        <v>42</v>
      </c>
      <c r="C200" s="10" t="s">
        <v>20</v>
      </c>
      <c r="D200" s="10">
        <v>34</v>
      </c>
      <c r="F200"/>
      <c r="J200"/>
    </row>
    <row r="201" spans="1:10">
      <c r="A201" s="10" t="s">
        <v>222</v>
      </c>
      <c r="B201" s="10" t="s">
        <v>42</v>
      </c>
      <c r="C201" s="10" t="s">
        <v>13</v>
      </c>
      <c r="D201" s="10">
        <v>15</v>
      </c>
      <c r="F201"/>
      <c r="J201"/>
    </row>
    <row r="202" spans="1:10">
      <c r="A202" s="10" t="s">
        <v>223</v>
      </c>
      <c r="B202" s="10" t="s">
        <v>31</v>
      </c>
      <c r="C202" s="10" t="s">
        <v>13</v>
      </c>
      <c r="D202" s="10">
        <v>22</v>
      </c>
      <c r="F202"/>
      <c r="J202"/>
    </row>
    <row r="203" spans="1:10">
      <c r="A203" s="10" t="s">
        <v>224</v>
      </c>
      <c r="B203" s="10" t="s">
        <v>37</v>
      </c>
      <c r="C203" s="10" t="s">
        <v>13</v>
      </c>
      <c r="D203" s="10">
        <v>30</v>
      </c>
      <c r="F203"/>
      <c r="J203"/>
    </row>
    <row r="204" spans="1:10">
      <c r="A204" s="10" t="s">
        <v>225</v>
      </c>
      <c r="B204" s="10" t="s">
        <v>39</v>
      </c>
      <c r="C204" s="10" t="s">
        <v>20</v>
      </c>
      <c r="D204" s="10">
        <v>25</v>
      </c>
      <c r="F204"/>
      <c r="J204"/>
    </row>
    <row r="205" spans="1:10">
      <c r="A205" s="10" t="s">
        <v>226</v>
      </c>
      <c r="B205" s="10" t="s">
        <v>42</v>
      </c>
      <c r="C205" s="10" t="s">
        <v>13</v>
      </c>
      <c r="D205" s="10">
        <v>26</v>
      </c>
      <c r="F205"/>
      <c r="J205"/>
    </row>
    <row r="206" spans="1:10">
      <c r="A206" s="10" t="s">
        <v>227</v>
      </c>
      <c r="B206" s="10" t="s">
        <v>42</v>
      </c>
      <c r="C206" s="10" t="s">
        <v>13</v>
      </c>
      <c r="D206" s="10">
        <v>11</v>
      </c>
      <c r="F206"/>
      <c r="J206"/>
    </row>
    <row r="207" spans="1:10">
      <c r="A207" s="10" t="s">
        <v>228</v>
      </c>
      <c r="B207" s="10" t="s">
        <v>37</v>
      </c>
      <c r="C207" s="10" t="s">
        <v>13</v>
      </c>
      <c r="D207" s="10">
        <v>28</v>
      </c>
      <c r="F207"/>
      <c r="J207"/>
    </row>
    <row r="208" spans="1:10">
      <c r="A208" s="10" t="s">
        <v>229</v>
      </c>
      <c r="B208" s="10" t="s">
        <v>39</v>
      </c>
      <c r="C208" s="10" t="s">
        <v>20</v>
      </c>
      <c r="D208" s="10">
        <v>22</v>
      </c>
      <c r="F208"/>
      <c r="J208"/>
    </row>
    <row r="209" spans="1:10">
      <c r="A209" s="10" t="s">
        <v>230</v>
      </c>
      <c r="B209" s="10" t="s">
        <v>149</v>
      </c>
      <c r="C209" s="10" t="s">
        <v>20</v>
      </c>
      <c r="D209" s="10">
        <v>37</v>
      </c>
      <c r="F209"/>
      <c r="J209"/>
    </row>
    <row r="210" spans="1:10">
      <c r="A210" s="10" t="s">
        <v>231</v>
      </c>
      <c r="B210" s="10" t="s">
        <v>42</v>
      </c>
      <c r="C210" s="10" t="s">
        <v>13</v>
      </c>
      <c r="D210" s="10">
        <v>31</v>
      </c>
      <c r="F210"/>
      <c r="J210"/>
    </row>
    <row r="211" spans="1:10">
      <c r="A211" s="10" t="s">
        <v>232</v>
      </c>
      <c r="B211" s="10" t="s">
        <v>37</v>
      </c>
      <c r="C211" s="10" t="s">
        <v>13</v>
      </c>
      <c r="D211" s="10">
        <v>19</v>
      </c>
      <c r="F211"/>
      <c r="J211"/>
    </row>
    <row r="212" spans="1:10">
      <c r="A212" s="10" t="s">
        <v>233</v>
      </c>
      <c r="B212" s="10" t="s">
        <v>50</v>
      </c>
      <c r="C212" s="10" t="s">
        <v>13</v>
      </c>
      <c r="D212" s="10">
        <v>32</v>
      </c>
      <c r="F212"/>
      <c r="J212"/>
    </row>
    <row r="213" spans="1:10">
      <c r="A213" s="10" t="s">
        <v>234</v>
      </c>
      <c r="B213" s="10" t="s">
        <v>39</v>
      </c>
      <c r="C213" s="10" t="s">
        <v>13</v>
      </c>
      <c r="D213" s="10">
        <v>27</v>
      </c>
      <c r="F213"/>
      <c r="J213"/>
    </row>
    <row r="214" spans="1:10">
      <c r="A214" s="10" t="s">
        <v>235</v>
      </c>
      <c r="B214" s="10" t="s">
        <v>42</v>
      </c>
      <c r="C214" s="10" t="s">
        <v>20</v>
      </c>
      <c r="D214" s="10">
        <v>13</v>
      </c>
      <c r="F214"/>
      <c r="J214"/>
    </row>
    <row r="215" spans="1:10">
      <c r="A215" s="10" t="s">
        <v>236</v>
      </c>
      <c r="B215" s="10" t="s">
        <v>34</v>
      </c>
      <c r="C215" s="10" t="s">
        <v>13</v>
      </c>
      <c r="D215" s="10">
        <v>31</v>
      </c>
      <c r="F215"/>
      <c r="J215"/>
    </row>
    <row r="216" spans="1:10">
      <c r="A216" s="10" t="s">
        <v>237</v>
      </c>
      <c r="B216" s="10" t="s">
        <v>37</v>
      </c>
      <c r="C216" s="10" t="s">
        <v>13</v>
      </c>
      <c r="D216" s="10">
        <v>20</v>
      </c>
      <c r="F216"/>
      <c r="J216"/>
    </row>
    <row r="217" spans="1:10">
      <c r="A217" s="10" t="s">
        <v>238</v>
      </c>
      <c r="B217" s="10" t="s">
        <v>39</v>
      </c>
      <c r="C217" s="10" t="s">
        <v>13</v>
      </c>
      <c r="D217" s="10">
        <v>26</v>
      </c>
      <c r="F217"/>
      <c r="J217"/>
    </row>
    <row r="218" spans="1:10">
      <c r="A218" s="10" t="s">
        <v>239</v>
      </c>
      <c r="B218" s="10" t="s">
        <v>42</v>
      </c>
      <c r="C218" s="10" t="s">
        <v>13</v>
      </c>
      <c r="D218" s="10">
        <v>42</v>
      </c>
      <c r="F218"/>
      <c r="J218"/>
    </row>
    <row r="219" spans="1:10">
      <c r="A219" s="10" t="s">
        <v>240</v>
      </c>
      <c r="B219" s="10" t="s">
        <v>42</v>
      </c>
      <c r="C219" s="10" t="s">
        <v>13</v>
      </c>
      <c r="D219" s="10">
        <v>24</v>
      </c>
      <c r="F219"/>
      <c r="J219"/>
    </row>
    <row r="220" spans="1:10">
      <c r="A220" s="10" t="s">
        <v>241</v>
      </c>
      <c r="B220" s="10" t="s">
        <v>50</v>
      </c>
      <c r="C220" s="10" t="s">
        <v>20</v>
      </c>
      <c r="D220" s="10">
        <v>50</v>
      </c>
      <c r="F220"/>
      <c r="J220"/>
    </row>
    <row r="221" spans="1:10">
      <c r="A221" s="10" t="s">
        <v>242</v>
      </c>
      <c r="B221" s="10" t="s">
        <v>37</v>
      </c>
      <c r="C221" s="10" t="s">
        <v>13</v>
      </c>
      <c r="D221" s="10">
        <v>41</v>
      </c>
      <c r="F221"/>
      <c r="J221"/>
    </row>
    <row r="222" spans="1:10">
      <c r="A222" s="10" t="s">
        <v>243</v>
      </c>
      <c r="B222" s="10" t="s">
        <v>39</v>
      </c>
      <c r="C222" s="10" t="s">
        <v>13</v>
      </c>
      <c r="D222" s="10">
        <v>22</v>
      </c>
      <c r="F222"/>
      <c r="J222"/>
    </row>
    <row r="223" spans="1:10">
      <c r="A223" s="10" t="s">
        <v>244</v>
      </c>
      <c r="B223" s="10" t="s">
        <v>42</v>
      </c>
      <c r="C223" s="10" t="s">
        <v>13</v>
      </c>
      <c r="D223" s="10">
        <v>29</v>
      </c>
      <c r="F223"/>
      <c r="J223"/>
    </row>
    <row r="224" spans="1:10">
      <c r="A224" s="10" t="s">
        <v>245</v>
      </c>
      <c r="B224" s="10" t="s">
        <v>50</v>
      </c>
      <c r="C224" s="10" t="s">
        <v>20</v>
      </c>
      <c r="D224" s="10">
        <v>23</v>
      </c>
      <c r="F224"/>
      <c r="J224"/>
    </row>
    <row r="225" spans="1:10">
      <c r="A225" s="10" t="s">
        <v>246</v>
      </c>
      <c r="B225" s="10" t="s">
        <v>37</v>
      </c>
      <c r="C225" s="10" t="s">
        <v>13</v>
      </c>
      <c r="D225" s="10">
        <v>13</v>
      </c>
      <c r="F225"/>
      <c r="J225"/>
    </row>
    <row r="226" spans="1:10">
      <c r="A226" s="10" t="s">
        <v>247</v>
      </c>
      <c r="B226" s="10" t="s">
        <v>39</v>
      </c>
      <c r="C226" s="10" t="s">
        <v>13</v>
      </c>
      <c r="D226" s="10">
        <v>32</v>
      </c>
      <c r="F226"/>
      <c r="J226"/>
    </row>
    <row r="227" spans="1:10">
      <c r="A227" s="10" t="s">
        <v>248</v>
      </c>
      <c r="B227" s="10" t="s">
        <v>42</v>
      </c>
      <c r="C227" s="10" t="s">
        <v>13</v>
      </c>
      <c r="D227" s="10">
        <v>24</v>
      </c>
      <c r="F227"/>
      <c r="J227"/>
    </row>
    <row r="228" spans="1:10">
      <c r="A228" s="10" t="s">
        <v>249</v>
      </c>
      <c r="B228" s="10" t="s">
        <v>42</v>
      </c>
      <c r="C228" s="10" t="s">
        <v>13</v>
      </c>
      <c r="D228" s="10">
        <v>33</v>
      </c>
      <c r="F228"/>
      <c r="J228"/>
    </row>
    <row r="229" spans="1:10">
      <c r="A229" s="10" t="s">
        <v>250</v>
      </c>
      <c r="B229" s="10" t="s">
        <v>31</v>
      </c>
      <c r="C229" s="10" t="s">
        <v>16</v>
      </c>
      <c r="D229" s="10">
        <v>29</v>
      </c>
      <c r="F229"/>
      <c r="J229"/>
    </row>
    <row r="230" spans="1:10">
      <c r="A230" s="10" t="s">
        <v>251</v>
      </c>
      <c r="B230" s="10" t="s">
        <v>37</v>
      </c>
      <c r="C230" s="10" t="s">
        <v>20</v>
      </c>
      <c r="D230" s="10">
        <v>24</v>
      </c>
      <c r="F230"/>
      <c r="J230"/>
    </row>
    <row r="231" spans="1:10">
      <c r="A231" s="10" t="s">
        <v>252</v>
      </c>
      <c r="B231" s="10" t="s">
        <v>37</v>
      </c>
      <c r="C231" s="10" t="s">
        <v>13</v>
      </c>
      <c r="D231" s="10">
        <v>40</v>
      </c>
      <c r="F231"/>
      <c r="J231"/>
    </row>
    <row r="232" spans="1:10">
      <c r="A232" s="10" t="s">
        <v>253</v>
      </c>
      <c r="B232" s="10" t="s">
        <v>39</v>
      </c>
      <c r="C232" s="10" t="s">
        <v>13</v>
      </c>
      <c r="D232" s="10">
        <v>16</v>
      </c>
      <c r="F232"/>
      <c r="J232"/>
    </row>
    <row r="233" spans="1:10">
      <c r="A233" s="10" t="s">
        <v>254</v>
      </c>
      <c r="B233" s="10" t="s">
        <v>34</v>
      </c>
      <c r="C233" s="10" t="s">
        <v>13</v>
      </c>
      <c r="D233" s="10">
        <v>11</v>
      </c>
      <c r="F233"/>
      <c r="J233"/>
    </row>
    <row r="234" spans="1:10">
      <c r="A234" s="10" t="s">
        <v>255</v>
      </c>
      <c r="B234" s="10" t="s">
        <v>37</v>
      </c>
      <c r="C234" s="10" t="s">
        <v>13</v>
      </c>
      <c r="D234" s="10">
        <v>19</v>
      </c>
      <c r="F234"/>
      <c r="J234"/>
    </row>
    <row r="235" spans="1:10">
      <c r="A235" s="10" t="s">
        <v>256</v>
      </c>
      <c r="B235" s="10" t="s">
        <v>42</v>
      </c>
      <c r="C235" s="10" t="s">
        <v>20</v>
      </c>
      <c r="D235" s="10">
        <v>42</v>
      </c>
      <c r="F235"/>
      <c r="J235"/>
    </row>
    <row r="236" spans="1:10">
      <c r="A236" s="10" t="s">
        <v>257</v>
      </c>
      <c r="B236" s="10" t="s">
        <v>42</v>
      </c>
      <c r="C236" s="10" t="s">
        <v>13</v>
      </c>
      <c r="D236" s="10">
        <v>27</v>
      </c>
      <c r="F236"/>
      <c r="J236"/>
    </row>
    <row r="237" spans="1:10">
      <c r="A237" s="10" t="s">
        <v>258</v>
      </c>
      <c r="B237" s="10" t="s">
        <v>50</v>
      </c>
      <c r="C237" s="10" t="s">
        <v>20</v>
      </c>
      <c r="D237" s="10">
        <v>24</v>
      </c>
      <c r="F237"/>
      <c r="J237"/>
    </row>
    <row r="238" spans="1:10">
      <c r="A238" s="10" t="s">
        <v>259</v>
      </c>
      <c r="B238" s="10" t="s">
        <v>37</v>
      </c>
      <c r="C238" s="10" t="s">
        <v>13</v>
      </c>
      <c r="D238" s="10">
        <v>27</v>
      </c>
      <c r="F238"/>
      <c r="J238"/>
    </row>
    <row r="239" spans="1:10">
      <c r="A239" s="10" t="s">
        <v>260</v>
      </c>
      <c r="C239" s="10" t="s">
        <v>13</v>
      </c>
      <c r="D239" s="10">
        <v>14</v>
      </c>
      <c r="F239"/>
      <c r="J239"/>
    </row>
    <row r="240" spans="1:10">
      <c r="A240" s="10" t="s">
        <v>261</v>
      </c>
      <c r="B240" s="10" t="s">
        <v>42</v>
      </c>
      <c r="C240" s="10" t="s">
        <v>13</v>
      </c>
      <c r="D240" s="10">
        <v>12</v>
      </c>
      <c r="F240"/>
      <c r="J240"/>
    </row>
    <row r="241" spans="1:10">
      <c r="A241" s="10" t="s">
        <v>262</v>
      </c>
      <c r="B241" s="10" t="s">
        <v>42</v>
      </c>
      <c r="C241" s="10" t="s">
        <v>20</v>
      </c>
      <c r="D241" s="10">
        <v>23</v>
      </c>
      <c r="F241"/>
      <c r="J241"/>
    </row>
    <row r="242" spans="1:10">
      <c r="A242" s="10" t="s">
        <v>263</v>
      </c>
      <c r="B242" s="10" t="s">
        <v>39</v>
      </c>
      <c r="C242" s="10" t="s">
        <v>20</v>
      </c>
      <c r="D242" s="10">
        <v>40</v>
      </c>
      <c r="F242"/>
      <c r="J242"/>
    </row>
    <row r="243" spans="1:10">
      <c r="A243" s="10" t="s">
        <v>264</v>
      </c>
      <c r="B243" s="10" t="s">
        <v>42</v>
      </c>
      <c r="C243" s="10" t="s">
        <v>20</v>
      </c>
      <c r="D243" s="10">
        <v>33</v>
      </c>
      <c r="F243"/>
      <c r="J243"/>
    </row>
    <row r="244" spans="1:10">
      <c r="A244" s="10" t="s">
        <v>265</v>
      </c>
      <c r="B244" s="10" t="s">
        <v>31</v>
      </c>
      <c r="C244" s="10" t="s">
        <v>20</v>
      </c>
      <c r="D244" s="10">
        <v>33</v>
      </c>
      <c r="F244"/>
      <c r="J244"/>
    </row>
    <row r="245" spans="1:10">
      <c r="A245" s="10" t="s">
        <v>266</v>
      </c>
      <c r="B245" s="10" t="s">
        <v>42</v>
      </c>
      <c r="C245" s="10" t="s">
        <v>13</v>
      </c>
      <c r="D245" s="10">
        <v>30</v>
      </c>
      <c r="F245"/>
      <c r="J245"/>
    </row>
    <row r="246" spans="1:10">
      <c r="A246" s="10" t="s">
        <v>267</v>
      </c>
      <c r="B246" s="10" t="s">
        <v>42</v>
      </c>
      <c r="C246" s="10" t="s">
        <v>20</v>
      </c>
      <c r="D246" s="10">
        <v>35</v>
      </c>
      <c r="F246"/>
      <c r="J246"/>
    </row>
    <row r="247" spans="1:10">
      <c r="A247" s="10" t="s">
        <v>268</v>
      </c>
      <c r="B247" s="10" t="s">
        <v>31</v>
      </c>
      <c r="C247" s="10" t="s">
        <v>13</v>
      </c>
      <c r="D247" s="10">
        <v>26</v>
      </c>
      <c r="F247"/>
      <c r="J247"/>
    </row>
    <row r="248" spans="1:10">
      <c r="A248" s="10" t="s">
        <v>269</v>
      </c>
      <c r="B248" s="10" t="s">
        <v>34</v>
      </c>
      <c r="C248" s="10" t="s">
        <v>32</v>
      </c>
      <c r="D248" s="10">
        <v>6</v>
      </c>
      <c r="F248"/>
      <c r="J248"/>
    </row>
    <row r="249" spans="1:10">
      <c r="A249" s="10" t="s">
        <v>270</v>
      </c>
      <c r="B249" s="10" t="s">
        <v>37</v>
      </c>
      <c r="C249" s="10" t="s">
        <v>20</v>
      </c>
      <c r="D249" s="10">
        <v>17</v>
      </c>
      <c r="F249"/>
      <c r="J249"/>
    </row>
    <row r="250" spans="1:10">
      <c r="A250" s="10" t="s">
        <v>271</v>
      </c>
      <c r="B250" s="10" t="s">
        <v>50</v>
      </c>
      <c r="C250" s="10" t="s">
        <v>20</v>
      </c>
      <c r="D250" s="10">
        <v>41</v>
      </c>
      <c r="F250"/>
      <c r="J250"/>
    </row>
    <row r="251" spans="1:10">
      <c r="A251" s="10" t="s">
        <v>272</v>
      </c>
      <c r="B251" s="10" t="s">
        <v>39</v>
      </c>
      <c r="C251" s="10" t="s">
        <v>13</v>
      </c>
      <c r="D251" s="10">
        <v>33</v>
      </c>
      <c r="F251"/>
      <c r="J251"/>
    </row>
    <row r="252" spans="1:10">
      <c r="A252" s="10" t="s">
        <v>273</v>
      </c>
      <c r="B252" s="10" t="s">
        <v>42</v>
      </c>
      <c r="C252" s="10" t="s">
        <v>20</v>
      </c>
      <c r="D252" s="10">
        <v>39</v>
      </c>
      <c r="F252"/>
      <c r="J252"/>
    </row>
    <row r="253" spans="1:10">
      <c r="A253" s="10" t="s">
        <v>274</v>
      </c>
      <c r="B253" s="10" t="s">
        <v>42</v>
      </c>
      <c r="C253" s="10" t="s">
        <v>13</v>
      </c>
      <c r="D253" s="10">
        <v>17</v>
      </c>
      <c r="F253"/>
      <c r="J253"/>
    </row>
    <row r="254" spans="1:10">
      <c r="A254" s="10" t="s">
        <v>275</v>
      </c>
      <c r="B254" s="10" t="s">
        <v>37</v>
      </c>
      <c r="C254" s="10" t="s">
        <v>13</v>
      </c>
      <c r="D254" s="10">
        <v>24</v>
      </c>
      <c r="F254"/>
      <c r="J254"/>
    </row>
    <row r="255" spans="1:10">
      <c r="A255" s="10" t="s">
        <v>276</v>
      </c>
      <c r="B255" s="10" t="s">
        <v>39</v>
      </c>
      <c r="C255" s="10" t="s">
        <v>20</v>
      </c>
      <c r="D255" s="10">
        <v>35</v>
      </c>
      <c r="F255"/>
      <c r="J255"/>
    </row>
    <row r="256" spans="1:10">
      <c r="A256" s="10" t="s">
        <v>277</v>
      </c>
      <c r="B256" s="10" t="s">
        <v>50</v>
      </c>
      <c r="C256" s="10" t="s">
        <v>13</v>
      </c>
      <c r="D256" s="10">
        <v>18</v>
      </c>
      <c r="F256"/>
      <c r="J256"/>
    </row>
    <row r="257" spans="1:10">
      <c r="A257" s="10" t="s">
        <v>278</v>
      </c>
      <c r="B257" s="10" t="s">
        <v>42</v>
      </c>
      <c r="C257" s="10" t="s">
        <v>13</v>
      </c>
      <c r="D257" s="10">
        <v>20</v>
      </c>
      <c r="F257"/>
      <c r="J257"/>
    </row>
    <row r="258" spans="1:10">
      <c r="A258" s="10" t="s">
        <v>279</v>
      </c>
      <c r="B258" s="10" t="s">
        <v>31</v>
      </c>
      <c r="C258" s="10" t="s">
        <v>13</v>
      </c>
      <c r="D258" s="10">
        <v>24</v>
      </c>
      <c r="F258"/>
      <c r="J258"/>
    </row>
    <row r="259" spans="1:10">
      <c r="A259" s="10" t="s">
        <v>280</v>
      </c>
      <c r="B259" s="10" t="s">
        <v>50</v>
      </c>
      <c r="C259" s="10" t="s">
        <v>13</v>
      </c>
      <c r="D259" s="10">
        <v>40</v>
      </c>
      <c r="F259"/>
      <c r="J259"/>
    </row>
    <row r="260" spans="1:10">
      <c r="A260" s="10" t="s">
        <v>281</v>
      </c>
      <c r="B260" s="10" t="s">
        <v>39</v>
      </c>
      <c r="C260" s="10" t="s">
        <v>20</v>
      </c>
      <c r="D260" s="10">
        <v>13</v>
      </c>
      <c r="F260"/>
      <c r="J260"/>
    </row>
    <row r="261" spans="1:10">
      <c r="A261" s="10" t="s">
        <v>282</v>
      </c>
      <c r="B261" s="10" t="s">
        <v>42</v>
      </c>
      <c r="C261" s="10" t="s">
        <v>13</v>
      </c>
      <c r="D261" s="10">
        <v>32</v>
      </c>
      <c r="F261"/>
      <c r="J261"/>
    </row>
    <row r="262" spans="1:10">
      <c r="A262" s="10" t="s">
        <v>283</v>
      </c>
      <c r="B262" s="10" t="s">
        <v>42</v>
      </c>
      <c r="C262" s="10" t="s">
        <v>20</v>
      </c>
      <c r="D262" s="10">
        <v>34</v>
      </c>
      <c r="F262"/>
      <c r="J262"/>
    </row>
    <row r="263" spans="1:10">
      <c r="A263" s="10" t="s">
        <v>284</v>
      </c>
      <c r="B263" s="10" t="s">
        <v>50</v>
      </c>
      <c r="C263" s="10" t="s">
        <v>20</v>
      </c>
      <c r="D263" s="10">
        <v>34</v>
      </c>
      <c r="F263"/>
      <c r="J263"/>
    </row>
    <row r="264" spans="1:10">
      <c r="A264" s="10" t="s">
        <v>285</v>
      </c>
      <c r="B264" s="10" t="s">
        <v>42</v>
      </c>
      <c r="C264" s="10" t="s">
        <v>13</v>
      </c>
      <c r="D264" s="10">
        <v>31</v>
      </c>
      <c r="F264"/>
      <c r="J264"/>
    </row>
    <row r="265" spans="1:10">
      <c r="A265" s="10" t="s">
        <v>286</v>
      </c>
      <c r="B265" s="10" t="s">
        <v>34</v>
      </c>
      <c r="C265" s="10" t="s">
        <v>13</v>
      </c>
      <c r="D265" s="10">
        <v>47</v>
      </c>
      <c r="F265"/>
      <c r="J265"/>
    </row>
    <row r="266" spans="1:10">
      <c r="A266" s="10" t="s">
        <v>287</v>
      </c>
      <c r="B266" s="10" t="s">
        <v>42</v>
      </c>
      <c r="C266" s="10" t="s">
        <v>13</v>
      </c>
      <c r="D266" s="10">
        <v>43</v>
      </c>
      <c r="F266"/>
      <c r="J266"/>
    </row>
    <row r="267" spans="1:10">
      <c r="A267" s="10" t="s">
        <v>288</v>
      </c>
      <c r="B267" s="10" t="s">
        <v>31</v>
      </c>
      <c r="C267" s="10" t="s">
        <v>13</v>
      </c>
      <c r="D267" s="10">
        <v>27</v>
      </c>
      <c r="F267"/>
      <c r="J267"/>
    </row>
    <row r="268" spans="1:10">
      <c r="A268" s="10" t="s">
        <v>289</v>
      </c>
      <c r="B268" s="10" t="s">
        <v>39</v>
      </c>
      <c r="C268" s="10" t="s">
        <v>13</v>
      </c>
      <c r="D268" s="10">
        <v>11</v>
      </c>
      <c r="F268"/>
      <c r="J268"/>
    </row>
    <row r="269" spans="1:10">
      <c r="A269" s="10" t="s">
        <v>290</v>
      </c>
      <c r="B269" s="10" t="s">
        <v>42</v>
      </c>
      <c r="C269" s="10" t="s">
        <v>13</v>
      </c>
      <c r="D269" s="10">
        <v>37</v>
      </c>
      <c r="F269"/>
      <c r="J269"/>
    </row>
    <row r="270" spans="1:10">
      <c r="A270" s="10" t="s">
        <v>291</v>
      </c>
      <c r="B270" s="10" t="s">
        <v>31</v>
      </c>
      <c r="C270" s="10" t="s">
        <v>13</v>
      </c>
      <c r="D270" s="10">
        <v>26</v>
      </c>
      <c r="F270"/>
      <c r="J270"/>
    </row>
    <row r="271" spans="1:10">
      <c r="A271" s="10" t="s">
        <v>292</v>
      </c>
      <c r="B271" s="10" t="s">
        <v>50</v>
      </c>
      <c r="C271" s="10" t="s">
        <v>13</v>
      </c>
      <c r="D271" s="10">
        <v>27</v>
      </c>
      <c r="F271"/>
      <c r="J271"/>
    </row>
    <row r="272" spans="1:10">
      <c r="A272" s="10" t="s">
        <v>293</v>
      </c>
      <c r="B272" s="10" t="s">
        <v>37</v>
      </c>
      <c r="C272" s="10" t="s">
        <v>13</v>
      </c>
      <c r="D272" s="10">
        <v>21</v>
      </c>
      <c r="F272"/>
      <c r="J272"/>
    </row>
    <row r="273" spans="1:10">
      <c r="A273" s="10" t="s">
        <v>294</v>
      </c>
      <c r="B273" s="10" t="s">
        <v>39</v>
      </c>
      <c r="C273" s="10" t="s">
        <v>13</v>
      </c>
      <c r="D273" s="10">
        <v>35</v>
      </c>
      <c r="F273"/>
      <c r="J273"/>
    </row>
    <row r="274" spans="1:10">
      <c r="A274" s="10" t="s">
        <v>295</v>
      </c>
      <c r="B274" s="10" t="s">
        <v>42</v>
      </c>
      <c r="C274" s="10" t="s">
        <v>20</v>
      </c>
      <c r="D274" s="10">
        <v>25</v>
      </c>
      <c r="F274"/>
      <c r="J274"/>
    </row>
    <row r="275" spans="1:10">
      <c r="A275" s="10" t="s">
        <v>296</v>
      </c>
      <c r="B275" s="10" t="s">
        <v>42</v>
      </c>
      <c r="C275" s="10" t="s">
        <v>13</v>
      </c>
      <c r="D275" s="10">
        <v>28</v>
      </c>
      <c r="F275"/>
      <c r="J275"/>
    </row>
    <row r="276" spans="1:10">
      <c r="A276" s="10" t="s">
        <v>297</v>
      </c>
      <c r="B276" s="10" t="s">
        <v>50</v>
      </c>
      <c r="C276" s="10" t="s">
        <v>13</v>
      </c>
      <c r="D276" s="10">
        <v>21</v>
      </c>
      <c r="F276"/>
      <c r="J276"/>
    </row>
    <row r="277" spans="1:10">
      <c r="A277" s="10" t="s">
        <v>298</v>
      </c>
      <c r="B277" s="10" t="s">
        <v>39</v>
      </c>
      <c r="C277" s="10" t="s">
        <v>13</v>
      </c>
      <c r="D277" s="10">
        <v>24</v>
      </c>
      <c r="F277"/>
      <c r="J277"/>
    </row>
    <row r="278" spans="1:10">
      <c r="A278" s="10" t="s">
        <v>299</v>
      </c>
      <c r="B278" s="10" t="s">
        <v>42</v>
      </c>
      <c r="C278" s="10" t="s">
        <v>13</v>
      </c>
      <c r="D278" s="10">
        <v>19</v>
      </c>
      <c r="F278"/>
      <c r="J278"/>
    </row>
    <row r="279" spans="1:10">
      <c r="A279" s="10" t="s">
        <v>300</v>
      </c>
      <c r="B279" s="10" t="s">
        <v>301</v>
      </c>
      <c r="C279" s="10" t="s">
        <v>13</v>
      </c>
      <c r="D279" s="10">
        <v>25</v>
      </c>
      <c r="F279"/>
      <c r="J279"/>
    </row>
    <row r="280" spans="1:10">
      <c r="A280" s="10" t="s">
        <v>302</v>
      </c>
      <c r="B280" s="10" t="s">
        <v>50</v>
      </c>
      <c r="C280" s="10" t="s">
        <v>13</v>
      </c>
      <c r="D280" s="10">
        <v>33</v>
      </c>
      <c r="F280"/>
      <c r="J280"/>
    </row>
    <row r="281" spans="1:10">
      <c r="A281" s="10" t="s">
        <v>303</v>
      </c>
      <c r="B281" s="10" t="s">
        <v>39</v>
      </c>
      <c r="C281" s="10" t="s">
        <v>13</v>
      </c>
      <c r="D281" s="10">
        <v>26</v>
      </c>
      <c r="F281"/>
      <c r="J281"/>
    </row>
    <row r="282" spans="1:10">
      <c r="A282" s="10" t="s">
        <v>304</v>
      </c>
      <c r="B282" s="10" t="s">
        <v>42</v>
      </c>
      <c r="C282" s="10" t="s">
        <v>13</v>
      </c>
      <c r="D282" s="10">
        <v>31</v>
      </c>
      <c r="F282"/>
      <c r="J282"/>
    </row>
    <row r="283" spans="1:10">
      <c r="A283" s="10" t="s">
        <v>305</v>
      </c>
      <c r="B283" s="10" t="s">
        <v>42</v>
      </c>
      <c r="C283" s="10" t="s">
        <v>13</v>
      </c>
      <c r="D283" s="10">
        <v>33</v>
      </c>
      <c r="F283"/>
      <c r="J283"/>
    </row>
    <row r="284" spans="1:10">
      <c r="A284" s="10" t="s">
        <v>306</v>
      </c>
      <c r="B284" s="10" t="s">
        <v>50</v>
      </c>
      <c r="C284" s="10" t="s">
        <v>13</v>
      </c>
      <c r="D284" s="10">
        <v>30</v>
      </c>
      <c r="F284"/>
      <c r="J284"/>
    </row>
    <row r="285" spans="1:10">
      <c r="A285" s="10" t="s">
        <v>307</v>
      </c>
      <c r="B285" s="10" t="s">
        <v>39</v>
      </c>
      <c r="C285" s="10" t="s">
        <v>13</v>
      </c>
      <c r="D285" s="10">
        <v>26</v>
      </c>
      <c r="F285"/>
      <c r="J285"/>
    </row>
    <row r="286" spans="1:10">
      <c r="A286" s="10" t="s">
        <v>308</v>
      </c>
      <c r="B286" s="10" t="s">
        <v>42</v>
      </c>
      <c r="C286" s="10" t="s">
        <v>13</v>
      </c>
      <c r="D286" s="10">
        <v>23</v>
      </c>
      <c r="F286"/>
      <c r="J286"/>
    </row>
    <row r="287" spans="1:10">
      <c r="A287" s="10" t="s">
        <v>309</v>
      </c>
      <c r="B287" s="10" t="s">
        <v>31</v>
      </c>
      <c r="C287" s="10" t="s">
        <v>13</v>
      </c>
      <c r="D287" s="10">
        <v>28</v>
      </c>
      <c r="F287"/>
      <c r="J287"/>
    </row>
    <row r="288" spans="1:10">
      <c r="A288" s="10" t="s">
        <v>310</v>
      </c>
      <c r="B288" s="10" t="s">
        <v>37</v>
      </c>
      <c r="C288" s="10" t="s">
        <v>13</v>
      </c>
      <c r="D288" s="10">
        <v>18</v>
      </c>
      <c r="F288"/>
      <c r="J288"/>
    </row>
    <row r="289" spans="1:10">
      <c r="A289" s="10" t="s">
        <v>311</v>
      </c>
      <c r="B289" s="10" t="s">
        <v>39</v>
      </c>
      <c r="C289" s="10" t="s">
        <v>13</v>
      </c>
      <c r="D289" s="10">
        <v>39</v>
      </c>
      <c r="F289"/>
      <c r="J289"/>
    </row>
    <row r="290" spans="1:10">
      <c r="A290" s="10" t="s">
        <v>312</v>
      </c>
      <c r="B290" s="10" t="s">
        <v>42</v>
      </c>
      <c r="C290" s="10" t="s">
        <v>13</v>
      </c>
      <c r="D290" s="10">
        <v>28</v>
      </c>
      <c r="F290"/>
      <c r="J290"/>
    </row>
    <row r="291" spans="1:10">
      <c r="A291" s="10" t="s">
        <v>313</v>
      </c>
      <c r="B291" s="10" t="s">
        <v>42</v>
      </c>
      <c r="C291" s="10" t="s">
        <v>13</v>
      </c>
      <c r="D291" s="10">
        <v>47</v>
      </c>
      <c r="F291"/>
      <c r="J291"/>
    </row>
    <row r="292" spans="1:10">
      <c r="A292" s="10" t="s">
        <v>314</v>
      </c>
      <c r="B292" s="10" t="s">
        <v>50</v>
      </c>
      <c r="C292" s="10" t="s">
        <v>13</v>
      </c>
      <c r="D292" s="10">
        <v>41</v>
      </c>
      <c r="F292"/>
      <c r="J292"/>
    </row>
    <row r="293" spans="1:10">
      <c r="A293" s="10" t="s">
        <v>315</v>
      </c>
      <c r="B293" s="10" t="s">
        <v>37</v>
      </c>
      <c r="C293" s="10" t="s">
        <v>13</v>
      </c>
      <c r="D293" s="10">
        <v>11</v>
      </c>
      <c r="F293"/>
      <c r="J293"/>
    </row>
    <row r="294" spans="1:10">
      <c r="A294" s="10" t="s">
        <v>316</v>
      </c>
      <c r="B294" s="10" t="s">
        <v>42</v>
      </c>
      <c r="C294" s="10" t="s">
        <v>13</v>
      </c>
      <c r="D294" s="10">
        <v>26</v>
      </c>
      <c r="F294"/>
      <c r="J294"/>
    </row>
    <row r="295" spans="1:10">
      <c r="A295" s="10" t="s">
        <v>317</v>
      </c>
      <c r="B295" s="10" t="s">
        <v>42</v>
      </c>
      <c r="C295" s="10" t="s">
        <v>20</v>
      </c>
      <c r="D295" s="10">
        <v>24</v>
      </c>
      <c r="F295"/>
      <c r="J295"/>
    </row>
    <row r="296" spans="1:10">
      <c r="A296" s="10" t="s">
        <v>318</v>
      </c>
      <c r="B296" s="10" t="s">
        <v>301</v>
      </c>
      <c r="C296" s="10" t="s">
        <v>13</v>
      </c>
      <c r="D296" s="10">
        <v>14</v>
      </c>
      <c r="F296"/>
      <c r="J296"/>
    </row>
    <row r="297" spans="1:10">
      <c r="A297" s="10" t="s">
        <v>319</v>
      </c>
      <c r="B297" s="10" t="s">
        <v>50</v>
      </c>
      <c r="C297" s="10" t="s">
        <v>13</v>
      </c>
      <c r="D297" s="10">
        <v>34</v>
      </c>
      <c r="F297"/>
      <c r="J297"/>
    </row>
    <row r="298" spans="1:10">
      <c r="A298" s="10" t="s">
        <v>320</v>
      </c>
      <c r="B298" s="10" t="s">
        <v>39</v>
      </c>
      <c r="C298" s="10" t="s">
        <v>20</v>
      </c>
      <c r="D298" s="10">
        <v>46</v>
      </c>
      <c r="F298"/>
      <c r="J298"/>
    </row>
    <row r="299" spans="1:10">
      <c r="A299" s="10" t="s">
        <v>321</v>
      </c>
      <c r="B299" s="10" t="s">
        <v>301</v>
      </c>
      <c r="C299" s="10" t="s">
        <v>13</v>
      </c>
      <c r="D299" s="10">
        <v>24</v>
      </c>
      <c r="F299"/>
      <c r="J299"/>
    </row>
    <row r="300" spans="1:10">
      <c r="A300" s="10" t="s">
        <v>322</v>
      </c>
      <c r="B300" s="10" t="s">
        <v>31</v>
      </c>
      <c r="C300" s="10" t="s">
        <v>13</v>
      </c>
      <c r="D300" s="10">
        <v>22</v>
      </c>
      <c r="F300"/>
      <c r="J300"/>
    </row>
    <row r="301" spans="1:10">
      <c r="A301" s="10" t="s">
        <v>323</v>
      </c>
      <c r="B301" s="10" t="s">
        <v>50</v>
      </c>
      <c r="C301" s="10" t="s">
        <v>13</v>
      </c>
      <c r="D301" s="10">
        <v>41</v>
      </c>
      <c r="F301"/>
      <c r="J301"/>
    </row>
    <row r="302" spans="1:10">
      <c r="A302" s="10" t="s">
        <v>324</v>
      </c>
      <c r="B302" s="10" t="s">
        <v>37</v>
      </c>
      <c r="C302" s="10" t="s">
        <v>13</v>
      </c>
      <c r="D302" s="10">
        <v>3</v>
      </c>
      <c r="F302"/>
      <c r="J302"/>
    </row>
    <row r="303" spans="1:10">
      <c r="A303" s="10" t="s">
        <v>325</v>
      </c>
      <c r="B303" s="10" t="s">
        <v>39</v>
      </c>
      <c r="C303" s="10" t="s">
        <v>13</v>
      </c>
      <c r="D303" s="10">
        <v>24</v>
      </c>
      <c r="F303"/>
      <c r="J303"/>
    </row>
    <row r="304" spans="1:10">
      <c r="A304" s="10" t="s">
        <v>326</v>
      </c>
      <c r="B304" s="10" t="s">
        <v>39</v>
      </c>
      <c r="C304" s="10" t="s">
        <v>13</v>
      </c>
      <c r="D304" s="10">
        <v>19</v>
      </c>
      <c r="F304"/>
      <c r="J304"/>
    </row>
    <row r="305" spans="1:10">
      <c r="A305" s="10" t="s">
        <v>327</v>
      </c>
      <c r="B305" s="10" t="s">
        <v>42</v>
      </c>
      <c r="C305" s="10" t="s">
        <v>20</v>
      </c>
      <c r="D305" s="10">
        <v>39</v>
      </c>
      <c r="F305"/>
      <c r="J305"/>
    </row>
    <row r="306" spans="1:10">
      <c r="A306" s="10" t="s">
        <v>328</v>
      </c>
      <c r="B306" s="10" t="s">
        <v>31</v>
      </c>
      <c r="C306" s="10" t="s">
        <v>20</v>
      </c>
      <c r="D306" s="10">
        <v>28</v>
      </c>
      <c r="F306"/>
      <c r="J306"/>
    </row>
    <row r="307" spans="1:10">
      <c r="A307" s="10" t="s">
        <v>329</v>
      </c>
      <c r="B307" s="10" t="s">
        <v>50</v>
      </c>
      <c r="C307" s="10" t="s">
        <v>13</v>
      </c>
      <c r="D307" s="10">
        <v>32</v>
      </c>
      <c r="F307"/>
      <c r="J307"/>
    </row>
    <row r="308" spans="1:10">
      <c r="A308" s="10" t="s">
        <v>330</v>
      </c>
      <c r="B308" s="10" t="s">
        <v>37</v>
      </c>
      <c r="C308" s="10" t="s">
        <v>13</v>
      </c>
      <c r="D308" s="10">
        <v>25</v>
      </c>
      <c r="F308"/>
      <c r="J308"/>
    </row>
    <row r="309" spans="1:10">
      <c r="A309" s="10" t="s">
        <v>331</v>
      </c>
      <c r="B309" s="10" t="s">
        <v>39</v>
      </c>
      <c r="C309" s="10" t="s">
        <v>20</v>
      </c>
      <c r="D309" s="10">
        <v>29</v>
      </c>
      <c r="F309"/>
      <c r="J309"/>
    </row>
    <row r="310" spans="1:10">
      <c r="A310" s="10" t="s">
        <v>332</v>
      </c>
      <c r="B310" s="10" t="s">
        <v>42</v>
      </c>
      <c r="C310" s="10" t="s">
        <v>13</v>
      </c>
      <c r="D310" s="10">
        <v>25</v>
      </c>
      <c r="F310"/>
      <c r="J310"/>
    </row>
    <row r="311" spans="1:10">
      <c r="A311" s="10" t="s">
        <v>333</v>
      </c>
      <c r="B311" s="10" t="s">
        <v>42</v>
      </c>
      <c r="C311" s="10" t="s">
        <v>13</v>
      </c>
      <c r="D311" s="10">
        <v>21</v>
      </c>
      <c r="F311"/>
      <c r="J311"/>
    </row>
    <row r="312" spans="1:10">
      <c r="A312" s="10" t="s">
        <v>334</v>
      </c>
      <c r="B312" s="10" t="s">
        <v>31</v>
      </c>
      <c r="C312" s="10" t="s">
        <v>20</v>
      </c>
      <c r="D312" s="10">
        <v>31</v>
      </c>
      <c r="F312"/>
      <c r="J312"/>
    </row>
    <row r="313" spans="1:10">
      <c r="A313" s="10" t="s">
        <v>335</v>
      </c>
      <c r="B313" s="10" t="s">
        <v>50</v>
      </c>
      <c r="C313" s="10" t="s">
        <v>13</v>
      </c>
      <c r="D313" s="10">
        <v>25</v>
      </c>
      <c r="F313"/>
      <c r="J313"/>
    </row>
    <row r="314" spans="1:10">
      <c r="A314" s="10" t="s">
        <v>336</v>
      </c>
      <c r="B314" s="10" t="s">
        <v>37</v>
      </c>
      <c r="C314" s="10" t="s">
        <v>13</v>
      </c>
      <c r="D314" s="10">
        <v>14</v>
      </c>
      <c r="F314"/>
      <c r="J314"/>
    </row>
    <row r="315" spans="1:10">
      <c r="A315" s="10" t="s">
        <v>337</v>
      </c>
      <c r="B315" s="10" t="s">
        <v>42</v>
      </c>
      <c r="C315" s="10" t="s">
        <v>13</v>
      </c>
      <c r="D315" s="10">
        <v>21</v>
      </c>
      <c r="F315"/>
      <c r="J315"/>
    </row>
    <row r="316" spans="1:10">
      <c r="A316" s="10" t="s">
        <v>338</v>
      </c>
      <c r="B316" s="10" t="s">
        <v>37</v>
      </c>
      <c r="C316" s="10" t="s">
        <v>13</v>
      </c>
      <c r="D316" s="10">
        <v>24</v>
      </c>
      <c r="F316"/>
      <c r="J316"/>
    </row>
    <row r="317" spans="1:10">
      <c r="A317" s="10" t="s">
        <v>339</v>
      </c>
      <c r="B317" s="10" t="s">
        <v>42</v>
      </c>
      <c r="C317" s="10" t="s">
        <v>13</v>
      </c>
      <c r="D317" s="10">
        <v>25</v>
      </c>
      <c r="F317"/>
      <c r="J317"/>
    </row>
    <row r="318" spans="1:10">
      <c r="A318" s="10" t="s">
        <v>340</v>
      </c>
      <c r="B318" s="10" t="s">
        <v>42</v>
      </c>
      <c r="C318" s="10" t="s">
        <v>20</v>
      </c>
      <c r="D318" s="10">
        <v>42</v>
      </c>
      <c r="F318"/>
      <c r="J318"/>
    </row>
    <row r="319" spans="1:10">
      <c r="A319" s="10" t="s">
        <v>341</v>
      </c>
      <c r="B319" s="10" t="s">
        <v>301</v>
      </c>
      <c r="C319" s="10" t="s">
        <v>20</v>
      </c>
      <c r="D319" s="10">
        <v>20</v>
      </c>
      <c r="F319"/>
      <c r="J319"/>
    </row>
    <row r="320" spans="1:10">
      <c r="A320" s="10" t="s">
        <v>342</v>
      </c>
      <c r="B320" s="10" t="s">
        <v>31</v>
      </c>
      <c r="C320" s="10" t="s">
        <v>13</v>
      </c>
      <c r="D320" s="10">
        <v>22</v>
      </c>
      <c r="F320"/>
      <c r="J320"/>
    </row>
    <row r="321" spans="1:10">
      <c r="A321" s="10" t="s">
        <v>343</v>
      </c>
      <c r="B321" s="10" t="s">
        <v>50</v>
      </c>
      <c r="C321" s="10" t="s">
        <v>13</v>
      </c>
      <c r="D321" s="10">
        <v>36</v>
      </c>
      <c r="F321"/>
      <c r="J321"/>
    </row>
    <row r="322" spans="1:10">
      <c r="A322" s="10" t="s">
        <v>344</v>
      </c>
      <c r="B322" s="10" t="s">
        <v>42</v>
      </c>
      <c r="C322" s="10" t="s">
        <v>13</v>
      </c>
      <c r="D322" s="10">
        <v>38</v>
      </c>
      <c r="F322"/>
      <c r="J322"/>
    </row>
    <row r="323" spans="1:10">
      <c r="A323" s="10" t="s">
        <v>345</v>
      </c>
      <c r="B323" s="10" t="s">
        <v>42</v>
      </c>
      <c r="C323" s="10" t="s">
        <v>13</v>
      </c>
      <c r="D323" s="10">
        <v>18</v>
      </c>
      <c r="F323"/>
      <c r="J323"/>
    </row>
    <row r="324" spans="1:10">
      <c r="A324" s="10" t="s">
        <v>346</v>
      </c>
      <c r="B324" s="10" t="s">
        <v>301</v>
      </c>
      <c r="C324" s="10" t="s">
        <v>13</v>
      </c>
      <c r="D324" s="10">
        <v>16</v>
      </c>
      <c r="F324"/>
      <c r="J324"/>
    </row>
    <row r="325" spans="1:10">
      <c r="A325" s="10" t="s">
        <v>347</v>
      </c>
      <c r="B325" s="10" t="s">
        <v>31</v>
      </c>
      <c r="C325" s="10" t="s">
        <v>13</v>
      </c>
      <c r="D325" s="10">
        <v>31</v>
      </c>
      <c r="F325"/>
      <c r="J325"/>
    </row>
    <row r="326" spans="1:10">
      <c r="A326" s="10" t="s">
        <v>348</v>
      </c>
      <c r="B326" s="10" t="s">
        <v>50</v>
      </c>
      <c r="C326" s="10" t="s">
        <v>13</v>
      </c>
      <c r="D326" s="10">
        <v>28</v>
      </c>
      <c r="F326"/>
      <c r="J326"/>
    </row>
    <row r="327" spans="1:10">
      <c r="A327" s="10" t="s">
        <v>349</v>
      </c>
      <c r="B327" s="10" t="s">
        <v>39</v>
      </c>
      <c r="C327" s="10" t="s">
        <v>13</v>
      </c>
      <c r="D327" s="10">
        <v>34</v>
      </c>
      <c r="F327"/>
      <c r="J327"/>
    </row>
    <row r="328" spans="1:10">
      <c r="A328" s="10" t="s">
        <v>350</v>
      </c>
      <c r="B328" s="10" t="s">
        <v>42</v>
      </c>
      <c r="C328" s="10" t="s">
        <v>20</v>
      </c>
      <c r="D328" s="10">
        <v>48</v>
      </c>
      <c r="F328"/>
      <c r="J328"/>
    </row>
    <row r="329" spans="1:10">
      <c r="A329" s="10" t="s">
        <v>351</v>
      </c>
      <c r="B329" s="10" t="s">
        <v>31</v>
      </c>
      <c r="C329" s="10" t="s">
        <v>13</v>
      </c>
      <c r="D329" s="10">
        <v>35</v>
      </c>
      <c r="F329"/>
      <c r="J329"/>
    </row>
    <row r="330" spans="1:10">
      <c r="A330" s="10" t="s">
        <v>352</v>
      </c>
      <c r="B330" s="10" t="s">
        <v>50</v>
      </c>
      <c r="C330" s="10" t="s">
        <v>20</v>
      </c>
      <c r="D330" s="10">
        <v>24</v>
      </c>
      <c r="F330"/>
      <c r="J330"/>
    </row>
    <row r="331" spans="1:10">
      <c r="A331" s="10" t="s">
        <v>353</v>
      </c>
      <c r="B331" s="10" t="s">
        <v>42</v>
      </c>
      <c r="C331" s="10" t="s">
        <v>13</v>
      </c>
      <c r="D331" s="10">
        <v>25</v>
      </c>
      <c r="F331"/>
      <c r="J331"/>
    </row>
    <row r="332" spans="1:10">
      <c r="A332" s="10" t="s">
        <v>354</v>
      </c>
      <c r="B332" s="10" t="s">
        <v>37</v>
      </c>
      <c r="C332" s="10" t="s">
        <v>13</v>
      </c>
      <c r="D332" s="10">
        <v>32</v>
      </c>
      <c r="F332"/>
      <c r="J332"/>
    </row>
    <row r="333" spans="1:10">
      <c r="A333" s="10" t="s">
        <v>355</v>
      </c>
      <c r="B333" s="10" t="s">
        <v>39</v>
      </c>
      <c r="C333" s="10" t="s">
        <v>20</v>
      </c>
      <c r="D333" s="10">
        <v>33</v>
      </c>
      <c r="F333"/>
      <c r="J333"/>
    </row>
    <row r="334" spans="1:10">
      <c r="A334" s="10" t="s">
        <v>356</v>
      </c>
      <c r="B334" s="10" t="s">
        <v>301</v>
      </c>
      <c r="C334" s="10" t="s">
        <v>20</v>
      </c>
      <c r="D334" s="10">
        <v>19</v>
      </c>
      <c r="F334"/>
      <c r="J334"/>
    </row>
    <row r="335" spans="1:10">
      <c r="A335" s="10" t="s">
        <v>357</v>
      </c>
      <c r="B335" s="10" t="s">
        <v>39</v>
      </c>
      <c r="C335" s="10" t="s">
        <v>13</v>
      </c>
      <c r="D335" s="10">
        <v>7</v>
      </c>
      <c r="F335"/>
      <c r="J335"/>
    </row>
    <row r="336" spans="1:10">
      <c r="A336" s="10" t="s">
        <v>358</v>
      </c>
      <c r="B336" s="10" t="s">
        <v>39</v>
      </c>
      <c r="C336" s="10" t="s">
        <v>20</v>
      </c>
      <c r="D336" s="10">
        <v>36</v>
      </c>
      <c r="F336"/>
      <c r="J336"/>
    </row>
    <row r="337" spans="1:10">
      <c r="A337" s="10" t="s">
        <v>359</v>
      </c>
      <c r="B337" s="10" t="s">
        <v>42</v>
      </c>
      <c r="C337" s="10" t="s">
        <v>16</v>
      </c>
      <c r="D337" s="10">
        <v>44</v>
      </c>
      <c r="F337"/>
      <c r="J337"/>
    </row>
    <row r="338" spans="1:10">
      <c r="A338" s="10" t="s">
        <v>360</v>
      </c>
      <c r="B338" s="10" t="s">
        <v>42</v>
      </c>
      <c r="C338" s="10" t="s">
        <v>732</v>
      </c>
      <c r="D338" s="10">
        <v>35</v>
      </c>
      <c r="F338"/>
      <c r="J338"/>
    </row>
    <row r="339" spans="1:10">
      <c r="A339" s="10" t="s">
        <v>361</v>
      </c>
      <c r="B339" s="10" t="s">
        <v>301</v>
      </c>
      <c r="C339" s="10" t="s">
        <v>13</v>
      </c>
      <c r="D339" s="10">
        <v>11</v>
      </c>
      <c r="F339"/>
      <c r="J339"/>
    </row>
    <row r="340" spans="1:10">
      <c r="A340" s="10" t="s">
        <v>362</v>
      </c>
      <c r="B340" s="10" t="s">
        <v>31</v>
      </c>
      <c r="C340" s="10" t="s">
        <v>13</v>
      </c>
      <c r="D340" s="10">
        <v>43</v>
      </c>
      <c r="F340"/>
      <c r="J340"/>
    </row>
    <row r="341" spans="1:10">
      <c r="A341" s="10" t="s">
        <v>363</v>
      </c>
      <c r="B341" s="10" t="s">
        <v>50</v>
      </c>
      <c r="C341" s="10" t="s">
        <v>13</v>
      </c>
      <c r="D341" s="10">
        <v>22</v>
      </c>
      <c r="F341"/>
      <c r="J341"/>
    </row>
    <row r="342" spans="1:10">
      <c r="A342" s="10" t="s">
        <v>364</v>
      </c>
      <c r="B342" s="10" t="s">
        <v>39</v>
      </c>
      <c r="C342" s="10" t="s">
        <v>20</v>
      </c>
      <c r="D342" s="10">
        <v>49</v>
      </c>
      <c r="F342"/>
      <c r="J342"/>
    </row>
    <row r="343" spans="1:10">
      <c r="A343" s="10" t="s">
        <v>365</v>
      </c>
      <c r="B343" s="10" t="s">
        <v>39</v>
      </c>
      <c r="C343" s="10" t="s">
        <v>32</v>
      </c>
      <c r="D343" s="10">
        <v>37</v>
      </c>
      <c r="F343"/>
      <c r="J343"/>
    </row>
    <row r="344" spans="1:10">
      <c r="A344" s="10" t="s">
        <v>366</v>
      </c>
      <c r="B344" s="10" t="s">
        <v>42</v>
      </c>
      <c r="C344" s="10" t="s">
        <v>13</v>
      </c>
      <c r="D344" s="10">
        <v>26</v>
      </c>
      <c r="F344"/>
      <c r="J344"/>
    </row>
    <row r="345" spans="1:10">
      <c r="A345" s="10" t="s">
        <v>367</v>
      </c>
      <c r="B345" s="10" t="s">
        <v>301</v>
      </c>
      <c r="C345" s="10" t="s">
        <v>13</v>
      </c>
      <c r="D345" s="10">
        <v>19</v>
      </c>
      <c r="F345"/>
      <c r="J345"/>
    </row>
    <row r="346" spans="1:10">
      <c r="A346" s="10" t="s">
        <v>368</v>
      </c>
      <c r="B346" s="10" t="s">
        <v>31</v>
      </c>
      <c r="C346" s="10" t="s">
        <v>13</v>
      </c>
      <c r="D346" s="10">
        <v>20</v>
      </c>
      <c r="F346"/>
      <c r="J346"/>
    </row>
    <row r="347" spans="1:10">
      <c r="A347" s="10" t="s">
        <v>369</v>
      </c>
      <c r="B347" s="10" t="s">
        <v>34</v>
      </c>
      <c r="C347" s="10" t="s">
        <v>20</v>
      </c>
      <c r="D347" s="10">
        <v>36</v>
      </c>
      <c r="F347"/>
      <c r="J347"/>
    </row>
    <row r="348" spans="1:10">
      <c r="A348" s="10" t="s">
        <v>370</v>
      </c>
      <c r="B348" s="10" t="s">
        <v>37</v>
      </c>
      <c r="C348" s="10" t="s">
        <v>20</v>
      </c>
      <c r="D348" s="10">
        <v>39</v>
      </c>
      <c r="F348"/>
      <c r="J348"/>
    </row>
    <row r="349" spans="1:10">
      <c r="A349" s="10" t="s">
        <v>371</v>
      </c>
      <c r="B349" s="10" t="s">
        <v>39</v>
      </c>
      <c r="C349" s="10" t="s">
        <v>13</v>
      </c>
      <c r="D349" s="10">
        <v>10</v>
      </c>
      <c r="F349"/>
      <c r="J349"/>
    </row>
    <row r="350" spans="1:10">
      <c r="A350" s="10" t="s">
        <v>372</v>
      </c>
      <c r="B350" s="10" t="s">
        <v>39</v>
      </c>
      <c r="C350" s="10" t="s">
        <v>13</v>
      </c>
      <c r="D350" s="10">
        <v>24</v>
      </c>
      <c r="F350"/>
      <c r="J350"/>
    </row>
    <row r="351" spans="1:10">
      <c r="A351" s="10" t="s">
        <v>373</v>
      </c>
      <c r="B351" s="10" t="s">
        <v>42</v>
      </c>
      <c r="C351" s="10" t="s">
        <v>13</v>
      </c>
      <c r="D351" s="10">
        <v>35</v>
      </c>
      <c r="F351"/>
      <c r="J351"/>
    </row>
    <row r="352" spans="1:10">
      <c r="A352" s="10" t="s">
        <v>374</v>
      </c>
      <c r="B352" s="10" t="s">
        <v>50</v>
      </c>
      <c r="C352" s="10" t="s">
        <v>13</v>
      </c>
      <c r="D352" s="10">
        <v>32</v>
      </c>
      <c r="F352"/>
      <c r="J352"/>
    </row>
    <row r="353" spans="1:10">
      <c r="A353" s="10" t="s">
        <v>375</v>
      </c>
      <c r="B353" s="10" t="s">
        <v>37</v>
      </c>
      <c r="C353" s="10" t="s">
        <v>13</v>
      </c>
      <c r="D353" s="10">
        <v>20</v>
      </c>
      <c r="F353"/>
      <c r="J353"/>
    </row>
    <row r="354" spans="1:10">
      <c r="A354" s="10" t="s">
        <v>376</v>
      </c>
      <c r="B354" s="10" t="s">
        <v>42</v>
      </c>
      <c r="C354" s="10" t="s">
        <v>20</v>
      </c>
      <c r="D354" s="10">
        <v>34</v>
      </c>
      <c r="F354"/>
      <c r="J354"/>
    </row>
    <row r="355" spans="1:10">
      <c r="A355" s="10" t="s">
        <v>377</v>
      </c>
      <c r="B355" s="10" t="s">
        <v>50</v>
      </c>
      <c r="C355" s="10" t="s">
        <v>13</v>
      </c>
      <c r="D355" s="10">
        <v>29</v>
      </c>
      <c r="F355"/>
      <c r="J355"/>
    </row>
    <row r="356" spans="1:10">
      <c r="A356" s="10" t="s">
        <v>378</v>
      </c>
      <c r="B356" s="10" t="s">
        <v>37</v>
      </c>
      <c r="C356" s="10" t="s">
        <v>20</v>
      </c>
      <c r="D356" s="10">
        <v>26</v>
      </c>
      <c r="F356"/>
      <c r="J356"/>
    </row>
    <row r="357" spans="1:10">
      <c r="A357" s="10" t="s">
        <v>379</v>
      </c>
      <c r="B357" s="10" t="s">
        <v>39</v>
      </c>
      <c r="C357" s="10" t="s">
        <v>16</v>
      </c>
      <c r="D357" s="10">
        <v>25</v>
      </c>
      <c r="F357"/>
      <c r="J357"/>
    </row>
    <row r="358" spans="1:10">
      <c r="A358" s="10" t="s">
        <v>380</v>
      </c>
      <c r="B358" s="10" t="s">
        <v>39</v>
      </c>
      <c r="C358" s="10" t="s">
        <v>13</v>
      </c>
      <c r="D358" s="10">
        <v>44</v>
      </c>
      <c r="F358"/>
      <c r="J358"/>
    </row>
    <row r="359" spans="1:10">
      <c r="A359" s="10" t="s">
        <v>381</v>
      </c>
      <c r="B359" s="10" t="s">
        <v>42</v>
      </c>
      <c r="C359" s="10" t="s">
        <v>13</v>
      </c>
      <c r="D359" s="10">
        <v>28</v>
      </c>
      <c r="F359"/>
      <c r="J359"/>
    </row>
    <row r="360" spans="1:10">
      <c r="A360" s="10" t="s">
        <v>382</v>
      </c>
      <c r="B360" s="10" t="s">
        <v>301</v>
      </c>
      <c r="C360" s="10" t="s">
        <v>20</v>
      </c>
      <c r="D360" s="10">
        <v>35</v>
      </c>
      <c r="F360"/>
      <c r="J360"/>
    </row>
    <row r="361" spans="1:10">
      <c r="A361" s="10" t="s">
        <v>383</v>
      </c>
      <c r="B361" s="10" t="s">
        <v>31</v>
      </c>
      <c r="C361" s="10" t="s">
        <v>13</v>
      </c>
      <c r="D361" s="10">
        <v>30</v>
      </c>
      <c r="F361"/>
      <c r="J361"/>
    </row>
    <row r="362" spans="1:10">
      <c r="A362" s="10" t="s">
        <v>384</v>
      </c>
      <c r="B362" s="10" t="s">
        <v>37</v>
      </c>
      <c r="C362" s="10" t="s">
        <v>13</v>
      </c>
      <c r="D362" s="10">
        <v>24</v>
      </c>
      <c r="F362"/>
      <c r="J362"/>
    </row>
    <row r="363" spans="1:10">
      <c r="A363" s="10" t="s">
        <v>385</v>
      </c>
      <c r="B363" s="10" t="s">
        <v>39</v>
      </c>
      <c r="C363" s="10" t="s">
        <v>20</v>
      </c>
      <c r="D363" s="10">
        <v>18</v>
      </c>
      <c r="F363"/>
      <c r="J363"/>
    </row>
    <row r="364" spans="1:10">
      <c r="A364" s="10" t="s">
        <v>386</v>
      </c>
      <c r="B364" s="10" t="s">
        <v>42</v>
      </c>
      <c r="C364" s="10" t="s">
        <v>20</v>
      </c>
      <c r="D364" s="10">
        <v>34</v>
      </c>
      <c r="F364"/>
      <c r="J364"/>
    </row>
    <row r="365" spans="1:10">
      <c r="A365" s="10" t="s">
        <v>387</v>
      </c>
      <c r="B365" s="10" t="s">
        <v>34</v>
      </c>
      <c r="C365" s="10" t="s">
        <v>13</v>
      </c>
      <c r="D365" s="10">
        <v>20</v>
      </c>
      <c r="F365"/>
      <c r="J365"/>
    </row>
    <row r="366" spans="1:10">
      <c r="A366" s="10" t="s">
        <v>388</v>
      </c>
      <c r="B366" s="10" t="s">
        <v>50</v>
      </c>
      <c r="C366" s="10" t="s">
        <v>13</v>
      </c>
      <c r="D366" s="10">
        <v>24</v>
      </c>
      <c r="F366"/>
      <c r="J366"/>
    </row>
    <row r="367" spans="1:10">
      <c r="A367" s="10" t="s">
        <v>389</v>
      </c>
      <c r="B367" s="10" t="s">
        <v>39</v>
      </c>
      <c r="C367" s="10" t="s">
        <v>20</v>
      </c>
      <c r="D367" s="10">
        <v>41</v>
      </c>
      <c r="F367"/>
      <c r="J367"/>
    </row>
    <row r="368" spans="1:10">
      <c r="A368" s="10" t="s">
        <v>390</v>
      </c>
      <c r="B368" s="10" t="s">
        <v>42</v>
      </c>
      <c r="C368" s="10" t="s">
        <v>13</v>
      </c>
      <c r="D368" s="10">
        <v>26</v>
      </c>
      <c r="F368"/>
      <c r="J368"/>
    </row>
    <row r="369" spans="1:10">
      <c r="A369" s="10" t="s">
        <v>391</v>
      </c>
      <c r="B369" s="10" t="s">
        <v>42</v>
      </c>
      <c r="C369" s="10" t="s">
        <v>20</v>
      </c>
      <c r="D369" s="10">
        <v>53</v>
      </c>
      <c r="F369"/>
      <c r="J369"/>
    </row>
    <row r="370" spans="1:10">
      <c r="A370" s="10" t="s">
        <v>392</v>
      </c>
      <c r="B370" s="10" t="s">
        <v>301</v>
      </c>
      <c r="C370" s="10" t="s">
        <v>13</v>
      </c>
      <c r="D370" s="10">
        <v>35</v>
      </c>
      <c r="F370"/>
      <c r="J370"/>
    </row>
    <row r="371" spans="1:10">
      <c r="A371" s="10" t="s">
        <v>393</v>
      </c>
      <c r="B371" s="10" t="s">
        <v>31</v>
      </c>
      <c r="C371" s="10" t="s">
        <v>13</v>
      </c>
      <c r="D371" s="10">
        <v>5</v>
      </c>
      <c r="F371"/>
      <c r="J371"/>
    </row>
    <row r="372" spans="1:10">
      <c r="A372" s="10" t="s">
        <v>394</v>
      </c>
      <c r="B372" s="10" t="s">
        <v>50</v>
      </c>
      <c r="C372" s="10" t="s">
        <v>20</v>
      </c>
      <c r="D372" s="10">
        <v>23</v>
      </c>
      <c r="F372"/>
      <c r="J372"/>
    </row>
    <row r="373" spans="1:10">
      <c r="A373" s="10" t="s">
        <v>395</v>
      </c>
      <c r="B373" s="10" t="s">
        <v>39</v>
      </c>
      <c r="C373" s="10" t="s">
        <v>13</v>
      </c>
      <c r="D373" s="10">
        <v>21</v>
      </c>
      <c r="F373"/>
      <c r="J373"/>
    </row>
    <row r="374" spans="1:10">
      <c r="A374" s="10" t="s">
        <v>396</v>
      </c>
      <c r="B374" s="10" t="s">
        <v>39</v>
      </c>
      <c r="C374" s="10" t="s">
        <v>20</v>
      </c>
      <c r="D374" s="10">
        <v>27</v>
      </c>
      <c r="F374"/>
      <c r="J374"/>
    </row>
    <row r="375" spans="1:10">
      <c r="A375" s="10" t="s">
        <v>397</v>
      </c>
      <c r="B375" s="10" t="s">
        <v>301</v>
      </c>
      <c r="C375" s="10" t="s">
        <v>13</v>
      </c>
      <c r="D375" s="10">
        <v>44</v>
      </c>
      <c r="F375"/>
      <c r="J375"/>
    </row>
    <row r="376" spans="1:10">
      <c r="A376" s="10" t="s">
        <v>398</v>
      </c>
      <c r="B376" s="10" t="s">
        <v>37</v>
      </c>
      <c r="C376" s="10" t="s">
        <v>13</v>
      </c>
      <c r="D376" s="10">
        <v>28</v>
      </c>
      <c r="F376"/>
      <c r="J376"/>
    </row>
    <row r="377" spans="1:10">
      <c r="A377" s="10" t="s">
        <v>399</v>
      </c>
      <c r="B377" s="10" t="s">
        <v>39</v>
      </c>
      <c r="C377" s="10" t="s">
        <v>13</v>
      </c>
      <c r="D377" s="10">
        <v>34</v>
      </c>
      <c r="F377"/>
      <c r="J377"/>
    </row>
    <row r="378" spans="1:10">
      <c r="A378" s="10" t="s">
        <v>400</v>
      </c>
      <c r="B378" s="10" t="s">
        <v>39</v>
      </c>
      <c r="C378" s="10" t="s">
        <v>13</v>
      </c>
      <c r="D378" s="10">
        <v>11</v>
      </c>
      <c r="F378"/>
      <c r="J378"/>
    </row>
    <row r="379" spans="1:10">
      <c r="A379" s="10" t="s">
        <v>401</v>
      </c>
      <c r="B379" s="10" t="s">
        <v>42</v>
      </c>
      <c r="C379" s="10" t="s">
        <v>13</v>
      </c>
      <c r="D379" s="10">
        <v>22</v>
      </c>
      <c r="F379"/>
      <c r="J379"/>
    </row>
    <row r="380" spans="1:10">
      <c r="A380" s="10" t="s">
        <v>402</v>
      </c>
      <c r="B380" s="10" t="s">
        <v>42</v>
      </c>
      <c r="C380" s="10" t="s">
        <v>13</v>
      </c>
      <c r="D380" s="10">
        <v>29</v>
      </c>
      <c r="F380"/>
      <c r="J380"/>
    </row>
    <row r="381" spans="1:10">
      <c r="A381" s="10" t="s">
        <v>403</v>
      </c>
      <c r="B381" s="10" t="s">
        <v>301</v>
      </c>
      <c r="C381" s="10" t="s">
        <v>13</v>
      </c>
      <c r="D381" s="10">
        <v>31</v>
      </c>
      <c r="F381"/>
      <c r="J381"/>
    </row>
    <row r="382" spans="1:10">
      <c r="A382" s="10" t="s">
        <v>404</v>
      </c>
      <c r="B382" s="10" t="s">
        <v>50</v>
      </c>
      <c r="C382" s="10" t="s">
        <v>20</v>
      </c>
      <c r="D382" s="10">
        <v>25</v>
      </c>
      <c r="F382"/>
      <c r="J382"/>
    </row>
    <row r="383" spans="1:10">
      <c r="A383" s="10" t="s">
        <v>405</v>
      </c>
      <c r="B383" s="10" t="s">
        <v>37</v>
      </c>
      <c r="C383" s="10" t="s">
        <v>13</v>
      </c>
      <c r="D383" s="10">
        <v>46</v>
      </c>
      <c r="F383"/>
      <c r="J383"/>
    </row>
    <row r="384" spans="1:10">
      <c r="A384" s="10" t="s">
        <v>406</v>
      </c>
      <c r="B384" s="10" t="s">
        <v>39</v>
      </c>
      <c r="C384" s="10" t="s">
        <v>20</v>
      </c>
      <c r="D384" s="10">
        <v>27</v>
      </c>
      <c r="F384"/>
      <c r="J384"/>
    </row>
    <row r="385" spans="1:10">
      <c r="A385" s="10" t="s">
        <v>407</v>
      </c>
      <c r="B385" s="10" t="s">
        <v>39</v>
      </c>
      <c r="C385" s="10" t="s">
        <v>13</v>
      </c>
      <c r="D385" s="10">
        <v>36</v>
      </c>
      <c r="F385"/>
      <c r="J385"/>
    </row>
    <row r="386" spans="1:10">
      <c r="A386" s="10" t="s">
        <v>408</v>
      </c>
      <c r="B386" s="10" t="s">
        <v>42</v>
      </c>
      <c r="C386" s="10" t="s">
        <v>13</v>
      </c>
      <c r="D386" s="10">
        <v>36</v>
      </c>
      <c r="F386"/>
      <c r="J386"/>
    </row>
    <row r="387" spans="1:10">
      <c r="A387" s="10" t="s">
        <v>409</v>
      </c>
      <c r="B387" s="10" t="s">
        <v>301</v>
      </c>
      <c r="C387" s="10" t="s">
        <v>13</v>
      </c>
      <c r="D387" s="10">
        <v>12</v>
      </c>
      <c r="F387"/>
      <c r="J387"/>
    </row>
    <row r="388" spans="1:10">
      <c r="A388" s="10" t="s">
        <v>410</v>
      </c>
      <c r="B388" s="10" t="s">
        <v>31</v>
      </c>
      <c r="C388" s="10" t="s">
        <v>13</v>
      </c>
      <c r="D388" s="10">
        <v>33</v>
      </c>
      <c r="F388"/>
      <c r="J388"/>
    </row>
    <row r="389" spans="1:10">
      <c r="A389" s="10" t="s">
        <v>411</v>
      </c>
      <c r="B389" s="10" t="s">
        <v>34</v>
      </c>
      <c r="C389" s="10" t="s">
        <v>13</v>
      </c>
      <c r="D389" s="10">
        <v>29</v>
      </c>
      <c r="F389"/>
      <c r="J389"/>
    </row>
    <row r="390" spans="1:10">
      <c r="A390" s="10" t="s">
        <v>412</v>
      </c>
      <c r="B390" s="10" t="s">
        <v>50</v>
      </c>
      <c r="C390" s="10" t="s">
        <v>20</v>
      </c>
      <c r="D390" s="10">
        <v>24</v>
      </c>
      <c r="F390"/>
      <c r="J390"/>
    </row>
    <row r="391" spans="1:10">
      <c r="A391" s="10" t="s">
        <v>413</v>
      </c>
      <c r="B391" s="10" t="s">
        <v>39</v>
      </c>
      <c r="C391" s="10" t="s">
        <v>13</v>
      </c>
      <c r="D391" s="10">
        <v>17</v>
      </c>
      <c r="F391"/>
      <c r="J391"/>
    </row>
    <row r="392" spans="1:10">
      <c r="A392" s="10" t="s">
        <v>414</v>
      </c>
      <c r="B392" s="10" t="s">
        <v>42</v>
      </c>
      <c r="C392" s="10" t="s">
        <v>13</v>
      </c>
      <c r="D392" s="10">
        <v>18</v>
      </c>
      <c r="F392"/>
      <c r="J392"/>
    </row>
    <row r="393" spans="1:10">
      <c r="A393" s="10" t="s">
        <v>415</v>
      </c>
      <c r="B393" s="10" t="s">
        <v>42</v>
      </c>
      <c r="C393" s="10" t="s">
        <v>13</v>
      </c>
      <c r="D393" s="10">
        <v>37</v>
      </c>
      <c r="F393"/>
      <c r="J393"/>
    </row>
    <row r="394" spans="1:10">
      <c r="A394" s="10" t="s">
        <v>416</v>
      </c>
      <c r="B394" s="10" t="s">
        <v>301</v>
      </c>
      <c r="C394" s="10" t="s">
        <v>13</v>
      </c>
      <c r="D394" s="10">
        <v>32</v>
      </c>
      <c r="F394"/>
      <c r="J394"/>
    </row>
    <row r="395" spans="1:10">
      <c r="A395" s="10" t="s">
        <v>417</v>
      </c>
      <c r="B395" s="10" t="s">
        <v>37</v>
      </c>
      <c r="C395" s="10" t="s">
        <v>13</v>
      </c>
      <c r="D395" s="10">
        <v>36</v>
      </c>
      <c r="F395"/>
      <c r="J395"/>
    </row>
    <row r="396" spans="1:10">
      <c r="A396" s="10" t="s">
        <v>418</v>
      </c>
      <c r="B396" s="10" t="s">
        <v>31</v>
      </c>
      <c r="C396" s="10" t="s">
        <v>13</v>
      </c>
      <c r="D396" s="10">
        <v>31</v>
      </c>
      <c r="F396"/>
      <c r="J396"/>
    </row>
    <row r="397" spans="1:10">
      <c r="A397" s="10" t="s">
        <v>419</v>
      </c>
      <c r="B397" s="10" t="s">
        <v>34</v>
      </c>
      <c r="C397" s="10" t="s">
        <v>20</v>
      </c>
      <c r="D397" s="10">
        <v>35</v>
      </c>
      <c r="F397"/>
      <c r="J397"/>
    </row>
    <row r="398" spans="1:10">
      <c r="A398" s="10" t="s">
        <v>420</v>
      </c>
      <c r="B398" s="10" t="s">
        <v>37</v>
      </c>
      <c r="C398" s="10" t="s">
        <v>13</v>
      </c>
      <c r="D398" s="10">
        <v>23</v>
      </c>
      <c r="F398"/>
      <c r="J398"/>
    </row>
    <row r="399" spans="1:10">
      <c r="A399" s="10" t="s">
        <v>421</v>
      </c>
      <c r="B399" s="10" t="s">
        <v>39</v>
      </c>
      <c r="C399" s="10" t="s">
        <v>13</v>
      </c>
      <c r="D399" s="10">
        <v>14</v>
      </c>
      <c r="F399"/>
      <c r="J399"/>
    </row>
    <row r="400" spans="1:10">
      <c r="A400" s="10" t="s">
        <v>422</v>
      </c>
      <c r="B400" s="10" t="s">
        <v>39</v>
      </c>
      <c r="C400" s="10" t="s">
        <v>13</v>
      </c>
      <c r="D400" s="10">
        <v>30</v>
      </c>
      <c r="F400"/>
      <c r="J400"/>
    </row>
    <row r="401" spans="1:10">
      <c r="A401" s="10" t="s">
        <v>423</v>
      </c>
      <c r="B401" s="10" t="s">
        <v>42</v>
      </c>
      <c r="C401" s="10" t="s">
        <v>20</v>
      </c>
      <c r="D401" s="10">
        <v>43</v>
      </c>
      <c r="F401"/>
      <c r="J401"/>
    </row>
    <row r="402" spans="1:10">
      <c r="A402" s="10" t="s">
        <v>424</v>
      </c>
      <c r="C402" s="10" t="s">
        <v>13</v>
      </c>
      <c r="D402" s="10">
        <v>39</v>
      </c>
      <c r="F402"/>
      <c r="J402"/>
    </row>
    <row r="403" spans="1:10">
      <c r="A403" s="10" t="s">
        <v>425</v>
      </c>
      <c r="B403" s="10" t="s">
        <v>301</v>
      </c>
      <c r="C403" s="10" t="s">
        <v>32</v>
      </c>
      <c r="D403" s="10">
        <v>16</v>
      </c>
      <c r="F403"/>
      <c r="J403"/>
    </row>
    <row r="404" spans="1:10">
      <c r="A404" s="10" t="s">
        <v>426</v>
      </c>
      <c r="B404" s="10" t="s">
        <v>50</v>
      </c>
      <c r="C404" s="10" t="s">
        <v>13</v>
      </c>
      <c r="D404" s="10">
        <v>34</v>
      </c>
      <c r="F404"/>
      <c r="J404"/>
    </row>
    <row r="405" spans="1:10">
      <c r="A405" s="10" t="s">
        <v>427</v>
      </c>
      <c r="B405" s="10" t="s">
        <v>37</v>
      </c>
      <c r="C405" s="10" t="s">
        <v>20</v>
      </c>
      <c r="D405" s="10">
        <v>16</v>
      </c>
      <c r="F405"/>
      <c r="J405"/>
    </row>
    <row r="406" spans="1:10">
      <c r="A406" s="10" t="s">
        <v>428</v>
      </c>
      <c r="B406" s="10" t="s">
        <v>39</v>
      </c>
      <c r="C406" s="10" t="s">
        <v>13</v>
      </c>
      <c r="D406" s="10">
        <v>27</v>
      </c>
      <c r="F406"/>
      <c r="J406"/>
    </row>
    <row r="407" spans="1:10">
      <c r="A407" s="10" t="s">
        <v>429</v>
      </c>
      <c r="B407" s="10" t="s">
        <v>39</v>
      </c>
      <c r="C407" s="10" t="s">
        <v>13</v>
      </c>
      <c r="D407" s="10">
        <v>37</v>
      </c>
      <c r="F407"/>
      <c r="J407"/>
    </row>
    <row r="408" spans="1:10">
      <c r="A408" s="10" t="s">
        <v>430</v>
      </c>
      <c r="B408" s="10" t="s">
        <v>301</v>
      </c>
      <c r="C408" s="10" t="s">
        <v>13</v>
      </c>
      <c r="D408" s="10">
        <v>21</v>
      </c>
      <c r="F408"/>
      <c r="J408"/>
    </row>
    <row r="409" spans="1:10">
      <c r="A409" s="10" t="s">
        <v>431</v>
      </c>
      <c r="B409" s="10" t="s">
        <v>50</v>
      </c>
      <c r="C409" s="10" t="s">
        <v>20</v>
      </c>
      <c r="D409" s="10">
        <v>29</v>
      </c>
      <c r="F409"/>
      <c r="J409"/>
    </row>
    <row r="410" spans="1:10">
      <c r="A410" s="10" t="s">
        <v>432</v>
      </c>
      <c r="B410" s="10" t="s">
        <v>37</v>
      </c>
      <c r="C410" s="10" t="s">
        <v>13</v>
      </c>
      <c r="D410" s="10">
        <v>34</v>
      </c>
      <c r="F410"/>
      <c r="J410"/>
    </row>
    <row r="411" spans="1:10">
      <c r="A411" s="10" t="s">
        <v>433</v>
      </c>
      <c r="B411" s="10" t="s">
        <v>39</v>
      </c>
      <c r="C411" s="10" t="s">
        <v>20</v>
      </c>
      <c r="D411" s="10">
        <v>28</v>
      </c>
      <c r="F411"/>
      <c r="J411"/>
    </row>
    <row r="412" spans="1:10">
      <c r="A412" s="10" t="s">
        <v>434</v>
      </c>
      <c r="B412" s="10" t="s">
        <v>42</v>
      </c>
      <c r="C412" s="10" t="s">
        <v>13</v>
      </c>
      <c r="D412" s="10">
        <v>24</v>
      </c>
      <c r="F412"/>
      <c r="J412"/>
    </row>
    <row r="413" spans="1:10">
      <c r="A413" s="10" t="s">
        <v>435</v>
      </c>
      <c r="B413" s="10" t="s">
        <v>301</v>
      </c>
      <c r="C413" s="10" t="s">
        <v>13</v>
      </c>
      <c r="D413" s="10">
        <v>20</v>
      </c>
      <c r="F413"/>
      <c r="J413"/>
    </row>
    <row r="414" spans="1:10">
      <c r="A414" s="10" t="s">
        <v>436</v>
      </c>
      <c r="B414" s="10" t="s">
        <v>50</v>
      </c>
      <c r="C414" s="10" t="s">
        <v>13</v>
      </c>
      <c r="D414" s="10">
        <v>17</v>
      </c>
      <c r="F414"/>
      <c r="J414"/>
    </row>
    <row r="415" spans="1:10">
      <c r="A415" s="10" t="s">
        <v>437</v>
      </c>
      <c r="B415" s="10" t="s">
        <v>39</v>
      </c>
      <c r="C415" s="10" t="s">
        <v>13</v>
      </c>
      <c r="D415" s="10">
        <v>28</v>
      </c>
      <c r="F415"/>
      <c r="J415"/>
    </row>
    <row r="416" spans="1:10">
      <c r="A416" s="10" t="s">
        <v>438</v>
      </c>
      <c r="B416" s="10" t="s">
        <v>39</v>
      </c>
      <c r="C416" s="10" t="s">
        <v>13</v>
      </c>
      <c r="D416" s="10">
        <v>20</v>
      </c>
      <c r="F416"/>
      <c r="J416"/>
    </row>
    <row r="417" spans="1:10">
      <c r="A417" s="10" t="s">
        <v>439</v>
      </c>
      <c r="B417" s="10" t="s">
        <v>42</v>
      </c>
      <c r="C417" s="10" t="s">
        <v>13</v>
      </c>
      <c r="D417" s="10">
        <v>38</v>
      </c>
      <c r="F417"/>
      <c r="J417"/>
    </row>
    <row r="418" spans="1:10">
      <c r="A418" s="10" t="s">
        <v>440</v>
      </c>
      <c r="B418" s="10" t="s">
        <v>301</v>
      </c>
      <c r="C418" s="10" t="s">
        <v>13</v>
      </c>
      <c r="D418" s="10">
        <v>18</v>
      </c>
      <c r="F418"/>
      <c r="J418"/>
    </row>
    <row r="419" spans="1:10">
      <c r="A419" s="10" t="s">
        <v>441</v>
      </c>
      <c r="B419" s="10" t="s">
        <v>34</v>
      </c>
      <c r="C419" s="10" t="s">
        <v>13</v>
      </c>
      <c r="D419" s="10">
        <v>22</v>
      </c>
      <c r="F419"/>
      <c r="J419"/>
    </row>
    <row r="420" spans="1:10">
      <c r="A420" s="10" t="s">
        <v>442</v>
      </c>
      <c r="B420" s="10" t="s">
        <v>37</v>
      </c>
      <c r="C420" s="10" t="s">
        <v>20</v>
      </c>
      <c r="D420" s="10">
        <v>21</v>
      </c>
      <c r="F420"/>
      <c r="J420"/>
    </row>
    <row r="421" spans="1:10">
      <c r="A421" s="10" t="s">
        <v>443</v>
      </c>
      <c r="B421" s="10" t="s">
        <v>39</v>
      </c>
      <c r="C421" s="10" t="s">
        <v>20</v>
      </c>
      <c r="D421" s="10">
        <v>25</v>
      </c>
      <c r="F421"/>
      <c r="J421"/>
    </row>
    <row r="422" spans="1:10">
      <c r="A422" s="10" t="s">
        <v>444</v>
      </c>
      <c r="B422" s="10" t="s">
        <v>39</v>
      </c>
      <c r="C422" s="10" t="s">
        <v>13</v>
      </c>
      <c r="D422" s="10">
        <v>31</v>
      </c>
      <c r="F422"/>
      <c r="J422"/>
    </row>
    <row r="423" spans="1:10">
      <c r="A423" s="10" t="s">
        <v>445</v>
      </c>
      <c r="B423" s="10" t="s">
        <v>42</v>
      </c>
      <c r="C423" s="10" t="s">
        <v>20</v>
      </c>
      <c r="D423" s="10">
        <v>32</v>
      </c>
      <c r="F423"/>
      <c r="J423"/>
    </row>
    <row r="424" spans="1:10">
      <c r="A424" s="10" t="s">
        <v>446</v>
      </c>
      <c r="B424" s="10" t="s">
        <v>42</v>
      </c>
      <c r="C424" s="10" t="s">
        <v>13</v>
      </c>
      <c r="D424" s="10">
        <v>33</v>
      </c>
      <c r="F424"/>
      <c r="J424"/>
    </row>
    <row r="425" spans="1:10">
      <c r="A425" s="10" t="s">
        <v>447</v>
      </c>
      <c r="B425" s="10" t="s">
        <v>34</v>
      </c>
      <c r="C425" s="10" t="s">
        <v>13</v>
      </c>
      <c r="D425" s="10">
        <v>8</v>
      </c>
      <c r="F425"/>
      <c r="J425"/>
    </row>
    <row r="426" spans="1:10">
      <c r="A426" s="10" t="s">
        <v>448</v>
      </c>
      <c r="B426" s="10" t="s">
        <v>50</v>
      </c>
      <c r="C426" s="10" t="s">
        <v>13</v>
      </c>
      <c r="D426" s="10">
        <v>15</v>
      </c>
      <c r="F426"/>
      <c r="J426"/>
    </row>
    <row r="427" spans="1:10">
      <c r="A427" s="10" t="s">
        <v>449</v>
      </c>
      <c r="B427" s="10" t="s">
        <v>39</v>
      </c>
      <c r="C427" s="10" t="s">
        <v>13</v>
      </c>
      <c r="D427" s="10">
        <v>26</v>
      </c>
      <c r="F427"/>
      <c r="J427"/>
    </row>
    <row r="428" spans="1:10">
      <c r="A428" s="10" t="s">
        <v>450</v>
      </c>
      <c r="B428" s="10" t="s">
        <v>37</v>
      </c>
      <c r="C428" s="10" t="s">
        <v>13</v>
      </c>
      <c r="D428" s="10">
        <v>20</v>
      </c>
      <c r="F428"/>
      <c r="J428"/>
    </row>
    <row r="429" spans="1:10">
      <c r="A429" s="10" t="s">
        <v>451</v>
      </c>
      <c r="B429" s="10" t="s">
        <v>42</v>
      </c>
      <c r="C429" s="10" t="s">
        <v>20</v>
      </c>
      <c r="D429" s="10">
        <v>26</v>
      </c>
      <c r="F429"/>
      <c r="J429"/>
    </row>
    <row r="430" spans="1:10">
      <c r="A430" s="10" t="s">
        <v>452</v>
      </c>
      <c r="B430" s="10" t="s">
        <v>301</v>
      </c>
      <c r="C430" s="10" t="s">
        <v>13</v>
      </c>
      <c r="D430" s="10">
        <v>33</v>
      </c>
      <c r="F430"/>
      <c r="J430"/>
    </row>
    <row r="431" spans="1:10">
      <c r="A431" s="10" t="s">
        <v>453</v>
      </c>
      <c r="B431" s="10" t="s">
        <v>31</v>
      </c>
      <c r="C431" s="10" t="s">
        <v>20</v>
      </c>
      <c r="D431" s="10">
        <v>23</v>
      </c>
      <c r="F431"/>
      <c r="J431"/>
    </row>
    <row r="432" spans="1:10">
      <c r="A432" s="10" t="s">
        <v>454</v>
      </c>
      <c r="B432" s="10" t="s">
        <v>34</v>
      </c>
      <c r="C432" s="10" t="s">
        <v>13</v>
      </c>
      <c r="D432" s="10">
        <v>21</v>
      </c>
      <c r="F432"/>
      <c r="J432"/>
    </row>
    <row r="433" spans="1:10">
      <c r="A433" s="10" t="s">
        <v>455</v>
      </c>
      <c r="B433" s="10" t="s">
        <v>39</v>
      </c>
      <c r="C433" s="10" t="s">
        <v>20</v>
      </c>
      <c r="D433" s="10">
        <v>43</v>
      </c>
      <c r="F433"/>
      <c r="J433"/>
    </row>
    <row r="434" spans="1:10">
      <c r="A434" s="10" t="s">
        <v>456</v>
      </c>
      <c r="B434" s="10" t="s">
        <v>39</v>
      </c>
      <c r="C434" s="10" t="s">
        <v>13</v>
      </c>
      <c r="D434" s="10">
        <v>36</v>
      </c>
      <c r="F434"/>
      <c r="J434"/>
    </row>
    <row r="435" spans="1:10">
      <c r="A435" s="10" t="s">
        <v>457</v>
      </c>
      <c r="B435" s="10" t="s">
        <v>42</v>
      </c>
      <c r="C435" s="10" t="s">
        <v>20</v>
      </c>
      <c r="D435" s="10">
        <v>34</v>
      </c>
      <c r="F435"/>
      <c r="J435"/>
    </row>
    <row r="436" spans="1:10">
      <c r="A436" s="10" t="s">
        <v>458</v>
      </c>
      <c r="B436" s="10" t="s">
        <v>42</v>
      </c>
      <c r="C436" s="10" t="s">
        <v>13</v>
      </c>
      <c r="D436" s="10">
        <v>25</v>
      </c>
      <c r="F436"/>
      <c r="J436"/>
    </row>
    <row r="437" spans="1:10">
      <c r="A437" s="10" t="s">
        <v>459</v>
      </c>
      <c r="B437" s="10" t="s">
        <v>301</v>
      </c>
      <c r="C437" s="10" t="s">
        <v>13</v>
      </c>
      <c r="D437" s="10">
        <v>14</v>
      </c>
      <c r="F437"/>
      <c r="J437"/>
    </row>
    <row r="438" spans="1:10">
      <c r="A438" s="10" t="s">
        <v>460</v>
      </c>
      <c r="B438" s="10" t="s">
        <v>31</v>
      </c>
      <c r="C438" s="10" t="s">
        <v>13</v>
      </c>
      <c r="D438" s="10">
        <v>24</v>
      </c>
      <c r="F438"/>
      <c r="J438"/>
    </row>
    <row r="439" spans="1:10">
      <c r="A439" s="10" t="s">
        <v>461</v>
      </c>
      <c r="B439" s="10" t="s">
        <v>39</v>
      </c>
      <c r="C439" s="10" t="s">
        <v>13</v>
      </c>
      <c r="D439" s="10">
        <v>38</v>
      </c>
      <c r="F439"/>
      <c r="J439"/>
    </row>
    <row r="440" spans="1:10">
      <c r="A440" s="10" t="s">
        <v>462</v>
      </c>
      <c r="B440" s="10" t="s">
        <v>42</v>
      </c>
      <c r="C440" s="10" t="s">
        <v>13</v>
      </c>
      <c r="D440" s="10">
        <v>61</v>
      </c>
      <c r="F440"/>
      <c r="J440"/>
    </row>
    <row r="441" spans="1:10">
      <c r="A441" s="10" t="s">
        <v>463</v>
      </c>
      <c r="B441" s="10" t="s">
        <v>301</v>
      </c>
      <c r="C441" s="10" t="s">
        <v>13</v>
      </c>
      <c r="D441" s="10">
        <v>30</v>
      </c>
      <c r="F441"/>
      <c r="J441"/>
    </row>
    <row r="442" spans="1:10">
      <c r="A442" s="10" t="s">
        <v>464</v>
      </c>
      <c r="B442" s="10" t="s">
        <v>34</v>
      </c>
      <c r="C442" s="10" t="s">
        <v>13</v>
      </c>
      <c r="D442" s="10">
        <v>41</v>
      </c>
      <c r="F442"/>
      <c r="J442"/>
    </row>
    <row r="443" spans="1:10">
      <c r="A443" s="10" t="s">
        <v>465</v>
      </c>
      <c r="B443" s="10" t="s">
        <v>39</v>
      </c>
      <c r="C443" s="10" t="s">
        <v>13</v>
      </c>
      <c r="D443" s="10">
        <v>28</v>
      </c>
      <c r="F443"/>
      <c r="J443"/>
    </row>
    <row r="444" spans="1:10">
      <c r="A444" s="10" t="s">
        <v>466</v>
      </c>
      <c r="B444" s="10" t="s">
        <v>39</v>
      </c>
      <c r="C444" s="10" t="s">
        <v>13</v>
      </c>
      <c r="D444" s="10">
        <v>27</v>
      </c>
      <c r="F444"/>
      <c r="J444"/>
    </row>
    <row r="445" spans="1:10">
      <c r="A445" s="10" t="s">
        <v>467</v>
      </c>
      <c r="B445" s="10" t="s">
        <v>42</v>
      </c>
      <c r="C445" s="10" t="s">
        <v>20</v>
      </c>
      <c r="D445" s="10">
        <v>28</v>
      </c>
      <c r="F445"/>
      <c r="J445"/>
    </row>
    <row r="446" spans="1:10">
      <c r="A446" s="10" t="s">
        <v>468</v>
      </c>
      <c r="B446" s="10" t="s">
        <v>301</v>
      </c>
      <c r="C446" s="10" t="s">
        <v>13</v>
      </c>
      <c r="D446" s="10">
        <v>14</v>
      </c>
      <c r="F446"/>
      <c r="J446"/>
    </row>
    <row r="447" spans="1:10">
      <c r="A447" s="10" t="s">
        <v>469</v>
      </c>
      <c r="B447" s="10" t="s">
        <v>31</v>
      </c>
      <c r="C447" s="10" t="s">
        <v>20</v>
      </c>
      <c r="D447" s="10">
        <v>30</v>
      </c>
      <c r="F447"/>
      <c r="J447"/>
    </row>
    <row r="448" spans="1:10">
      <c r="A448" s="10" t="s">
        <v>470</v>
      </c>
      <c r="B448" s="10" t="s">
        <v>34</v>
      </c>
      <c r="C448" s="10" t="s">
        <v>13</v>
      </c>
      <c r="D448" s="10">
        <v>13</v>
      </c>
      <c r="F448"/>
      <c r="J448"/>
    </row>
    <row r="449" spans="1:10">
      <c r="A449" s="10" t="s">
        <v>471</v>
      </c>
      <c r="B449" s="10" t="s">
        <v>50</v>
      </c>
      <c r="C449" s="10" t="s">
        <v>20</v>
      </c>
      <c r="D449" s="10">
        <v>45</v>
      </c>
      <c r="F449"/>
      <c r="J449"/>
    </row>
    <row r="450" spans="1:10">
      <c r="A450" s="10" t="s">
        <v>472</v>
      </c>
      <c r="B450" s="10" t="s">
        <v>37</v>
      </c>
      <c r="C450" s="10" t="s">
        <v>13</v>
      </c>
      <c r="D450" s="10">
        <v>11</v>
      </c>
      <c r="F450"/>
      <c r="J450"/>
    </row>
    <row r="451" spans="1:10">
      <c r="A451" s="10" t="s">
        <v>473</v>
      </c>
      <c r="B451" s="10" t="s">
        <v>39</v>
      </c>
      <c r="C451" s="10" t="s">
        <v>13</v>
      </c>
      <c r="D451" s="10">
        <v>36</v>
      </c>
      <c r="F451"/>
      <c r="J451"/>
    </row>
    <row r="452" spans="1:10">
      <c r="A452" s="10" t="s">
        <v>474</v>
      </c>
      <c r="B452" s="10" t="s">
        <v>42</v>
      </c>
      <c r="C452" s="10" t="s">
        <v>13</v>
      </c>
      <c r="D452" s="10">
        <v>27</v>
      </c>
      <c r="F452"/>
      <c r="J452"/>
    </row>
    <row r="453" spans="1:10">
      <c r="A453" s="10" t="s">
        <v>475</v>
      </c>
      <c r="B453" s="10" t="s">
        <v>42</v>
      </c>
      <c r="C453" s="10" t="s">
        <v>20</v>
      </c>
      <c r="D453" s="10">
        <v>41</v>
      </c>
      <c r="F453"/>
      <c r="J453"/>
    </row>
    <row r="454" spans="1:10">
      <c r="A454" s="10" t="s">
        <v>476</v>
      </c>
      <c r="B454" s="10" t="s">
        <v>301</v>
      </c>
      <c r="C454" s="10" t="s">
        <v>20</v>
      </c>
      <c r="D454" s="10">
        <v>34</v>
      </c>
      <c r="F454"/>
      <c r="J454"/>
    </row>
    <row r="455" spans="1:10">
      <c r="A455" s="10" t="s">
        <v>477</v>
      </c>
      <c r="B455" s="10" t="s">
        <v>31</v>
      </c>
      <c r="C455" s="10" t="s">
        <v>20</v>
      </c>
      <c r="D455" s="10">
        <v>51</v>
      </c>
      <c r="F455"/>
      <c r="J455"/>
    </row>
    <row r="456" spans="1:10">
      <c r="A456" s="10" t="s">
        <v>478</v>
      </c>
      <c r="B456" s="10" t="s">
        <v>34</v>
      </c>
      <c r="C456" s="10" t="s">
        <v>20</v>
      </c>
      <c r="D456" s="10">
        <v>38</v>
      </c>
      <c r="F456"/>
      <c r="J456"/>
    </row>
    <row r="457" spans="1:10">
      <c r="A457" s="10" t="s">
        <v>479</v>
      </c>
      <c r="B457" s="10" t="s">
        <v>50</v>
      </c>
      <c r="C457" s="10" t="s">
        <v>20</v>
      </c>
      <c r="D457" s="10">
        <v>19</v>
      </c>
      <c r="F457"/>
      <c r="J457"/>
    </row>
    <row r="458" spans="1:10">
      <c r="A458" s="10" t="s">
        <v>480</v>
      </c>
      <c r="B458" s="10" t="s">
        <v>39</v>
      </c>
      <c r="C458" s="10" t="s">
        <v>13</v>
      </c>
      <c r="D458" s="10">
        <v>9</v>
      </c>
      <c r="F458"/>
      <c r="J458"/>
    </row>
    <row r="459" spans="1:10">
      <c r="A459" s="10" t="s">
        <v>481</v>
      </c>
      <c r="B459" s="10" t="s">
        <v>39</v>
      </c>
      <c r="C459" s="10" t="s">
        <v>13</v>
      </c>
      <c r="D459" s="10">
        <v>19</v>
      </c>
      <c r="F459"/>
      <c r="J459"/>
    </row>
    <row r="460" spans="1:10">
      <c r="A460" s="10" t="s">
        <v>482</v>
      </c>
      <c r="B460" s="10" t="s">
        <v>42</v>
      </c>
      <c r="C460" s="10" t="s">
        <v>13</v>
      </c>
      <c r="D460" s="10">
        <v>24</v>
      </c>
      <c r="F460"/>
      <c r="J460"/>
    </row>
    <row r="461" spans="1:10">
      <c r="A461" s="10" t="s">
        <v>483</v>
      </c>
      <c r="C461" s="10" t="s">
        <v>13</v>
      </c>
      <c r="D461" s="10">
        <v>29</v>
      </c>
      <c r="F461"/>
      <c r="J461"/>
    </row>
    <row r="462" spans="1:10">
      <c r="A462" s="10" t="s">
        <v>484</v>
      </c>
      <c r="B462" s="10" t="s">
        <v>34</v>
      </c>
      <c r="C462" s="10" t="s">
        <v>13</v>
      </c>
      <c r="D462" s="10">
        <v>30</v>
      </c>
      <c r="F462"/>
      <c r="J462"/>
    </row>
    <row r="463" spans="1:10">
      <c r="A463" s="10" t="s">
        <v>485</v>
      </c>
      <c r="B463" s="10" t="s">
        <v>50</v>
      </c>
      <c r="C463" s="10" t="s">
        <v>13</v>
      </c>
      <c r="D463" s="10">
        <v>25</v>
      </c>
      <c r="F463"/>
      <c r="J463"/>
    </row>
    <row r="464" spans="1:10">
      <c r="A464" s="10" t="s">
        <v>486</v>
      </c>
      <c r="B464" s="10" t="s">
        <v>37</v>
      </c>
      <c r="C464" s="10" t="s">
        <v>13</v>
      </c>
      <c r="D464" s="10">
        <v>10</v>
      </c>
      <c r="F464"/>
      <c r="J464"/>
    </row>
    <row r="465" spans="1:10">
      <c r="A465" s="10" t="s">
        <v>487</v>
      </c>
      <c r="B465" s="10" t="s">
        <v>39</v>
      </c>
      <c r="C465" s="10" t="s">
        <v>13</v>
      </c>
      <c r="D465" s="10">
        <v>35</v>
      </c>
      <c r="F465"/>
      <c r="J465"/>
    </row>
    <row r="466" spans="1:10">
      <c r="A466" s="10" t="s">
        <v>488</v>
      </c>
      <c r="B466" s="10" t="s">
        <v>39</v>
      </c>
      <c r="C466" s="10" t="s">
        <v>13</v>
      </c>
      <c r="D466" s="10">
        <v>43</v>
      </c>
      <c r="F466"/>
      <c r="J466"/>
    </row>
    <row r="467" spans="1:10">
      <c r="A467" s="10" t="s">
        <v>489</v>
      </c>
      <c r="B467" s="10" t="s">
        <v>42</v>
      </c>
      <c r="C467" s="10" t="s">
        <v>13</v>
      </c>
      <c r="D467" s="10">
        <v>30</v>
      </c>
      <c r="F467"/>
      <c r="J467"/>
    </row>
    <row r="468" spans="1:10">
      <c r="A468" s="10" t="s">
        <v>490</v>
      </c>
      <c r="B468" s="10" t="s">
        <v>42</v>
      </c>
      <c r="C468" s="10" t="s">
        <v>13</v>
      </c>
      <c r="D468" s="10">
        <v>13</v>
      </c>
      <c r="F468"/>
      <c r="J468"/>
    </row>
    <row r="469" spans="1:10">
      <c r="A469" s="10" t="s">
        <v>491</v>
      </c>
      <c r="B469" s="10" t="s">
        <v>301</v>
      </c>
      <c r="C469" s="10" t="s">
        <v>16</v>
      </c>
      <c r="D469" s="10">
        <v>34</v>
      </c>
      <c r="F469"/>
      <c r="J469"/>
    </row>
    <row r="470" spans="1:10">
      <c r="A470" s="10" t="s">
        <v>492</v>
      </c>
      <c r="B470" s="10" t="s">
        <v>31</v>
      </c>
      <c r="C470" s="10" t="s">
        <v>20</v>
      </c>
      <c r="D470" s="10">
        <v>42</v>
      </c>
      <c r="F470"/>
      <c r="J470"/>
    </row>
    <row r="471" spans="1:10">
      <c r="A471" s="10" t="s">
        <v>493</v>
      </c>
      <c r="B471" s="10" t="s">
        <v>34</v>
      </c>
      <c r="C471" s="10" t="s">
        <v>13</v>
      </c>
      <c r="D471" s="10">
        <v>18</v>
      </c>
      <c r="F471"/>
      <c r="J471"/>
    </row>
    <row r="472" spans="1:10">
      <c r="A472" s="10" t="s">
        <v>494</v>
      </c>
      <c r="B472" s="10" t="s">
        <v>50</v>
      </c>
      <c r="C472" s="10" t="s">
        <v>32</v>
      </c>
      <c r="D472" s="10">
        <v>18</v>
      </c>
      <c r="F472"/>
      <c r="J472"/>
    </row>
    <row r="473" spans="1:10">
      <c r="A473" s="10" t="s">
        <v>495</v>
      </c>
      <c r="B473" s="10" t="s">
        <v>37</v>
      </c>
      <c r="C473" s="10" t="s">
        <v>13</v>
      </c>
      <c r="D473" s="10">
        <v>18</v>
      </c>
      <c r="F473"/>
      <c r="J473"/>
    </row>
    <row r="474" spans="1:10">
      <c r="A474" s="10" t="s">
        <v>496</v>
      </c>
      <c r="B474" s="10" t="s">
        <v>39</v>
      </c>
      <c r="C474" s="10" t="s">
        <v>13</v>
      </c>
      <c r="D474" s="10">
        <v>28</v>
      </c>
      <c r="F474"/>
      <c r="J474"/>
    </row>
    <row r="475" spans="1:10">
      <c r="A475" s="10" t="s">
        <v>497</v>
      </c>
      <c r="B475" s="10" t="s">
        <v>39</v>
      </c>
      <c r="C475" s="10" t="s">
        <v>13</v>
      </c>
      <c r="D475" s="10">
        <v>17</v>
      </c>
      <c r="F475"/>
      <c r="J475"/>
    </row>
    <row r="476" spans="1:10">
      <c r="A476" s="10" t="s">
        <v>498</v>
      </c>
      <c r="B476" s="10" t="s">
        <v>31</v>
      </c>
      <c r="C476" s="10" t="s">
        <v>20</v>
      </c>
      <c r="D476" s="10">
        <v>36</v>
      </c>
      <c r="F476"/>
      <c r="J476"/>
    </row>
    <row r="477" spans="1:10">
      <c r="A477" s="10" t="s">
        <v>499</v>
      </c>
      <c r="B477" s="10" t="s">
        <v>50</v>
      </c>
      <c r="C477" s="10" t="s">
        <v>13</v>
      </c>
      <c r="D477" s="10">
        <v>24</v>
      </c>
      <c r="F477"/>
      <c r="J477"/>
    </row>
    <row r="478" spans="1:10">
      <c r="A478" s="10" t="s">
        <v>500</v>
      </c>
      <c r="B478" s="10" t="s">
        <v>39</v>
      </c>
      <c r="C478" s="10" t="s">
        <v>13</v>
      </c>
      <c r="D478" s="10">
        <v>21</v>
      </c>
      <c r="F478"/>
      <c r="J478"/>
    </row>
    <row r="479" spans="1:10">
      <c r="A479" s="10" t="s">
        <v>501</v>
      </c>
      <c r="B479" s="10" t="s">
        <v>42</v>
      </c>
      <c r="C479" s="10" t="s">
        <v>13</v>
      </c>
      <c r="D479" s="10">
        <v>24</v>
      </c>
      <c r="F479"/>
      <c r="J479"/>
    </row>
    <row r="480" spans="1:10">
      <c r="A480" s="10" t="s">
        <v>502</v>
      </c>
      <c r="B480" s="10" t="s">
        <v>301</v>
      </c>
      <c r="C480" s="10" t="s">
        <v>13</v>
      </c>
      <c r="D480" s="10">
        <v>25</v>
      </c>
      <c r="F480"/>
      <c r="J480"/>
    </row>
    <row r="481" spans="1:10">
      <c r="A481" s="10" t="s">
        <v>503</v>
      </c>
      <c r="B481" s="10" t="s">
        <v>34</v>
      </c>
      <c r="C481" s="10" t="s">
        <v>20</v>
      </c>
      <c r="D481" s="10">
        <v>43</v>
      </c>
      <c r="F481"/>
      <c r="J481"/>
    </row>
    <row r="482" spans="1:10">
      <c r="A482" s="10" t="s">
        <v>504</v>
      </c>
      <c r="B482" s="10" t="s">
        <v>37</v>
      </c>
      <c r="C482" s="10" t="s">
        <v>13</v>
      </c>
      <c r="D482" s="10">
        <v>32</v>
      </c>
      <c r="F482"/>
      <c r="J482"/>
    </row>
    <row r="483" spans="1:10">
      <c r="A483" s="10" t="s">
        <v>505</v>
      </c>
      <c r="B483" s="10" t="s">
        <v>31</v>
      </c>
      <c r="C483" s="10" t="s">
        <v>13</v>
      </c>
      <c r="D483" s="10">
        <v>29</v>
      </c>
      <c r="F483"/>
      <c r="J483"/>
    </row>
    <row r="484" spans="1:10">
      <c r="A484" s="10" t="s">
        <v>506</v>
      </c>
      <c r="B484" s="10" t="s">
        <v>34</v>
      </c>
      <c r="C484" s="10" t="s">
        <v>20</v>
      </c>
      <c r="D484" s="10">
        <v>36</v>
      </c>
      <c r="F484"/>
      <c r="J484"/>
    </row>
    <row r="485" spans="1:10">
      <c r="A485" s="10" t="s">
        <v>507</v>
      </c>
      <c r="B485" s="10" t="s">
        <v>39</v>
      </c>
      <c r="C485" s="10" t="s">
        <v>13</v>
      </c>
      <c r="D485" s="10">
        <v>19</v>
      </c>
      <c r="F485"/>
      <c r="J485"/>
    </row>
    <row r="486" spans="1:10">
      <c r="A486" s="10" t="s">
        <v>508</v>
      </c>
      <c r="B486" s="10" t="s">
        <v>42</v>
      </c>
      <c r="C486" s="10" t="s">
        <v>13</v>
      </c>
      <c r="D486" s="10">
        <v>46</v>
      </c>
      <c r="F486"/>
      <c r="J486"/>
    </row>
    <row r="487" spans="1:10">
      <c r="A487" s="10" t="s">
        <v>509</v>
      </c>
      <c r="B487" s="10" t="s">
        <v>31</v>
      </c>
      <c r="C487" s="10" t="s">
        <v>20</v>
      </c>
      <c r="D487" s="10">
        <v>27</v>
      </c>
      <c r="F487"/>
      <c r="J487"/>
    </row>
    <row r="488" spans="1:10">
      <c r="A488" s="10" t="s">
        <v>510</v>
      </c>
      <c r="B488" s="10" t="s">
        <v>50</v>
      </c>
      <c r="C488" s="10" t="s">
        <v>13</v>
      </c>
      <c r="D488" s="10">
        <v>32</v>
      </c>
      <c r="F488"/>
      <c r="J488"/>
    </row>
    <row r="489" spans="1:10">
      <c r="A489" s="10" t="s">
        <v>511</v>
      </c>
      <c r="B489" s="10" t="s">
        <v>39</v>
      </c>
      <c r="C489" s="10" t="s">
        <v>13</v>
      </c>
      <c r="D489" s="10">
        <v>27</v>
      </c>
      <c r="F489"/>
      <c r="J489"/>
    </row>
    <row r="490" spans="1:10">
      <c r="A490" s="10" t="s">
        <v>512</v>
      </c>
      <c r="B490" s="10" t="s">
        <v>39</v>
      </c>
      <c r="C490" s="10" t="s">
        <v>13</v>
      </c>
      <c r="D490" s="10">
        <v>13</v>
      </c>
      <c r="F490"/>
      <c r="J490"/>
    </row>
    <row r="491" spans="1:10">
      <c r="A491" s="10" t="s">
        <v>513</v>
      </c>
      <c r="B491" s="10" t="s">
        <v>42</v>
      </c>
      <c r="C491" s="10" t="s">
        <v>13</v>
      </c>
      <c r="D491" s="10">
        <v>45</v>
      </c>
      <c r="F491"/>
      <c r="J491"/>
    </row>
    <row r="492" spans="1:10">
      <c r="A492" s="10" t="s">
        <v>514</v>
      </c>
      <c r="B492" s="10" t="s">
        <v>31</v>
      </c>
      <c r="C492" s="10" t="s">
        <v>13</v>
      </c>
      <c r="D492" s="10">
        <v>14</v>
      </c>
      <c r="F492"/>
      <c r="J492"/>
    </row>
    <row r="493" spans="1:10">
      <c r="A493" s="10" t="s">
        <v>515</v>
      </c>
      <c r="B493" s="10" t="s">
        <v>34</v>
      </c>
      <c r="C493" s="10" t="s">
        <v>13</v>
      </c>
      <c r="D493" s="10">
        <v>24</v>
      </c>
      <c r="F493"/>
      <c r="J493"/>
    </row>
    <row r="494" spans="1:10">
      <c r="A494" s="10" t="s">
        <v>516</v>
      </c>
      <c r="B494" s="10" t="s">
        <v>37</v>
      </c>
      <c r="C494" s="10" t="s">
        <v>20</v>
      </c>
      <c r="D494" s="10">
        <v>42</v>
      </c>
      <c r="F494"/>
      <c r="J494"/>
    </row>
    <row r="495" spans="1:10">
      <c r="A495" s="10" t="s">
        <v>517</v>
      </c>
      <c r="B495" s="10" t="s">
        <v>39</v>
      </c>
      <c r="C495" s="10" t="s">
        <v>13</v>
      </c>
      <c r="D495" s="10">
        <v>22</v>
      </c>
      <c r="F495"/>
      <c r="J495"/>
    </row>
    <row r="496" spans="1:10">
      <c r="A496" s="10" t="s">
        <v>518</v>
      </c>
      <c r="B496" s="10" t="s">
        <v>39</v>
      </c>
      <c r="C496" s="10" t="s">
        <v>20</v>
      </c>
      <c r="D496" s="10">
        <v>17</v>
      </c>
      <c r="F496"/>
      <c r="J496"/>
    </row>
    <row r="497" spans="1:10">
      <c r="A497" s="10" t="s">
        <v>519</v>
      </c>
      <c r="B497" s="10" t="s">
        <v>42</v>
      </c>
      <c r="C497" s="10" t="s">
        <v>13</v>
      </c>
      <c r="D497" s="10">
        <v>33</v>
      </c>
      <c r="F497"/>
      <c r="J497"/>
    </row>
    <row r="498" spans="1:10">
      <c r="A498" s="10" t="s">
        <v>520</v>
      </c>
      <c r="B498" s="10" t="s">
        <v>301</v>
      </c>
      <c r="C498" s="10" t="s">
        <v>13</v>
      </c>
      <c r="D498" s="10">
        <v>18</v>
      </c>
      <c r="F498"/>
      <c r="J498"/>
    </row>
    <row r="499" spans="1:10">
      <c r="A499" s="10" t="s">
        <v>521</v>
      </c>
      <c r="B499" s="10" t="s">
        <v>31</v>
      </c>
      <c r="C499" s="10" t="s">
        <v>20</v>
      </c>
      <c r="D499" s="10">
        <v>47</v>
      </c>
      <c r="F499"/>
      <c r="J499"/>
    </row>
    <row r="500" spans="1:10">
      <c r="A500" s="10" t="s">
        <v>522</v>
      </c>
      <c r="B500" s="10" t="s">
        <v>50</v>
      </c>
      <c r="C500" s="10" t="s">
        <v>32</v>
      </c>
      <c r="D500" s="10">
        <v>22</v>
      </c>
      <c r="F500"/>
      <c r="J500"/>
    </row>
    <row r="501" spans="1:10">
      <c r="A501" s="10" t="s">
        <v>523</v>
      </c>
      <c r="B501" s="10" t="s">
        <v>37</v>
      </c>
      <c r="C501" s="10" t="s">
        <v>20</v>
      </c>
      <c r="D501" s="10">
        <v>42</v>
      </c>
      <c r="F501"/>
      <c r="J501"/>
    </row>
    <row r="502" spans="1:10">
      <c r="A502" s="10" t="s">
        <v>524</v>
      </c>
      <c r="B502" s="10" t="s">
        <v>39</v>
      </c>
      <c r="C502" s="10" t="s">
        <v>13</v>
      </c>
      <c r="D502" s="10">
        <v>40</v>
      </c>
      <c r="F502"/>
      <c r="J502"/>
    </row>
    <row r="503" spans="1:10">
      <c r="A503" s="10" t="s">
        <v>525</v>
      </c>
      <c r="B503" s="10" t="s">
        <v>39</v>
      </c>
      <c r="C503" s="10" t="s">
        <v>16</v>
      </c>
      <c r="D503" s="10">
        <v>19</v>
      </c>
      <c r="F503"/>
      <c r="J503"/>
    </row>
    <row r="504" spans="1:10">
      <c r="A504" s="10" t="s">
        <v>526</v>
      </c>
      <c r="B504" s="10" t="s">
        <v>42</v>
      </c>
      <c r="C504" s="10" t="s">
        <v>13</v>
      </c>
      <c r="D504" s="10">
        <v>25</v>
      </c>
      <c r="F504"/>
      <c r="J504"/>
    </row>
    <row r="505" spans="1:10">
      <c r="A505" s="10" t="s">
        <v>527</v>
      </c>
      <c r="B505" s="10" t="s">
        <v>42</v>
      </c>
      <c r="C505" s="10" t="s">
        <v>13</v>
      </c>
      <c r="D505" s="10">
        <v>33</v>
      </c>
      <c r="F505"/>
      <c r="J505"/>
    </row>
    <row r="506" spans="1:10">
      <c r="A506" s="10" t="s">
        <v>528</v>
      </c>
      <c r="B506" s="10" t="s">
        <v>31</v>
      </c>
      <c r="C506" s="10" t="s">
        <v>13</v>
      </c>
      <c r="D506" s="10">
        <v>16</v>
      </c>
      <c r="F506"/>
      <c r="J506"/>
    </row>
    <row r="507" spans="1:10">
      <c r="A507" s="10" t="s">
        <v>529</v>
      </c>
      <c r="B507" s="10" t="s">
        <v>34</v>
      </c>
      <c r="C507" s="10" t="s">
        <v>13</v>
      </c>
      <c r="D507" s="10">
        <v>7</v>
      </c>
      <c r="F507"/>
      <c r="J507"/>
    </row>
    <row r="508" spans="1:10">
      <c r="A508" s="10" t="s">
        <v>530</v>
      </c>
      <c r="B508" s="10" t="s">
        <v>50</v>
      </c>
      <c r="C508" s="10" t="s">
        <v>13</v>
      </c>
      <c r="D508" s="10">
        <v>9</v>
      </c>
      <c r="F508"/>
      <c r="J508"/>
    </row>
    <row r="509" spans="1:10">
      <c r="A509" s="10" t="s">
        <v>531</v>
      </c>
      <c r="B509" s="10" t="s">
        <v>37</v>
      </c>
      <c r="C509" s="10" t="s">
        <v>20</v>
      </c>
      <c r="D509" s="10">
        <v>30</v>
      </c>
      <c r="F509"/>
      <c r="J509"/>
    </row>
    <row r="510" spans="1:10">
      <c r="A510" s="10" t="s">
        <v>532</v>
      </c>
      <c r="B510" s="10" t="s">
        <v>39</v>
      </c>
      <c r="C510" s="10" t="s">
        <v>20</v>
      </c>
      <c r="D510" s="10">
        <v>19</v>
      </c>
      <c r="F510"/>
      <c r="J510"/>
    </row>
    <row r="511" spans="1:10">
      <c r="A511" s="10" t="s">
        <v>533</v>
      </c>
      <c r="B511" s="10" t="s">
        <v>42</v>
      </c>
      <c r="C511" s="10" t="s">
        <v>20</v>
      </c>
      <c r="D511" s="10">
        <v>37</v>
      </c>
      <c r="F511"/>
      <c r="J511"/>
    </row>
    <row r="512" spans="1:10">
      <c r="A512" s="10" t="s">
        <v>534</v>
      </c>
      <c r="B512" s="10" t="s">
        <v>31</v>
      </c>
      <c r="C512" s="10" t="s">
        <v>13</v>
      </c>
      <c r="D512" s="10">
        <v>21</v>
      </c>
      <c r="F512"/>
      <c r="J512"/>
    </row>
    <row r="513" spans="1:10">
      <c r="A513" s="10" t="s">
        <v>535</v>
      </c>
      <c r="B513" s="10" t="s">
        <v>34</v>
      </c>
      <c r="C513" s="10" t="s">
        <v>20</v>
      </c>
      <c r="D513" s="10">
        <v>24</v>
      </c>
      <c r="F513"/>
      <c r="J513"/>
    </row>
    <row r="514" spans="1:10">
      <c r="A514" s="10" t="s">
        <v>536</v>
      </c>
      <c r="B514" s="10" t="s">
        <v>50</v>
      </c>
      <c r="C514" s="10" t="s">
        <v>20</v>
      </c>
      <c r="D514" s="10">
        <v>26</v>
      </c>
      <c r="F514"/>
      <c r="J514"/>
    </row>
    <row r="515" spans="1:10">
      <c r="A515" s="10" t="s">
        <v>537</v>
      </c>
      <c r="B515" s="10" t="s">
        <v>42</v>
      </c>
      <c r="C515" s="10" t="s">
        <v>13</v>
      </c>
      <c r="D515" s="10">
        <v>15</v>
      </c>
      <c r="F515"/>
      <c r="J515"/>
    </row>
    <row r="516" spans="1:10">
      <c r="A516" s="10" t="s">
        <v>538</v>
      </c>
      <c r="B516" s="10" t="s">
        <v>31</v>
      </c>
      <c r="C516" s="10" t="s">
        <v>13</v>
      </c>
      <c r="D516" s="10">
        <v>22</v>
      </c>
      <c r="F516"/>
      <c r="J516"/>
    </row>
    <row r="517" spans="1:10">
      <c r="A517" s="10" t="s">
        <v>539</v>
      </c>
      <c r="B517" s="10" t="s">
        <v>50</v>
      </c>
      <c r="C517" s="10" t="s">
        <v>13</v>
      </c>
      <c r="D517" s="10">
        <v>31</v>
      </c>
      <c r="F517"/>
      <c r="J517"/>
    </row>
    <row r="518" spans="1:10">
      <c r="A518" s="10" t="s">
        <v>540</v>
      </c>
      <c r="B518" s="10" t="s">
        <v>37</v>
      </c>
      <c r="C518" s="10" t="s">
        <v>13</v>
      </c>
      <c r="D518" s="10">
        <v>24</v>
      </c>
      <c r="F518"/>
      <c r="J518"/>
    </row>
    <row r="519" spans="1:10">
      <c r="A519" s="10" t="s">
        <v>541</v>
      </c>
      <c r="B519" s="10" t="s">
        <v>39</v>
      </c>
      <c r="C519" s="10" t="s">
        <v>20</v>
      </c>
      <c r="D519" s="10">
        <v>22</v>
      </c>
      <c r="F519"/>
      <c r="J519"/>
    </row>
    <row r="520" spans="1:10">
      <c r="A520" s="10" t="s">
        <v>542</v>
      </c>
      <c r="B520" s="10" t="s">
        <v>39</v>
      </c>
      <c r="C520" s="10" t="s">
        <v>13</v>
      </c>
      <c r="D520" s="10">
        <v>39</v>
      </c>
      <c r="F520"/>
      <c r="J520"/>
    </row>
    <row r="521" spans="1:10">
      <c r="A521" s="10" t="s">
        <v>543</v>
      </c>
      <c r="B521" s="10" t="s">
        <v>31</v>
      </c>
      <c r="C521" s="10" t="s">
        <v>13</v>
      </c>
      <c r="D521" s="10">
        <v>17</v>
      </c>
      <c r="F521"/>
      <c r="J521"/>
    </row>
    <row r="522" spans="1:10">
      <c r="A522" s="10" t="s">
        <v>544</v>
      </c>
      <c r="B522" s="10" t="s">
        <v>50</v>
      </c>
      <c r="C522" s="10" t="s">
        <v>13</v>
      </c>
      <c r="D522" s="10">
        <v>17</v>
      </c>
      <c r="F522"/>
      <c r="J522"/>
    </row>
    <row r="523" spans="1:10">
      <c r="A523" s="10" t="s">
        <v>545</v>
      </c>
      <c r="B523" s="10" t="s">
        <v>37</v>
      </c>
      <c r="C523" s="10" t="s">
        <v>13</v>
      </c>
      <c r="D523" s="10">
        <v>17</v>
      </c>
      <c r="F523"/>
      <c r="J523"/>
    </row>
    <row r="524" spans="1:10">
      <c r="A524" s="10" t="s">
        <v>546</v>
      </c>
      <c r="B524" s="10" t="s">
        <v>39</v>
      </c>
      <c r="C524" s="10" t="s">
        <v>13</v>
      </c>
      <c r="D524" s="10">
        <v>24</v>
      </c>
      <c r="F524"/>
      <c r="J524"/>
    </row>
    <row r="525" spans="1:10">
      <c r="A525" s="10" t="s">
        <v>547</v>
      </c>
      <c r="B525" s="10" t="s">
        <v>42</v>
      </c>
      <c r="C525" s="10" t="s">
        <v>13</v>
      </c>
      <c r="D525" s="10">
        <v>33</v>
      </c>
      <c r="F525"/>
      <c r="J525"/>
    </row>
    <row r="526" spans="1:10">
      <c r="A526" s="10" t="s">
        <v>548</v>
      </c>
      <c r="B526" s="10" t="s">
        <v>42</v>
      </c>
      <c r="C526" s="10" t="s">
        <v>13</v>
      </c>
      <c r="D526" s="10">
        <v>16</v>
      </c>
      <c r="F526"/>
      <c r="J526"/>
    </row>
    <row r="527" spans="1:10">
      <c r="A527" s="10" t="s">
        <v>549</v>
      </c>
      <c r="B527" s="10" t="s">
        <v>31</v>
      </c>
      <c r="C527" s="10" t="s">
        <v>13</v>
      </c>
      <c r="D527" s="10">
        <v>32</v>
      </c>
      <c r="F527"/>
      <c r="J527"/>
    </row>
    <row r="528" spans="1:10">
      <c r="A528" s="10" t="s">
        <v>550</v>
      </c>
      <c r="B528" s="10" t="s">
        <v>50</v>
      </c>
      <c r="C528" s="10" t="s">
        <v>13</v>
      </c>
      <c r="D528" s="10">
        <v>4</v>
      </c>
      <c r="F528"/>
      <c r="J528"/>
    </row>
    <row r="529" spans="1:10">
      <c r="A529" s="10" t="s">
        <v>551</v>
      </c>
      <c r="B529" s="10" t="s">
        <v>39</v>
      </c>
      <c r="C529" s="10" t="s">
        <v>13</v>
      </c>
      <c r="D529" s="10">
        <v>30</v>
      </c>
      <c r="F529"/>
      <c r="J529"/>
    </row>
    <row r="530" spans="1:10">
      <c r="A530" s="10" t="s">
        <v>552</v>
      </c>
      <c r="B530" s="10" t="s">
        <v>42</v>
      </c>
      <c r="C530" s="10" t="s">
        <v>13</v>
      </c>
      <c r="D530" s="10">
        <v>24</v>
      </c>
      <c r="F530"/>
      <c r="J530"/>
    </row>
    <row r="531" spans="1:10">
      <c r="A531" s="10" t="s">
        <v>553</v>
      </c>
      <c r="B531" s="10" t="s">
        <v>31</v>
      </c>
      <c r="C531" s="10" t="s">
        <v>20</v>
      </c>
      <c r="D531" s="10">
        <v>17</v>
      </c>
      <c r="F531"/>
      <c r="J531"/>
    </row>
    <row r="532" spans="1:10">
      <c r="A532" s="10" t="s">
        <v>554</v>
      </c>
      <c r="B532" s="10" t="s">
        <v>34</v>
      </c>
      <c r="C532" s="10" t="s">
        <v>13</v>
      </c>
      <c r="D532" s="10">
        <v>22</v>
      </c>
      <c r="F532"/>
      <c r="J532"/>
    </row>
    <row r="533" spans="1:10">
      <c r="A533" s="10" t="s">
        <v>555</v>
      </c>
      <c r="B533" s="10" t="s">
        <v>37</v>
      </c>
      <c r="C533" s="10" t="s">
        <v>13</v>
      </c>
      <c r="D533" s="10">
        <v>31</v>
      </c>
      <c r="F533"/>
      <c r="J533"/>
    </row>
    <row r="534" spans="1:10">
      <c r="A534" s="10" t="s">
        <v>556</v>
      </c>
      <c r="B534" s="10" t="s">
        <v>39</v>
      </c>
      <c r="C534" s="10" t="s">
        <v>13</v>
      </c>
      <c r="D534" s="10">
        <v>23</v>
      </c>
      <c r="F534"/>
      <c r="J534"/>
    </row>
    <row r="535" spans="1:10">
      <c r="A535" s="10" t="s">
        <v>557</v>
      </c>
      <c r="B535" s="10" t="s">
        <v>42</v>
      </c>
      <c r="C535" s="10" t="s">
        <v>20</v>
      </c>
      <c r="D535" s="10">
        <v>35</v>
      </c>
      <c r="F535"/>
      <c r="J535"/>
    </row>
    <row r="536" spans="1:10">
      <c r="A536" s="10" t="s">
        <v>558</v>
      </c>
      <c r="B536" s="10" t="s">
        <v>42</v>
      </c>
      <c r="C536" s="10" t="s">
        <v>13</v>
      </c>
      <c r="D536" s="10">
        <v>39</v>
      </c>
      <c r="F536"/>
      <c r="J536"/>
    </row>
    <row r="537" spans="1:10">
      <c r="A537" s="10" t="s">
        <v>559</v>
      </c>
      <c r="B537" s="10" t="s">
        <v>31</v>
      </c>
      <c r="C537" s="10" t="s">
        <v>13</v>
      </c>
      <c r="D537" s="10">
        <v>50</v>
      </c>
      <c r="F537"/>
      <c r="J537"/>
    </row>
    <row r="538" spans="1:10">
      <c r="A538" s="10" t="s">
        <v>560</v>
      </c>
      <c r="B538" s="10" t="s">
        <v>50</v>
      </c>
      <c r="C538" s="10" t="s">
        <v>20</v>
      </c>
      <c r="D538" s="10">
        <v>26</v>
      </c>
      <c r="F538"/>
      <c r="J538"/>
    </row>
    <row r="539" spans="1:10">
      <c r="A539" s="10" t="s">
        <v>561</v>
      </c>
      <c r="B539" s="10" t="s">
        <v>39</v>
      </c>
      <c r="C539" s="10" t="s">
        <v>13</v>
      </c>
      <c r="D539" s="10">
        <v>23</v>
      </c>
      <c r="F539"/>
      <c r="J539"/>
    </row>
    <row r="540" spans="1:10">
      <c r="A540" s="10" t="s">
        <v>562</v>
      </c>
      <c r="B540" s="10" t="s">
        <v>42</v>
      </c>
      <c r="C540" s="10" t="s">
        <v>20</v>
      </c>
      <c r="D540" s="10">
        <v>37</v>
      </c>
      <c r="F540"/>
      <c r="J540"/>
    </row>
    <row r="541" spans="1:10">
      <c r="A541" s="10" t="s">
        <v>563</v>
      </c>
      <c r="B541" s="10" t="s">
        <v>42</v>
      </c>
      <c r="C541" s="10" t="s">
        <v>20</v>
      </c>
      <c r="D541" s="10">
        <v>50</v>
      </c>
      <c r="F541"/>
      <c r="J541"/>
    </row>
    <row r="542" spans="1:10">
      <c r="A542" s="10" t="s">
        <v>564</v>
      </c>
      <c r="B542" s="10" t="s">
        <v>301</v>
      </c>
      <c r="C542" s="10" t="s">
        <v>20</v>
      </c>
      <c r="D542" s="10">
        <v>31</v>
      </c>
      <c r="F542"/>
      <c r="J542"/>
    </row>
    <row r="543" spans="1:10">
      <c r="A543" s="10" t="s">
        <v>565</v>
      </c>
      <c r="B543" s="10" t="s">
        <v>31</v>
      </c>
      <c r="C543" s="10" t="s">
        <v>32</v>
      </c>
      <c r="D543" s="10">
        <v>23</v>
      </c>
      <c r="F543"/>
      <c r="J543"/>
    </row>
    <row r="544" spans="1:10">
      <c r="A544" s="10" t="s">
        <v>566</v>
      </c>
      <c r="B544" s="10" t="s">
        <v>34</v>
      </c>
      <c r="C544" s="10" t="s">
        <v>20</v>
      </c>
      <c r="D544" s="10">
        <v>34</v>
      </c>
      <c r="F544"/>
      <c r="J544"/>
    </row>
    <row r="545" spans="1:10">
      <c r="A545" s="10" t="s">
        <v>567</v>
      </c>
      <c r="B545" s="10" t="s">
        <v>39</v>
      </c>
      <c r="C545" s="10" t="s">
        <v>20</v>
      </c>
      <c r="D545" s="10">
        <v>34</v>
      </c>
      <c r="F545"/>
      <c r="J545"/>
    </row>
    <row r="546" spans="1:10">
      <c r="A546" s="10" t="s">
        <v>568</v>
      </c>
      <c r="B546" s="10" t="s">
        <v>42</v>
      </c>
      <c r="C546" s="10" t="s">
        <v>13</v>
      </c>
      <c r="D546" s="10">
        <v>33</v>
      </c>
      <c r="F546"/>
      <c r="J546"/>
    </row>
    <row r="547" spans="1:10">
      <c r="A547" s="10" t="s">
        <v>569</v>
      </c>
      <c r="B547" s="10" t="s">
        <v>42</v>
      </c>
      <c r="C547" s="10" t="s">
        <v>13</v>
      </c>
      <c r="D547" s="10">
        <v>48</v>
      </c>
      <c r="F547"/>
      <c r="J547"/>
    </row>
    <row r="548" spans="1:10">
      <c r="A548" s="10" t="s">
        <v>570</v>
      </c>
      <c r="B548" s="10" t="s">
        <v>301</v>
      </c>
      <c r="C548" s="10" t="s">
        <v>13</v>
      </c>
      <c r="D548" s="10">
        <v>29</v>
      </c>
      <c r="F548"/>
      <c r="J548"/>
    </row>
    <row r="549" spans="1:10">
      <c r="A549" s="10" t="s">
        <v>571</v>
      </c>
      <c r="B549" s="10" t="s">
        <v>34</v>
      </c>
      <c r="C549" s="10" t="s">
        <v>20</v>
      </c>
      <c r="D549" s="10">
        <v>35</v>
      </c>
      <c r="F549"/>
      <c r="J549"/>
    </row>
    <row r="550" spans="1:10">
      <c r="A550" s="10" t="s">
        <v>572</v>
      </c>
      <c r="B550" s="10" t="s">
        <v>50</v>
      </c>
      <c r="C550" s="10" t="s">
        <v>20</v>
      </c>
      <c r="D550" s="10">
        <v>28</v>
      </c>
      <c r="F550"/>
      <c r="J550"/>
    </row>
    <row r="551" spans="1:10">
      <c r="A551" s="10" t="s">
        <v>573</v>
      </c>
      <c r="B551" s="10" t="s">
        <v>37</v>
      </c>
      <c r="C551" s="10" t="s">
        <v>13</v>
      </c>
      <c r="D551" s="10">
        <v>28</v>
      </c>
      <c r="F551"/>
      <c r="J551"/>
    </row>
    <row r="552" spans="1:10">
      <c r="A552" s="10" t="s">
        <v>574</v>
      </c>
      <c r="B552" s="10" t="s">
        <v>39</v>
      </c>
      <c r="C552" s="10" t="s">
        <v>13</v>
      </c>
      <c r="D552" s="10">
        <v>19</v>
      </c>
      <c r="F552"/>
      <c r="J552"/>
    </row>
    <row r="553" spans="1:10">
      <c r="A553" s="10" t="s">
        <v>575</v>
      </c>
      <c r="C553" s="10" t="s">
        <v>13</v>
      </c>
      <c r="D553" s="10">
        <v>22</v>
      </c>
      <c r="F553"/>
      <c r="J553"/>
    </row>
    <row r="554" spans="1:10">
      <c r="A554" s="10" t="s">
        <v>576</v>
      </c>
      <c r="B554" s="10" t="s">
        <v>42</v>
      </c>
      <c r="C554" s="10" t="s">
        <v>13</v>
      </c>
      <c r="D554" s="10">
        <v>26</v>
      </c>
      <c r="F554"/>
      <c r="J554"/>
    </row>
    <row r="555" spans="1:10">
      <c r="A555" s="10" t="s">
        <v>577</v>
      </c>
      <c r="B555" s="10" t="s">
        <v>34</v>
      </c>
      <c r="C555" s="10" t="s">
        <v>13</v>
      </c>
      <c r="D555" s="10">
        <v>29</v>
      </c>
      <c r="F555"/>
      <c r="J555"/>
    </row>
    <row r="556" spans="1:10">
      <c r="A556" s="10" t="s">
        <v>578</v>
      </c>
      <c r="B556" s="10" t="s">
        <v>37</v>
      </c>
      <c r="C556" s="10" t="s">
        <v>13</v>
      </c>
      <c r="D556" s="10">
        <v>35</v>
      </c>
      <c r="F556"/>
      <c r="J556"/>
    </row>
    <row r="557" spans="1:10">
      <c r="A557" s="10" t="s">
        <v>579</v>
      </c>
      <c r="B557" s="10" t="s">
        <v>42</v>
      </c>
      <c r="C557" s="10" t="s">
        <v>13</v>
      </c>
      <c r="D557" s="10">
        <v>32</v>
      </c>
      <c r="F557"/>
      <c r="J557"/>
    </row>
    <row r="558" spans="1:10">
      <c r="A558" s="10" t="s">
        <v>580</v>
      </c>
      <c r="B558" s="10" t="s">
        <v>31</v>
      </c>
      <c r="C558" s="10" t="s">
        <v>13</v>
      </c>
      <c r="D558" s="10">
        <v>44</v>
      </c>
      <c r="F558"/>
      <c r="J558"/>
    </row>
    <row r="559" spans="1:10">
      <c r="A559" s="10" t="s">
        <v>581</v>
      </c>
      <c r="B559" s="10" t="s">
        <v>34</v>
      </c>
      <c r="C559" s="10" t="s">
        <v>20</v>
      </c>
      <c r="D559" s="10">
        <v>32</v>
      </c>
      <c r="F559"/>
      <c r="J559"/>
    </row>
    <row r="560" spans="1:10">
      <c r="A560" s="10" t="s">
        <v>582</v>
      </c>
      <c r="B560" s="10" t="s">
        <v>34</v>
      </c>
      <c r="C560" s="10" t="s">
        <v>13</v>
      </c>
      <c r="D560" s="10">
        <v>8</v>
      </c>
      <c r="F560"/>
      <c r="J560"/>
    </row>
    <row r="561" spans="1:10">
      <c r="A561" s="10" t="s">
        <v>583</v>
      </c>
      <c r="B561" s="10" t="s">
        <v>39</v>
      </c>
      <c r="C561" s="10" t="s">
        <v>13</v>
      </c>
      <c r="D561" s="10">
        <v>30</v>
      </c>
      <c r="F561"/>
      <c r="J561"/>
    </row>
    <row r="562" spans="1:10">
      <c r="A562" s="10" t="s">
        <v>584</v>
      </c>
      <c r="B562" s="10" t="s">
        <v>42</v>
      </c>
      <c r="C562" s="10" t="s">
        <v>20</v>
      </c>
      <c r="D562" s="10">
        <v>42</v>
      </c>
      <c r="F562"/>
      <c r="J562"/>
    </row>
    <row r="563" spans="1:10">
      <c r="A563" s="10" t="s">
        <v>585</v>
      </c>
      <c r="B563" s="10" t="s">
        <v>42</v>
      </c>
      <c r="C563" s="10" t="s">
        <v>13</v>
      </c>
      <c r="D563" s="10">
        <v>44</v>
      </c>
      <c r="F563"/>
      <c r="J563"/>
    </row>
    <row r="564" spans="1:10">
      <c r="A564" s="10" t="s">
        <v>586</v>
      </c>
      <c r="B564" s="10" t="s">
        <v>301</v>
      </c>
      <c r="C564" s="10" t="s">
        <v>20</v>
      </c>
      <c r="D564" s="10">
        <v>41</v>
      </c>
      <c r="F564"/>
      <c r="J564"/>
    </row>
    <row r="565" spans="1:10">
      <c r="A565" s="10" t="s">
        <v>587</v>
      </c>
      <c r="B565" s="10" t="s">
        <v>31</v>
      </c>
      <c r="C565" s="10" t="s">
        <v>20</v>
      </c>
      <c r="D565" s="10">
        <v>19</v>
      </c>
      <c r="F565"/>
      <c r="J565"/>
    </row>
    <row r="566" spans="1:10">
      <c r="A566" s="10" t="s">
        <v>588</v>
      </c>
      <c r="B566" s="10" t="s">
        <v>50</v>
      </c>
      <c r="C566" s="10" t="s">
        <v>13</v>
      </c>
      <c r="D566" s="10">
        <v>42</v>
      </c>
      <c r="F566"/>
      <c r="J566"/>
    </row>
    <row r="567" spans="1:10">
      <c r="A567" s="10" t="s">
        <v>589</v>
      </c>
      <c r="B567" s="10" t="s">
        <v>39</v>
      </c>
      <c r="C567" s="10" t="s">
        <v>13</v>
      </c>
      <c r="D567" s="10">
        <v>30</v>
      </c>
      <c r="F567"/>
      <c r="J567"/>
    </row>
    <row r="568" spans="1:10">
      <c r="A568" s="10" t="s">
        <v>590</v>
      </c>
      <c r="B568" s="10" t="s">
        <v>42</v>
      </c>
      <c r="C568" s="10" t="s">
        <v>13</v>
      </c>
      <c r="D568" s="10">
        <v>13</v>
      </c>
      <c r="F568"/>
      <c r="J568"/>
    </row>
    <row r="569" spans="1:10">
      <c r="A569" s="10" t="s">
        <v>591</v>
      </c>
      <c r="B569" s="10" t="s">
        <v>42</v>
      </c>
      <c r="C569" s="10" t="s">
        <v>13</v>
      </c>
      <c r="D569" s="10">
        <v>34</v>
      </c>
      <c r="F569"/>
      <c r="J569"/>
    </row>
    <row r="570" spans="1:10">
      <c r="A570" s="10" t="s">
        <v>592</v>
      </c>
      <c r="B570" s="10" t="s">
        <v>301</v>
      </c>
      <c r="C570" s="10" t="s">
        <v>20</v>
      </c>
      <c r="D570" s="10">
        <v>38</v>
      </c>
      <c r="F570"/>
      <c r="J570"/>
    </row>
    <row r="571" spans="1:10">
      <c r="A571" s="10" t="s">
        <v>593</v>
      </c>
      <c r="B571" s="10" t="s">
        <v>31</v>
      </c>
      <c r="C571" s="10" t="s">
        <v>13</v>
      </c>
      <c r="D571" s="10">
        <v>17</v>
      </c>
      <c r="F571"/>
      <c r="J571"/>
    </row>
    <row r="572" spans="1:10">
      <c r="A572" s="10" t="s">
        <v>594</v>
      </c>
      <c r="B572" s="10" t="s">
        <v>34</v>
      </c>
      <c r="C572" s="10" t="s">
        <v>13</v>
      </c>
      <c r="D572" s="10">
        <v>37</v>
      </c>
      <c r="F572"/>
      <c r="J572"/>
    </row>
    <row r="573" spans="1:10">
      <c r="A573" s="10" t="s">
        <v>595</v>
      </c>
      <c r="B573" s="10" t="s">
        <v>50</v>
      </c>
      <c r="C573" s="10" t="s">
        <v>13</v>
      </c>
      <c r="D573" s="10">
        <v>27</v>
      </c>
      <c r="F573"/>
      <c r="J573"/>
    </row>
    <row r="574" spans="1:10">
      <c r="A574" s="10" t="s">
        <v>596</v>
      </c>
      <c r="B574" s="10" t="s">
        <v>39</v>
      </c>
      <c r="C574" s="10" t="s">
        <v>20</v>
      </c>
      <c r="D574" s="10">
        <v>36</v>
      </c>
      <c r="F574"/>
      <c r="J574"/>
    </row>
    <row r="575" spans="1:10">
      <c r="A575" s="10" t="s">
        <v>597</v>
      </c>
      <c r="B575" s="10" t="s">
        <v>39</v>
      </c>
      <c r="C575" s="10" t="s">
        <v>20</v>
      </c>
      <c r="D575" s="10">
        <v>22</v>
      </c>
      <c r="F575"/>
      <c r="J575"/>
    </row>
    <row r="576" spans="1:10">
      <c r="A576" s="10" t="s">
        <v>598</v>
      </c>
      <c r="B576" s="10" t="s">
        <v>31</v>
      </c>
      <c r="C576" s="10" t="s">
        <v>13</v>
      </c>
      <c r="D576" s="10">
        <v>30</v>
      </c>
      <c r="F576"/>
      <c r="J576"/>
    </row>
    <row r="577" spans="1:10">
      <c r="A577" s="10" t="s">
        <v>599</v>
      </c>
      <c r="B577" s="10" t="s">
        <v>34</v>
      </c>
      <c r="C577" s="10" t="s">
        <v>20</v>
      </c>
      <c r="D577" s="10">
        <v>10</v>
      </c>
      <c r="F577"/>
      <c r="J577"/>
    </row>
    <row r="578" spans="1:10">
      <c r="A578" s="10" t="s">
        <v>600</v>
      </c>
      <c r="B578" s="10" t="s">
        <v>39</v>
      </c>
      <c r="C578" s="10" t="s">
        <v>13</v>
      </c>
      <c r="D578" s="10">
        <v>28</v>
      </c>
      <c r="F578"/>
      <c r="J578"/>
    </row>
    <row r="579" spans="1:10">
      <c r="A579" s="10" t="s">
        <v>601</v>
      </c>
      <c r="B579" s="10" t="s">
        <v>39</v>
      </c>
      <c r="C579" s="10" t="s">
        <v>20</v>
      </c>
      <c r="D579" s="10">
        <v>15</v>
      </c>
      <c r="F579"/>
      <c r="J579"/>
    </row>
    <row r="580" spans="1:10">
      <c r="A580" s="10" t="s">
        <v>602</v>
      </c>
      <c r="B580" s="10" t="s">
        <v>42</v>
      </c>
      <c r="C580" s="10" t="s">
        <v>13</v>
      </c>
      <c r="D580" s="10">
        <v>35</v>
      </c>
      <c r="F580"/>
      <c r="J580"/>
    </row>
    <row r="581" spans="1:10">
      <c r="A581" s="10" t="s">
        <v>603</v>
      </c>
      <c r="B581" s="10" t="s">
        <v>34</v>
      </c>
      <c r="C581" s="10" t="s">
        <v>20</v>
      </c>
      <c r="D581" s="10">
        <v>32</v>
      </c>
      <c r="F581"/>
      <c r="J581"/>
    </row>
    <row r="582" spans="1:10">
      <c r="A582" s="10" t="s">
        <v>604</v>
      </c>
      <c r="B582" s="10" t="s">
        <v>34</v>
      </c>
      <c r="C582" s="10" t="s">
        <v>20</v>
      </c>
      <c r="D582" s="10">
        <v>23</v>
      </c>
      <c r="F582"/>
      <c r="J582"/>
    </row>
    <row r="583" spans="1:10">
      <c r="A583" s="10" t="s">
        <v>605</v>
      </c>
      <c r="B583" s="10" t="s">
        <v>37</v>
      </c>
      <c r="C583" s="10" t="s">
        <v>20</v>
      </c>
      <c r="D583" s="10">
        <v>24</v>
      </c>
      <c r="F583"/>
      <c r="J583"/>
    </row>
    <row r="584" spans="1:10">
      <c r="A584" s="10" t="s">
        <v>606</v>
      </c>
      <c r="B584" s="10" t="s">
        <v>39</v>
      </c>
      <c r="C584" s="10" t="s">
        <v>13</v>
      </c>
      <c r="D584" s="10">
        <v>27</v>
      </c>
      <c r="F584"/>
      <c r="J584"/>
    </row>
    <row r="585" spans="1:10">
      <c r="A585" s="10" t="s">
        <v>607</v>
      </c>
      <c r="B585" s="10" t="s">
        <v>39</v>
      </c>
      <c r="C585" s="10" t="s">
        <v>20</v>
      </c>
      <c r="D585" s="10">
        <v>45</v>
      </c>
      <c r="F585"/>
      <c r="J585"/>
    </row>
    <row r="586" spans="1:10">
      <c r="A586" s="10" t="s">
        <v>608</v>
      </c>
      <c r="B586" s="10" t="s">
        <v>42</v>
      </c>
      <c r="C586" s="10" t="s">
        <v>13</v>
      </c>
      <c r="D586" s="10">
        <v>25</v>
      </c>
      <c r="F586"/>
      <c r="J586"/>
    </row>
    <row r="587" spans="1:10" ht="19.5">
      <c r="A587" s="10" t="s">
        <v>609</v>
      </c>
      <c r="B587" s="10" t="s">
        <v>42</v>
      </c>
      <c r="C587" s="11" t="s">
        <v>32</v>
      </c>
      <c r="D587" s="10">
        <v>25</v>
      </c>
      <c r="F587"/>
      <c r="J587"/>
    </row>
    <row r="588" spans="1:10">
      <c r="A588" s="10" t="s">
        <v>610</v>
      </c>
      <c r="B588" s="10" t="s">
        <v>31</v>
      </c>
      <c r="C588" s="10" t="s">
        <v>13</v>
      </c>
      <c r="D588" s="10">
        <v>33</v>
      </c>
      <c r="F588"/>
      <c r="J588"/>
    </row>
    <row r="589" spans="1:10">
      <c r="A589" s="10" t="s">
        <v>611</v>
      </c>
      <c r="B589" s="10" t="s">
        <v>34</v>
      </c>
      <c r="C589" s="10" t="s">
        <v>13</v>
      </c>
      <c r="D589" s="10">
        <v>30</v>
      </c>
      <c r="F589"/>
      <c r="J589"/>
    </row>
    <row r="590" spans="1:10">
      <c r="A590" s="10" t="s">
        <v>612</v>
      </c>
      <c r="B590" s="10" t="s">
        <v>39</v>
      </c>
      <c r="C590" s="10" t="s">
        <v>20</v>
      </c>
      <c r="D590" s="10">
        <v>30</v>
      </c>
      <c r="F590"/>
      <c r="J590"/>
    </row>
    <row r="591" spans="1:10">
      <c r="A591" s="10" t="s">
        <v>613</v>
      </c>
      <c r="B591" s="10" t="s">
        <v>42</v>
      </c>
      <c r="C591" s="10" t="s">
        <v>13</v>
      </c>
      <c r="D591" s="10">
        <v>32</v>
      </c>
      <c r="F591"/>
      <c r="J591"/>
    </row>
    <row r="592" spans="1:10">
      <c r="A592" s="10" t="s">
        <v>614</v>
      </c>
      <c r="B592" s="10" t="s">
        <v>301</v>
      </c>
      <c r="C592" s="10" t="s">
        <v>13</v>
      </c>
      <c r="D592" s="10">
        <v>30</v>
      </c>
      <c r="F592"/>
      <c r="J592"/>
    </row>
    <row r="593" spans="1:10">
      <c r="A593" s="10" t="s">
        <v>615</v>
      </c>
      <c r="B593" s="10" t="s">
        <v>31</v>
      </c>
      <c r="C593" s="10" t="s">
        <v>13</v>
      </c>
      <c r="D593" s="10">
        <v>22</v>
      </c>
      <c r="F593"/>
      <c r="J593"/>
    </row>
    <row r="594" spans="1:10">
      <c r="A594" s="10" t="s">
        <v>616</v>
      </c>
      <c r="B594" s="10" t="s">
        <v>34</v>
      </c>
      <c r="C594" s="10" t="s">
        <v>13</v>
      </c>
      <c r="D594" s="10">
        <v>29</v>
      </c>
      <c r="F594"/>
      <c r="J594"/>
    </row>
    <row r="595" spans="1:10">
      <c r="A595" s="10" t="s">
        <v>617</v>
      </c>
      <c r="B595" s="10" t="s">
        <v>50</v>
      </c>
      <c r="C595" s="10" t="s">
        <v>13</v>
      </c>
      <c r="D595" s="10">
        <v>14</v>
      </c>
      <c r="F595"/>
      <c r="J595"/>
    </row>
    <row r="596" spans="1:10">
      <c r="A596" s="10" t="s">
        <v>618</v>
      </c>
      <c r="B596" s="10" t="s">
        <v>37</v>
      </c>
      <c r="C596" s="10" t="s">
        <v>20</v>
      </c>
      <c r="D596" s="10">
        <v>18</v>
      </c>
      <c r="F596"/>
      <c r="J596"/>
    </row>
    <row r="597" spans="1:10">
      <c r="A597" s="10" t="s">
        <v>619</v>
      </c>
      <c r="B597" s="10" t="s">
        <v>39</v>
      </c>
      <c r="C597" s="10" t="s">
        <v>13</v>
      </c>
      <c r="D597" s="10">
        <v>34</v>
      </c>
      <c r="F597"/>
      <c r="J597"/>
    </row>
    <row r="598" spans="1:10">
      <c r="A598" s="10" t="s">
        <v>620</v>
      </c>
      <c r="B598" s="10" t="s">
        <v>31</v>
      </c>
      <c r="C598" s="10" t="s">
        <v>20</v>
      </c>
      <c r="D598" s="10">
        <v>24</v>
      </c>
      <c r="F598"/>
      <c r="J598"/>
    </row>
    <row r="599" spans="1:10">
      <c r="A599" s="10" t="s">
        <v>621</v>
      </c>
      <c r="B599" s="10" t="s">
        <v>34</v>
      </c>
      <c r="C599" s="10" t="s">
        <v>13</v>
      </c>
      <c r="D599" s="10">
        <v>32</v>
      </c>
      <c r="F599"/>
      <c r="J599"/>
    </row>
    <row r="600" spans="1:10">
      <c r="A600" s="10" t="s">
        <v>622</v>
      </c>
      <c r="B600" s="10" t="s">
        <v>50</v>
      </c>
      <c r="C600" s="10" t="s">
        <v>13</v>
      </c>
      <c r="D600" s="10">
        <v>22</v>
      </c>
      <c r="F600"/>
      <c r="J600"/>
    </row>
    <row r="601" spans="1:10">
      <c r="A601" s="10" t="s">
        <v>623</v>
      </c>
      <c r="B601" s="10" t="s">
        <v>37</v>
      </c>
      <c r="C601" s="10" t="s">
        <v>13</v>
      </c>
      <c r="D601" s="10">
        <v>38</v>
      </c>
      <c r="F601"/>
      <c r="J601"/>
    </row>
    <row r="602" spans="1:10">
      <c r="A602" s="10" t="s">
        <v>624</v>
      </c>
      <c r="B602" s="10" t="s">
        <v>39</v>
      </c>
      <c r="C602" s="10" t="s">
        <v>13</v>
      </c>
      <c r="D602" s="10">
        <v>28</v>
      </c>
      <c r="F602"/>
      <c r="J602"/>
    </row>
    <row r="603" spans="1:10">
      <c r="A603" s="10" t="s">
        <v>625</v>
      </c>
      <c r="B603" s="10" t="s">
        <v>39</v>
      </c>
      <c r="C603" s="10" t="s">
        <v>13</v>
      </c>
      <c r="D603" s="10">
        <v>19</v>
      </c>
      <c r="F603"/>
      <c r="J603"/>
    </row>
    <row r="604" spans="1:10">
      <c r="A604" s="10" t="s">
        <v>626</v>
      </c>
      <c r="B604" s="10" t="s">
        <v>42</v>
      </c>
      <c r="C604" s="10" t="s">
        <v>13</v>
      </c>
      <c r="D604" s="10">
        <v>29</v>
      </c>
      <c r="F604"/>
      <c r="J604"/>
    </row>
    <row r="605" spans="1:10">
      <c r="A605" s="10" t="s">
        <v>627</v>
      </c>
      <c r="B605" s="10" t="s">
        <v>628</v>
      </c>
      <c r="C605" s="10" t="s">
        <v>20</v>
      </c>
      <c r="D605" s="10">
        <v>29</v>
      </c>
      <c r="F605"/>
      <c r="J605"/>
    </row>
    <row r="606" spans="1:10">
      <c r="A606" s="10" t="s">
        <v>629</v>
      </c>
      <c r="B606" s="10" t="s">
        <v>628</v>
      </c>
      <c r="C606" s="10" t="s">
        <v>20</v>
      </c>
      <c r="D606" s="10">
        <v>37</v>
      </c>
      <c r="F606"/>
      <c r="J606"/>
    </row>
    <row r="607" spans="1:10">
      <c r="A607" s="10" t="s">
        <v>630</v>
      </c>
      <c r="B607" s="10" t="s">
        <v>628</v>
      </c>
      <c r="C607" s="10" t="s">
        <v>13</v>
      </c>
      <c r="D607" s="10">
        <v>2</v>
      </c>
      <c r="F607"/>
      <c r="J607"/>
    </row>
    <row r="608" spans="1:10">
      <c r="A608" s="10" t="s">
        <v>631</v>
      </c>
      <c r="B608" s="10" t="s">
        <v>628</v>
      </c>
      <c r="C608" s="10" t="s">
        <v>13</v>
      </c>
      <c r="D608" s="10">
        <v>26</v>
      </c>
      <c r="F608"/>
      <c r="J608"/>
    </row>
    <row r="609" spans="1:10">
      <c r="A609" s="10" t="s">
        <v>632</v>
      </c>
      <c r="B609" s="10" t="s">
        <v>628</v>
      </c>
      <c r="C609" s="10" t="s">
        <v>13</v>
      </c>
      <c r="D609" s="10">
        <v>32</v>
      </c>
      <c r="F609"/>
      <c r="J609"/>
    </row>
    <row r="610" spans="1:10">
      <c r="A610" s="10" t="s">
        <v>633</v>
      </c>
      <c r="B610" s="10" t="s">
        <v>628</v>
      </c>
      <c r="C610" s="10" t="s">
        <v>13</v>
      </c>
      <c r="D610" s="10">
        <v>21</v>
      </c>
      <c r="F610"/>
      <c r="J610"/>
    </row>
    <row r="611" spans="1:10">
      <c r="A611" s="10" t="s">
        <v>634</v>
      </c>
      <c r="B611" s="10" t="s">
        <v>628</v>
      </c>
      <c r="C611" s="10" t="s">
        <v>13</v>
      </c>
      <c r="D611" s="10">
        <v>15</v>
      </c>
      <c r="F611"/>
      <c r="J611"/>
    </row>
    <row r="612" spans="1:10">
      <c r="A612" s="10" t="s">
        <v>635</v>
      </c>
      <c r="B612" s="10" t="s">
        <v>628</v>
      </c>
      <c r="C612" s="10" t="s">
        <v>13</v>
      </c>
      <c r="D612" s="10">
        <v>33</v>
      </c>
      <c r="F612"/>
      <c r="J612"/>
    </row>
    <row r="613" spans="1:10">
      <c r="A613" s="10" t="s">
        <v>636</v>
      </c>
      <c r="B613" s="10" t="s">
        <v>628</v>
      </c>
      <c r="C613" s="10" t="s">
        <v>13</v>
      </c>
      <c r="D613" s="10">
        <v>27</v>
      </c>
      <c r="F613"/>
      <c r="J613"/>
    </row>
    <row r="614" spans="1:10">
      <c r="A614" s="10" t="s">
        <v>637</v>
      </c>
      <c r="B614" s="10" t="s">
        <v>628</v>
      </c>
      <c r="C614" s="10" t="s">
        <v>20</v>
      </c>
      <c r="D614" s="10">
        <v>29</v>
      </c>
      <c r="F614"/>
      <c r="J614"/>
    </row>
    <row r="615" spans="1:10">
      <c r="A615" s="10" t="s">
        <v>638</v>
      </c>
      <c r="B615" s="10" t="s">
        <v>628</v>
      </c>
      <c r="C615" s="10" t="s">
        <v>20</v>
      </c>
      <c r="D615" s="10">
        <v>47</v>
      </c>
      <c r="F615"/>
      <c r="J615"/>
    </row>
    <row r="616" spans="1:10">
      <c r="A616" s="10" t="s">
        <v>639</v>
      </c>
      <c r="B616" s="10" t="s">
        <v>628</v>
      </c>
      <c r="C616" s="10" t="s">
        <v>13</v>
      </c>
      <c r="D616" s="10">
        <v>19</v>
      </c>
      <c r="F616"/>
      <c r="J616"/>
    </row>
    <row r="617" spans="1:10">
      <c r="A617" s="10" t="s">
        <v>640</v>
      </c>
      <c r="B617" s="10" t="s">
        <v>628</v>
      </c>
      <c r="C617" s="10" t="s">
        <v>20</v>
      </c>
      <c r="D617" s="10">
        <v>23</v>
      </c>
      <c r="F617"/>
      <c r="J617"/>
    </row>
    <row r="618" spans="1:10">
      <c r="A618" s="10" t="s">
        <v>641</v>
      </c>
      <c r="B618" s="10" t="s">
        <v>628</v>
      </c>
      <c r="C618" s="10" t="s">
        <v>13</v>
      </c>
      <c r="D618" s="10">
        <v>26</v>
      </c>
      <c r="F618"/>
      <c r="J618"/>
    </row>
    <row r="619" spans="1:10">
      <c r="A619" s="10" t="s">
        <v>642</v>
      </c>
      <c r="B619" s="10" t="s">
        <v>628</v>
      </c>
      <c r="C619" s="10" t="s">
        <v>13</v>
      </c>
      <c r="D619" s="10">
        <v>29</v>
      </c>
      <c r="F619"/>
      <c r="J619"/>
    </row>
    <row r="620" spans="1:10">
      <c r="A620" s="10" t="s">
        <v>643</v>
      </c>
      <c r="B620" s="10" t="s">
        <v>34</v>
      </c>
      <c r="C620" s="10" t="s">
        <v>13</v>
      </c>
      <c r="D620" s="10">
        <v>17</v>
      </c>
      <c r="F620"/>
      <c r="J620"/>
    </row>
    <row r="621" spans="1:10">
      <c r="A621" s="10" t="s">
        <v>644</v>
      </c>
      <c r="B621" s="10" t="s">
        <v>628</v>
      </c>
      <c r="C621" s="10" t="s">
        <v>20</v>
      </c>
      <c r="D621" s="10">
        <v>13</v>
      </c>
      <c r="F621"/>
      <c r="J621"/>
    </row>
    <row r="622" spans="1:10">
      <c r="A622" s="10" t="s">
        <v>645</v>
      </c>
      <c r="B622" s="10" t="s">
        <v>628</v>
      </c>
      <c r="C622" s="10" t="s">
        <v>20</v>
      </c>
      <c r="D622" s="10">
        <v>45</v>
      </c>
      <c r="F622"/>
      <c r="J622"/>
    </row>
    <row r="623" spans="1:10">
      <c r="A623" s="10" t="s">
        <v>646</v>
      </c>
      <c r="B623" s="10" t="s">
        <v>628</v>
      </c>
      <c r="C623" s="10" t="s">
        <v>20</v>
      </c>
      <c r="D623" s="10">
        <v>50</v>
      </c>
      <c r="F623"/>
      <c r="J623"/>
    </row>
    <row r="624" spans="1:10">
      <c r="A624" s="10" t="s">
        <v>647</v>
      </c>
      <c r="B624" s="10" t="s">
        <v>628</v>
      </c>
      <c r="C624" s="10" t="s">
        <v>13</v>
      </c>
      <c r="D624" s="10">
        <v>12</v>
      </c>
      <c r="F624"/>
      <c r="J624"/>
    </row>
    <row r="625" spans="1:10">
      <c r="A625" s="10" t="s">
        <v>648</v>
      </c>
      <c r="B625" s="10" t="s">
        <v>34</v>
      </c>
      <c r="C625" s="10" t="s">
        <v>13</v>
      </c>
      <c r="D625" s="10">
        <v>27</v>
      </c>
      <c r="F625"/>
      <c r="J625"/>
    </row>
    <row r="626" spans="1:10">
      <c r="A626" s="10" t="s">
        <v>649</v>
      </c>
      <c r="B626" s="10" t="s">
        <v>650</v>
      </c>
      <c r="C626" s="10" t="s">
        <v>32</v>
      </c>
      <c r="D626" s="10">
        <v>50</v>
      </c>
      <c r="F626"/>
      <c r="J626"/>
    </row>
    <row r="627" spans="1:10">
      <c r="A627" s="10" t="s">
        <v>651</v>
      </c>
      <c r="B627" s="10" t="s">
        <v>628</v>
      </c>
      <c r="C627" s="10" t="s">
        <v>20</v>
      </c>
      <c r="D627" s="10">
        <v>34</v>
      </c>
      <c r="F627"/>
      <c r="J627"/>
    </row>
    <row r="628" spans="1:10">
      <c r="A628" s="10" t="s">
        <v>652</v>
      </c>
      <c r="B628" s="10" t="s">
        <v>34</v>
      </c>
      <c r="C628" s="10" t="s">
        <v>13</v>
      </c>
      <c r="D628" s="10">
        <v>7</v>
      </c>
      <c r="F628"/>
      <c r="J628"/>
    </row>
    <row r="629" spans="1:10">
      <c r="A629" s="10" t="s">
        <v>653</v>
      </c>
      <c r="B629" s="10" t="s">
        <v>628</v>
      </c>
      <c r="C629" s="10" t="s">
        <v>13</v>
      </c>
      <c r="D629" s="10">
        <v>50</v>
      </c>
      <c r="F629"/>
      <c r="J629"/>
    </row>
    <row r="630" spans="1:10">
      <c r="A630" s="10" t="s">
        <v>654</v>
      </c>
      <c r="B630" s="10" t="s">
        <v>628</v>
      </c>
      <c r="C630" s="10" t="s">
        <v>20</v>
      </c>
      <c r="D630" s="10">
        <v>35</v>
      </c>
      <c r="F630"/>
      <c r="J630"/>
    </row>
    <row r="631" spans="1:10">
      <c r="A631" s="10" t="s">
        <v>655</v>
      </c>
      <c r="B631" s="10" t="s">
        <v>34</v>
      </c>
      <c r="C631" s="10" t="s">
        <v>13</v>
      </c>
      <c r="D631" s="10">
        <v>33</v>
      </c>
      <c r="F631"/>
      <c r="J631"/>
    </row>
    <row r="632" spans="1:10">
      <c r="A632" s="10" t="s">
        <v>656</v>
      </c>
      <c r="B632" s="10" t="s">
        <v>628</v>
      </c>
      <c r="C632" s="10" t="s">
        <v>13</v>
      </c>
      <c r="D632" s="10">
        <v>24</v>
      </c>
      <c r="F632"/>
      <c r="J632"/>
    </row>
    <row r="633" spans="1:10">
      <c r="A633" s="10" t="s">
        <v>657</v>
      </c>
      <c r="B633" s="10" t="s">
        <v>650</v>
      </c>
      <c r="C633" s="10" t="s">
        <v>13</v>
      </c>
      <c r="D633" s="10">
        <v>24</v>
      </c>
      <c r="F633"/>
      <c r="J633"/>
    </row>
    <row r="634" spans="1:10">
      <c r="A634" s="10" t="s">
        <v>658</v>
      </c>
      <c r="B634" s="10" t="s">
        <v>628</v>
      </c>
      <c r="C634" s="10" t="s">
        <v>13</v>
      </c>
      <c r="D634" s="10">
        <v>24</v>
      </c>
      <c r="F634"/>
      <c r="J634"/>
    </row>
    <row r="635" spans="1:10">
      <c r="A635" s="10" t="s">
        <v>659</v>
      </c>
      <c r="B635" s="10" t="s">
        <v>628</v>
      </c>
      <c r="C635" s="10" t="s">
        <v>20</v>
      </c>
      <c r="D635" s="10">
        <v>21</v>
      </c>
      <c r="F635"/>
      <c r="J635"/>
    </row>
    <row r="636" spans="1:10">
      <c r="A636" s="10" t="s">
        <v>660</v>
      </c>
      <c r="B636" s="10" t="s">
        <v>628</v>
      </c>
      <c r="C636" s="10" t="s">
        <v>20</v>
      </c>
      <c r="D636" s="10">
        <v>14</v>
      </c>
      <c r="F636"/>
      <c r="J636"/>
    </row>
    <row r="637" spans="1:10">
      <c r="A637" s="10" t="s">
        <v>661</v>
      </c>
      <c r="B637" s="10" t="s">
        <v>628</v>
      </c>
      <c r="C637" s="10" t="s">
        <v>13</v>
      </c>
      <c r="D637" s="10">
        <v>21</v>
      </c>
      <c r="F637"/>
      <c r="J637"/>
    </row>
    <row r="638" spans="1:10">
      <c r="A638" s="10" t="s">
        <v>662</v>
      </c>
      <c r="B638" s="10" t="s">
        <v>650</v>
      </c>
      <c r="C638" s="10" t="s">
        <v>13</v>
      </c>
      <c r="D638" s="10">
        <v>57</v>
      </c>
      <c r="F638"/>
      <c r="J638"/>
    </row>
    <row r="639" spans="1:10">
      <c r="A639" s="10" t="s">
        <v>663</v>
      </c>
      <c r="B639" s="10" t="s">
        <v>628</v>
      </c>
      <c r="C639" s="10" t="s">
        <v>13</v>
      </c>
      <c r="D639" s="10">
        <v>25</v>
      </c>
      <c r="F639"/>
      <c r="J639"/>
    </row>
    <row r="640" spans="1:10">
      <c r="A640" s="10" t="s">
        <v>664</v>
      </c>
      <c r="B640" s="10" t="s">
        <v>34</v>
      </c>
      <c r="C640" s="10" t="s">
        <v>20</v>
      </c>
      <c r="D640" s="10">
        <v>32</v>
      </c>
      <c r="F640"/>
      <c r="J640"/>
    </row>
    <row r="641" spans="1:10">
      <c r="A641" s="10" t="s">
        <v>665</v>
      </c>
      <c r="B641" s="10" t="s">
        <v>34</v>
      </c>
      <c r="C641" s="10" t="s">
        <v>13</v>
      </c>
      <c r="D641" s="10">
        <v>23</v>
      </c>
      <c r="F641"/>
      <c r="J641"/>
    </row>
    <row r="642" spans="1:10">
      <c r="A642" s="10" t="s">
        <v>666</v>
      </c>
      <c r="B642" s="10" t="s">
        <v>628</v>
      </c>
      <c r="C642" s="10" t="s">
        <v>13</v>
      </c>
      <c r="D642" s="10">
        <v>28</v>
      </c>
      <c r="F642"/>
      <c r="J642"/>
    </row>
    <row r="643" spans="1:10">
      <c r="A643" s="10" t="s">
        <v>667</v>
      </c>
      <c r="B643" s="10" t="s">
        <v>34</v>
      </c>
      <c r="C643" s="10" t="s">
        <v>13</v>
      </c>
      <c r="D643" s="10">
        <v>21</v>
      </c>
      <c r="F643"/>
      <c r="J643"/>
    </row>
    <row r="644" spans="1:10">
      <c r="A644" s="10" t="s">
        <v>668</v>
      </c>
      <c r="B644" s="10" t="s">
        <v>650</v>
      </c>
      <c r="C644" s="10" t="s">
        <v>20</v>
      </c>
      <c r="D644" s="10">
        <v>26</v>
      </c>
      <c r="F644"/>
      <c r="J644"/>
    </row>
    <row r="645" spans="1:10">
      <c r="A645" s="10" t="s">
        <v>669</v>
      </c>
      <c r="B645" s="10" t="s">
        <v>650</v>
      </c>
      <c r="C645" s="10" t="s">
        <v>13</v>
      </c>
      <c r="D645" s="10">
        <v>28</v>
      </c>
      <c r="F645"/>
      <c r="J645"/>
    </row>
    <row r="646" spans="1:10">
      <c r="A646" s="10" t="s">
        <v>670</v>
      </c>
      <c r="B646" s="10" t="s">
        <v>628</v>
      </c>
      <c r="C646" s="10" t="s">
        <v>13</v>
      </c>
      <c r="D646" s="10">
        <v>10</v>
      </c>
      <c r="F646"/>
      <c r="J646"/>
    </row>
    <row r="647" spans="1:10">
      <c r="A647" s="10" t="s">
        <v>671</v>
      </c>
      <c r="B647" s="10" t="s">
        <v>628</v>
      </c>
      <c r="C647" s="10" t="s">
        <v>13</v>
      </c>
      <c r="D647" s="10">
        <v>21</v>
      </c>
      <c r="F647"/>
      <c r="J647"/>
    </row>
    <row r="648" spans="1:10">
      <c r="A648" s="10" t="s">
        <v>672</v>
      </c>
      <c r="B648" s="10" t="s">
        <v>34</v>
      </c>
      <c r="C648" s="10" t="s">
        <v>20</v>
      </c>
      <c r="D648" s="10">
        <v>56</v>
      </c>
      <c r="F648"/>
      <c r="J648"/>
    </row>
    <row r="649" spans="1:10">
      <c r="A649" s="10" t="s">
        <v>673</v>
      </c>
      <c r="B649" s="10" t="s">
        <v>34</v>
      </c>
      <c r="C649" s="10" t="s">
        <v>13</v>
      </c>
      <c r="D649" s="10">
        <v>35</v>
      </c>
      <c r="F649"/>
      <c r="J649"/>
    </row>
    <row r="650" spans="1:10">
      <c r="A650" s="10" t="s">
        <v>674</v>
      </c>
      <c r="B650" s="10" t="s">
        <v>650</v>
      </c>
      <c r="C650" s="10" t="s">
        <v>13</v>
      </c>
      <c r="D650" s="10">
        <v>23</v>
      </c>
      <c r="F650"/>
      <c r="J650"/>
    </row>
    <row r="651" spans="1:10">
      <c r="A651" s="10" t="s">
        <v>675</v>
      </c>
      <c r="B651" s="10" t="s">
        <v>628</v>
      </c>
      <c r="C651" s="10" t="s">
        <v>13</v>
      </c>
      <c r="D651" s="10">
        <v>14</v>
      </c>
      <c r="F651"/>
      <c r="J651"/>
    </row>
    <row r="652" spans="1:10">
      <c r="A652" s="10" t="s">
        <v>676</v>
      </c>
      <c r="B652" s="10" t="s">
        <v>650</v>
      </c>
      <c r="C652" s="10" t="s">
        <v>13</v>
      </c>
      <c r="D652" s="10">
        <v>29</v>
      </c>
      <c r="F652"/>
      <c r="J652"/>
    </row>
    <row r="653" spans="1:10" ht="19.5">
      <c r="A653" s="10" t="s">
        <v>677</v>
      </c>
      <c r="B653" s="10" t="s">
        <v>628</v>
      </c>
      <c r="C653" s="11" t="s">
        <v>32</v>
      </c>
      <c r="D653" s="10">
        <v>22</v>
      </c>
      <c r="F653"/>
      <c r="J653"/>
    </row>
    <row r="654" spans="1:10">
      <c r="A654" s="10" t="s">
        <v>678</v>
      </c>
      <c r="B654" s="10" t="s">
        <v>34</v>
      </c>
      <c r="C654" s="10" t="s">
        <v>13</v>
      </c>
      <c r="D654" s="10">
        <v>25</v>
      </c>
      <c r="F654"/>
      <c r="J654"/>
    </row>
    <row r="655" spans="1:10">
      <c r="A655" s="10" t="s">
        <v>679</v>
      </c>
      <c r="B655" s="10" t="s">
        <v>650</v>
      </c>
      <c r="C655" s="10" t="s">
        <v>13</v>
      </c>
      <c r="D655" s="10">
        <v>44</v>
      </c>
      <c r="F655"/>
      <c r="J655"/>
    </row>
    <row r="656" spans="1:10">
      <c r="A656" s="10" t="s">
        <v>680</v>
      </c>
      <c r="B656" s="10" t="s">
        <v>650</v>
      </c>
      <c r="C656" s="10" t="s">
        <v>13</v>
      </c>
      <c r="D656" s="10">
        <v>32</v>
      </c>
      <c r="F656"/>
      <c r="J656"/>
    </row>
    <row r="657" spans="1:10">
      <c r="A657" s="10" t="s">
        <v>681</v>
      </c>
      <c r="B657" s="10" t="s">
        <v>628</v>
      </c>
      <c r="C657" s="10" t="s">
        <v>13</v>
      </c>
      <c r="D657" s="10">
        <v>28</v>
      </c>
      <c r="F657"/>
      <c r="J657"/>
    </row>
    <row r="658" spans="1:10">
      <c r="A658" s="10" t="s">
        <v>682</v>
      </c>
      <c r="B658" s="10" t="s">
        <v>628</v>
      </c>
      <c r="C658" s="10" t="s">
        <v>13</v>
      </c>
      <c r="D658" s="10">
        <v>17</v>
      </c>
      <c r="F658"/>
      <c r="J658"/>
    </row>
    <row r="659" spans="1:10">
      <c r="A659" s="10" t="s">
        <v>683</v>
      </c>
      <c r="B659" s="10" t="s">
        <v>650</v>
      </c>
      <c r="C659" s="10" t="s">
        <v>13</v>
      </c>
      <c r="D659" s="10">
        <v>22</v>
      </c>
      <c r="F659"/>
      <c r="J659"/>
    </row>
    <row r="660" spans="1:10">
      <c r="A660" s="10" t="s">
        <v>684</v>
      </c>
      <c r="B660" s="10" t="s">
        <v>650</v>
      </c>
      <c r="C660" s="10" t="s">
        <v>13</v>
      </c>
      <c r="D660" s="10">
        <v>32</v>
      </c>
      <c r="F660"/>
      <c r="J660"/>
    </row>
    <row r="661" spans="1:10" ht="19.5">
      <c r="A661" s="10" t="s">
        <v>685</v>
      </c>
      <c r="B661" s="10" t="s">
        <v>628</v>
      </c>
      <c r="C661" s="11" t="s">
        <v>32</v>
      </c>
      <c r="D661" s="10">
        <v>33</v>
      </c>
      <c r="F661"/>
      <c r="J661"/>
    </row>
    <row r="662" spans="1:10">
      <c r="A662" s="10" t="s">
        <v>686</v>
      </c>
      <c r="B662" s="10" t="s">
        <v>34</v>
      </c>
      <c r="C662" s="10" t="s">
        <v>13</v>
      </c>
      <c r="D662" s="10">
        <v>18</v>
      </c>
      <c r="F662"/>
      <c r="J662"/>
    </row>
    <row r="663" spans="1:10">
      <c r="A663" s="10" t="s">
        <v>687</v>
      </c>
      <c r="B663" s="10" t="s">
        <v>628</v>
      </c>
      <c r="C663" s="10" t="s">
        <v>13</v>
      </c>
      <c r="D663" s="10">
        <v>33</v>
      </c>
      <c r="F663"/>
      <c r="J663"/>
    </row>
    <row r="664" spans="1:10">
      <c r="A664" s="10" t="s">
        <v>688</v>
      </c>
      <c r="B664" s="10" t="s">
        <v>650</v>
      </c>
      <c r="C664" s="10" t="s">
        <v>20</v>
      </c>
      <c r="D664" s="10">
        <v>29</v>
      </c>
      <c r="F664"/>
      <c r="J664"/>
    </row>
    <row r="665" spans="1:10">
      <c r="A665" s="10" t="s">
        <v>689</v>
      </c>
      <c r="B665" s="10" t="s">
        <v>628</v>
      </c>
      <c r="C665" s="10" t="s">
        <v>13</v>
      </c>
      <c r="D665" s="10">
        <v>36</v>
      </c>
      <c r="F665"/>
      <c r="J665"/>
    </row>
    <row r="666" spans="1:10">
      <c r="A666" s="10" t="s">
        <v>690</v>
      </c>
      <c r="B666" s="10" t="s">
        <v>650</v>
      </c>
      <c r="C666" s="10" t="s">
        <v>20</v>
      </c>
      <c r="D666" s="10">
        <v>33</v>
      </c>
      <c r="F666"/>
      <c r="J666"/>
    </row>
    <row r="667" spans="1:10">
      <c r="A667" s="10" t="s">
        <v>691</v>
      </c>
      <c r="B667" s="10" t="s">
        <v>650</v>
      </c>
      <c r="C667" s="10" t="s">
        <v>13</v>
      </c>
      <c r="D667" s="10">
        <v>35</v>
      </c>
      <c r="F667"/>
      <c r="J667"/>
    </row>
    <row r="668" spans="1:10">
      <c r="A668" s="10" t="s">
        <v>692</v>
      </c>
      <c r="B668" s="10" t="s">
        <v>628</v>
      </c>
      <c r="C668" s="10" t="s">
        <v>13</v>
      </c>
      <c r="D668" s="10">
        <v>27</v>
      </c>
      <c r="F668"/>
      <c r="J668"/>
    </row>
    <row r="669" spans="1:10">
      <c r="A669" s="10" t="s">
        <v>693</v>
      </c>
      <c r="B669" s="10" t="s">
        <v>650</v>
      </c>
      <c r="C669" s="10" t="s">
        <v>13</v>
      </c>
      <c r="D669" s="10">
        <v>14</v>
      </c>
      <c r="F669"/>
      <c r="J669"/>
    </row>
    <row r="670" spans="1:10">
      <c r="A670" s="10" t="s">
        <v>694</v>
      </c>
      <c r="B670" s="10" t="s">
        <v>650</v>
      </c>
      <c r="C670" s="10" t="s">
        <v>13</v>
      </c>
      <c r="D670" s="10">
        <v>43</v>
      </c>
      <c r="F670"/>
      <c r="J670"/>
    </row>
    <row r="671" spans="1:10">
      <c r="A671" s="10" t="s">
        <v>695</v>
      </c>
      <c r="B671" s="10" t="s">
        <v>650</v>
      </c>
      <c r="C671" s="10" t="s">
        <v>20</v>
      </c>
      <c r="D671" s="10">
        <v>42</v>
      </c>
      <c r="F671"/>
      <c r="J671"/>
    </row>
    <row r="672" spans="1:10">
      <c r="A672" s="10" t="s">
        <v>696</v>
      </c>
      <c r="B672" s="10" t="s">
        <v>628</v>
      </c>
      <c r="C672" s="10" t="s">
        <v>13</v>
      </c>
      <c r="D672" s="10">
        <v>34</v>
      </c>
      <c r="F672"/>
      <c r="J672"/>
    </row>
    <row r="673" spans="1:10">
      <c r="A673" s="10" t="s">
        <v>697</v>
      </c>
      <c r="B673" s="10" t="s">
        <v>650</v>
      </c>
      <c r="C673" s="10" t="s">
        <v>13</v>
      </c>
      <c r="D673" s="10">
        <v>21</v>
      </c>
      <c r="F673"/>
      <c r="J673"/>
    </row>
    <row r="674" spans="1:10">
      <c r="A674" s="10" t="s">
        <v>698</v>
      </c>
      <c r="B674" s="10" t="s">
        <v>628</v>
      </c>
      <c r="C674" s="10" t="s">
        <v>16</v>
      </c>
      <c r="D674" s="10">
        <v>14</v>
      </c>
      <c r="F674"/>
      <c r="J674"/>
    </row>
    <row r="675" spans="1:10">
      <c r="A675" s="10" t="s">
        <v>699</v>
      </c>
      <c r="B675" s="10" t="s">
        <v>650</v>
      </c>
      <c r="C675" s="10" t="s">
        <v>13</v>
      </c>
      <c r="D675" s="10">
        <v>30</v>
      </c>
      <c r="F675"/>
      <c r="J675"/>
    </row>
    <row r="676" spans="1:10">
      <c r="A676" s="10" t="s">
        <v>700</v>
      </c>
      <c r="B676" s="10" t="s">
        <v>628</v>
      </c>
      <c r="C676" s="10" t="s">
        <v>13</v>
      </c>
      <c r="D676" s="10">
        <v>27</v>
      </c>
      <c r="F676"/>
      <c r="J676"/>
    </row>
    <row r="677" spans="1:10">
      <c r="A677" s="10" t="s">
        <v>701</v>
      </c>
      <c r="B677" s="10" t="s">
        <v>650</v>
      </c>
      <c r="C677" s="10" t="s">
        <v>13</v>
      </c>
      <c r="D677" s="10">
        <v>25</v>
      </c>
      <c r="F677"/>
      <c r="J677"/>
    </row>
    <row r="678" spans="1:10">
      <c r="A678" s="10" t="s">
        <v>702</v>
      </c>
      <c r="B678" s="10" t="s">
        <v>650</v>
      </c>
      <c r="C678" s="10" t="s">
        <v>20</v>
      </c>
      <c r="D678" s="10">
        <v>34</v>
      </c>
      <c r="F678"/>
      <c r="J678"/>
    </row>
    <row r="679" spans="1:10">
      <c r="A679" s="10" t="s">
        <v>703</v>
      </c>
      <c r="B679" s="10" t="s">
        <v>650</v>
      </c>
      <c r="C679" s="10" t="s">
        <v>20</v>
      </c>
      <c r="D679" s="10">
        <v>34</v>
      </c>
      <c r="F679"/>
      <c r="J679"/>
    </row>
    <row r="680" spans="1:10">
      <c r="A680" s="10" t="s">
        <v>704</v>
      </c>
      <c r="B680" s="10" t="s">
        <v>650</v>
      </c>
      <c r="C680" s="10" t="s">
        <v>13</v>
      </c>
      <c r="D680" s="10">
        <v>55</v>
      </c>
      <c r="F680"/>
      <c r="J680"/>
    </row>
    <row r="681" spans="1:10">
      <c r="A681" s="10" t="s">
        <v>705</v>
      </c>
      <c r="B681" s="10" t="s">
        <v>628</v>
      </c>
      <c r="C681" s="10" t="s">
        <v>13</v>
      </c>
      <c r="D681" s="10">
        <v>18</v>
      </c>
      <c r="F681"/>
      <c r="J681"/>
    </row>
    <row r="682" spans="1:10">
      <c r="A682" s="10" t="s">
        <v>706</v>
      </c>
      <c r="B682" s="10" t="s">
        <v>628</v>
      </c>
      <c r="C682" s="10" t="s">
        <v>13</v>
      </c>
      <c r="D682" s="10">
        <v>16</v>
      </c>
      <c r="F682"/>
      <c r="J682"/>
    </row>
    <row r="683" spans="1:10">
      <c r="A683" s="10" t="s">
        <v>707</v>
      </c>
      <c r="B683" s="10" t="s">
        <v>628</v>
      </c>
      <c r="C683" s="10" t="s">
        <v>20</v>
      </c>
      <c r="D683" s="10">
        <v>19</v>
      </c>
      <c r="F683"/>
      <c r="J683"/>
    </row>
    <row r="684" spans="1:10">
      <c r="F684"/>
      <c r="J684"/>
    </row>
    <row r="685" spans="1:10">
      <c r="F685"/>
      <c r="J685"/>
    </row>
    <row r="686" spans="1:10">
      <c r="F686"/>
      <c r="J686"/>
    </row>
    <row r="687" spans="1:10">
      <c r="F687"/>
      <c r="J687"/>
    </row>
    <row r="688" spans="1:10">
      <c r="F688"/>
      <c r="J688"/>
    </row>
    <row r="689" spans="6:10">
      <c r="F689"/>
      <c r="J689"/>
    </row>
    <row r="690" spans="6:10">
      <c r="F690"/>
      <c r="J690"/>
    </row>
    <row r="691" spans="6:10">
      <c r="F691"/>
      <c r="J691"/>
    </row>
    <row r="692" spans="6:10">
      <c r="F692"/>
      <c r="J692"/>
    </row>
    <row r="693" spans="6:10">
      <c r="F693"/>
    </row>
    <row r="694" spans="6:10">
      <c r="F694"/>
    </row>
    <row r="695" spans="6:10">
      <c r="F695"/>
    </row>
    <row r="696" spans="6:10">
      <c r="F696"/>
    </row>
    <row r="697" spans="6:10">
      <c r="F697"/>
    </row>
    <row r="698" spans="6:10">
      <c r="F698"/>
    </row>
    <row r="699" spans="6:10">
      <c r="F699"/>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86B4-E383-4385-9CE7-64681EAB86BC}">
  <sheetPr>
    <tabColor rgb="FFFF0000"/>
  </sheetPr>
  <dimension ref="A1:C14"/>
  <sheetViews>
    <sheetView workbookViewId="0">
      <selection activeCell="A15" sqref="A15"/>
    </sheetView>
  </sheetViews>
  <sheetFormatPr defaultRowHeight="18.75"/>
  <cols>
    <col min="1" max="14" width="3.625" customWidth="1"/>
  </cols>
  <sheetData>
    <row r="1" spans="1:3">
      <c r="A1">
        <v>1</v>
      </c>
      <c r="B1" t="s">
        <v>751</v>
      </c>
    </row>
    <row r="2" spans="1:3">
      <c r="B2" t="s">
        <v>752</v>
      </c>
    </row>
    <row r="3" spans="1:3">
      <c r="B3" t="s">
        <v>753</v>
      </c>
    </row>
    <row r="4" spans="1:3">
      <c r="B4" t="s">
        <v>754</v>
      </c>
    </row>
    <row r="5" spans="1:3">
      <c r="B5" t="s">
        <v>755</v>
      </c>
    </row>
    <row r="6" spans="1:3">
      <c r="A6">
        <v>2</v>
      </c>
      <c r="B6" t="s">
        <v>756</v>
      </c>
    </row>
    <row r="7" spans="1:3">
      <c r="B7" t="s">
        <v>757</v>
      </c>
    </row>
    <row r="8" spans="1:3">
      <c r="B8" t="s">
        <v>758</v>
      </c>
      <c r="C8" t="s">
        <v>759</v>
      </c>
    </row>
    <row r="9" spans="1:3">
      <c r="B9" t="s">
        <v>758</v>
      </c>
      <c r="C9" t="s">
        <v>760</v>
      </c>
    </row>
    <row r="10" spans="1:3">
      <c r="A10">
        <v>3</v>
      </c>
      <c r="B10" t="s">
        <v>766</v>
      </c>
    </row>
    <row r="11" spans="1:3">
      <c r="B11" t="s">
        <v>767</v>
      </c>
    </row>
    <row r="12" spans="1:3">
      <c r="B12" t="s">
        <v>768</v>
      </c>
    </row>
    <row r="13" spans="1:3">
      <c r="A13">
        <v>4</v>
      </c>
      <c r="B13" t="s">
        <v>772</v>
      </c>
    </row>
    <row r="14" spans="1:3">
      <c r="B14" t="s">
        <v>773</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FFAD-6C0B-4611-849B-129200D1717A}">
  <dimension ref="A1:C683"/>
  <sheetViews>
    <sheetView topLeftCell="A9" zoomScaleNormal="100" workbookViewId="0">
      <selection activeCell="F24" sqref="F24"/>
    </sheetView>
  </sheetViews>
  <sheetFormatPr defaultRowHeight="18.75"/>
  <sheetData>
    <row r="1" spans="1:3" ht="19.5">
      <c r="A1" s="1" t="s">
        <v>3</v>
      </c>
      <c r="B1" s="1" t="s">
        <v>9</v>
      </c>
      <c r="C1" s="1" t="s">
        <v>10</v>
      </c>
    </row>
    <row r="2" spans="1:3" ht="19.5">
      <c r="A2" s="1" t="s">
        <v>22</v>
      </c>
      <c r="B2" s="1">
        <v>2680</v>
      </c>
      <c r="C2" s="1">
        <v>51</v>
      </c>
    </row>
    <row r="3" spans="1:3" ht="19.5">
      <c r="A3" s="1" t="s">
        <v>14</v>
      </c>
      <c r="B3" s="1">
        <v>1520</v>
      </c>
      <c r="C3" s="1">
        <v>49</v>
      </c>
    </row>
    <row r="4" spans="1:3" ht="19.5">
      <c r="A4" s="1" t="s">
        <v>393</v>
      </c>
      <c r="B4" s="1">
        <v>245</v>
      </c>
      <c r="C4" s="1">
        <v>5</v>
      </c>
    </row>
    <row r="5" spans="1:3" ht="19.5">
      <c r="A5" s="1" t="s">
        <v>254</v>
      </c>
      <c r="B5" s="1">
        <v>234</v>
      </c>
      <c r="C5" s="1">
        <v>11</v>
      </c>
    </row>
    <row r="6" spans="1:3" ht="19.5">
      <c r="A6" s="1" t="s">
        <v>590</v>
      </c>
      <c r="B6" s="1">
        <v>234</v>
      </c>
      <c r="C6" s="1">
        <v>13</v>
      </c>
    </row>
    <row r="7" spans="1:3" ht="19.5">
      <c r="A7" s="1" t="s">
        <v>361</v>
      </c>
      <c r="B7" s="1">
        <v>231</v>
      </c>
      <c r="C7" s="1">
        <v>11</v>
      </c>
    </row>
    <row r="8" spans="1:3" ht="19.5">
      <c r="A8" s="1" t="s">
        <v>409</v>
      </c>
      <c r="B8" s="1">
        <v>231</v>
      </c>
      <c r="C8" s="1">
        <v>12</v>
      </c>
    </row>
    <row r="9" spans="1:3" ht="19.5">
      <c r="A9" s="1" t="s">
        <v>214</v>
      </c>
      <c r="B9" s="1">
        <v>226</v>
      </c>
      <c r="C9" s="1">
        <v>19</v>
      </c>
    </row>
    <row r="10" spans="1:3" ht="19.5">
      <c r="A10" s="1" t="s">
        <v>246</v>
      </c>
      <c r="B10" s="1">
        <v>226</v>
      </c>
      <c r="C10" s="1">
        <v>13</v>
      </c>
    </row>
    <row r="11" spans="1:3" ht="19.5">
      <c r="A11" s="1" t="s">
        <v>480</v>
      </c>
      <c r="B11" s="1">
        <v>226</v>
      </c>
      <c r="C11" s="1">
        <v>9</v>
      </c>
    </row>
    <row r="12" spans="1:3" ht="19.5">
      <c r="A12" s="1" t="s">
        <v>529</v>
      </c>
      <c r="B12" s="1">
        <v>224</v>
      </c>
      <c r="C12" s="1">
        <v>7</v>
      </c>
    </row>
    <row r="13" spans="1:3" ht="19.5">
      <c r="A13" s="1" t="s">
        <v>357</v>
      </c>
      <c r="B13" s="1">
        <v>223</v>
      </c>
      <c r="C13" s="1">
        <v>7</v>
      </c>
    </row>
    <row r="14" spans="1:3" ht="19.5">
      <c r="A14" s="1" t="s">
        <v>281</v>
      </c>
      <c r="B14" s="1">
        <v>222</v>
      </c>
      <c r="C14" s="1">
        <v>13</v>
      </c>
    </row>
    <row r="15" spans="1:3" ht="19.5">
      <c r="A15" s="1" t="s">
        <v>630</v>
      </c>
      <c r="B15" s="1">
        <v>222</v>
      </c>
      <c r="C15" s="1">
        <v>2</v>
      </c>
    </row>
    <row r="16" spans="1:3" ht="19.5">
      <c r="A16" s="1" t="s">
        <v>83</v>
      </c>
      <c r="B16" s="1">
        <v>221</v>
      </c>
      <c r="C16" s="1">
        <v>16</v>
      </c>
    </row>
    <row r="17" spans="1:3" ht="19.5">
      <c r="A17" s="1" t="s">
        <v>318</v>
      </c>
      <c r="B17" s="1">
        <v>221</v>
      </c>
      <c r="C17" s="1">
        <v>14</v>
      </c>
    </row>
    <row r="18" spans="1:3" ht="19.5">
      <c r="A18" s="1" t="s">
        <v>77</v>
      </c>
      <c r="B18" s="1">
        <v>220</v>
      </c>
      <c r="C18" s="1">
        <v>16</v>
      </c>
    </row>
    <row r="19" spans="1:3" ht="19.5">
      <c r="A19" s="1" t="s">
        <v>260</v>
      </c>
      <c r="B19" s="1">
        <v>220</v>
      </c>
      <c r="C19" s="1">
        <v>14</v>
      </c>
    </row>
    <row r="20" spans="1:3" ht="19.5">
      <c r="A20" s="1" t="s">
        <v>660</v>
      </c>
      <c r="B20" s="1">
        <v>218</v>
      </c>
      <c r="C20" s="1">
        <v>14</v>
      </c>
    </row>
    <row r="21" spans="1:3" ht="19.5">
      <c r="A21" s="1" t="s">
        <v>108</v>
      </c>
      <c r="B21" s="1">
        <v>216</v>
      </c>
      <c r="C21" s="1">
        <v>18</v>
      </c>
    </row>
    <row r="22" spans="1:3" ht="19.5">
      <c r="A22" s="1" t="s">
        <v>683</v>
      </c>
      <c r="B22" s="1">
        <v>216</v>
      </c>
      <c r="C22" s="1">
        <v>22</v>
      </c>
    </row>
    <row r="23" spans="1:3" ht="19.5">
      <c r="A23" s="1" t="s">
        <v>459</v>
      </c>
      <c r="B23" s="1">
        <v>213</v>
      </c>
      <c r="C23" s="1">
        <v>14</v>
      </c>
    </row>
    <row r="24" spans="1:3" ht="19.5">
      <c r="A24" s="1" t="s">
        <v>140</v>
      </c>
      <c r="B24" s="1">
        <v>212</v>
      </c>
      <c r="C24" s="1">
        <v>21</v>
      </c>
    </row>
    <row r="25" spans="1:3" ht="19.5">
      <c r="A25" s="1" t="s">
        <v>316</v>
      </c>
      <c r="B25" s="1">
        <v>212</v>
      </c>
      <c r="C25" s="1">
        <v>26</v>
      </c>
    </row>
    <row r="26" spans="1:3" ht="19.5">
      <c r="A26" s="1" t="s">
        <v>353</v>
      </c>
      <c r="B26" s="1">
        <v>212</v>
      </c>
      <c r="C26" s="1">
        <v>25</v>
      </c>
    </row>
    <row r="27" spans="1:3" ht="19.5">
      <c r="A27" s="1" t="s">
        <v>401</v>
      </c>
      <c r="B27" s="1">
        <v>212</v>
      </c>
      <c r="C27" s="1">
        <v>22</v>
      </c>
    </row>
    <row r="28" spans="1:3" ht="19.5">
      <c r="A28" s="1" t="s">
        <v>448</v>
      </c>
      <c r="B28" s="1">
        <v>212</v>
      </c>
      <c r="C28" s="1">
        <v>15</v>
      </c>
    </row>
    <row r="29" spans="1:3" ht="19.5">
      <c r="A29" s="1" t="s">
        <v>36</v>
      </c>
      <c r="B29" s="1">
        <v>211</v>
      </c>
      <c r="C29" s="1">
        <v>21</v>
      </c>
    </row>
    <row r="30" spans="1:3" ht="19.5">
      <c r="A30" s="1" t="s">
        <v>442</v>
      </c>
      <c r="B30" s="1">
        <v>211</v>
      </c>
      <c r="C30" s="1">
        <v>21</v>
      </c>
    </row>
    <row r="31" spans="1:3" ht="19.5">
      <c r="A31" s="1" t="s">
        <v>64</v>
      </c>
      <c r="B31" s="1">
        <v>210</v>
      </c>
      <c r="C31" s="1">
        <v>19</v>
      </c>
    </row>
    <row r="32" spans="1:3" ht="19.5">
      <c r="A32" s="1" t="s">
        <v>84</v>
      </c>
      <c r="B32" s="1">
        <v>210</v>
      </c>
      <c r="C32" s="1">
        <v>18</v>
      </c>
    </row>
    <row r="33" spans="1:3" ht="19.5">
      <c r="A33" s="1" t="s">
        <v>269</v>
      </c>
      <c r="B33" s="1">
        <v>210</v>
      </c>
      <c r="C33" s="1">
        <v>6</v>
      </c>
    </row>
    <row r="34" spans="1:3" ht="19.5">
      <c r="A34" s="1" t="s">
        <v>15</v>
      </c>
      <c r="B34" s="1">
        <v>208</v>
      </c>
      <c r="C34" s="1">
        <v>19</v>
      </c>
    </row>
    <row r="35" spans="1:3" ht="19.5">
      <c r="A35" s="1" t="s">
        <v>278</v>
      </c>
      <c r="B35" s="1">
        <v>208</v>
      </c>
      <c r="C35" s="1">
        <v>20</v>
      </c>
    </row>
    <row r="36" spans="1:3" ht="19.5">
      <c r="A36" s="1" t="s">
        <v>251</v>
      </c>
      <c r="B36" s="1">
        <v>207</v>
      </c>
      <c r="C36" s="1">
        <v>24</v>
      </c>
    </row>
    <row r="37" spans="1:3" ht="19.5">
      <c r="A37" s="1" t="s">
        <v>47</v>
      </c>
      <c r="B37" s="1">
        <v>206</v>
      </c>
      <c r="C37" s="1">
        <v>15</v>
      </c>
    </row>
    <row r="38" spans="1:3" ht="19.5">
      <c r="A38" s="1" t="s">
        <v>222</v>
      </c>
      <c r="B38" s="1">
        <v>206</v>
      </c>
      <c r="C38" s="1">
        <v>15</v>
      </c>
    </row>
    <row r="39" spans="1:3" ht="19.5">
      <c r="A39" s="1" t="s">
        <v>295</v>
      </c>
      <c r="B39" s="1">
        <v>206</v>
      </c>
      <c r="C39" s="1">
        <v>25</v>
      </c>
    </row>
    <row r="40" spans="1:3" ht="19.5">
      <c r="A40" s="1" t="s">
        <v>346</v>
      </c>
      <c r="B40" s="1">
        <v>205</v>
      </c>
      <c r="C40" s="1">
        <v>16</v>
      </c>
    </row>
    <row r="41" spans="1:3" ht="19.5">
      <c r="A41" s="1" t="s">
        <v>490</v>
      </c>
      <c r="B41" s="1">
        <v>205</v>
      </c>
      <c r="C41" s="1">
        <v>13</v>
      </c>
    </row>
    <row r="42" spans="1:3" ht="19.5">
      <c r="A42" s="1" t="s">
        <v>550</v>
      </c>
      <c r="B42" s="1">
        <v>205</v>
      </c>
      <c r="C42" s="1">
        <v>4</v>
      </c>
    </row>
    <row r="43" spans="1:3" ht="19.5">
      <c r="A43" s="1" t="s">
        <v>582</v>
      </c>
      <c r="B43" s="1">
        <v>205</v>
      </c>
      <c r="C43" s="1">
        <v>8</v>
      </c>
    </row>
    <row r="44" spans="1:3" ht="19.5">
      <c r="A44" s="1" t="s">
        <v>688</v>
      </c>
      <c r="B44" s="1">
        <v>205</v>
      </c>
      <c r="C44" s="1">
        <v>29</v>
      </c>
    </row>
    <row r="45" spans="1:3" ht="19.5">
      <c r="A45" s="1" t="s">
        <v>261</v>
      </c>
      <c r="B45" s="1">
        <v>204</v>
      </c>
      <c r="C45" s="1">
        <v>12</v>
      </c>
    </row>
    <row r="46" spans="1:3" ht="19.5">
      <c r="A46" s="1" t="s">
        <v>541</v>
      </c>
      <c r="B46" s="1">
        <v>204</v>
      </c>
      <c r="C46" s="1">
        <v>22</v>
      </c>
    </row>
    <row r="47" spans="1:3" ht="19.5">
      <c r="A47" s="1" t="s">
        <v>697</v>
      </c>
      <c r="B47" s="1">
        <v>204</v>
      </c>
      <c r="C47" s="1">
        <v>21</v>
      </c>
    </row>
    <row r="48" spans="1:3" ht="19.5">
      <c r="A48" s="1" t="s">
        <v>133</v>
      </c>
      <c r="B48" s="1">
        <v>203</v>
      </c>
      <c r="C48" s="1">
        <v>11</v>
      </c>
    </row>
    <row r="49" spans="1:3" ht="19.5">
      <c r="A49" s="1" t="s">
        <v>472</v>
      </c>
      <c r="B49" s="1">
        <v>203</v>
      </c>
      <c r="C49" s="1">
        <v>11</v>
      </c>
    </row>
    <row r="50" spans="1:3" ht="19.5">
      <c r="A50" s="1" t="s">
        <v>235</v>
      </c>
      <c r="B50" s="1">
        <v>202</v>
      </c>
      <c r="C50" s="1">
        <v>13</v>
      </c>
    </row>
    <row r="51" spans="1:3" ht="19.5">
      <c r="A51" s="1" t="s">
        <v>255</v>
      </c>
      <c r="B51" s="1">
        <v>202</v>
      </c>
      <c r="C51" s="1">
        <v>19</v>
      </c>
    </row>
    <row r="52" spans="1:3" ht="19.5">
      <c r="A52" s="1" t="s">
        <v>308</v>
      </c>
      <c r="B52" s="1">
        <v>202</v>
      </c>
      <c r="C52" s="1">
        <v>23</v>
      </c>
    </row>
    <row r="53" spans="1:3" ht="19.5">
      <c r="A53" s="1" t="s">
        <v>674</v>
      </c>
      <c r="B53" s="1">
        <v>201</v>
      </c>
      <c r="C53" s="1">
        <v>23</v>
      </c>
    </row>
    <row r="54" spans="1:3" ht="19.5">
      <c r="A54" s="1" t="s">
        <v>203</v>
      </c>
      <c r="B54" s="1">
        <v>200</v>
      </c>
      <c r="C54" s="1">
        <v>23</v>
      </c>
    </row>
    <row r="55" spans="1:3" ht="19.5">
      <c r="A55" s="1" t="s">
        <v>509</v>
      </c>
      <c r="B55" s="1">
        <v>200</v>
      </c>
      <c r="C55" s="1">
        <v>27</v>
      </c>
    </row>
    <row r="56" spans="1:3" ht="19.5">
      <c r="A56" s="1" t="s">
        <v>44</v>
      </c>
      <c r="B56" s="1">
        <v>199</v>
      </c>
      <c r="C56" s="1">
        <v>25</v>
      </c>
    </row>
    <row r="57" spans="1:3" ht="19.5">
      <c r="A57" s="1" t="s">
        <v>85</v>
      </c>
      <c r="B57" s="1">
        <v>198</v>
      </c>
      <c r="C57" s="1">
        <v>21</v>
      </c>
    </row>
    <row r="58" spans="1:3" ht="19.5">
      <c r="A58" s="1" t="s">
        <v>132</v>
      </c>
      <c r="B58" s="1">
        <v>198</v>
      </c>
      <c r="C58" s="1">
        <v>11</v>
      </c>
    </row>
    <row r="59" spans="1:3" ht="19.5">
      <c r="A59" s="1" t="s">
        <v>181</v>
      </c>
      <c r="B59" s="1">
        <v>198</v>
      </c>
      <c r="C59" s="1">
        <v>22</v>
      </c>
    </row>
    <row r="60" spans="1:3" ht="19.5">
      <c r="A60" s="1" t="s">
        <v>248</v>
      </c>
      <c r="B60" s="1">
        <v>197</v>
      </c>
      <c r="C60" s="1">
        <v>24</v>
      </c>
    </row>
    <row r="61" spans="1:3" ht="19.5">
      <c r="A61" s="1" t="s">
        <v>378</v>
      </c>
      <c r="B61" s="1">
        <v>197</v>
      </c>
      <c r="C61" s="1">
        <v>26</v>
      </c>
    </row>
    <row r="62" spans="1:3" ht="19.5">
      <c r="A62" s="1" t="s">
        <v>445</v>
      </c>
      <c r="B62" s="1">
        <v>197</v>
      </c>
      <c r="C62" s="1">
        <v>32</v>
      </c>
    </row>
    <row r="63" spans="1:3" ht="19.5">
      <c r="A63" s="1" t="s">
        <v>199</v>
      </c>
      <c r="B63" s="1">
        <v>196</v>
      </c>
      <c r="C63" s="1">
        <v>16</v>
      </c>
    </row>
    <row r="64" spans="1:3" ht="19.5">
      <c r="A64" s="1" t="s">
        <v>341</v>
      </c>
      <c r="B64" s="1">
        <v>196</v>
      </c>
      <c r="C64" s="1">
        <v>20</v>
      </c>
    </row>
    <row r="65" spans="1:3" ht="19.5">
      <c r="A65" s="1" t="s">
        <v>437</v>
      </c>
      <c r="B65" s="1">
        <v>196</v>
      </c>
      <c r="C65" s="1">
        <v>28</v>
      </c>
    </row>
    <row r="66" spans="1:3" ht="19.5">
      <c r="A66" s="1" t="s">
        <v>556</v>
      </c>
      <c r="B66" s="1">
        <v>196</v>
      </c>
      <c r="C66" s="1">
        <v>23</v>
      </c>
    </row>
    <row r="67" spans="1:3" ht="19.5">
      <c r="A67" s="1" t="s">
        <v>565</v>
      </c>
      <c r="B67" s="1">
        <v>196</v>
      </c>
      <c r="C67" s="1">
        <v>23</v>
      </c>
    </row>
    <row r="68" spans="1:3" ht="19.5">
      <c r="A68" s="1" t="s">
        <v>652</v>
      </c>
      <c r="B68" s="1">
        <v>196</v>
      </c>
      <c r="C68" s="1">
        <v>7</v>
      </c>
    </row>
    <row r="69" spans="1:3" ht="19.5">
      <c r="A69" s="1" t="s">
        <v>24</v>
      </c>
      <c r="B69" s="1">
        <v>195</v>
      </c>
      <c r="C69" s="1">
        <v>14</v>
      </c>
    </row>
    <row r="70" spans="1:3" ht="19.5">
      <c r="A70" s="1" t="s">
        <v>111</v>
      </c>
      <c r="B70" s="1">
        <v>195</v>
      </c>
      <c r="C70" s="1">
        <v>20</v>
      </c>
    </row>
    <row r="71" spans="1:3" ht="19.5">
      <c r="A71" s="1" t="s">
        <v>292</v>
      </c>
      <c r="B71" s="1">
        <v>195</v>
      </c>
      <c r="C71" s="1">
        <v>27</v>
      </c>
    </row>
    <row r="72" spans="1:3" ht="19.5">
      <c r="A72" s="1" t="s">
        <v>597</v>
      </c>
      <c r="B72" s="1">
        <v>195</v>
      </c>
      <c r="C72" s="1">
        <v>22</v>
      </c>
    </row>
    <row r="73" spans="1:3" ht="19.5">
      <c r="A73" s="1" t="s">
        <v>204</v>
      </c>
      <c r="B73" s="1">
        <v>194</v>
      </c>
      <c r="C73" s="1">
        <v>20</v>
      </c>
    </row>
    <row r="74" spans="1:3" ht="19.5">
      <c r="A74" s="1" t="s">
        <v>282</v>
      </c>
      <c r="B74" s="1">
        <v>194</v>
      </c>
      <c r="C74" s="1">
        <v>32</v>
      </c>
    </row>
    <row r="75" spans="1:3" ht="19.5">
      <c r="A75" s="1" t="s">
        <v>333</v>
      </c>
      <c r="B75" s="1">
        <v>194</v>
      </c>
      <c r="C75" s="1">
        <v>21</v>
      </c>
    </row>
    <row r="76" spans="1:3" ht="19.5">
      <c r="A76" s="1" t="s">
        <v>339</v>
      </c>
      <c r="B76" s="1">
        <v>194</v>
      </c>
      <c r="C76" s="1">
        <v>25</v>
      </c>
    </row>
    <row r="77" spans="1:3" ht="19.5">
      <c r="A77" s="1" t="s">
        <v>682</v>
      </c>
      <c r="B77" s="1">
        <v>194</v>
      </c>
      <c r="C77" s="1">
        <v>17</v>
      </c>
    </row>
    <row r="78" spans="1:3" ht="19.5">
      <c r="A78" s="1" t="s">
        <v>198</v>
      </c>
      <c r="B78" s="1">
        <v>193</v>
      </c>
      <c r="C78" s="1">
        <v>18</v>
      </c>
    </row>
    <row r="79" spans="1:3" ht="19.5">
      <c r="A79" s="1" t="s">
        <v>386</v>
      </c>
      <c r="B79" s="1">
        <v>193</v>
      </c>
      <c r="C79" s="1">
        <v>34</v>
      </c>
    </row>
    <row r="80" spans="1:3" ht="19.5">
      <c r="A80" s="1" t="s">
        <v>421</v>
      </c>
      <c r="B80" s="1">
        <v>193</v>
      </c>
      <c r="C80" s="1">
        <v>14</v>
      </c>
    </row>
    <row r="81" spans="1:3" ht="19.5">
      <c r="A81" s="1" t="s">
        <v>530</v>
      </c>
      <c r="B81" s="1">
        <v>193</v>
      </c>
      <c r="C81" s="1">
        <v>9</v>
      </c>
    </row>
    <row r="82" spans="1:3" ht="19.5">
      <c r="A82" s="1" t="s">
        <v>68</v>
      </c>
      <c r="B82" s="1">
        <v>192</v>
      </c>
      <c r="C82" s="1">
        <v>27</v>
      </c>
    </row>
    <row r="83" spans="1:3" ht="19.5">
      <c r="A83" s="1" t="s">
        <v>217</v>
      </c>
      <c r="B83" s="1">
        <v>192</v>
      </c>
      <c r="C83" s="1">
        <v>18</v>
      </c>
    </row>
    <row r="84" spans="1:3" ht="19.5">
      <c r="A84" s="1" t="s">
        <v>223</v>
      </c>
      <c r="B84" s="1">
        <v>192</v>
      </c>
      <c r="C84" s="1">
        <v>22</v>
      </c>
    </row>
    <row r="85" spans="1:3" ht="19.5">
      <c r="A85" s="1" t="s">
        <v>324</v>
      </c>
      <c r="B85" s="1">
        <v>192</v>
      </c>
      <c r="C85" s="1">
        <v>3</v>
      </c>
    </row>
    <row r="86" spans="1:3" ht="19.5">
      <c r="A86" s="1" t="s">
        <v>486</v>
      </c>
      <c r="B86" s="1">
        <v>192</v>
      </c>
      <c r="C86" s="1">
        <v>10</v>
      </c>
    </row>
    <row r="87" spans="1:3" ht="19.5">
      <c r="A87" s="1" t="s">
        <v>59</v>
      </c>
      <c r="B87" s="1">
        <v>191</v>
      </c>
      <c r="C87" s="1">
        <v>24</v>
      </c>
    </row>
    <row r="88" spans="1:3" ht="19.5">
      <c r="A88" s="1" t="s">
        <v>104</v>
      </c>
      <c r="B88" s="1">
        <v>191</v>
      </c>
      <c r="C88" s="1">
        <v>21</v>
      </c>
    </row>
    <row r="89" spans="1:3" ht="19.5">
      <c r="A89" s="1" t="s">
        <v>532</v>
      </c>
      <c r="B89" s="1">
        <v>191</v>
      </c>
      <c r="C89" s="1">
        <v>19</v>
      </c>
    </row>
    <row r="90" spans="1:3" ht="19.5">
      <c r="A90" s="1" t="s">
        <v>676</v>
      </c>
      <c r="B90" s="1">
        <v>191</v>
      </c>
      <c r="C90" s="1">
        <v>29</v>
      </c>
    </row>
    <row r="91" spans="1:3" ht="19.5">
      <c r="A91" s="1" t="s">
        <v>336</v>
      </c>
      <c r="B91" s="1">
        <v>190</v>
      </c>
      <c r="C91" s="1">
        <v>14</v>
      </c>
    </row>
    <row r="92" spans="1:3" ht="19.5">
      <c r="A92" s="1" t="s">
        <v>436</v>
      </c>
      <c r="B92" s="1">
        <v>190</v>
      </c>
      <c r="C92" s="1">
        <v>17</v>
      </c>
    </row>
    <row r="93" spans="1:3" ht="19.5">
      <c r="A93" s="1" t="s">
        <v>620</v>
      </c>
      <c r="B93" s="1">
        <v>190</v>
      </c>
      <c r="C93" s="1">
        <v>24</v>
      </c>
    </row>
    <row r="94" spans="1:3" ht="19.5">
      <c r="A94" s="1" t="s">
        <v>701</v>
      </c>
      <c r="B94" s="1">
        <v>190</v>
      </c>
      <c r="C94" s="1">
        <v>25</v>
      </c>
    </row>
    <row r="95" spans="1:3" ht="19.5">
      <c r="A95" s="1" t="s">
        <v>180</v>
      </c>
      <c r="B95" s="1">
        <v>189</v>
      </c>
      <c r="C95" s="1">
        <v>26</v>
      </c>
    </row>
    <row r="96" spans="1:3" ht="19.5">
      <c r="A96" s="1" t="s">
        <v>236</v>
      </c>
      <c r="B96" s="1">
        <v>189</v>
      </c>
      <c r="C96" s="1">
        <v>31</v>
      </c>
    </row>
    <row r="97" spans="1:3" ht="19.5">
      <c r="A97" s="1" t="s">
        <v>244</v>
      </c>
      <c r="B97" s="1">
        <v>189</v>
      </c>
      <c r="C97" s="1">
        <v>29</v>
      </c>
    </row>
    <row r="98" spans="1:3" ht="19.5">
      <c r="A98" s="1" t="s">
        <v>322</v>
      </c>
      <c r="B98" s="1">
        <v>189</v>
      </c>
      <c r="C98" s="1">
        <v>22</v>
      </c>
    </row>
    <row r="99" spans="1:3" ht="19.5">
      <c r="A99" s="1" t="s">
        <v>440</v>
      </c>
      <c r="B99" s="1">
        <v>189</v>
      </c>
      <c r="C99" s="1">
        <v>18</v>
      </c>
    </row>
    <row r="100" spans="1:3" ht="19.5">
      <c r="A100" s="1" t="s">
        <v>249</v>
      </c>
      <c r="B100" s="1">
        <v>188</v>
      </c>
      <c r="C100" s="1">
        <v>33</v>
      </c>
    </row>
    <row r="101" spans="1:3" ht="19.5">
      <c r="A101" s="1" t="s">
        <v>253</v>
      </c>
      <c r="B101" s="1">
        <v>188</v>
      </c>
      <c r="C101" s="1">
        <v>16</v>
      </c>
    </row>
    <row r="102" spans="1:3" ht="19.5">
      <c r="A102" s="1" t="s">
        <v>457</v>
      </c>
      <c r="B102" s="1">
        <v>188</v>
      </c>
      <c r="C102" s="1">
        <v>34</v>
      </c>
    </row>
    <row r="103" spans="1:3" ht="19.5">
      <c r="A103" s="1" t="s">
        <v>468</v>
      </c>
      <c r="B103" s="1">
        <v>188</v>
      </c>
      <c r="C103" s="1">
        <v>14</v>
      </c>
    </row>
    <row r="104" spans="1:3" ht="19.5">
      <c r="A104" s="1" t="s">
        <v>537</v>
      </c>
      <c r="B104" s="1">
        <v>188</v>
      </c>
      <c r="C104" s="1">
        <v>15</v>
      </c>
    </row>
    <row r="105" spans="1:3" ht="19.5">
      <c r="A105" s="1" t="s">
        <v>553</v>
      </c>
      <c r="B105" s="1">
        <v>188</v>
      </c>
      <c r="C105" s="1">
        <v>17</v>
      </c>
    </row>
    <row r="106" spans="1:3" ht="19.5">
      <c r="A106" s="1" t="s">
        <v>152</v>
      </c>
      <c r="B106" s="1">
        <v>187</v>
      </c>
      <c r="C106" s="1">
        <v>31</v>
      </c>
    </row>
    <row r="107" spans="1:3" ht="19.5">
      <c r="A107" s="1" t="s">
        <v>299</v>
      </c>
      <c r="B107" s="1">
        <v>187</v>
      </c>
      <c r="C107" s="1">
        <v>19</v>
      </c>
    </row>
    <row r="108" spans="1:3" ht="19.5">
      <c r="A108" s="1" t="s">
        <v>413</v>
      </c>
      <c r="B108" s="1">
        <v>187</v>
      </c>
      <c r="C108" s="1">
        <v>17</v>
      </c>
    </row>
    <row r="109" spans="1:3" ht="19.5">
      <c r="A109" s="1" t="s">
        <v>678</v>
      </c>
      <c r="B109" s="1">
        <v>187</v>
      </c>
      <c r="C109" s="1">
        <v>25</v>
      </c>
    </row>
    <row r="110" spans="1:3" ht="19.5">
      <c r="A110" s="1" t="s">
        <v>82</v>
      </c>
      <c r="B110" s="1">
        <v>186</v>
      </c>
      <c r="C110" s="1">
        <v>26</v>
      </c>
    </row>
    <row r="111" spans="1:3" ht="19.5">
      <c r="A111" s="1" t="s">
        <v>151</v>
      </c>
      <c r="B111" s="1">
        <v>186</v>
      </c>
      <c r="C111" s="1">
        <v>32</v>
      </c>
    </row>
    <row r="112" spans="1:3" ht="19.5">
      <c r="A112" s="1" t="s">
        <v>160</v>
      </c>
      <c r="B112" s="1">
        <v>186</v>
      </c>
      <c r="C112" s="1">
        <v>20</v>
      </c>
    </row>
    <row r="113" spans="1:3" ht="19.5">
      <c r="A113" s="1" t="s">
        <v>192</v>
      </c>
      <c r="B113" s="1">
        <v>186</v>
      </c>
      <c r="C113" s="1">
        <v>25</v>
      </c>
    </row>
    <row r="114" spans="1:3" ht="19.5">
      <c r="A114" s="1" t="s">
        <v>227</v>
      </c>
      <c r="B114" s="1">
        <v>186</v>
      </c>
      <c r="C114" s="1">
        <v>11</v>
      </c>
    </row>
    <row r="115" spans="1:3" ht="19.5">
      <c r="A115" s="1" t="s">
        <v>240</v>
      </c>
      <c r="B115" s="1">
        <v>186</v>
      </c>
      <c r="C115" s="1">
        <v>24</v>
      </c>
    </row>
    <row r="116" spans="1:3" ht="19.5">
      <c r="A116" s="1" t="s">
        <v>396</v>
      </c>
      <c r="B116" s="1">
        <v>186</v>
      </c>
      <c r="C116" s="1">
        <v>27</v>
      </c>
    </row>
    <row r="117" spans="1:3" ht="19.5">
      <c r="A117" s="1" t="s">
        <v>675</v>
      </c>
      <c r="B117" s="1">
        <v>186</v>
      </c>
      <c r="C117" s="1">
        <v>14</v>
      </c>
    </row>
    <row r="118" spans="1:3" ht="19.5">
      <c r="A118" s="1" t="s">
        <v>693</v>
      </c>
      <c r="B118" s="1">
        <v>186</v>
      </c>
      <c r="C118" s="1">
        <v>14</v>
      </c>
    </row>
    <row r="119" spans="1:3" ht="19.5">
      <c r="A119" s="1" t="s">
        <v>166</v>
      </c>
      <c r="B119" s="1">
        <v>185</v>
      </c>
      <c r="C119" s="1">
        <v>12</v>
      </c>
    </row>
    <row r="120" spans="1:3" ht="19.5">
      <c r="A120" s="1" t="s">
        <v>337</v>
      </c>
      <c r="B120" s="1">
        <v>185</v>
      </c>
      <c r="C120" s="1">
        <v>21</v>
      </c>
    </row>
    <row r="121" spans="1:3" ht="19.5">
      <c r="A121" s="1" t="s">
        <v>549</v>
      </c>
      <c r="B121" s="1">
        <v>185</v>
      </c>
      <c r="C121" s="1">
        <v>32</v>
      </c>
    </row>
    <row r="122" spans="1:3" ht="19.5">
      <c r="A122" s="1" t="s">
        <v>571</v>
      </c>
      <c r="B122" s="1">
        <v>185</v>
      </c>
      <c r="C122" s="1">
        <v>35</v>
      </c>
    </row>
    <row r="123" spans="1:3" ht="19.5">
      <c r="A123" s="1" t="s">
        <v>142</v>
      </c>
      <c r="B123" s="1">
        <v>184</v>
      </c>
      <c r="C123" s="1">
        <v>12</v>
      </c>
    </row>
    <row r="124" spans="1:3" ht="19.5">
      <c r="A124" s="1" t="s">
        <v>165</v>
      </c>
      <c r="B124" s="1">
        <v>184</v>
      </c>
      <c r="C124" s="1">
        <v>32</v>
      </c>
    </row>
    <row r="125" spans="1:3" ht="19.5">
      <c r="A125" s="1" t="s">
        <v>419</v>
      </c>
      <c r="B125" s="1">
        <v>184</v>
      </c>
      <c r="C125" s="1">
        <v>35</v>
      </c>
    </row>
    <row r="126" spans="1:3" ht="19.5">
      <c r="A126" s="1" t="s">
        <v>487</v>
      </c>
      <c r="B126" s="1">
        <v>184</v>
      </c>
      <c r="C126" s="1">
        <v>35</v>
      </c>
    </row>
    <row r="127" spans="1:3" ht="19.5">
      <c r="A127" s="1" t="s">
        <v>527</v>
      </c>
      <c r="B127" s="1">
        <v>184</v>
      </c>
      <c r="C127" s="1">
        <v>33</v>
      </c>
    </row>
    <row r="128" spans="1:3" ht="19.5">
      <c r="A128" s="1" t="s">
        <v>595</v>
      </c>
      <c r="B128" s="1">
        <v>184</v>
      </c>
      <c r="C128" s="1">
        <v>27</v>
      </c>
    </row>
    <row r="129" spans="1:3" ht="19.5">
      <c r="A129" s="1" t="s">
        <v>611</v>
      </c>
      <c r="B129" s="1">
        <v>184</v>
      </c>
      <c r="C129" s="1">
        <v>30</v>
      </c>
    </row>
    <row r="130" spans="1:3" ht="19.5">
      <c r="A130" s="1" t="s">
        <v>647</v>
      </c>
      <c r="B130" s="1">
        <v>184</v>
      </c>
      <c r="C130" s="1">
        <v>12</v>
      </c>
    </row>
    <row r="131" spans="1:3" ht="19.5">
      <c r="A131" s="1" t="s">
        <v>155</v>
      </c>
      <c r="B131" s="1">
        <v>183</v>
      </c>
      <c r="C131" s="1">
        <v>23</v>
      </c>
    </row>
    <row r="132" spans="1:3" ht="19.5">
      <c r="A132" s="1" t="s">
        <v>514</v>
      </c>
      <c r="B132" s="1">
        <v>183</v>
      </c>
      <c r="C132" s="1">
        <v>14</v>
      </c>
    </row>
    <row r="133" spans="1:3" ht="19.5">
      <c r="A133" s="1" t="s">
        <v>109</v>
      </c>
      <c r="B133" s="1">
        <v>182</v>
      </c>
      <c r="C133" s="1">
        <v>30</v>
      </c>
    </row>
    <row r="134" spans="1:3" ht="19.5">
      <c r="A134" s="1" t="s">
        <v>447</v>
      </c>
      <c r="B134" s="1">
        <v>182</v>
      </c>
      <c r="C134" s="1">
        <v>8</v>
      </c>
    </row>
    <row r="135" spans="1:3" ht="19.5">
      <c r="A135" s="1" t="s">
        <v>493</v>
      </c>
      <c r="B135" s="1">
        <v>182</v>
      </c>
      <c r="C135" s="1">
        <v>18</v>
      </c>
    </row>
    <row r="136" spans="1:3" ht="19.5">
      <c r="A136" s="1" t="s">
        <v>194</v>
      </c>
      <c r="B136" s="1">
        <v>181</v>
      </c>
      <c r="C136" s="1">
        <v>27</v>
      </c>
    </row>
    <row r="137" spans="1:3" ht="19.5">
      <c r="A137" s="1" t="s">
        <v>390</v>
      </c>
      <c r="B137" s="1">
        <v>181</v>
      </c>
      <c r="C137" s="1">
        <v>26</v>
      </c>
    </row>
    <row r="138" spans="1:3" ht="19.5">
      <c r="A138" s="1" t="s">
        <v>533</v>
      </c>
      <c r="B138" s="1">
        <v>181</v>
      </c>
      <c r="C138" s="1">
        <v>37</v>
      </c>
    </row>
    <row r="139" spans="1:3" ht="19.5">
      <c r="A139" s="1" t="s">
        <v>560</v>
      </c>
      <c r="B139" s="1">
        <v>181</v>
      </c>
      <c r="C139" s="1">
        <v>26</v>
      </c>
    </row>
    <row r="140" spans="1:3" ht="19.5">
      <c r="A140" s="1" t="s">
        <v>593</v>
      </c>
      <c r="B140" s="1">
        <v>181</v>
      </c>
      <c r="C140" s="1">
        <v>17</v>
      </c>
    </row>
    <row r="141" spans="1:3" ht="19.5">
      <c r="A141" s="1" t="s">
        <v>258</v>
      </c>
      <c r="B141" s="1">
        <v>180</v>
      </c>
      <c r="C141" s="1">
        <v>24</v>
      </c>
    </row>
    <row r="142" spans="1:3" ht="19.5">
      <c r="A142" s="1" t="s">
        <v>291</v>
      </c>
      <c r="B142" s="1">
        <v>180</v>
      </c>
      <c r="C142" s="1">
        <v>26</v>
      </c>
    </row>
    <row r="143" spans="1:3" ht="19.5">
      <c r="A143" s="1" t="s">
        <v>343</v>
      </c>
      <c r="B143" s="1">
        <v>180</v>
      </c>
      <c r="C143" s="1">
        <v>36</v>
      </c>
    </row>
    <row r="144" spans="1:3" ht="19.5">
      <c r="A144" s="1" t="s">
        <v>375</v>
      </c>
      <c r="B144" s="1">
        <v>180</v>
      </c>
      <c r="C144" s="1">
        <v>20</v>
      </c>
    </row>
    <row r="145" spans="1:3" ht="19.5">
      <c r="A145" s="1" t="s">
        <v>400</v>
      </c>
      <c r="B145" s="1">
        <v>180</v>
      </c>
      <c r="C145" s="1">
        <v>11</v>
      </c>
    </row>
    <row r="146" spans="1:3" ht="19.5">
      <c r="A146" s="1" t="s">
        <v>551</v>
      </c>
      <c r="B146" s="1">
        <v>180</v>
      </c>
      <c r="C146" s="1">
        <v>30</v>
      </c>
    </row>
    <row r="147" spans="1:3" ht="19.5">
      <c r="A147" s="1" t="s">
        <v>596</v>
      </c>
      <c r="B147" s="1">
        <v>180</v>
      </c>
      <c r="C147" s="1">
        <v>36</v>
      </c>
    </row>
    <row r="148" spans="1:3" ht="19.5">
      <c r="A148" s="1" t="s">
        <v>144</v>
      </c>
      <c r="B148" s="1">
        <v>179</v>
      </c>
      <c r="C148" s="1">
        <v>23</v>
      </c>
    </row>
    <row r="149" spans="1:3" ht="19.5">
      <c r="A149" s="1" t="s">
        <v>266</v>
      </c>
      <c r="B149" s="1">
        <v>179</v>
      </c>
      <c r="C149" s="1">
        <v>30</v>
      </c>
    </row>
    <row r="150" spans="1:3" ht="19.5">
      <c r="A150" s="1" t="s">
        <v>293</v>
      </c>
      <c r="B150" s="1">
        <v>179</v>
      </c>
      <c r="C150" s="1">
        <v>21</v>
      </c>
    </row>
    <row r="151" spans="1:3" ht="19.5">
      <c r="A151" s="1" t="s">
        <v>368</v>
      </c>
      <c r="B151" s="1">
        <v>179</v>
      </c>
      <c r="C151" s="1">
        <v>20</v>
      </c>
    </row>
    <row r="152" spans="1:3" ht="19.5">
      <c r="A152" s="1" t="s">
        <v>605</v>
      </c>
      <c r="B152" s="1">
        <v>179</v>
      </c>
      <c r="C152" s="1">
        <v>24</v>
      </c>
    </row>
    <row r="153" spans="1:3" ht="19.5">
      <c r="A153" s="1" t="s">
        <v>625</v>
      </c>
      <c r="B153" s="1">
        <v>179</v>
      </c>
      <c r="C153" s="1">
        <v>19</v>
      </c>
    </row>
    <row r="154" spans="1:3" ht="19.5">
      <c r="A154" s="1" t="s">
        <v>69</v>
      </c>
      <c r="B154" s="1">
        <v>178</v>
      </c>
      <c r="C154" s="1">
        <v>23</v>
      </c>
    </row>
    <row r="155" spans="1:3" ht="19.5">
      <c r="A155" s="1" t="s">
        <v>96</v>
      </c>
      <c r="B155" s="1">
        <v>178</v>
      </c>
      <c r="C155" s="1">
        <v>20</v>
      </c>
    </row>
    <row r="156" spans="1:3" ht="19.5">
      <c r="A156" s="1" t="s">
        <v>171</v>
      </c>
      <c r="B156" s="1">
        <v>178</v>
      </c>
      <c r="C156" s="1">
        <v>20</v>
      </c>
    </row>
    <row r="157" spans="1:3" ht="19.5">
      <c r="A157" s="1" t="s">
        <v>200</v>
      </c>
      <c r="B157" s="1">
        <v>178</v>
      </c>
      <c r="C157" s="1">
        <v>26</v>
      </c>
    </row>
    <row r="158" spans="1:3" ht="19.5">
      <c r="A158" s="1" t="s">
        <v>554</v>
      </c>
      <c r="B158" s="1">
        <v>178</v>
      </c>
      <c r="C158" s="1">
        <v>22</v>
      </c>
    </row>
    <row r="159" spans="1:3" ht="19.5">
      <c r="A159" s="1" t="s">
        <v>619</v>
      </c>
      <c r="B159" s="1">
        <v>178</v>
      </c>
      <c r="C159" s="1">
        <v>34</v>
      </c>
    </row>
    <row r="160" spans="1:3" ht="19.5">
      <c r="A160" s="1" t="s">
        <v>657</v>
      </c>
      <c r="B160" s="1">
        <v>178</v>
      </c>
      <c r="C160" s="1">
        <v>24</v>
      </c>
    </row>
    <row r="161" spans="1:3" ht="19.5">
      <c r="A161" s="1" t="s">
        <v>667</v>
      </c>
      <c r="B161" s="1">
        <v>178</v>
      </c>
      <c r="C161" s="1">
        <v>21</v>
      </c>
    </row>
    <row r="162" spans="1:3" ht="19.5">
      <c r="A162" s="1" t="s">
        <v>51</v>
      </c>
      <c r="B162" s="1">
        <v>177</v>
      </c>
      <c r="C162" s="1">
        <v>25</v>
      </c>
    </row>
    <row r="163" spans="1:3" ht="19.5">
      <c r="A163" s="1" t="s">
        <v>79</v>
      </c>
      <c r="B163" s="1">
        <v>177</v>
      </c>
      <c r="C163" s="1">
        <v>24</v>
      </c>
    </row>
    <row r="164" spans="1:3" ht="19.5">
      <c r="A164" s="1" t="s">
        <v>80</v>
      </c>
      <c r="B164" s="1">
        <v>177</v>
      </c>
      <c r="C164" s="1">
        <v>31</v>
      </c>
    </row>
    <row r="165" spans="1:3" ht="19.5">
      <c r="A165" s="1" t="s">
        <v>158</v>
      </c>
      <c r="B165" s="1">
        <v>177</v>
      </c>
      <c r="C165" s="1">
        <v>20</v>
      </c>
    </row>
    <row r="166" spans="1:3" ht="19.5">
      <c r="A166" s="1" t="s">
        <v>201</v>
      </c>
      <c r="B166" s="1">
        <v>177</v>
      </c>
      <c r="C166" s="1">
        <v>14</v>
      </c>
    </row>
    <row r="167" spans="1:3" ht="19.5">
      <c r="A167" s="1" t="s">
        <v>354</v>
      </c>
      <c r="B167" s="1">
        <v>177</v>
      </c>
      <c r="C167" s="1">
        <v>32</v>
      </c>
    </row>
    <row r="168" spans="1:3" ht="19.5">
      <c r="A168" s="1" t="s">
        <v>458</v>
      </c>
      <c r="B168" s="1">
        <v>177</v>
      </c>
      <c r="C168" s="1">
        <v>25</v>
      </c>
    </row>
    <row r="169" spans="1:3" ht="19.5">
      <c r="A169" s="1" t="s">
        <v>495</v>
      </c>
      <c r="B169" s="1">
        <v>177</v>
      </c>
      <c r="C169" s="1">
        <v>18</v>
      </c>
    </row>
    <row r="170" spans="1:3" ht="19.5">
      <c r="A170" s="1" t="s">
        <v>538</v>
      </c>
      <c r="B170" s="1">
        <v>177</v>
      </c>
      <c r="C170" s="1">
        <v>22</v>
      </c>
    </row>
    <row r="171" spans="1:3" ht="19.5">
      <c r="A171" s="1" t="s">
        <v>669</v>
      </c>
      <c r="B171" s="1">
        <v>177</v>
      </c>
      <c r="C171" s="1">
        <v>28</v>
      </c>
    </row>
    <row r="172" spans="1:3" ht="19.5">
      <c r="A172" s="1" t="s">
        <v>45</v>
      </c>
      <c r="B172" s="1">
        <v>176</v>
      </c>
      <c r="C172" s="1">
        <v>31</v>
      </c>
    </row>
    <row r="173" spans="1:3" ht="19.5">
      <c r="A173" s="1" t="s">
        <v>65</v>
      </c>
      <c r="B173" s="1">
        <v>176</v>
      </c>
      <c r="C173" s="1">
        <v>19</v>
      </c>
    </row>
    <row r="174" spans="1:3" ht="19.5">
      <c r="A174" s="1" t="s">
        <v>162</v>
      </c>
      <c r="B174" s="1">
        <v>176</v>
      </c>
      <c r="C174" s="1">
        <v>24</v>
      </c>
    </row>
    <row r="175" spans="1:3" ht="19.5">
      <c r="A175" s="1" t="s">
        <v>229</v>
      </c>
      <c r="B175" s="1">
        <v>176</v>
      </c>
      <c r="C175" s="1">
        <v>22</v>
      </c>
    </row>
    <row r="176" spans="1:3" ht="19.5">
      <c r="A176" s="1" t="s">
        <v>481</v>
      </c>
      <c r="B176" s="1">
        <v>176</v>
      </c>
      <c r="C176" s="1">
        <v>19</v>
      </c>
    </row>
    <row r="177" spans="1:3" ht="19.5">
      <c r="A177" s="1" t="s">
        <v>494</v>
      </c>
      <c r="B177" s="1">
        <v>176</v>
      </c>
      <c r="C177" s="1">
        <v>18</v>
      </c>
    </row>
    <row r="178" spans="1:3" ht="19.5">
      <c r="A178" s="1" t="s">
        <v>661</v>
      </c>
      <c r="B178" s="1">
        <v>176</v>
      </c>
      <c r="C178" s="1">
        <v>21</v>
      </c>
    </row>
    <row r="179" spans="1:3" ht="19.5">
      <c r="A179" s="1" t="s">
        <v>112</v>
      </c>
      <c r="B179" s="1">
        <v>175</v>
      </c>
      <c r="C179" s="1">
        <v>26</v>
      </c>
    </row>
    <row r="180" spans="1:3" ht="19.5">
      <c r="A180" s="1" t="s">
        <v>147</v>
      </c>
      <c r="B180" s="1">
        <v>175</v>
      </c>
      <c r="C180" s="1">
        <v>13</v>
      </c>
    </row>
    <row r="181" spans="1:3" ht="19.5">
      <c r="A181" s="1" t="s">
        <v>156</v>
      </c>
      <c r="B181" s="1">
        <v>175</v>
      </c>
      <c r="C181" s="1">
        <v>24</v>
      </c>
    </row>
    <row r="182" spans="1:3" ht="19.5">
      <c r="A182" s="1" t="s">
        <v>233</v>
      </c>
      <c r="B182" s="1">
        <v>175</v>
      </c>
      <c r="C182" s="1">
        <v>32</v>
      </c>
    </row>
    <row r="183" spans="1:3" ht="19.5">
      <c r="A183" s="1" t="s">
        <v>460</v>
      </c>
      <c r="B183" s="1">
        <v>175</v>
      </c>
      <c r="C183" s="1">
        <v>24</v>
      </c>
    </row>
    <row r="184" spans="1:3" ht="19.5">
      <c r="A184" s="1" t="s">
        <v>546</v>
      </c>
      <c r="B184" s="1">
        <v>175</v>
      </c>
      <c r="C184" s="1">
        <v>24</v>
      </c>
    </row>
    <row r="185" spans="1:3" ht="19.5">
      <c r="A185" s="1" t="s">
        <v>187</v>
      </c>
      <c r="B185" s="1">
        <v>174</v>
      </c>
      <c r="C185" s="1">
        <v>16</v>
      </c>
    </row>
    <row r="186" spans="1:3" ht="19.5">
      <c r="A186" s="1" t="s">
        <v>347</v>
      </c>
      <c r="B186" s="1">
        <v>174</v>
      </c>
      <c r="C186" s="1">
        <v>31</v>
      </c>
    </row>
    <row r="187" spans="1:3" ht="19.5">
      <c r="A187" s="1" t="s">
        <v>416</v>
      </c>
      <c r="B187" s="1">
        <v>174</v>
      </c>
      <c r="C187" s="1">
        <v>32</v>
      </c>
    </row>
    <row r="188" spans="1:3" ht="19.5">
      <c r="A188" s="1" t="s">
        <v>579</v>
      </c>
      <c r="B188" s="1">
        <v>174</v>
      </c>
      <c r="C188" s="1">
        <v>32</v>
      </c>
    </row>
    <row r="189" spans="1:3" ht="19.5">
      <c r="A189" s="1" t="s">
        <v>150</v>
      </c>
      <c r="B189" s="1">
        <v>173</v>
      </c>
      <c r="C189" s="1">
        <v>34</v>
      </c>
    </row>
    <row r="190" spans="1:3" ht="19.5">
      <c r="A190" s="1" t="s">
        <v>161</v>
      </c>
      <c r="B190" s="1">
        <v>173</v>
      </c>
      <c r="C190" s="1">
        <v>19</v>
      </c>
    </row>
    <row r="191" spans="1:3" ht="19.5">
      <c r="A191" s="1" t="s">
        <v>449</v>
      </c>
      <c r="B191" s="1">
        <v>173</v>
      </c>
      <c r="C191" s="1">
        <v>26</v>
      </c>
    </row>
    <row r="192" spans="1:3" ht="19.5">
      <c r="A192" s="1" t="s">
        <v>539</v>
      </c>
      <c r="B192" s="1">
        <v>173</v>
      </c>
      <c r="C192" s="1">
        <v>31</v>
      </c>
    </row>
    <row r="193" spans="1:3" ht="19.5">
      <c r="A193" s="1" t="s">
        <v>274</v>
      </c>
      <c r="B193" s="1">
        <v>172</v>
      </c>
      <c r="C193" s="1">
        <v>17</v>
      </c>
    </row>
    <row r="194" spans="1:3" ht="19.5">
      <c r="A194" s="1" t="s">
        <v>289</v>
      </c>
      <c r="B194" s="1">
        <v>172</v>
      </c>
      <c r="C194" s="1">
        <v>11</v>
      </c>
    </row>
    <row r="195" spans="1:3" ht="19.5">
      <c r="A195" s="1" t="s">
        <v>303</v>
      </c>
      <c r="B195" s="1">
        <v>172</v>
      </c>
      <c r="C195" s="1">
        <v>26</v>
      </c>
    </row>
    <row r="196" spans="1:3" ht="19.5">
      <c r="A196" s="1" t="s">
        <v>429</v>
      </c>
      <c r="B196" s="1">
        <v>172</v>
      </c>
      <c r="C196" s="1">
        <v>37</v>
      </c>
    </row>
    <row r="197" spans="1:3" ht="19.5">
      <c r="A197" s="1" t="s">
        <v>139</v>
      </c>
      <c r="B197" s="1">
        <v>171</v>
      </c>
      <c r="C197" s="1">
        <v>18</v>
      </c>
    </row>
    <row r="198" spans="1:3" ht="19.5">
      <c r="A198" s="1" t="s">
        <v>406</v>
      </c>
      <c r="B198" s="1">
        <v>171</v>
      </c>
      <c r="C198" s="1">
        <v>27</v>
      </c>
    </row>
    <row r="199" spans="1:3" ht="19.5">
      <c r="A199" s="1" t="s">
        <v>470</v>
      </c>
      <c r="B199" s="1">
        <v>171</v>
      </c>
      <c r="C199" s="1">
        <v>13</v>
      </c>
    </row>
    <row r="200" spans="1:3" ht="19.5">
      <c r="A200" s="1" t="s">
        <v>485</v>
      </c>
      <c r="B200" s="1">
        <v>171</v>
      </c>
      <c r="C200" s="1">
        <v>25</v>
      </c>
    </row>
    <row r="201" spans="1:3" ht="19.5">
      <c r="A201" s="1" t="s">
        <v>591</v>
      </c>
      <c r="B201" s="1">
        <v>171</v>
      </c>
      <c r="C201" s="1">
        <v>34</v>
      </c>
    </row>
    <row r="202" spans="1:3" ht="19.5">
      <c r="A202" s="1" t="s">
        <v>699</v>
      </c>
      <c r="B202" s="1">
        <v>171</v>
      </c>
      <c r="C202" s="1">
        <v>30</v>
      </c>
    </row>
    <row r="203" spans="1:3" ht="19.5">
      <c r="A203" s="1" t="s">
        <v>58</v>
      </c>
      <c r="B203" s="1">
        <v>170</v>
      </c>
      <c r="C203" s="1">
        <v>25</v>
      </c>
    </row>
    <row r="204" spans="1:3" ht="19.5">
      <c r="A204" s="1" t="s">
        <v>86</v>
      </c>
      <c r="B204" s="1">
        <v>170</v>
      </c>
      <c r="C204" s="1">
        <v>19</v>
      </c>
    </row>
    <row r="205" spans="1:3" ht="19.5">
      <c r="A205" s="1" t="s">
        <v>106</v>
      </c>
      <c r="B205" s="1">
        <v>170</v>
      </c>
      <c r="C205" s="1">
        <v>27</v>
      </c>
    </row>
    <row r="206" spans="1:3" ht="19.5">
      <c r="A206" s="1" t="s">
        <v>115</v>
      </c>
      <c r="B206" s="1">
        <v>170</v>
      </c>
      <c r="C206" s="1">
        <v>23</v>
      </c>
    </row>
    <row r="207" spans="1:3" ht="19.5">
      <c r="A207" s="1" t="s">
        <v>239</v>
      </c>
      <c r="B207" s="1">
        <v>170</v>
      </c>
      <c r="C207" s="1">
        <v>42</v>
      </c>
    </row>
    <row r="208" spans="1:3" ht="19.5">
      <c r="A208" s="1" t="s">
        <v>383</v>
      </c>
      <c r="B208" s="1">
        <v>170</v>
      </c>
      <c r="C208" s="1">
        <v>30</v>
      </c>
    </row>
    <row r="209" spans="1:3" ht="19.5">
      <c r="A209" s="1" t="s">
        <v>411</v>
      </c>
      <c r="B209" s="1">
        <v>170</v>
      </c>
      <c r="C209" s="1">
        <v>29</v>
      </c>
    </row>
    <row r="210" spans="1:3" ht="19.5">
      <c r="A210" s="1" t="s">
        <v>428</v>
      </c>
      <c r="B210" s="1">
        <v>170</v>
      </c>
      <c r="C210" s="1">
        <v>27</v>
      </c>
    </row>
    <row r="211" spans="1:3" ht="19.5">
      <c r="A211" s="1" t="s">
        <v>505</v>
      </c>
      <c r="B211" s="1">
        <v>170</v>
      </c>
      <c r="C211" s="1">
        <v>29</v>
      </c>
    </row>
    <row r="212" spans="1:3" ht="19.5">
      <c r="A212" s="1" t="s">
        <v>581</v>
      </c>
      <c r="B212" s="1">
        <v>170</v>
      </c>
      <c r="C212" s="1">
        <v>32</v>
      </c>
    </row>
    <row r="213" spans="1:3" ht="19.5">
      <c r="A213" s="1" t="s">
        <v>658</v>
      </c>
      <c r="B213" s="1">
        <v>170</v>
      </c>
      <c r="C213" s="1">
        <v>24</v>
      </c>
    </row>
    <row r="214" spans="1:3" ht="19.5">
      <c r="A214" s="1" t="s">
        <v>689</v>
      </c>
      <c r="B214" s="1">
        <v>170</v>
      </c>
      <c r="C214" s="1">
        <v>36</v>
      </c>
    </row>
    <row r="215" spans="1:3" ht="19.5">
      <c r="A215" s="1" t="s">
        <v>74</v>
      </c>
      <c r="B215" s="1">
        <v>169</v>
      </c>
      <c r="C215" s="1">
        <v>22</v>
      </c>
    </row>
    <row r="216" spans="1:3" ht="19.5">
      <c r="A216" s="1" t="s">
        <v>114</v>
      </c>
      <c r="B216" s="1">
        <v>169</v>
      </c>
      <c r="C216" s="1">
        <v>26</v>
      </c>
    </row>
    <row r="217" spans="1:3" ht="19.5">
      <c r="A217" s="1" t="s">
        <v>231</v>
      </c>
      <c r="B217" s="1">
        <v>169</v>
      </c>
      <c r="C217" s="1">
        <v>31</v>
      </c>
    </row>
    <row r="218" spans="1:3" ht="19.5">
      <c r="A218" s="1" t="s">
        <v>298</v>
      </c>
      <c r="B218" s="1">
        <v>169</v>
      </c>
      <c r="C218" s="1">
        <v>24</v>
      </c>
    </row>
    <row r="219" spans="1:3" ht="19.5">
      <c r="A219" s="1" t="s">
        <v>348</v>
      </c>
      <c r="B219" s="1">
        <v>169</v>
      </c>
      <c r="C219" s="1">
        <v>28</v>
      </c>
    </row>
    <row r="220" spans="1:3" ht="19.5">
      <c r="A220" s="1" t="s">
        <v>438</v>
      </c>
      <c r="B220" s="1">
        <v>169</v>
      </c>
      <c r="C220" s="1">
        <v>20</v>
      </c>
    </row>
    <row r="221" spans="1:3" ht="19.5">
      <c r="A221" s="1" t="s">
        <v>587</v>
      </c>
      <c r="B221" s="1">
        <v>169</v>
      </c>
      <c r="C221" s="1">
        <v>19</v>
      </c>
    </row>
    <row r="222" spans="1:3" ht="19.5">
      <c r="A222" s="1" t="s">
        <v>54</v>
      </c>
      <c r="B222" s="1">
        <v>168</v>
      </c>
      <c r="C222" s="1">
        <v>38</v>
      </c>
    </row>
    <row r="223" spans="1:3" ht="19.5">
      <c r="A223" s="1" t="s">
        <v>71</v>
      </c>
      <c r="B223" s="1">
        <v>168</v>
      </c>
      <c r="C223" s="1">
        <v>30</v>
      </c>
    </row>
    <row r="224" spans="1:3" ht="19.5">
      <c r="A224" s="1" t="s">
        <v>76</v>
      </c>
      <c r="B224" s="1">
        <v>168</v>
      </c>
      <c r="C224" s="1">
        <v>33</v>
      </c>
    </row>
    <row r="225" spans="1:3" ht="19.5">
      <c r="A225" s="1" t="s">
        <v>125</v>
      </c>
      <c r="B225" s="1">
        <v>168</v>
      </c>
      <c r="C225" s="1">
        <v>32</v>
      </c>
    </row>
    <row r="226" spans="1:3" ht="19.5">
      <c r="A226" s="1" t="s">
        <v>218</v>
      </c>
      <c r="B226" s="1">
        <v>168</v>
      </c>
      <c r="C226" s="1">
        <v>14</v>
      </c>
    </row>
    <row r="227" spans="1:3" ht="19.5">
      <c r="A227" s="1" t="s">
        <v>376</v>
      </c>
      <c r="B227" s="1">
        <v>168</v>
      </c>
      <c r="C227" s="1">
        <v>34</v>
      </c>
    </row>
    <row r="228" spans="1:3" ht="19.5">
      <c r="A228" s="1" t="s">
        <v>434</v>
      </c>
      <c r="B228" s="1">
        <v>168</v>
      </c>
      <c r="C228" s="1">
        <v>24</v>
      </c>
    </row>
    <row r="229" spans="1:3" ht="19.5">
      <c r="A229" s="1" t="s">
        <v>443</v>
      </c>
      <c r="B229" s="1">
        <v>168</v>
      </c>
      <c r="C229" s="1">
        <v>25</v>
      </c>
    </row>
    <row r="230" spans="1:3" ht="19.5">
      <c r="A230" s="1" t="s">
        <v>536</v>
      </c>
      <c r="B230" s="1">
        <v>168</v>
      </c>
      <c r="C230" s="1">
        <v>26</v>
      </c>
    </row>
    <row r="231" spans="1:3" ht="19.5">
      <c r="A231" s="1" t="s">
        <v>599</v>
      </c>
      <c r="B231" s="1">
        <v>168</v>
      </c>
      <c r="C231" s="1">
        <v>10</v>
      </c>
    </row>
    <row r="232" spans="1:3" ht="19.5">
      <c r="A232" s="1" t="s">
        <v>639</v>
      </c>
      <c r="B232" s="1">
        <v>168</v>
      </c>
      <c r="C232" s="1">
        <v>19</v>
      </c>
    </row>
    <row r="233" spans="1:3" ht="19.5">
      <c r="A233" s="1" t="s">
        <v>40</v>
      </c>
      <c r="B233" s="1">
        <v>167</v>
      </c>
      <c r="C233" s="1">
        <v>24</v>
      </c>
    </row>
    <row r="234" spans="1:3" ht="19.5">
      <c r="A234" s="1" t="s">
        <v>464</v>
      </c>
      <c r="B234" s="1">
        <v>167</v>
      </c>
      <c r="C234" s="1">
        <v>41</v>
      </c>
    </row>
    <row r="235" spans="1:3" ht="19.5">
      <c r="A235" s="1" t="s">
        <v>531</v>
      </c>
      <c r="B235" s="1">
        <v>167</v>
      </c>
      <c r="C235" s="1">
        <v>30</v>
      </c>
    </row>
    <row r="236" spans="1:3" ht="19.5">
      <c r="A236" s="1" t="s">
        <v>540</v>
      </c>
      <c r="B236" s="1">
        <v>167</v>
      </c>
      <c r="C236" s="1">
        <v>24</v>
      </c>
    </row>
    <row r="237" spans="1:3" ht="19.5">
      <c r="A237" s="1" t="s">
        <v>589</v>
      </c>
      <c r="B237" s="1">
        <v>167</v>
      </c>
      <c r="C237" s="1">
        <v>30</v>
      </c>
    </row>
    <row r="238" spans="1:3" ht="19.5">
      <c r="A238" s="1" t="s">
        <v>656</v>
      </c>
      <c r="B238" s="1">
        <v>167</v>
      </c>
      <c r="C238" s="1">
        <v>24</v>
      </c>
    </row>
    <row r="239" spans="1:3" ht="19.5">
      <c r="A239" s="1" t="s">
        <v>706</v>
      </c>
      <c r="B239" s="1">
        <v>167</v>
      </c>
      <c r="C239" s="1">
        <v>16</v>
      </c>
    </row>
    <row r="240" spans="1:3" ht="19.5">
      <c r="A240" s="1" t="s">
        <v>172</v>
      </c>
      <c r="B240" s="1">
        <v>166</v>
      </c>
      <c r="C240" s="1">
        <v>16</v>
      </c>
    </row>
    <row r="241" spans="1:3" ht="19.5">
      <c r="A241" s="1" t="s">
        <v>224</v>
      </c>
      <c r="B241" s="1">
        <v>166</v>
      </c>
      <c r="C241" s="1">
        <v>30</v>
      </c>
    </row>
    <row r="242" spans="1:3" ht="19.5">
      <c r="A242" s="1" t="s">
        <v>395</v>
      </c>
      <c r="B242" s="1">
        <v>166</v>
      </c>
      <c r="C242" s="1">
        <v>21</v>
      </c>
    </row>
    <row r="243" spans="1:3" ht="19.5">
      <c r="A243" s="1" t="s">
        <v>403</v>
      </c>
      <c r="B243" s="1">
        <v>166</v>
      </c>
      <c r="C243" s="1">
        <v>31</v>
      </c>
    </row>
    <row r="244" spans="1:3" ht="19.5">
      <c r="A244" s="1" t="s">
        <v>512</v>
      </c>
      <c r="B244" s="1">
        <v>166</v>
      </c>
      <c r="C244" s="1">
        <v>13</v>
      </c>
    </row>
    <row r="245" spans="1:3" ht="19.5">
      <c r="A245" s="1" t="s">
        <v>606</v>
      </c>
      <c r="B245" s="1">
        <v>166</v>
      </c>
      <c r="C245" s="1">
        <v>27</v>
      </c>
    </row>
    <row r="246" spans="1:3" ht="19.5">
      <c r="A246" s="1" t="s">
        <v>612</v>
      </c>
      <c r="B246" s="1">
        <v>166</v>
      </c>
      <c r="C246" s="1">
        <v>30</v>
      </c>
    </row>
    <row r="247" spans="1:3" ht="19.5">
      <c r="A247" s="1" t="s">
        <v>677</v>
      </c>
      <c r="B247" s="1">
        <v>166</v>
      </c>
      <c r="C247" s="1">
        <v>22</v>
      </c>
    </row>
    <row r="248" spans="1:3" ht="19.5">
      <c r="A248" s="1" t="s">
        <v>350</v>
      </c>
      <c r="B248" s="1">
        <v>165</v>
      </c>
      <c r="C248" s="1">
        <v>48</v>
      </c>
    </row>
    <row r="249" spans="1:3" ht="19.5">
      <c r="A249" s="1" t="s">
        <v>371</v>
      </c>
      <c r="B249" s="1">
        <v>165</v>
      </c>
      <c r="C249" s="1">
        <v>10</v>
      </c>
    </row>
    <row r="250" spans="1:3" ht="19.5">
      <c r="A250" s="1" t="s">
        <v>501</v>
      </c>
      <c r="B250" s="1">
        <v>165</v>
      </c>
      <c r="C250" s="1">
        <v>24</v>
      </c>
    </row>
    <row r="251" spans="1:3" ht="19.5">
      <c r="A251" s="1" t="s">
        <v>547</v>
      </c>
      <c r="B251" s="1">
        <v>165</v>
      </c>
      <c r="C251" s="1">
        <v>33</v>
      </c>
    </row>
    <row r="252" spans="1:3" ht="19.5">
      <c r="A252" s="1" t="s">
        <v>659</v>
      </c>
      <c r="B252" s="1">
        <v>165</v>
      </c>
      <c r="C252" s="1">
        <v>21</v>
      </c>
    </row>
    <row r="253" spans="1:3" ht="19.5">
      <c r="A253" s="1" t="s">
        <v>123</v>
      </c>
      <c r="B253" s="1">
        <v>164</v>
      </c>
      <c r="C253" s="1">
        <v>15</v>
      </c>
    </row>
    <row r="254" spans="1:3" ht="19.5">
      <c r="A254" s="1" t="s">
        <v>143</v>
      </c>
      <c r="B254" s="1">
        <v>164</v>
      </c>
      <c r="C254" s="1">
        <v>32</v>
      </c>
    </row>
    <row r="255" spans="1:3" ht="19.5">
      <c r="A255" s="1" t="s">
        <v>381</v>
      </c>
      <c r="B255" s="1">
        <v>164</v>
      </c>
      <c r="C255" s="1">
        <v>28</v>
      </c>
    </row>
    <row r="256" spans="1:3" ht="19.5">
      <c r="A256" s="1" t="s">
        <v>402</v>
      </c>
      <c r="B256" s="1">
        <v>164</v>
      </c>
      <c r="C256" s="1">
        <v>29</v>
      </c>
    </row>
    <row r="257" spans="1:3" ht="19.5">
      <c r="A257" s="1" t="s">
        <v>522</v>
      </c>
      <c r="B257" s="1">
        <v>164</v>
      </c>
      <c r="C257" s="1">
        <v>22</v>
      </c>
    </row>
    <row r="258" spans="1:3" ht="19.5">
      <c r="A258" s="1" t="s">
        <v>567</v>
      </c>
      <c r="B258" s="1">
        <v>164</v>
      </c>
      <c r="C258" s="1">
        <v>34</v>
      </c>
    </row>
    <row r="259" spans="1:3" ht="19.5">
      <c r="A259" s="1" t="s">
        <v>690</v>
      </c>
      <c r="B259" s="1">
        <v>164</v>
      </c>
      <c r="C259" s="1">
        <v>33</v>
      </c>
    </row>
    <row r="260" spans="1:3" ht="19.5">
      <c r="A260" s="1" t="s">
        <v>29</v>
      </c>
      <c r="B260" s="1">
        <v>163</v>
      </c>
      <c r="C260" s="1">
        <v>15</v>
      </c>
    </row>
    <row r="261" spans="1:3" ht="19.5">
      <c r="A261" s="1" t="s">
        <v>206</v>
      </c>
      <c r="B261" s="1">
        <v>163</v>
      </c>
      <c r="C261" s="1">
        <v>38</v>
      </c>
    </row>
    <row r="262" spans="1:3" ht="19.5">
      <c r="A262" s="1" t="s">
        <v>297</v>
      </c>
      <c r="B262" s="1">
        <v>163</v>
      </c>
      <c r="C262" s="1">
        <v>21</v>
      </c>
    </row>
    <row r="263" spans="1:3" ht="19.5">
      <c r="A263" s="1" t="s">
        <v>388</v>
      </c>
      <c r="B263" s="1">
        <v>163</v>
      </c>
      <c r="C263" s="1">
        <v>24</v>
      </c>
    </row>
    <row r="264" spans="1:3" ht="19.5">
      <c r="A264" s="1" t="s">
        <v>617</v>
      </c>
      <c r="B264" s="1">
        <v>163</v>
      </c>
      <c r="C264" s="1">
        <v>14</v>
      </c>
    </row>
    <row r="265" spans="1:3" ht="19.5">
      <c r="A265" s="1" t="s">
        <v>666</v>
      </c>
      <c r="B265" s="1">
        <v>163</v>
      </c>
      <c r="C265" s="1">
        <v>28</v>
      </c>
    </row>
    <row r="266" spans="1:3" ht="19.5">
      <c r="A266" s="1" t="s">
        <v>35</v>
      </c>
      <c r="B266" s="1">
        <v>162</v>
      </c>
      <c r="C266" s="1">
        <v>23</v>
      </c>
    </row>
    <row r="267" spans="1:3" ht="19.5">
      <c r="A267" s="1" t="s">
        <v>91</v>
      </c>
      <c r="B267" s="1">
        <v>162</v>
      </c>
      <c r="C267" s="1">
        <v>16</v>
      </c>
    </row>
    <row r="268" spans="1:3" ht="19.5">
      <c r="A268" s="1" t="s">
        <v>195</v>
      </c>
      <c r="B268" s="1">
        <v>162</v>
      </c>
      <c r="C268" s="1">
        <v>31</v>
      </c>
    </row>
    <row r="269" spans="1:3" ht="19.5">
      <c r="A269" s="1" t="s">
        <v>305</v>
      </c>
      <c r="B269" s="1">
        <v>162</v>
      </c>
      <c r="C269" s="1">
        <v>33</v>
      </c>
    </row>
    <row r="270" spans="1:3" ht="19.5">
      <c r="A270" s="1" t="s">
        <v>307</v>
      </c>
      <c r="B270" s="1">
        <v>162</v>
      </c>
      <c r="C270" s="1">
        <v>26</v>
      </c>
    </row>
    <row r="271" spans="1:3" ht="19.5">
      <c r="A271" s="1" t="s">
        <v>312</v>
      </c>
      <c r="B271" s="1">
        <v>162</v>
      </c>
      <c r="C271" s="1">
        <v>28</v>
      </c>
    </row>
    <row r="272" spans="1:3" ht="19.5">
      <c r="A272" s="1" t="s">
        <v>313</v>
      </c>
      <c r="B272" s="1">
        <v>162</v>
      </c>
      <c r="C272" s="1">
        <v>47</v>
      </c>
    </row>
    <row r="273" spans="1:3" ht="19.5">
      <c r="A273" s="1" t="s">
        <v>465</v>
      </c>
      <c r="B273" s="1">
        <v>162</v>
      </c>
      <c r="C273" s="1">
        <v>28</v>
      </c>
    </row>
    <row r="274" spans="1:3" ht="19.5">
      <c r="A274" s="1" t="s">
        <v>543</v>
      </c>
      <c r="B274" s="1">
        <v>162</v>
      </c>
      <c r="C274" s="1">
        <v>17</v>
      </c>
    </row>
    <row r="275" spans="1:3" ht="19.5">
      <c r="A275" s="1" t="s">
        <v>575</v>
      </c>
      <c r="B275" s="1">
        <v>162</v>
      </c>
      <c r="C275" s="1">
        <v>22</v>
      </c>
    </row>
    <row r="276" spans="1:3" ht="19.5">
      <c r="A276" s="1" t="s">
        <v>130</v>
      </c>
      <c r="B276" s="1">
        <v>161</v>
      </c>
      <c r="C276" s="1">
        <v>27</v>
      </c>
    </row>
    <row r="277" spans="1:3" ht="19.5">
      <c r="A277" s="1" t="s">
        <v>148</v>
      </c>
      <c r="B277" s="1">
        <v>161</v>
      </c>
      <c r="C277" s="1">
        <v>16</v>
      </c>
    </row>
    <row r="278" spans="1:3" ht="19.5">
      <c r="A278" s="1" t="s">
        <v>374</v>
      </c>
      <c r="B278" s="1">
        <v>161</v>
      </c>
      <c r="C278" s="1">
        <v>32</v>
      </c>
    </row>
    <row r="279" spans="1:3" ht="19.5">
      <c r="A279" s="1" t="s">
        <v>489</v>
      </c>
      <c r="B279" s="1">
        <v>161</v>
      </c>
      <c r="C279" s="1">
        <v>30</v>
      </c>
    </row>
    <row r="280" spans="1:3" ht="19.5">
      <c r="A280" s="1" t="s">
        <v>525</v>
      </c>
      <c r="B280" s="1">
        <v>161</v>
      </c>
      <c r="C280" s="1">
        <v>19</v>
      </c>
    </row>
    <row r="281" spans="1:3" ht="19.5">
      <c r="A281" s="1" t="s">
        <v>607</v>
      </c>
      <c r="B281" s="1">
        <v>161</v>
      </c>
      <c r="C281" s="1">
        <v>45</v>
      </c>
    </row>
    <row r="282" spans="1:3" ht="19.5">
      <c r="A282" s="1" t="s">
        <v>616</v>
      </c>
      <c r="B282" s="1">
        <v>161</v>
      </c>
      <c r="C282" s="1">
        <v>29</v>
      </c>
    </row>
    <row r="283" spans="1:3" ht="19.5">
      <c r="A283" s="1" t="s">
        <v>644</v>
      </c>
      <c r="B283" s="1">
        <v>161</v>
      </c>
      <c r="C283" s="1">
        <v>13</v>
      </c>
    </row>
    <row r="284" spans="1:3" ht="19.5">
      <c r="A284" s="1" t="s">
        <v>696</v>
      </c>
      <c r="B284" s="1">
        <v>161</v>
      </c>
      <c r="C284" s="1">
        <v>34</v>
      </c>
    </row>
    <row r="285" spans="1:3" ht="19.5">
      <c r="A285" s="1" t="s">
        <v>53</v>
      </c>
      <c r="B285" s="1">
        <v>160</v>
      </c>
      <c r="C285" s="1">
        <v>37</v>
      </c>
    </row>
    <row r="286" spans="1:3" ht="19.5">
      <c r="A286" s="1" t="s">
        <v>232</v>
      </c>
      <c r="B286" s="1">
        <v>160</v>
      </c>
      <c r="C286" s="1">
        <v>19</v>
      </c>
    </row>
    <row r="287" spans="1:3" ht="19.5">
      <c r="A287" s="1" t="s">
        <v>360</v>
      </c>
      <c r="B287" s="1">
        <v>160</v>
      </c>
      <c r="C287" s="1">
        <v>35</v>
      </c>
    </row>
    <row r="288" spans="1:3" ht="19.5">
      <c r="A288" s="1" t="s">
        <v>450</v>
      </c>
      <c r="B288" s="1">
        <v>160</v>
      </c>
      <c r="C288" s="1">
        <v>20</v>
      </c>
    </row>
    <row r="289" spans="1:3" ht="19.5">
      <c r="A289" s="1" t="s">
        <v>707</v>
      </c>
      <c r="B289" s="1">
        <v>160</v>
      </c>
      <c r="C289" s="1">
        <v>19</v>
      </c>
    </row>
    <row r="290" spans="1:3" ht="19.5">
      <c r="A290" s="1" t="s">
        <v>117</v>
      </c>
      <c r="B290" s="1">
        <v>159</v>
      </c>
      <c r="C290" s="1">
        <v>17</v>
      </c>
    </row>
    <row r="291" spans="1:3" ht="19.5">
      <c r="A291" s="1" t="s">
        <v>145</v>
      </c>
      <c r="B291" s="1">
        <v>159</v>
      </c>
      <c r="C291" s="1">
        <v>26</v>
      </c>
    </row>
    <row r="292" spans="1:3" ht="19.5">
      <c r="A292" s="1" t="s">
        <v>314</v>
      </c>
      <c r="B292" s="1">
        <v>159</v>
      </c>
      <c r="C292" s="1">
        <v>41</v>
      </c>
    </row>
    <row r="293" spans="1:3" ht="19.5">
      <c r="A293" s="1" t="s">
        <v>330</v>
      </c>
      <c r="B293" s="1">
        <v>159</v>
      </c>
      <c r="C293" s="1">
        <v>25</v>
      </c>
    </row>
    <row r="294" spans="1:3" ht="19.5">
      <c r="A294" s="1" t="s">
        <v>344</v>
      </c>
      <c r="B294" s="1">
        <v>159</v>
      </c>
      <c r="C294" s="1">
        <v>38</v>
      </c>
    </row>
    <row r="295" spans="1:3" ht="19.5">
      <c r="A295" s="1" t="s">
        <v>404</v>
      </c>
      <c r="B295" s="1">
        <v>159</v>
      </c>
      <c r="C295" s="1">
        <v>25</v>
      </c>
    </row>
    <row r="296" spans="1:3" ht="19.5">
      <c r="A296" s="1" t="s">
        <v>500</v>
      </c>
      <c r="B296" s="1">
        <v>159</v>
      </c>
      <c r="C296" s="1">
        <v>21</v>
      </c>
    </row>
    <row r="297" spans="1:3" ht="19.5">
      <c r="A297" s="1" t="s">
        <v>621</v>
      </c>
      <c r="B297" s="1">
        <v>159</v>
      </c>
      <c r="C297" s="1">
        <v>32</v>
      </c>
    </row>
    <row r="298" spans="1:3" ht="19.5">
      <c r="A298" s="1" t="s">
        <v>685</v>
      </c>
      <c r="B298" s="1">
        <v>159</v>
      </c>
      <c r="C298" s="1">
        <v>33</v>
      </c>
    </row>
    <row r="299" spans="1:3" ht="19.5">
      <c r="A299" s="1" t="s">
        <v>46</v>
      </c>
      <c r="B299" s="1">
        <v>158</v>
      </c>
      <c r="C299" s="1">
        <v>33</v>
      </c>
    </row>
    <row r="300" spans="1:3" ht="19.5">
      <c r="A300" s="1" t="s">
        <v>300</v>
      </c>
      <c r="B300" s="1">
        <v>158</v>
      </c>
      <c r="C300" s="1">
        <v>25</v>
      </c>
    </row>
    <row r="301" spans="1:3" ht="19.5">
      <c r="A301" s="1" t="s">
        <v>329</v>
      </c>
      <c r="B301" s="1">
        <v>158</v>
      </c>
      <c r="C301" s="1">
        <v>32</v>
      </c>
    </row>
    <row r="302" spans="1:3" ht="19.5">
      <c r="A302" s="1" t="s">
        <v>415</v>
      </c>
      <c r="B302" s="1">
        <v>158</v>
      </c>
      <c r="C302" s="1">
        <v>37</v>
      </c>
    </row>
    <row r="303" spans="1:3" ht="19.5">
      <c r="A303" s="1" t="s">
        <v>482</v>
      </c>
      <c r="B303" s="1">
        <v>158</v>
      </c>
      <c r="C303" s="1">
        <v>24</v>
      </c>
    </row>
    <row r="304" spans="1:3" ht="19.5">
      <c r="A304" s="1" t="s">
        <v>518</v>
      </c>
      <c r="B304" s="1">
        <v>158</v>
      </c>
      <c r="C304" s="1">
        <v>17</v>
      </c>
    </row>
    <row r="305" spans="1:3" ht="19.5">
      <c r="A305" s="1" t="s">
        <v>573</v>
      </c>
      <c r="B305" s="1">
        <v>158</v>
      </c>
      <c r="C305" s="1">
        <v>28</v>
      </c>
    </row>
    <row r="306" spans="1:3" ht="19.5">
      <c r="A306" s="1" t="s">
        <v>627</v>
      </c>
      <c r="B306" s="1">
        <v>158</v>
      </c>
      <c r="C306" s="1">
        <v>29</v>
      </c>
    </row>
    <row r="307" spans="1:3" ht="19.5">
      <c r="A307" s="1" t="s">
        <v>19</v>
      </c>
      <c r="B307" s="1">
        <v>157</v>
      </c>
      <c r="C307" s="1">
        <v>25</v>
      </c>
    </row>
    <row r="308" spans="1:3" ht="19.5">
      <c r="A308" s="1" t="s">
        <v>220</v>
      </c>
      <c r="B308" s="1">
        <v>157</v>
      </c>
      <c r="C308" s="1">
        <v>33</v>
      </c>
    </row>
    <row r="309" spans="1:3" ht="19.5">
      <c r="A309" s="1" t="s">
        <v>277</v>
      </c>
      <c r="B309" s="1">
        <v>157</v>
      </c>
      <c r="C309" s="1">
        <v>18</v>
      </c>
    </row>
    <row r="310" spans="1:3" ht="19.5">
      <c r="A310" s="1" t="s">
        <v>552</v>
      </c>
      <c r="B310" s="1">
        <v>157</v>
      </c>
      <c r="C310" s="1">
        <v>24</v>
      </c>
    </row>
    <row r="311" spans="1:3" ht="19.5">
      <c r="A311" s="1" t="s">
        <v>624</v>
      </c>
      <c r="B311" s="1">
        <v>157</v>
      </c>
      <c r="C311" s="1">
        <v>28</v>
      </c>
    </row>
    <row r="312" spans="1:3" ht="19.5">
      <c r="A312" s="1" t="s">
        <v>695</v>
      </c>
      <c r="B312" s="1">
        <v>157</v>
      </c>
      <c r="C312" s="1">
        <v>42</v>
      </c>
    </row>
    <row r="313" spans="1:3" ht="19.5">
      <c r="A313" s="1" t="s">
        <v>103</v>
      </c>
      <c r="B313" s="1">
        <v>156</v>
      </c>
      <c r="C313" s="1">
        <v>33</v>
      </c>
    </row>
    <row r="314" spans="1:3" ht="19.5">
      <c r="A314" s="1" t="s">
        <v>226</v>
      </c>
      <c r="B314" s="1">
        <v>156</v>
      </c>
      <c r="C314" s="1">
        <v>26</v>
      </c>
    </row>
    <row r="315" spans="1:3" ht="19.5">
      <c r="A315" s="1" t="s">
        <v>394</v>
      </c>
      <c r="B315" s="1">
        <v>156</v>
      </c>
      <c r="C315" s="1">
        <v>23</v>
      </c>
    </row>
    <row r="316" spans="1:3" ht="19.5">
      <c r="A316" s="1" t="s">
        <v>407</v>
      </c>
      <c r="B316" s="1">
        <v>156</v>
      </c>
      <c r="C316" s="1">
        <v>36</v>
      </c>
    </row>
    <row r="317" spans="1:3" ht="19.5">
      <c r="A317" s="1" t="s">
        <v>613</v>
      </c>
      <c r="B317" s="1">
        <v>156</v>
      </c>
      <c r="C317" s="1">
        <v>32</v>
      </c>
    </row>
    <row r="318" spans="1:3" ht="19.5">
      <c r="A318" s="1" t="s">
        <v>33</v>
      </c>
      <c r="B318" s="1">
        <v>155</v>
      </c>
      <c r="C318" s="1">
        <v>26</v>
      </c>
    </row>
    <row r="319" spans="1:3" ht="19.5">
      <c r="A319" s="1" t="s">
        <v>56</v>
      </c>
      <c r="B319" s="1">
        <v>155</v>
      </c>
      <c r="C319" s="1">
        <v>17</v>
      </c>
    </row>
    <row r="320" spans="1:3" ht="19.5">
      <c r="A320" s="1" t="s">
        <v>67</v>
      </c>
      <c r="B320" s="1">
        <v>155</v>
      </c>
      <c r="C320" s="1">
        <v>33</v>
      </c>
    </row>
    <row r="321" spans="1:3" ht="19.5">
      <c r="A321" s="1" t="s">
        <v>207</v>
      </c>
      <c r="B321" s="1">
        <v>155</v>
      </c>
      <c r="C321" s="1">
        <v>33</v>
      </c>
    </row>
    <row r="322" spans="1:3" ht="19.5">
      <c r="A322" s="1" t="s">
        <v>668</v>
      </c>
      <c r="B322" s="1">
        <v>155</v>
      </c>
      <c r="C322" s="1">
        <v>26</v>
      </c>
    </row>
    <row r="323" spans="1:3" ht="19.5">
      <c r="A323" s="1" t="s">
        <v>93</v>
      </c>
      <c r="B323" s="1">
        <v>154</v>
      </c>
      <c r="C323" s="1">
        <v>37</v>
      </c>
    </row>
    <row r="324" spans="1:3" ht="19.5">
      <c r="A324" s="1" t="s">
        <v>110</v>
      </c>
      <c r="B324" s="1">
        <v>154</v>
      </c>
      <c r="C324" s="1">
        <v>18</v>
      </c>
    </row>
    <row r="325" spans="1:3" ht="19.5">
      <c r="A325" s="1" t="s">
        <v>113</v>
      </c>
      <c r="B325" s="1">
        <v>154</v>
      </c>
      <c r="C325" s="1">
        <v>19</v>
      </c>
    </row>
    <row r="326" spans="1:3" ht="19.5">
      <c r="A326" s="1" t="s">
        <v>285</v>
      </c>
      <c r="B326" s="1">
        <v>154</v>
      </c>
      <c r="C326" s="1">
        <v>31</v>
      </c>
    </row>
    <row r="327" spans="1:3" ht="19.5">
      <c r="A327" s="1" t="s">
        <v>410</v>
      </c>
      <c r="B327" s="1">
        <v>154</v>
      </c>
      <c r="C327" s="1">
        <v>33</v>
      </c>
    </row>
    <row r="328" spans="1:3" ht="19.5">
      <c r="A328" s="1" t="s">
        <v>441</v>
      </c>
      <c r="B328" s="1">
        <v>154</v>
      </c>
      <c r="C328" s="1">
        <v>22</v>
      </c>
    </row>
    <row r="329" spans="1:3" ht="19.5">
      <c r="A329" s="1" t="s">
        <v>511</v>
      </c>
      <c r="B329" s="1">
        <v>154</v>
      </c>
      <c r="C329" s="1">
        <v>27</v>
      </c>
    </row>
    <row r="330" spans="1:3" ht="19.5">
      <c r="A330" s="1" t="s">
        <v>577</v>
      </c>
      <c r="B330" s="1">
        <v>154</v>
      </c>
      <c r="C330" s="1">
        <v>29</v>
      </c>
    </row>
    <row r="331" spans="1:3" ht="19.5">
      <c r="A331" s="1" t="s">
        <v>634</v>
      </c>
      <c r="B331" s="1">
        <v>154</v>
      </c>
      <c r="C331" s="1">
        <v>15</v>
      </c>
    </row>
    <row r="332" spans="1:3" ht="19.5">
      <c r="A332" s="1" t="s">
        <v>636</v>
      </c>
      <c r="B332" s="1">
        <v>154</v>
      </c>
      <c r="C332" s="1">
        <v>27</v>
      </c>
    </row>
    <row r="333" spans="1:3" ht="19.5">
      <c r="A333" s="1" t="s">
        <v>262</v>
      </c>
      <c r="B333" s="1">
        <v>153</v>
      </c>
      <c r="C333" s="1">
        <v>23</v>
      </c>
    </row>
    <row r="334" spans="1:3" ht="19.5">
      <c r="A334" s="1" t="s">
        <v>270</v>
      </c>
      <c r="B334" s="1">
        <v>153</v>
      </c>
      <c r="C334" s="1">
        <v>17</v>
      </c>
    </row>
    <row r="335" spans="1:3" ht="19.5">
      <c r="A335" s="1" t="s">
        <v>356</v>
      </c>
      <c r="B335" s="1">
        <v>153</v>
      </c>
      <c r="C335" s="1">
        <v>19</v>
      </c>
    </row>
    <row r="336" spans="1:3" ht="19.5">
      <c r="A336" s="1" t="s">
        <v>576</v>
      </c>
      <c r="B336" s="1">
        <v>153</v>
      </c>
      <c r="C336" s="1">
        <v>26</v>
      </c>
    </row>
    <row r="337" spans="1:3" ht="19.5">
      <c r="A337" s="1" t="s">
        <v>601</v>
      </c>
      <c r="B337" s="1">
        <v>153</v>
      </c>
      <c r="C337" s="1">
        <v>15</v>
      </c>
    </row>
    <row r="338" spans="1:3" ht="19.5">
      <c r="A338" s="1" t="s">
        <v>635</v>
      </c>
      <c r="B338" s="1">
        <v>153</v>
      </c>
      <c r="C338" s="1">
        <v>33</v>
      </c>
    </row>
    <row r="339" spans="1:3" ht="19.5">
      <c r="A339" s="1" t="s">
        <v>48</v>
      </c>
      <c r="B339" s="1">
        <v>152</v>
      </c>
      <c r="C339" s="1">
        <v>24</v>
      </c>
    </row>
    <row r="340" spans="1:3" ht="19.5">
      <c r="A340" s="1" t="s">
        <v>170</v>
      </c>
      <c r="B340" s="1">
        <v>152</v>
      </c>
      <c r="C340" s="1">
        <v>43</v>
      </c>
    </row>
    <row r="341" spans="1:3" ht="19.5">
      <c r="A341" s="1" t="s">
        <v>221</v>
      </c>
      <c r="B341" s="1">
        <v>152</v>
      </c>
      <c r="C341" s="1">
        <v>34</v>
      </c>
    </row>
    <row r="342" spans="1:3" ht="19.5">
      <c r="A342" s="1" t="s">
        <v>245</v>
      </c>
      <c r="B342" s="1">
        <v>152</v>
      </c>
      <c r="C342" s="1">
        <v>23</v>
      </c>
    </row>
    <row r="343" spans="1:3" ht="19.5">
      <c r="A343" s="1" t="s">
        <v>367</v>
      </c>
      <c r="B343" s="1">
        <v>152</v>
      </c>
      <c r="C343" s="1">
        <v>19</v>
      </c>
    </row>
    <row r="344" spans="1:3" ht="19.5">
      <c r="A344" s="1" t="s">
        <v>385</v>
      </c>
      <c r="B344" s="1">
        <v>152</v>
      </c>
      <c r="C344" s="1">
        <v>18</v>
      </c>
    </row>
    <row r="345" spans="1:3" ht="19.5">
      <c r="A345" s="1" t="s">
        <v>433</v>
      </c>
      <c r="B345" s="1">
        <v>152</v>
      </c>
      <c r="C345" s="1">
        <v>28</v>
      </c>
    </row>
    <row r="346" spans="1:3" ht="19.5">
      <c r="A346" s="1" t="s">
        <v>510</v>
      </c>
      <c r="B346" s="1">
        <v>152</v>
      </c>
      <c r="C346" s="1">
        <v>32</v>
      </c>
    </row>
    <row r="347" spans="1:3" ht="19.5">
      <c r="A347" s="1" t="s">
        <v>528</v>
      </c>
      <c r="B347" s="1">
        <v>152</v>
      </c>
      <c r="C347" s="1">
        <v>16</v>
      </c>
    </row>
    <row r="348" spans="1:3" ht="19.5">
      <c r="A348" s="1" t="s">
        <v>578</v>
      </c>
      <c r="B348" s="1">
        <v>152</v>
      </c>
      <c r="C348" s="1">
        <v>35</v>
      </c>
    </row>
    <row r="349" spans="1:3" ht="19.5">
      <c r="A349" s="1" t="s">
        <v>608</v>
      </c>
      <c r="B349" s="1">
        <v>152</v>
      </c>
      <c r="C349" s="1">
        <v>25</v>
      </c>
    </row>
    <row r="350" spans="1:3" ht="19.5">
      <c r="A350" s="1" t="s">
        <v>670</v>
      </c>
      <c r="B350" s="1">
        <v>152</v>
      </c>
      <c r="C350" s="1">
        <v>10</v>
      </c>
    </row>
    <row r="351" spans="1:3" ht="19.5">
      <c r="A351" s="1" t="s">
        <v>215</v>
      </c>
      <c r="B351" s="1">
        <v>151</v>
      </c>
      <c r="C351" s="1">
        <v>45</v>
      </c>
    </row>
    <row r="352" spans="1:3" ht="19.5">
      <c r="A352" s="1" t="s">
        <v>250</v>
      </c>
      <c r="B352" s="1">
        <v>151</v>
      </c>
      <c r="C352" s="1">
        <v>29</v>
      </c>
    </row>
    <row r="353" spans="1:3" ht="19.5">
      <c r="A353" s="1" t="s">
        <v>296</v>
      </c>
      <c r="B353" s="1">
        <v>151</v>
      </c>
      <c r="C353" s="1">
        <v>28</v>
      </c>
    </row>
    <row r="354" spans="1:3" ht="19.5">
      <c r="A354" s="1" t="s">
        <v>515</v>
      </c>
      <c r="B354" s="1">
        <v>151</v>
      </c>
      <c r="C354" s="1">
        <v>24</v>
      </c>
    </row>
    <row r="355" spans="1:3" ht="19.5">
      <c r="A355" s="1" t="s">
        <v>557</v>
      </c>
      <c r="B355" s="1">
        <v>151</v>
      </c>
      <c r="C355" s="1">
        <v>35</v>
      </c>
    </row>
    <row r="356" spans="1:3" ht="19.5">
      <c r="A356" s="1" t="s">
        <v>610</v>
      </c>
      <c r="B356" s="1">
        <v>151</v>
      </c>
      <c r="C356" s="1">
        <v>33</v>
      </c>
    </row>
    <row r="357" spans="1:3" ht="19.5">
      <c r="A357" s="1" t="s">
        <v>25</v>
      </c>
      <c r="B357" s="1">
        <v>150</v>
      </c>
      <c r="C357" s="1">
        <v>25</v>
      </c>
    </row>
    <row r="358" spans="1:3" ht="19.5">
      <c r="A358" s="1" t="s">
        <v>27</v>
      </c>
      <c r="B358" s="1">
        <v>150</v>
      </c>
      <c r="C358" s="1">
        <v>21</v>
      </c>
    </row>
    <row r="359" spans="1:3" ht="19.5">
      <c r="A359" s="1" t="s">
        <v>75</v>
      </c>
      <c r="B359" s="1">
        <v>150</v>
      </c>
      <c r="C359" s="1">
        <v>29</v>
      </c>
    </row>
    <row r="360" spans="1:3" ht="19.5">
      <c r="A360" s="1" t="s">
        <v>101</v>
      </c>
      <c r="B360" s="1">
        <v>150</v>
      </c>
      <c r="C360" s="1">
        <v>24</v>
      </c>
    </row>
    <row r="361" spans="1:3" ht="19.5">
      <c r="A361" s="1" t="s">
        <v>372</v>
      </c>
      <c r="B361" s="1">
        <v>150</v>
      </c>
      <c r="C361" s="1">
        <v>24</v>
      </c>
    </row>
    <row r="362" spans="1:3" ht="19.5">
      <c r="A362" s="1" t="s">
        <v>392</v>
      </c>
      <c r="B362" s="1">
        <v>150</v>
      </c>
      <c r="C362" s="1">
        <v>35</v>
      </c>
    </row>
    <row r="363" spans="1:3" ht="19.5">
      <c r="A363" s="1" t="s">
        <v>478</v>
      </c>
      <c r="B363" s="1">
        <v>150</v>
      </c>
      <c r="C363" s="1">
        <v>38</v>
      </c>
    </row>
    <row r="364" spans="1:3" ht="19.5">
      <c r="A364" s="1" t="s">
        <v>502</v>
      </c>
      <c r="B364" s="1">
        <v>150</v>
      </c>
      <c r="C364" s="1">
        <v>25</v>
      </c>
    </row>
    <row r="365" spans="1:3" ht="19.5">
      <c r="A365" s="1" t="s">
        <v>562</v>
      </c>
      <c r="B365" s="1">
        <v>150</v>
      </c>
      <c r="C365" s="1">
        <v>37</v>
      </c>
    </row>
    <row r="366" spans="1:3" ht="19.5">
      <c r="A366" s="1" t="s">
        <v>564</v>
      </c>
      <c r="B366" s="1">
        <v>150</v>
      </c>
      <c r="C366" s="1">
        <v>31</v>
      </c>
    </row>
    <row r="367" spans="1:3" ht="19.5">
      <c r="A367" s="1" t="s">
        <v>604</v>
      </c>
      <c r="B367" s="1">
        <v>150</v>
      </c>
      <c r="C367" s="1">
        <v>23</v>
      </c>
    </row>
    <row r="368" spans="1:3" ht="19.5">
      <c r="A368" s="1" t="s">
        <v>626</v>
      </c>
      <c r="B368" s="1">
        <v>150</v>
      </c>
      <c r="C368" s="1">
        <v>29</v>
      </c>
    </row>
    <row r="369" spans="1:3" ht="19.5">
      <c r="A369" s="1" t="s">
        <v>629</v>
      </c>
      <c r="B369" s="1">
        <v>150</v>
      </c>
      <c r="C369" s="1">
        <v>37</v>
      </c>
    </row>
    <row r="370" spans="1:3" ht="19.5">
      <c r="A370" s="1" t="s">
        <v>703</v>
      </c>
      <c r="B370" s="1">
        <v>150</v>
      </c>
      <c r="C370" s="1">
        <v>34</v>
      </c>
    </row>
    <row r="371" spans="1:3" ht="19.5">
      <c r="A371" s="1" t="s">
        <v>23</v>
      </c>
      <c r="B371" s="1">
        <v>149</v>
      </c>
      <c r="C371" s="1">
        <v>33</v>
      </c>
    </row>
    <row r="372" spans="1:3" ht="19.5">
      <c r="A372" s="1" t="s">
        <v>124</v>
      </c>
      <c r="B372" s="1">
        <v>149</v>
      </c>
      <c r="C372" s="1">
        <v>33</v>
      </c>
    </row>
    <row r="373" spans="1:3" ht="19.5">
      <c r="A373" s="1" t="s">
        <v>315</v>
      </c>
      <c r="B373" s="1">
        <v>149</v>
      </c>
      <c r="C373" s="1">
        <v>11</v>
      </c>
    </row>
    <row r="374" spans="1:3" ht="19.5">
      <c r="A374" s="1" t="s">
        <v>526</v>
      </c>
      <c r="B374" s="1">
        <v>149</v>
      </c>
      <c r="C374" s="1">
        <v>25</v>
      </c>
    </row>
    <row r="375" spans="1:3" ht="19.5">
      <c r="A375" s="1" t="s">
        <v>640</v>
      </c>
      <c r="B375" s="1">
        <v>149</v>
      </c>
      <c r="C375" s="1">
        <v>23</v>
      </c>
    </row>
    <row r="376" spans="1:3" ht="19.5">
      <c r="A376" s="1" t="s">
        <v>90</v>
      </c>
      <c r="B376" s="1">
        <v>148</v>
      </c>
      <c r="C376" s="1">
        <v>22</v>
      </c>
    </row>
    <row r="377" spans="1:3" ht="19.5">
      <c r="A377" s="1" t="s">
        <v>267</v>
      </c>
      <c r="B377" s="1">
        <v>148</v>
      </c>
      <c r="C377" s="1">
        <v>35</v>
      </c>
    </row>
    <row r="378" spans="1:3" ht="19.5">
      <c r="A378" s="1" t="s">
        <v>272</v>
      </c>
      <c r="B378" s="1">
        <v>148</v>
      </c>
      <c r="C378" s="1">
        <v>33</v>
      </c>
    </row>
    <row r="379" spans="1:3" ht="19.5">
      <c r="A379" s="1" t="s">
        <v>310</v>
      </c>
      <c r="B379" s="1">
        <v>148</v>
      </c>
      <c r="C379" s="1">
        <v>18</v>
      </c>
    </row>
    <row r="380" spans="1:3" ht="19.5">
      <c r="A380" s="1" t="s">
        <v>327</v>
      </c>
      <c r="B380" s="1">
        <v>148</v>
      </c>
      <c r="C380" s="1">
        <v>39</v>
      </c>
    </row>
    <row r="381" spans="1:3" ht="19.5">
      <c r="A381" s="1" t="s">
        <v>364</v>
      </c>
      <c r="B381" s="1">
        <v>148</v>
      </c>
      <c r="C381" s="1">
        <v>49</v>
      </c>
    </row>
    <row r="382" spans="1:3" ht="19.5">
      <c r="A382" s="1" t="s">
        <v>373</v>
      </c>
      <c r="B382" s="1">
        <v>148</v>
      </c>
      <c r="C382" s="1">
        <v>35</v>
      </c>
    </row>
    <row r="383" spans="1:3" ht="19.5">
      <c r="A383" s="1" t="s">
        <v>542</v>
      </c>
      <c r="B383" s="1">
        <v>148</v>
      </c>
      <c r="C383" s="1">
        <v>39</v>
      </c>
    </row>
    <row r="384" spans="1:3" ht="19.5">
      <c r="A384" s="1" t="s">
        <v>583</v>
      </c>
      <c r="B384" s="1">
        <v>148</v>
      </c>
      <c r="C384" s="1">
        <v>30</v>
      </c>
    </row>
    <row r="385" spans="1:3" ht="19.5">
      <c r="A385" s="1" t="s">
        <v>673</v>
      </c>
      <c r="B385" s="1">
        <v>148</v>
      </c>
      <c r="C385" s="1">
        <v>35</v>
      </c>
    </row>
    <row r="386" spans="1:3" ht="19.5">
      <c r="A386" s="1" t="s">
        <v>193</v>
      </c>
      <c r="B386" s="1">
        <v>147</v>
      </c>
      <c r="C386" s="1">
        <v>17</v>
      </c>
    </row>
    <row r="387" spans="1:3" ht="19.5">
      <c r="A387" s="1" t="s">
        <v>686</v>
      </c>
      <c r="B387" s="1">
        <v>147</v>
      </c>
      <c r="C387" s="1">
        <v>18</v>
      </c>
    </row>
    <row r="388" spans="1:3" ht="19.5">
      <c r="A388" s="1" t="s">
        <v>62</v>
      </c>
      <c r="B388" s="1">
        <v>146</v>
      </c>
      <c r="C388" s="1">
        <v>37</v>
      </c>
    </row>
    <row r="389" spans="1:3" ht="19.5">
      <c r="A389" s="1" t="s">
        <v>122</v>
      </c>
      <c r="B389" s="1">
        <v>146</v>
      </c>
      <c r="C389" s="1">
        <v>31</v>
      </c>
    </row>
    <row r="390" spans="1:3" ht="19.5">
      <c r="A390" s="1" t="s">
        <v>164</v>
      </c>
      <c r="B390" s="1">
        <v>146</v>
      </c>
      <c r="C390" s="1">
        <v>32</v>
      </c>
    </row>
    <row r="391" spans="1:3" ht="19.5">
      <c r="A391" s="1" t="s">
        <v>168</v>
      </c>
      <c r="B391" s="1">
        <v>146</v>
      </c>
      <c r="C391" s="1">
        <v>10</v>
      </c>
    </row>
    <row r="392" spans="1:3" ht="19.5">
      <c r="A392" s="1" t="s">
        <v>212</v>
      </c>
      <c r="B392" s="1">
        <v>146</v>
      </c>
      <c r="C392" s="1">
        <v>31</v>
      </c>
    </row>
    <row r="393" spans="1:3" ht="19.5">
      <c r="A393" s="1" t="s">
        <v>247</v>
      </c>
      <c r="B393" s="1">
        <v>146</v>
      </c>
      <c r="C393" s="1">
        <v>32</v>
      </c>
    </row>
    <row r="394" spans="1:3" ht="19.5">
      <c r="A394" s="1" t="s">
        <v>265</v>
      </c>
      <c r="B394" s="1">
        <v>146</v>
      </c>
      <c r="C394" s="1">
        <v>33</v>
      </c>
    </row>
    <row r="395" spans="1:3" ht="19.5">
      <c r="A395" s="1" t="s">
        <v>379</v>
      </c>
      <c r="B395" s="1">
        <v>146</v>
      </c>
      <c r="C395" s="1">
        <v>25</v>
      </c>
    </row>
    <row r="396" spans="1:3" ht="19.5">
      <c r="A396" s="1" t="s">
        <v>422</v>
      </c>
      <c r="B396" s="1">
        <v>146</v>
      </c>
      <c r="C396" s="1">
        <v>30</v>
      </c>
    </row>
    <row r="397" spans="1:3" ht="19.5">
      <c r="A397" s="1" t="s">
        <v>454</v>
      </c>
      <c r="B397" s="1">
        <v>146</v>
      </c>
      <c r="C397" s="1">
        <v>21</v>
      </c>
    </row>
    <row r="398" spans="1:3" ht="19.5">
      <c r="A398" s="1" t="s">
        <v>491</v>
      </c>
      <c r="B398" s="1">
        <v>146</v>
      </c>
      <c r="C398" s="1">
        <v>34</v>
      </c>
    </row>
    <row r="399" spans="1:3" ht="19.5">
      <c r="A399" s="1" t="s">
        <v>694</v>
      </c>
      <c r="B399" s="1">
        <v>146</v>
      </c>
      <c r="C399" s="1">
        <v>43</v>
      </c>
    </row>
    <row r="400" spans="1:3" ht="19.5">
      <c r="A400" s="1" t="s">
        <v>97</v>
      </c>
      <c r="B400" s="1">
        <v>145</v>
      </c>
      <c r="C400" s="1">
        <v>45</v>
      </c>
    </row>
    <row r="401" spans="1:3" ht="19.5">
      <c r="A401" s="1" t="s">
        <v>190</v>
      </c>
      <c r="B401" s="1">
        <v>145</v>
      </c>
      <c r="C401" s="1">
        <v>22</v>
      </c>
    </row>
    <row r="402" spans="1:3" ht="19.5">
      <c r="A402" s="1" t="s">
        <v>279</v>
      </c>
      <c r="B402" s="1">
        <v>145</v>
      </c>
      <c r="C402" s="1">
        <v>24</v>
      </c>
    </row>
    <row r="403" spans="1:3" ht="19.5">
      <c r="A403" s="1" t="s">
        <v>284</v>
      </c>
      <c r="B403" s="1">
        <v>145</v>
      </c>
      <c r="C403" s="1">
        <v>34</v>
      </c>
    </row>
    <row r="404" spans="1:3" ht="19.5">
      <c r="A404" s="1" t="s">
        <v>332</v>
      </c>
      <c r="B404" s="1">
        <v>145</v>
      </c>
      <c r="C404" s="1">
        <v>25</v>
      </c>
    </row>
    <row r="405" spans="1:3" ht="19.5">
      <c r="A405" s="1" t="s">
        <v>453</v>
      </c>
      <c r="B405" s="1">
        <v>145</v>
      </c>
      <c r="C405" s="1">
        <v>23</v>
      </c>
    </row>
    <row r="406" spans="1:3" ht="19.5">
      <c r="A406" s="1" t="s">
        <v>643</v>
      </c>
      <c r="B406" s="1">
        <v>145</v>
      </c>
      <c r="C406" s="1">
        <v>17</v>
      </c>
    </row>
    <row r="407" spans="1:3" ht="19.5">
      <c r="A407" s="1" t="s">
        <v>655</v>
      </c>
      <c r="B407" s="1">
        <v>145</v>
      </c>
      <c r="C407" s="1">
        <v>33</v>
      </c>
    </row>
    <row r="408" spans="1:3" ht="19.5">
      <c r="A408" s="1" t="s">
        <v>163</v>
      </c>
      <c r="B408" s="1">
        <v>144</v>
      </c>
      <c r="C408" s="1">
        <v>20</v>
      </c>
    </row>
    <row r="409" spans="1:3" ht="19.5">
      <c r="A409" s="1" t="s">
        <v>257</v>
      </c>
      <c r="B409" s="1">
        <v>144</v>
      </c>
      <c r="C409" s="1">
        <v>27</v>
      </c>
    </row>
    <row r="410" spans="1:3" ht="19.5">
      <c r="A410" s="1" t="s">
        <v>345</v>
      </c>
      <c r="B410" s="1">
        <v>144</v>
      </c>
      <c r="C410" s="1">
        <v>18</v>
      </c>
    </row>
    <row r="411" spans="1:3" ht="19.5">
      <c r="A411" s="1" t="s">
        <v>466</v>
      </c>
      <c r="B411" s="1">
        <v>144</v>
      </c>
      <c r="C411" s="1">
        <v>27</v>
      </c>
    </row>
    <row r="412" spans="1:3" ht="19.5">
      <c r="A412" s="1" t="s">
        <v>499</v>
      </c>
      <c r="B412" s="1">
        <v>144</v>
      </c>
      <c r="C412" s="1">
        <v>24</v>
      </c>
    </row>
    <row r="413" spans="1:3" ht="19.5">
      <c r="A413" s="1" t="s">
        <v>508</v>
      </c>
      <c r="B413" s="1">
        <v>144</v>
      </c>
      <c r="C413" s="1">
        <v>46</v>
      </c>
    </row>
    <row r="414" spans="1:3" ht="19.5">
      <c r="A414" s="1" t="s">
        <v>548</v>
      </c>
      <c r="B414" s="1">
        <v>144</v>
      </c>
      <c r="C414" s="1">
        <v>16</v>
      </c>
    </row>
    <row r="415" spans="1:3" ht="19.5">
      <c r="A415" s="1" t="s">
        <v>622</v>
      </c>
      <c r="B415" s="1">
        <v>144</v>
      </c>
      <c r="C415" s="1">
        <v>22</v>
      </c>
    </row>
    <row r="416" spans="1:3" ht="19.5">
      <c r="A416" s="1" t="s">
        <v>425</v>
      </c>
      <c r="B416" s="1">
        <v>143</v>
      </c>
      <c r="C416" s="1">
        <v>16</v>
      </c>
    </row>
    <row r="417" spans="1:3" ht="19.5">
      <c r="A417" s="1" t="s">
        <v>534</v>
      </c>
      <c r="B417" s="1">
        <v>143</v>
      </c>
      <c r="C417" s="1">
        <v>21</v>
      </c>
    </row>
    <row r="418" spans="1:3" ht="19.5">
      <c r="A418" s="1" t="s">
        <v>609</v>
      </c>
      <c r="B418" s="1">
        <v>143</v>
      </c>
      <c r="C418" s="1">
        <v>25</v>
      </c>
    </row>
    <row r="419" spans="1:3" ht="19.5">
      <c r="A419" s="1" t="s">
        <v>679</v>
      </c>
      <c r="B419" s="1">
        <v>143</v>
      </c>
      <c r="C419" s="1">
        <v>44</v>
      </c>
    </row>
    <row r="420" spans="1:3" ht="19.5">
      <c r="A420" s="1" t="s">
        <v>17</v>
      </c>
      <c r="B420" s="1">
        <v>142</v>
      </c>
      <c r="C420" s="1">
        <v>14</v>
      </c>
    </row>
    <row r="421" spans="1:3" ht="19.5">
      <c r="A421" s="1" t="s">
        <v>41</v>
      </c>
      <c r="B421" s="1">
        <v>142</v>
      </c>
      <c r="C421" s="1">
        <v>35</v>
      </c>
    </row>
    <row r="422" spans="1:3" ht="19.5">
      <c r="A422" s="1" t="s">
        <v>100</v>
      </c>
      <c r="B422" s="1">
        <v>142</v>
      </c>
      <c r="C422" s="1">
        <v>19</v>
      </c>
    </row>
    <row r="423" spans="1:3" ht="19.5">
      <c r="A423" s="1" t="s">
        <v>102</v>
      </c>
      <c r="B423" s="1">
        <v>142</v>
      </c>
      <c r="C423" s="1">
        <v>11</v>
      </c>
    </row>
    <row r="424" spans="1:3" ht="19.5">
      <c r="A424" s="1" t="s">
        <v>138</v>
      </c>
      <c r="B424" s="1">
        <v>142</v>
      </c>
      <c r="C424" s="1">
        <v>32</v>
      </c>
    </row>
    <row r="425" spans="1:3" ht="19.5">
      <c r="A425" s="1" t="s">
        <v>397</v>
      </c>
      <c r="B425" s="1">
        <v>142</v>
      </c>
      <c r="C425" s="1">
        <v>44</v>
      </c>
    </row>
    <row r="426" spans="1:3" ht="19.5">
      <c r="A426" s="1" t="s">
        <v>414</v>
      </c>
      <c r="B426" s="1">
        <v>142</v>
      </c>
      <c r="C426" s="1">
        <v>18</v>
      </c>
    </row>
    <row r="427" spans="1:3" ht="19.5">
      <c r="A427" s="1" t="s">
        <v>430</v>
      </c>
      <c r="B427" s="1">
        <v>142</v>
      </c>
      <c r="C427" s="1">
        <v>21</v>
      </c>
    </row>
    <row r="428" spans="1:3" ht="19.5">
      <c r="A428" s="1" t="s">
        <v>513</v>
      </c>
      <c r="B428" s="1">
        <v>142</v>
      </c>
      <c r="C428" s="1">
        <v>45</v>
      </c>
    </row>
    <row r="429" spans="1:3" ht="19.5">
      <c r="A429" s="1" t="s">
        <v>517</v>
      </c>
      <c r="B429" s="1">
        <v>142</v>
      </c>
      <c r="C429" s="1">
        <v>22</v>
      </c>
    </row>
    <row r="430" spans="1:3" ht="19.5">
      <c r="A430" s="1" t="s">
        <v>602</v>
      </c>
      <c r="B430" s="1">
        <v>142</v>
      </c>
      <c r="C430" s="1">
        <v>35</v>
      </c>
    </row>
    <row r="431" spans="1:3" ht="19.5">
      <c r="A431" s="1" t="s">
        <v>641</v>
      </c>
      <c r="B431" s="1">
        <v>142</v>
      </c>
      <c r="C431" s="1">
        <v>26</v>
      </c>
    </row>
    <row r="432" spans="1:3" ht="19.5">
      <c r="A432" s="1" t="s">
        <v>81</v>
      </c>
      <c r="B432" s="1">
        <v>141</v>
      </c>
      <c r="C432" s="1">
        <v>38</v>
      </c>
    </row>
    <row r="433" spans="1:3" ht="19.5">
      <c r="A433" s="1" t="s">
        <v>89</v>
      </c>
      <c r="B433" s="1">
        <v>141</v>
      </c>
      <c r="C433" s="1">
        <v>46</v>
      </c>
    </row>
    <row r="434" spans="1:3" ht="19.5">
      <c r="A434" s="1" t="s">
        <v>141</v>
      </c>
      <c r="B434" s="1">
        <v>141</v>
      </c>
      <c r="C434" s="1">
        <v>12</v>
      </c>
    </row>
    <row r="435" spans="1:3" ht="19.5">
      <c r="A435" s="1" t="s">
        <v>384</v>
      </c>
      <c r="B435" s="1">
        <v>141</v>
      </c>
      <c r="C435" s="1">
        <v>24</v>
      </c>
    </row>
    <row r="436" spans="1:3" ht="19.5">
      <c r="A436" s="1" t="s">
        <v>503</v>
      </c>
      <c r="B436" s="1">
        <v>141</v>
      </c>
      <c r="C436" s="1">
        <v>43</v>
      </c>
    </row>
    <row r="437" spans="1:3" ht="19.5">
      <c r="A437" s="1" t="s">
        <v>136</v>
      </c>
      <c r="B437" s="1">
        <v>140</v>
      </c>
      <c r="C437" s="1">
        <v>26</v>
      </c>
    </row>
    <row r="438" spans="1:3" ht="19.5">
      <c r="A438" s="1" t="s">
        <v>146</v>
      </c>
      <c r="B438" s="1">
        <v>140</v>
      </c>
      <c r="C438" s="1">
        <v>30</v>
      </c>
    </row>
    <row r="439" spans="1:3" ht="19.5">
      <c r="A439" s="1" t="s">
        <v>157</v>
      </c>
      <c r="B439" s="1">
        <v>140</v>
      </c>
      <c r="C439" s="1">
        <v>41</v>
      </c>
    </row>
    <row r="440" spans="1:3" ht="19.5">
      <c r="A440" s="1" t="s">
        <v>186</v>
      </c>
      <c r="B440" s="1">
        <v>140</v>
      </c>
      <c r="C440" s="1">
        <v>36</v>
      </c>
    </row>
    <row r="441" spans="1:3" ht="19.5">
      <c r="A441" s="1" t="s">
        <v>213</v>
      </c>
      <c r="B441" s="1">
        <v>140</v>
      </c>
      <c r="C441" s="1">
        <v>20</v>
      </c>
    </row>
    <row r="442" spans="1:3" ht="19.5">
      <c r="A442" s="1" t="s">
        <v>585</v>
      </c>
      <c r="B442" s="1">
        <v>140</v>
      </c>
      <c r="C442" s="1">
        <v>44</v>
      </c>
    </row>
    <row r="443" spans="1:3" ht="19.5">
      <c r="A443" s="1" t="s">
        <v>615</v>
      </c>
      <c r="B443" s="1">
        <v>140</v>
      </c>
      <c r="C443" s="1">
        <v>22</v>
      </c>
    </row>
    <row r="444" spans="1:3" ht="19.5">
      <c r="A444" s="1" t="s">
        <v>631</v>
      </c>
      <c r="B444" s="1">
        <v>140</v>
      </c>
      <c r="C444" s="1">
        <v>26</v>
      </c>
    </row>
    <row r="445" spans="1:3" ht="19.5">
      <c r="A445" s="1" t="s">
        <v>159</v>
      </c>
      <c r="B445" s="1">
        <v>139</v>
      </c>
      <c r="C445" s="1">
        <v>24</v>
      </c>
    </row>
    <row r="446" spans="1:3" ht="19.5">
      <c r="A446" s="1" t="s">
        <v>321</v>
      </c>
      <c r="B446" s="1">
        <v>139</v>
      </c>
      <c r="C446" s="1">
        <v>24</v>
      </c>
    </row>
    <row r="447" spans="1:3" ht="19.5">
      <c r="A447" s="1" t="s">
        <v>363</v>
      </c>
      <c r="B447" s="1">
        <v>139</v>
      </c>
      <c r="C447" s="1">
        <v>22</v>
      </c>
    </row>
    <row r="448" spans="1:3" ht="19.5">
      <c r="A448" s="1" t="s">
        <v>426</v>
      </c>
      <c r="B448" s="1">
        <v>139</v>
      </c>
      <c r="C448" s="1">
        <v>34</v>
      </c>
    </row>
    <row r="449" spans="1:3" ht="19.5">
      <c r="A449" s="1" t="s">
        <v>439</v>
      </c>
      <c r="B449" s="1">
        <v>139</v>
      </c>
      <c r="C449" s="1">
        <v>38</v>
      </c>
    </row>
    <row r="450" spans="1:3" ht="19.5">
      <c r="A450" s="1" t="s">
        <v>561</v>
      </c>
      <c r="B450" s="1">
        <v>139</v>
      </c>
      <c r="C450" s="1">
        <v>23</v>
      </c>
    </row>
    <row r="451" spans="1:3" ht="19.5">
      <c r="A451" s="1" t="s">
        <v>569</v>
      </c>
      <c r="B451" s="1">
        <v>139</v>
      </c>
      <c r="C451" s="1">
        <v>48</v>
      </c>
    </row>
    <row r="452" spans="1:3" ht="19.5">
      <c r="A452" s="1" t="s">
        <v>584</v>
      </c>
      <c r="B452" s="1">
        <v>139</v>
      </c>
      <c r="C452" s="1">
        <v>42</v>
      </c>
    </row>
    <row r="453" spans="1:3" ht="19.5">
      <c r="A453" s="1" t="s">
        <v>665</v>
      </c>
      <c r="B453" s="1">
        <v>139</v>
      </c>
      <c r="C453" s="1">
        <v>23</v>
      </c>
    </row>
    <row r="454" spans="1:3" ht="19.5">
      <c r="A454" s="1" t="s">
        <v>78</v>
      </c>
      <c r="B454" s="1">
        <v>138</v>
      </c>
      <c r="C454" s="1">
        <v>35</v>
      </c>
    </row>
    <row r="455" spans="1:3" ht="19.5">
      <c r="A455" s="1" t="s">
        <v>238</v>
      </c>
      <c r="B455" s="1">
        <v>138</v>
      </c>
      <c r="C455" s="1">
        <v>26</v>
      </c>
    </row>
    <row r="456" spans="1:3" ht="19.5">
      <c r="A456" s="1" t="s">
        <v>259</v>
      </c>
      <c r="B456" s="1">
        <v>138</v>
      </c>
      <c r="C456" s="1">
        <v>27</v>
      </c>
    </row>
    <row r="457" spans="1:3" ht="19.5">
      <c r="A457" s="1" t="s">
        <v>317</v>
      </c>
      <c r="B457" s="1">
        <v>138</v>
      </c>
      <c r="C457" s="1">
        <v>24</v>
      </c>
    </row>
    <row r="458" spans="1:3" ht="19.5">
      <c r="A458" s="1" t="s">
        <v>463</v>
      </c>
      <c r="B458" s="1">
        <v>138</v>
      </c>
      <c r="C458" s="1">
        <v>30</v>
      </c>
    </row>
    <row r="459" spans="1:3" ht="19.5">
      <c r="A459" s="1" t="s">
        <v>496</v>
      </c>
      <c r="B459" s="1">
        <v>138</v>
      </c>
      <c r="C459" s="1">
        <v>28</v>
      </c>
    </row>
    <row r="460" spans="1:3" ht="19.5">
      <c r="A460" s="1" t="s">
        <v>520</v>
      </c>
      <c r="B460" s="1">
        <v>138</v>
      </c>
      <c r="C460" s="1">
        <v>18</v>
      </c>
    </row>
    <row r="461" spans="1:3" ht="19.5">
      <c r="A461" s="1" t="s">
        <v>572</v>
      </c>
      <c r="B461" s="1">
        <v>138</v>
      </c>
      <c r="C461" s="1">
        <v>28</v>
      </c>
    </row>
    <row r="462" spans="1:3" ht="19.5">
      <c r="A462" s="1" t="s">
        <v>588</v>
      </c>
      <c r="B462" s="1">
        <v>138</v>
      </c>
      <c r="C462" s="1">
        <v>42</v>
      </c>
    </row>
    <row r="463" spans="1:3" ht="19.5">
      <c r="A463" s="1" t="s">
        <v>645</v>
      </c>
      <c r="B463" s="1">
        <v>138</v>
      </c>
      <c r="C463" s="1">
        <v>45</v>
      </c>
    </row>
    <row r="464" spans="1:3" ht="19.5">
      <c r="A464" s="1" t="s">
        <v>30</v>
      </c>
      <c r="B464" s="1">
        <v>137</v>
      </c>
      <c r="C464" s="1">
        <v>18</v>
      </c>
    </row>
    <row r="465" spans="1:3" ht="19.5">
      <c r="A465" s="1" t="s">
        <v>118</v>
      </c>
      <c r="B465" s="1">
        <v>137</v>
      </c>
      <c r="C465" s="1">
        <v>15</v>
      </c>
    </row>
    <row r="466" spans="1:3" ht="19.5">
      <c r="A466" s="1" t="s">
        <v>184</v>
      </c>
      <c r="B466" s="1">
        <v>137</v>
      </c>
      <c r="C466" s="1">
        <v>24</v>
      </c>
    </row>
    <row r="467" spans="1:3" ht="19.5">
      <c r="A467" s="1" t="s">
        <v>228</v>
      </c>
      <c r="B467" s="1">
        <v>137</v>
      </c>
      <c r="C467" s="1">
        <v>28</v>
      </c>
    </row>
    <row r="468" spans="1:3" ht="19.5">
      <c r="A468" s="1" t="s">
        <v>304</v>
      </c>
      <c r="B468" s="1">
        <v>137</v>
      </c>
      <c r="C468" s="1">
        <v>31</v>
      </c>
    </row>
    <row r="469" spans="1:3" ht="19.5">
      <c r="A469" s="1" t="s">
        <v>488</v>
      </c>
      <c r="B469" s="1">
        <v>137</v>
      </c>
      <c r="C469" s="1">
        <v>43</v>
      </c>
    </row>
    <row r="470" spans="1:3" ht="19.5">
      <c r="A470" s="1" t="s">
        <v>698</v>
      </c>
      <c r="B470" s="1">
        <v>137</v>
      </c>
      <c r="C470" s="1">
        <v>14</v>
      </c>
    </row>
    <row r="471" spans="1:3" ht="19.5">
      <c r="A471" s="1" t="s">
        <v>73</v>
      </c>
      <c r="B471" s="1">
        <v>136</v>
      </c>
      <c r="C471" s="1">
        <v>28</v>
      </c>
    </row>
    <row r="472" spans="1:3" ht="19.5">
      <c r="A472" s="1" t="s">
        <v>129</v>
      </c>
      <c r="B472" s="1">
        <v>136</v>
      </c>
      <c r="C472" s="1">
        <v>23</v>
      </c>
    </row>
    <row r="473" spans="1:3" ht="19.5">
      <c r="A473" s="1" t="s">
        <v>417</v>
      </c>
      <c r="B473" s="1">
        <v>136</v>
      </c>
      <c r="C473" s="1">
        <v>36</v>
      </c>
    </row>
    <row r="474" spans="1:3" ht="19.5">
      <c r="A474" s="1" t="s">
        <v>483</v>
      </c>
      <c r="B474" s="1">
        <v>136</v>
      </c>
      <c r="C474" s="1">
        <v>29</v>
      </c>
    </row>
    <row r="475" spans="1:3" ht="19.5">
      <c r="A475" s="1" t="s">
        <v>618</v>
      </c>
      <c r="B475" s="1">
        <v>136</v>
      </c>
      <c r="C475" s="1">
        <v>18</v>
      </c>
    </row>
    <row r="476" spans="1:3" ht="19.5">
      <c r="A476" s="1" t="s">
        <v>649</v>
      </c>
      <c r="B476" s="1">
        <v>136</v>
      </c>
      <c r="C476" s="1">
        <v>50</v>
      </c>
    </row>
    <row r="477" spans="1:3" ht="19.5">
      <c r="A477" s="1" t="s">
        <v>57</v>
      </c>
      <c r="B477" s="1">
        <v>135</v>
      </c>
      <c r="C477" s="1">
        <v>30</v>
      </c>
    </row>
    <row r="478" spans="1:3" ht="19.5">
      <c r="A478" s="1" t="s">
        <v>185</v>
      </c>
      <c r="B478" s="1">
        <v>135</v>
      </c>
      <c r="C478" s="1">
        <v>42</v>
      </c>
    </row>
    <row r="479" spans="1:3" ht="19.5">
      <c r="A479" s="1" t="s">
        <v>219</v>
      </c>
      <c r="B479" s="1">
        <v>135</v>
      </c>
      <c r="C479" s="1">
        <v>42</v>
      </c>
    </row>
    <row r="480" spans="1:3" ht="19.5">
      <c r="A480" s="1" t="s">
        <v>234</v>
      </c>
      <c r="B480" s="1">
        <v>135</v>
      </c>
      <c r="C480" s="1">
        <v>27</v>
      </c>
    </row>
    <row r="481" spans="1:3" ht="19.5">
      <c r="A481" s="1" t="s">
        <v>331</v>
      </c>
      <c r="B481" s="1">
        <v>135</v>
      </c>
      <c r="C481" s="1">
        <v>29</v>
      </c>
    </row>
    <row r="482" spans="1:3" ht="19.5">
      <c r="A482" s="1" t="s">
        <v>479</v>
      </c>
      <c r="B482" s="1">
        <v>135</v>
      </c>
      <c r="C482" s="1">
        <v>19</v>
      </c>
    </row>
    <row r="483" spans="1:3" ht="19.5">
      <c r="A483" s="1" t="s">
        <v>603</v>
      </c>
      <c r="B483" s="1">
        <v>135</v>
      </c>
      <c r="C483" s="1">
        <v>32</v>
      </c>
    </row>
    <row r="484" spans="1:3" ht="19.5">
      <c r="A484" s="1" t="s">
        <v>55</v>
      </c>
      <c r="B484" s="1">
        <v>134</v>
      </c>
      <c r="C484" s="1">
        <v>25</v>
      </c>
    </row>
    <row r="485" spans="1:3" ht="19.5">
      <c r="A485" s="1" t="s">
        <v>92</v>
      </c>
      <c r="B485" s="1">
        <v>134</v>
      </c>
      <c r="C485" s="1">
        <v>26</v>
      </c>
    </row>
    <row r="486" spans="1:3" ht="19.5">
      <c r="A486" s="1" t="s">
        <v>183</v>
      </c>
      <c r="B486" s="1">
        <v>134</v>
      </c>
      <c r="C486" s="1">
        <v>52</v>
      </c>
    </row>
    <row r="487" spans="1:3" ht="19.5">
      <c r="A487" s="1" t="s">
        <v>273</v>
      </c>
      <c r="B487" s="1">
        <v>134</v>
      </c>
      <c r="C487" s="1">
        <v>39</v>
      </c>
    </row>
    <row r="488" spans="1:3" ht="19.5">
      <c r="A488" s="1" t="s">
        <v>325</v>
      </c>
      <c r="B488" s="1">
        <v>134</v>
      </c>
      <c r="C488" s="1">
        <v>24</v>
      </c>
    </row>
    <row r="489" spans="1:3" ht="19.5">
      <c r="A489" s="1" t="s">
        <v>405</v>
      </c>
      <c r="B489" s="1">
        <v>134</v>
      </c>
      <c r="C489" s="1">
        <v>46</v>
      </c>
    </row>
    <row r="490" spans="1:3" ht="19.5">
      <c r="A490" s="1" t="s">
        <v>484</v>
      </c>
      <c r="B490" s="1">
        <v>134</v>
      </c>
      <c r="C490" s="1">
        <v>30</v>
      </c>
    </row>
    <row r="491" spans="1:3" ht="19.5">
      <c r="A491" s="1" t="s">
        <v>545</v>
      </c>
      <c r="B491" s="1">
        <v>134</v>
      </c>
      <c r="C491" s="1">
        <v>17</v>
      </c>
    </row>
    <row r="492" spans="1:3" ht="19.5">
      <c r="A492" s="1" t="s">
        <v>568</v>
      </c>
      <c r="B492" s="1">
        <v>134</v>
      </c>
      <c r="C492" s="1">
        <v>33</v>
      </c>
    </row>
    <row r="493" spans="1:3" ht="19.5">
      <c r="A493" s="1" t="s">
        <v>580</v>
      </c>
      <c r="B493" s="1">
        <v>134</v>
      </c>
      <c r="C493" s="1">
        <v>44</v>
      </c>
    </row>
    <row r="494" spans="1:3" ht="19.5">
      <c r="A494" s="1" t="s">
        <v>700</v>
      </c>
      <c r="B494" s="1">
        <v>134</v>
      </c>
      <c r="C494" s="1">
        <v>27</v>
      </c>
    </row>
    <row r="495" spans="1:3" ht="19.5">
      <c r="A495" s="1" t="s">
        <v>121</v>
      </c>
      <c r="B495" s="1">
        <v>133</v>
      </c>
      <c r="C495" s="1">
        <v>37</v>
      </c>
    </row>
    <row r="496" spans="1:3" ht="19.5">
      <c r="A496" s="1" t="s">
        <v>189</v>
      </c>
      <c r="B496" s="1">
        <v>133</v>
      </c>
      <c r="C496" s="1">
        <v>28</v>
      </c>
    </row>
    <row r="497" spans="1:3" ht="19.5">
      <c r="A497" s="1" t="s">
        <v>209</v>
      </c>
      <c r="B497" s="1">
        <v>133</v>
      </c>
      <c r="C497" s="1">
        <v>24</v>
      </c>
    </row>
    <row r="498" spans="1:3" ht="19.5">
      <c r="A498" s="1" t="s">
        <v>268</v>
      </c>
      <c r="B498" s="1">
        <v>133</v>
      </c>
      <c r="C498" s="1">
        <v>26</v>
      </c>
    </row>
    <row r="499" spans="1:3" ht="19.5">
      <c r="A499" s="1" t="s">
        <v>370</v>
      </c>
      <c r="B499" s="1">
        <v>133</v>
      </c>
      <c r="C499" s="1">
        <v>39</v>
      </c>
    </row>
    <row r="500" spans="1:3" ht="19.5">
      <c r="A500" s="1" t="s">
        <v>497</v>
      </c>
      <c r="B500" s="1">
        <v>133</v>
      </c>
      <c r="C500" s="1">
        <v>17</v>
      </c>
    </row>
    <row r="501" spans="1:3" ht="19.5">
      <c r="A501" s="1" t="s">
        <v>544</v>
      </c>
      <c r="B501" s="1">
        <v>133</v>
      </c>
      <c r="C501" s="1">
        <v>17</v>
      </c>
    </row>
    <row r="502" spans="1:3" ht="19.5">
      <c r="A502" s="1" t="s">
        <v>237</v>
      </c>
      <c r="B502" s="1">
        <v>132</v>
      </c>
      <c r="C502" s="1">
        <v>20</v>
      </c>
    </row>
    <row r="503" spans="1:3" ht="19.5">
      <c r="A503" s="1" t="s">
        <v>427</v>
      </c>
      <c r="B503" s="1">
        <v>132</v>
      </c>
      <c r="C503" s="1">
        <v>16</v>
      </c>
    </row>
    <row r="504" spans="1:3" ht="19.5">
      <c r="A504" s="1" t="s">
        <v>558</v>
      </c>
      <c r="B504" s="1">
        <v>132</v>
      </c>
      <c r="C504" s="1">
        <v>39</v>
      </c>
    </row>
    <row r="505" spans="1:3" ht="19.5">
      <c r="A505" s="1" t="s">
        <v>614</v>
      </c>
      <c r="B505" s="1">
        <v>132</v>
      </c>
      <c r="C505" s="1">
        <v>30</v>
      </c>
    </row>
    <row r="506" spans="1:3" ht="19.5">
      <c r="A506" s="1" t="s">
        <v>387</v>
      </c>
      <c r="B506" s="1">
        <v>131</v>
      </c>
      <c r="C506" s="1">
        <v>20</v>
      </c>
    </row>
    <row r="507" spans="1:3" ht="19.5">
      <c r="A507" s="1" t="s">
        <v>418</v>
      </c>
      <c r="B507" s="1">
        <v>131</v>
      </c>
      <c r="C507" s="1">
        <v>31</v>
      </c>
    </row>
    <row r="508" spans="1:3" ht="19.5">
      <c r="A508" s="1" t="s">
        <v>671</v>
      </c>
      <c r="B508" s="1">
        <v>131</v>
      </c>
      <c r="C508" s="1">
        <v>21</v>
      </c>
    </row>
    <row r="509" spans="1:3" ht="19.5">
      <c r="A509" s="1" t="s">
        <v>28</v>
      </c>
      <c r="B509" s="1">
        <v>130</v>
      </c>
      <c r="C509" s="1">
        <v>26</v>
      </c>
    </row>
    <row r="510" spans="1:3" ht="19.5">
      <c r="A510" s="1" t="s">
        <v>126</v>
      </c>
      <c r="B510" s="1">
        <v>130</v>
      </c>
      <c r="C510" s="1">
        <v>33</v>
      </c>
    </row>
    <row r="511" spans="1:3" ht="19.5">
      <c r="A511" s="1" t="s">
        <v>153</v>
      </c>
      <c r="B511" s="1">
        <v>130</v>
      </c>
      <c r="C511" s="1">
        <v>36</v>
      </c>
    </row>
    <row r="512" spans="1:3" ht="19.5">
      <c r="A512" s="1" t="s">
        <v>264</v>
      </c>
      <c r="B512" s="1">
        <v>130</v>
      </c>
      <c r="C512" s="1">
        <v>33</v>
      </c>
    </row>
    <row r="513" spans="1:3" ht="19.5">
      <c r="A513" s="1" t="s">
        <v>280</v>
      </c>
      <c r="B513" s="1">
        <v>130</v>
      </c>
      <c r="C513" s="1">
        <v>40</v>
      </c>
    </row>
    <row r="514" spans="1:3" ht="19.5">
      <c r="A514" s="1" t="s">
        <v>302</v>
      </c>
      <c r="B514" s="1">
        <v>130</v>
      </c>
      <c r="C514" s="1">
        <v>33</v>
      </c>
    </row>
    <row r="515" spans="1:3" ht="19.5">
      <c r="A515" s="1" t="s">
        <v>309</v>
      </c>
      <c r="B515" s="1">
        <v>130</v>
      </c>
      <c r="C515" s="1">
        <v>28</v>
      </c>
    </row>
    <row r="516" spans="1:3" ht="19.5">
      <c r="A516" s="1" t="s">
        <v>311</v>
      </c>
      <c r="B516" s="1">
        <v>130</v>
      </c>
      <c r="C516" s="1">
        <v>39</v>
      </c>
    </row>
    <row r="517" spans="1:3" ht="19.5">
      <c r="A517" s="1" t="s">
        <v>326</v>
      </c>
      <c r="B517" s="1">
        <v>130</v>
      </c>
      <c r="C517" s="1">
        <v>19</v>
      </c>
    </row>
    <row r="518" spans="1:3" ht="19.5">
      <c r="A518" s="1" t="s">
        <v>451</v>
      </c>
      <c r="B518" s="1">
        <v>130</v>
      </c>
      <c r="C518" s="1">
        <v>26</v>
      </c>
    </row>
    <row r="519" spans="1:3" ht="19.5">
      <c r="A519" s="1" t="s">
        <v>475</v>
      </c>
      <c r="B519" s="1">
        <v>130</v>
      </c>
      <c r="C519" s="1">
        <v>41</v>
      </c>
    </row>
    <row r="520" spans="1:3" ht="19.5">
      <c r="A520" s="1" t="s">
        <v>519</v>
      </c>
      <c r="B520" s="1">
        <v>130</v>
      </c>
      <c r="C520" s="1">
        <v>33</v>
      </c>
    </row>
    <row r="521" spans="1:3" ht="19.5">
      <c r="A521" s="1" t="s">
        <v>574</v>
      </c>
      <c r="B521" s="1">
        <v>130</v>
      </c>
      <c r="C521" s="1">
        <v>19</v>
      </c>
    </row>
    <row r="522" spans="1:3" ht="19.5">
      <c r="A522" s="1" t="s">
        <v>598</v>
      </c>
      <c r="B522" s="1">
        <v>130</v>
      </c>
      <c r="C522" s="1">
        <v>30</v>
      </c>
    </row>
    <row r="523" spans="1:3" ht="19.5">
      <c r="A523" s="1" t="s">
        <v>705</v>
      </c>
      <c r="B523" s="1">
        <v>130</v>
      </c>
      <c r="C523" s="1">
        <v>18</v>
      </c>
    </row>
    <row r="524" spans="1:3" ht="19.5">
      <c r="A524" s="1" t="s">
        <v>21</v>
      </c>
      <c r="B524" s="1">
        <v>129</v>
      </c>
      <c r="C524" s="1">
        <v>27</v>
      </c>
    </row>
    <row r="525" spans="1:3" ht="19.5">
      <c r="A525" s="1" t="s">
        <v>43</v>
      </c>
      <c r="B525" s="1">
        <v>129</v>
      </c>
      <c r="C525" s="1">
        <v>18</v>
      </c>
    </row>
    <row r="526" spans="1:3" ht="19.5">
      <c r="A526" s="1" t="s">
        <v>88</v>
      </c>
      <c r="B526" s="1">
        <v>129</v>
      </c>
      <c r="C526" s="1">
        <v>28</v>
      </c>
    </row>
    <row r="527" spans="1:3" ht="19.5">
      <c r="A527" s="1" t="s">
        <v>507</v>
      </c>
      <c r="B527" s="1">
        <v>129</v>
      </c>
      <c r="C527" s="1">
        <v>19</v>
      </c>
    </row>
    <row r="528" spans="1:3" ht="19.5">
      <c r="A528" s="1" t="s">
        <v>99</v>
      </c>
      <c r="B528" s="1">
        <v>128</v>
      </c>
      <c r="C528" s="1">
        <v>30</v>
      </c>
    </row>
    <row r="529" spans="1:3" ht="19.5">
      <c r="A529" s="1" t="s">
        <v>116</v>
      </c>
      <c r="B529" s="1">
        <v>128</v>
      </c>
      <c r="C529" s="1">
        <v>20</v>
      </c>
    </row>
    <row r="530" spans="1:3" ht="19.5">
      <c r="A530" s="1" t="s">
        <v>120</v>
      </c>
      <c r="B530" s="1">
        <v>128</v>
      </c>
      <c r="C530" s="1">
        <v>30</v>
      </c>
    </row>
    <row r="531" spans="1:3" ht="19.5">
      <c r="A531" s="1" t="s">
        <v>179</v>
      </c>
      <c r="B531" s="1">
        <v>128</v>
      </c>
      <c r="C531" s="1">
        <v>29</v>
      </c>
    </row>
    <row r="532" spans="1:3" ht="19.5">
      <c r="A532" s="1" t="s">
        <v>412</v>
      </c>
      <c r="B532" s="1">
        <v>128</v>
      </c>
      <c r="C532" s="1">
        <v>24</v>
      </c>
    </row>
    <row r="533" spans="1:3" ht="19.5">
      <c r="A533" s="1" t="s">
        <v>474</v>
      </c>
      <c r="B533" s="1">
        <v>128</v>
      </c>
      <c r="C533" s="1">
        <v>27</v>
      </c>
    </row>
    <row r="534" spans="1:3" ht="19.5">
      <c r="A534" s="1" t="s">
        <v>555</v>
      </c>
      <c r="B534" s="1">
        <v>128</v>
      </c>
      <c r="C534" s="1">
        <v>31</v>
      </c>
    </row>
    <row r="535" spans="1:3" ht="19.5">
      <c r="A535" s="1" t="s">
        <v>18</v>
      </c>
      <c r="B535" s="1">
        <v>127</v>
      </c>
      <c r="C535" s="1">
        <v>19</v>
      </c>
    </row>
    <row r="536" spans="1:3" ht="19.5">
      <c r="A536" s="1" t="s">
        <v>60</v>
      </c>
      <c r="B536" s="1">
        <v>127</v>
      </c>
      <c r="C536" s="1">
        <v>36</v>
      </c>
    </row>
    <row r="537" spans="1:3" ht="19.5">
      <c r="A537" s="1" t="s">
        <v>408</v>
      </c>
      <c r="B537" s="1">
        <v>127</v>
      </c>
      <c r="C537" s="1">
        <v>36</v>
      </c>
    </row>
    <row r="538" spans="1:3" ht="19.5">
      <c r="A538" s="1" t="s">
        <v>420</v>
      </c>
      <c r="B538" s="1">
        <v>127</v>
      </c>
      <c r="C538" s="1">
        <v>23</v>
      </c>
    </row>
    <row r="539" spans="1:3" ht="19.5">
      <c r="A539" s="1" t="s">
        <v>455</v>
      </c>
      <c r="B539" s="1">
        <v>127</v>
      </c>
      <c r="C539" s="1">
        <v>43</v>
      </c>
    </row>
    <row r="540" spans="1:3" ht="19.5">
      <c r="A540" s="1" t="s">
        <v>492</v>
      </c>
      <c r="B540" s="1">
        <v>127</v>
      </c>
      <c r="C540" s="1">
        <v>42</v>
      </c>
    </row>
    <row r="541" spans="1:3" ht="19.5">
      <c r="A541" s="1" t="s">
        <v>633</v>
      </c>
      <c r="B541" s="1">
        <v>127</v>
      </c>
      <c r="C541" s="1">
        <v>21</v>
      </c>
    </row>
    <row r="542" spans="1:3" ht="19.5">
      <c r="A542" s="1" t="s">
        <v>637</v>
      </c>
      <c r="B542" s="1">
        <v>127</v>
      </c>
      <c r="C542" s="1">
        <v>29</v>
      </c>
    </row>
    <row r="543" spans="1:3" ht="19.5">
      <c r="A543" s="1" t="s">
        <v>38</v>
      </c>
      <c r="B543" s="1">
        <v>126</v>
      </c>
      <c r="C543" s="1">
        <v>36</v>
      </c>
    </row>
    <row r="544" spans="1:3" ht="19.5">
      <c r="A544" s="1" t="s">
        <v>127</v>
      </c>
      <c r="B544" s="1">
        <v>126</v>
      </c>
      <c r="C544" s="1">
        <v>24</v>
      </c>
    </row>
    <row r="545" spans="1:3" ht="19.5">
      <c r="A545" s="1" t="s">
        <v>256</v>
      </c>
      <c r="B545" s="1">
        <v>126</v>
      </c>
      <c r="C545" s="1">
        <v>42</v>
      </c>
    </row>
    <row r="546" spans="1:3" ht="19.5">
      <c r="A546" s="1" t="s">
        <v>286</v>
      </c>
      <c r="B546" s="1">
        <v>126</v>
      </c>
      <c r="C546" s="1">
        <v>47</v>
      </c>
    </row>
    <row r="547" spans="1:3" ht="19.5">
      <c r="A547" s="1" t="s">
        <v>290</v>
      </c>
      <c r="B547" s="1">
        <v>126</v>
      </c>
      <c r="C547" s="1">
        <v>37</v>
      </c>
    </row>
    <row r="548" spans="1:3" ht="19.5">
      <c r="A548" s="1" t="s">
        <v>294</v>
      </c>
      <c r="B548" s="1">
        <v>126</v>
      </c>
      <c r="C548" s="1">
        <v>35</v>
      </c>
    </row>
    <row r="549" spans="1:3" ht="19.5">
      <c r="A549" s="1" t="s">
        <v>338</v>
      </c>
      <c r="B549" s="1">
        <v>126</v>
      </c>
      <c r="C549" s="1">
        <v>24</v>
      </c>
    </row>
    <row r="550" spans="1:3" ht="19.5">
      <c r="A550" s="1" t="s">
        <v>389</v>
      </c>
      <c r="B550" s="1">
        <v>126</v>
      </c>
      <c r="C550" s="1">
        <v>41</v>
      </c>
    </row>
    <row r="551" spans="1:3" ht="19.5">
      <c r="A551" s="1" t="s">
        <v>424</v>
      </c>
      <c r="B551" s="1">
        <v>126</v>
      </c>
      <c r="C551" s="1">
        <v>39</v>
      </c>
    </row>
    <row r="552" spans="1:3" ht="19.5">
      <c r="A552" s="1" t="s">
        <v>473</v>
      </c>
      <c r="B552" s="1">
        <v>126</v>
      </c>
      <c r="C552" s="1">
        <v>36</v>
      </c>
    </row>
    <row r="553" spans="1:3" ht="19.5">
      <c r="A553" s="1" t="s">
        <v>642</v>
      </c>
      <c r="B553" s="1">
        <v>126</v>
      </c>
      <c r="C553" s="1">
        <v>29</v>
      </c>
    </row>
    <row r="554" spans="1:3" ht="19.5">
      <c r="A554" s="1" t="s">
        <v>653</v>
      </c>
      <c r="B554" s="1">
        <v>126</v>
      </c>
      <c r="C554" s="1">
        <v>50</v>
      </c>
    </row>
    <row r="555" spans="1:3" ht="19.5">
      <c r="A555" s="1" t="s">
        <v>205</v>
      </c>
      <c r="B555" s="1">
        <v>125</v>
      </c>
      <c r="C555" s="1">
        <v>31</v>
      </c>
    </row>
    <row r="556" spans="1:3" ht="19.5">
      <c r="A556" s="1" t="s">
        <v>328</v>
      </c>
      <c r="B556" s="1">
        <v>125</v>
      </c>
      <c r="C556" s="1">
        <v>28</v>
      </c>
    </row>
    <row r="557" spans="1:3" ht="19.5">
      <c r="A557" s="1" t="s">
        <v>334</v>
      </c>
      <c r="B557" s="1">
        <v>125</v>
      </c>
      <c r="C557" s="1">
        <v>31</v>
      </c>
    </row>
    <row r="558" spans="1:3" ht="19.5">
      <c r="A558" s="1" t="s">
        <v>398</v>
      </c>
      <c r="B558" s="1">
        <v>125</v>
      </c>
      <c r="C558" s="1">
        <v>28</v>
      </c>
    </row>
    <row r="559" spans="1:3" ht="19.5">
      <c r="A559" s="1" t="s">
        <v>566</v>
      </c>
      <c r="B559" s="1">
        <v>125</v>
      </c>
      <c r="C559" s="1">
        <v>34</v>
      </c>
    </row>
    <row r="560" spans="1:3" ht="19.5">
      <c r="A560" s="1" t="s">
        <v>592</v>
      </c>
      <c r="B560" s="1">
        <v>125</v>
      </c>
      <c r="C560" s="1">
        <v>38</v>
      </c>
    </row>
    <row r="561" spans="1:3" ht="19.5">
      <c r="A561" s="1" t="s">
        <v>167</v>
      </c>
      <c r="B561" s="1">
        <v>124</v>
      </c>
      <c r="C561" s="1">
        <v>25</v>
      </c>
    </row>
    <row r="562" spans="1:3" ht="19.5">
      <c r="A562" s="1" t="s">
        <v>182</v>
      </c>
      <c r="B562" s="1">
        <v>124</v>
      </c>
      <c r="C562" s="1">
        <v>23</v>
      </c>
    </row>
    <row r="563" spans="1:3" ht="19.5">
      <c r="A563" s="1" t="s">
        <v>225</v>
      </c>
      <c r="B563" s="1">
        <v>124</v>
      </c>
      <c r="C563" s="1">
        <v>25</v>
      </c>
    </row>
    <row r="564" spans="1:3" ht="19.5">
      <c r="A564" s="1" t="s">
        <v>366</v>
      </c>
      <c r="B564" s="1">
        <v>124</v>
      </c>
      <c r="C564" s="1">
        <v>26</v>
      </c>
    </row>
    <row r="565" spans="1:3" ht="19.5">
      <c r="A565" s="1" t="s">
        <v>535</v>
      </c>
      <c r="B565" s="1">
        <v>123</v>
      </c>
      <c r="C565" s="1">
        <v>24</v>
      </c>
    </row>
    <row r="566" spans="1:3" ht="19.5">
      <c r="A566" s="1" t="s">
        <v>342</v>
      </c>
      <c r="B566" s="1">
        <v>122</v>
      </c>
      <c r="C566" s="1">
        <v>22</v>
      </c>
    </row>
    <row r="567" spans="1:3" ht="19.5">
      <c r="A567" s="1" t="s">
        <v>352</v>
      </c>
      <c r="B567" s="1">
        <v>122</v>
      </c>
      <c r="C567" s="1">
        <v>24</v>
      </c>
    </row>
    <row r="568" spans="1:3" ht="19.5">
      <c r="A568" s="1" t="s">
        <v>432</v>
      </c>
      <c r="B568" s="1">
        <v>122</v>
      </c>
      <c r="C568" s="1">
        <v>34</v>
      </c>
    </row>
    <row r="569" spans="1:3" ht="19.5">
      <c r="A569" s="1" t="s">
        <v>452</v>
      </c>
      <c r="B569" s="1">
        <v>122</v>
      </c>
      <c r="C569" s="1">
        <v>33</v>
      </c>
    </row>
    <row r="570" spans="1:3" ht="19.5">
      <c r="A570" s="1" t="s">
        <v>684</v>
      </c>
      <c r="B570" s="1">
        <v>122</v>
      </c>
      <c r="C570" s="1">
        <v>32</v>
      </c>
    </row>
    <row r="571" spans="1:3" ht="19.5">
      <c r="A571" s="1" t="s">
        <v>476</v>
      </c>
      <c r="B571" s="1">
        <v>121</v>
      </c>
      <c r="C571" s="1">
        <v>34</v>
      </c>
    </row>
    <row r="572" spans="1:3" ht="19.5">
      <c r="A572" s="1" t="s">
        <v>11</v>
      </c>
      <c r="B572" s="1">
        <v>120</v>
      </c>
      <c r="C572" s="1">
        <v>22</v>
      </c>
    </row>
    <row r="573" spans="1:3" ht="19.5">
      <c r="A573" s="1" t="s">
        <v>66</v>
      </c>
      <c r="B573" s="1">
        <v>120</v>
      </c>
      <c r="C573" s="1">
        <v>33</v>
      </c>
    </row>
    <row r="574" spans="1:3" ht="19.5">
      <c r="A574" s="1" t="s">
        <v>197</v>
      </c>
      <c r="B574" s="1">
        <v>120</v>
      </c>
      <c r="C574" s="1">
        <v>41</v>
      </c>
    </row>
    <row r="575" spans="1:3" ht="19.5">
      <c r="A575" s="1" t="s">
        <v>288</v>
      </c>
      <c r="B575" s="1">
        <v>120</v>
      </c>
      <c r="C575" s="1">
        <v>27</v>
      </c>
    </row>
    <row r="576" spans="1:3" ht="19.5">
      <c r="A576" s="1" t="s">
        <v>467</v>
      </c>
      <c r="B576" s="1">
        <v>120</v>
      </c>
      <c r="C576" s="1">
        <v>28</v>
      </c>
    </row>
    <row r="577" spans="1:3" ht="19.5">
      <c r="A577" s="1" t="s">
        <v>663</v>
      </c>
      <c r="B577" s="1">
        <v>120</v>
      </c>
      <c r="C577" s="1">
        <v>25</v>
      </c>
    </row>
    <row r="578" spans="1:3" ht="19.5">
      <c r="A578" s="1" t="s">
        <v>98</v>
      </c>
      <c r="B578" s="1">
        <v>119</v>
      </c>
      <c r="C578" s="1">
        <v>34</v>
      </c>
    </row>
    <row r="579" spans="1:3" ht="19.5">
      <c r="A579" s="1" t="s">
        <v>107</v>
      </c>
      <c r="B579" s="1">
        <v>119</v>
      </c>
      <c r="C579" s="1">
        <v>27</v>
      </c>
    </row>
    <row r="580" spans="1:3" ht="19.5">
      <c r="A580" s="1" t="s">
        <v>210</v>
      </c>
      <c r="B580" s="1">
        <v>119</v>
      </c>
      <c r="C580" s="1">
        <v>38</v>
      </c>
    </row>
    <row r="581" spans="1:3" ht="19.5">
      <c r="A581" s="1" t="s">
        <v>359</v>
      </c>
      <c r="B581" s="1">
        <v>119</v>
      </c>
      <c r="C581" s="1">
        <v>44</v>
      </c>
    </row>
    <row r="582" spans="1:3" ht="19.5">
      <c r="A582" s="1" t="s">
        <v>70</v>
      </c>
      <c r="B582" s="1">
        <v>118</v>
      </c>
      <c r="C582" s="1">
        <v>27</v>
      </c>
    </row>
    <row r="583" spans="1:3" ht="19.5">
      <c r="A583" s="1" t="s">
        <v>196</v>
      </c>
      <c r="B583" s="1">
        <v>118</v>
      </c>
      <c r="C583" s="1">
        <v>28</v>
      </c>
    </row>
    <row r="584" spans="1:3" ht="19.5">
      <c r="A584" s="1" t="s">
        <v>340</v>
      </c>
      <c r="B584" s="1">
        <v>118</v>
      </c>
      <c r="C584" s="1">
        <v>42</v>
      </c>
    </row>
    <row r="585" spans="1:3" ht="19.5">
      <c r="A585" s="1" t="s">
        <v>516</v>
      </c>
      <c r="B585" s="1">
        <v>118</v>
      </c>
      <c r="C585" s="1">
        <v>42</v>
      </c>
    </row>
    <row r="586" spans="1:3" ht="19.5">
      <c r="A586" s="1" t="s">
        <v>600</v>
      </c>
      <c r="B586" s="1">
        <v>118</v>
      </c>
      <c r="C586" s="1">
        <v>28</v>
      </c>
    </row>
    <row r="587" spans="1:3" ht="19.5">
      <c r="A587" s="1" t="s">
        <v>335</v>
      </c>
      <c r="B587" s="1">
        <v>117</v>
      </c>
      <c r="C587" s="1">
        <v>25</v>
      </c>
    </row>
    <row r="588" spans="1:3" ht="19.5">
      <c r="A588" s="1" t="s">
        <v>446</v>
      </c>
      <c r="B588" s="1">
        <v>117</v>
      </c>
      <c r="C588" s="1">
        <v>33</v>
      </c>
    </row>
    <row r="589" spans="1:3" ht="19.5">
      <c r="A589" s="1" t="s">
        <v>623</v>
      </c>
      <c r="B589" s="1">
        <v>117</v>
      </c>
      <c r="C589" s="1">
        <v>38</v>
      </c>
    </row>
    <row r="590" spans="1:3" ht="19.5">
      <c r="A590" s="1" t="s">
        <v>94</v>
      </c>
      <c r="B590" s="1">
        <v>116</v>
      </c>
      <c r="C590" s="1">
        <v>32</v>
      </c>
    </row>
    <row r="591" spans="1:3" ht="19.5">
      <c r="A591" s="1" t="s">
        <v>105</v>
      </c>
      <c r="B591" s="1">
        <v>116</v>
      </c>
      <c r="C591" s="1">
        <v>42</v>
      </c>
    </row>
    <row r="592" spans="1:3" ht="19.5">
      <c r="A592" s="1" t="s">
        <v>275</v>
      </c>
      <c r="B592" s="1">
        <v>116</v>
      </c>
      <c r="C592" s="1">
        <v>24</v>
      </c>
    </row>
    <row r="593" spans="1:3" ht="19.5">
      <c r="A593" s="1" t="s">
        <v>431</v>
      </c>
      <c r="B593" s="1">
        <v>116</v>
      </c>
      <c r="C593" s="1">
        <v>29</v>
      </c>
    </row>
    <row r="594" spans="1:3" ht="19.5">
      <c r="A594" s="1" t="s">
        <v>664</v>
      </c>
      <c r="B594" s="1">
        <v>116</v>
      </c>
      <c r="C594" s="1">
        <v>32</v>
      </c>
    </row>
    <row r="595" spans="1:3" ht="19.5">
      <c r="A595" s="1" t="s">
        <v>128</v>
      </c>
      <c r="B595" s="1">
        <v>115</v>
      </c>
      <c r="C595" s="1">
        <v>25</v>
      </c>
    </row>
    <row r="596" spans="1:3" ht="19.5">
      <c r="A596" s="1" t="s">
        <v>276</v>
      </c>
      <c r="B596" s="1">
        <v>115</v>
      </c>
      <c r="C596" s="1">
        <v>35</v>
      </c>
    </row>
    <row r="597" spans="1:3" ht="19.5">
      <c r="A597" s="1" t="s">
        <v>263</v>
      </c>
      <c r="B597" s="1">
        <v>114</v>
      </c>
      <c r="C597" s="1">
        <v>40</v>
      </c>
    </row>
    <row r="598" spans="1:3" ht="19.5">
      <c r="A598" s="1" t="s">
        <v>691</v>
      </c>
      <c r="B598" s="1">
        <v>114</v>
      </c>
      <c r="C598" s="1">
        <v>35</v>
      </c>
    </row>
    <row r="599" spans="1:3" ht="19.5">
      <c r="A599" s="1" t="s">
        <v>208</v>
      </c>
      <c r="B599" s="1">
        <v>113</v>
      </c>
      <c r="C599" s="1">
        <v>27</v>
      </c>
    </row>
    <row r="600" spans="1:3" ht="19.5">
      <c r="A600" s="1" t="s">
        <v>283</v>
      </c>
      <c r="B600" s="1">
        <v>113</v>
      </c>
      <c r="C600" s="1">
        <v>34</v>
      </c>
    </row>
    <row r="601" spans="1:3" ht="19.5">
      <c r="A601" s="1" t="s">
        <v>382</v>
      </c>
      <c r="B601" s="1">
        <v>113</v>
      </c>
      <c r="C601" s="1">
        <v>35</v>
      </c>
    </row>
    <row r="602" spans="1:3" ht="19.5">
      <c r="A602" s="1" t="s">
        <v>461</v>
      </c>
      <c r="B602" s="1">
        <v>113</v>
      </c>
      <c r="C602" s="1">
        <v>38</v>
      </c>
    </row>
    <row r="603" spans="1:3" ht="19.5">
      <c r="A603" s="1" t="s">
        <v>524</v>
      </c>
      <c r="B603" s="1">
        <v>113</v>
      </c>
      <c r="C603" s="1">
        <v>40</v>
      </c>
    </row>
    <row r="604" spans="1:3" ht="19.5">
      <c r="A604" s="1" t="s">
        <v>680</v>
      </c>
      <c r="B604" s="1">
        <v>113</v>
      </c>
      <c r="C604" s="1">
        <v>32</v>
      </c>
    </row>
    <row r="605" spans="1:3" ht="19.5">
      <c r="A605" s="1" t="s">
        <v>692</v>
      </c>
      <c r="B605" s="1">
        <v>113</v>
      </c>
      <c r="C605" s="1">
        <v>27</v>
      </c>
    </row>
    <row r="606" spans="1:3" ht="19.5">
      <c r="A606" s="1" t="s">
        <v>49</v>
      </c>
      <c r="B606" s="1">
        <v>112</v>
      </c>
      <c r="C606" s="1">
        <v>26</v>
      </c>
    </row>
    <row r="607" spans="1:3" ht="19.5">
      <c r="A607" s="1" t="s">
        <v>52</v>
      </c>
      <c r="B607" s="1">
        <v>112</v>
      </c>
      <c r="C607" s="1">
        <v>30</v>
      </c>
    </row>
    <row r="608" spans="1:3" ht="19.5">
      <c r="A608" s="1" t="s">
        <v>154</v>
      </c>
      <c r="B608" s="1">
        <v>112</v>
      </c>
      <c r="C608" s="1">
        <v>48</v>
      </c>
    </row>
    <row r="609" spans="1:3" ht="19.5">
      <c r="A609" s="1" t="s">
        <v>188</v>
      </c>
      <c r="B609" s="1">
        <v>112</v>
      </c>
      <c r="C609" s="1">
        <v>26</v>
      </c>
    </row>
    <row r="610" spans="1:3" ht="19.5">
      <c r="A610" s="1" t="s">
        <v>469</v>
      </c>
      <c r="B610" s="1">
        <v>112</v>
      </c>
      <c r="C610" s="1">
        <v>30</v>
      </c>
    </row>
    <row r="611" spans="1:3" ht="19.5">
      <c r="A611" s="1" t="s">
        <v>498</v>
      </c>
      <c r="B611" s="1">
        <v>112</v>
      </c>
      <c r="C611" s="1">
        <v>36</v>
      </c>
    </row>
    <row r="612" spans="1:3" ht="19.5">
      <c r="A612" s="1" t="s">
        <v>702</v>
      </c>
      <c r="B612" s="1">
        <v>112</v>
      </c>
      <c r="C612" s="1">
        <v>34</v>
      </c>
    </row>
    <row r="613" spans="1:3" ht="19.5">
      <c r="A613" s="1" t="s">
        <v>594</v>
      </c>
      <c r="B613" s="1">
        <v>111</v>
      </c>
      <c r="C613" s="1">
        <v>37</v>
      </c>
    </row>
    <row r="614" spans="1:3" ht="19.5">
      <c r="A614" s="1" t="s">
        <v>646</v>
      </c>
      <c r="B614" s="1">
        <v>111</v>
      </c>
      <c r="C614" s="1">
        <v>50</v>
      </c>
    </row>
    <row r="615" spans="1:3" ht="19.5">
      <c r="A615" s="1" t="s">
        <v>648</v>
      </c>
      <c r="B615" s="1">
        <v>111</v>
      </c>
      <c r="C615" s="1">
        <v>27</v>
      </c>
    </row>
    <row r="616" spans="1:3" ht="19.5">
      <c r="A616" s="1" t="s">
        <v>216</v>
      </c>
      <c r="B616" s="1">
        <v>110</v>
      </c>
      <c r="C616" s="1">
        <v>38</v>
      </c>
    </row>
    <row r="617" spans="1:3" ht="19.5">
      <c r="A617" s="1" t="s">
        <v>319</v>
      </c>
      <c r="B617" s="1">
        <v>110</v>
      </c>
      <c r="C617" s="1">
        <v>34</v>
      </c>
    </row>
    <row r="618" spans="1:3" ht="19.5">
      <c r="A618" s="1" t="s">
        <v>377</v>
      </c>
      <c r="B618" s="1">
        <v>110</v>
      </c>
      <c r="C618" s="1">
        <v>29</v>
      </c>
    </row>
    <row r="619" spans="1:3" ht="19.5">
      <c r="A619" s="1" t="s">
        <v>704</v>
      </c>
      <c r="B619" s="1">
        <v>110</v>
      </c>
      <c r="C619" s="1">
        <v>55</v>
      </c>
    </row>
    <row r="620" spans="1:3" ht="19.5">
      <c r="A620" s="1" t="s">
        <v>119</v>
      </c>
      <c r="B620" s="1">
        <v>109</v>
      </c>
      <c r="C620" s="1">
        <v>39</v>
      </c>
    </row>
    <row r="621" spans="1:3" ht="19.5">
      <c r="A621" s="1" t="s">
        <v>134</v>
      </c>
      <c r="B621" s="1">
        <v>109</v>
      </c>
      <c r="C621" s="1">
        <v>29</v>
      </c>
    </row>
    <row r="622" spans="1:3" ht="19.5">
      <c r="A622" s="1" t="s">
        <v>135</v>
      </c>
      <c r="B622" s="1">
        <v>109</v>
      </c>
      <c r="C622" s="1">
        <v>38</v>
      </c>
    </row>
    <row r="623" spans="1:3" ht="19.5">
      <c r="A623" s="1" t="s">
        <v>654</v>
      </c>
      <c r="B623" s="1">
        <v>109</v>
      </c>
      <c r="C623" s="1">
        <v>35</v>
      </c>
    </row>
    <row r="624" spans="1:3" ht="19.5">
      <c r="A624" s="1" t="s">
        <v>26</v>
      </c>
      <c r="B624" s="1">
        <v>108</v>
      </c>
      <c r="C624" s="1">
        <v>34</v>
      </c>
    </row>
    <row r="625" spans="1:3" ht="19.5">
      <c r="A625" s="1" t="s">
        <v>131</v>
      </c>
      <c r="B625" s="1">
        <v>108</v>
      </c>
      <c r="C625" s="1">
        <v>33</v>
      </c>
    </row>
    <row r="626" spans="1:3" ht="19.5">
      <c r="A626" s="1" t="s">
        <v>287</v>
      </c>
      <c r="B626" s="1">
        <v>108</v>
      </c>
      <c r="C626" s="1">
        <v>43</v>
      </c>
    </row>
    <row r="627" spans="1:3" ht="19.5">
      <c r="A627" s="1" t="s">
        <v>349</v>
      </c>
      <c r="B627" s="1">
        <v>108</v>
      </c>
      <c r="C627" s="1">
        <v>34</v>
      </c>
    </row>
    <row r="628" spans="1:3" ht="19.5">
      <c r="A628" s="1" t="s">
        <v>423</v>
      </c>
      <c r="B628" s="1">
        <v>108</v>
      </c>
      <c r="C628" s="1">
        <v>43</v>
      </c>
    </row>
    <row r="629" spans="1:3" ht="19.5">
      <c r="A629" s="1" t="s">
        <v>63</v>
      </c>
      <c r="B629" s="1">
        <v>107</v>
      </c>
      <c r="C629" s="1">
        <v>39</v>
      </c>
    </row>
    <row r="630" spans="1:3" ht="19.5">
      <c r="A630" s="1" t="s">
        <v>191</v>
      </c>
      <c r="B630" s="1">
        <v>107</v>
      </c>
      <c r="C630" s="1">
        <v>36</v>
      </c>
    </row>
    <row r="631" spans="1:3" ht="19.5">
      <c r="A631" s="1" t="s">
        <v>211</v>
      </c>
      <c r="B631" s="1">
        <v>106</v>
      </c>
      <c r="C631" s="1">
        <v>47</v>
      </c>
    </row>
    <row r="632" spans="1:3" ht="19.5">
      <c r="A632" s="1" t="s">
        <v>323</v>
      </c>
      <c r="B632" s="1">
        <v>106</v>
      </c>
      <c r="C632" s="1">
        <v>41</v>
      </c>
    </row>
    <row r="633" spans="1:3" ht="19.5">
      <c r="A633" s="1" t="s">
        <v>681</v>
      </c>
      <c r="B633" s="1">
        <v>106</v>
      </c>
      <c r="C633" s="1">
        <v>28</v>
      </c>
    </row>
    <row r="634" spans="1:3" ht="19.5">
      <c r="A634" s="1" t="s">
        <v>242</v>
      </c>
      <c r="B634" s="1">
        <v>105</v>
      </c>
      <c r="C634" s="1">
        <v>41</v>
      </c>
    </row>
    <row r="635" spans="1:3" ht="19.5">
      <c r="A635" s="1" t="s">
        <v>570</v>
      </c>
      <c r="B635" s="1">
        <v>105</v>
      </c>
      <c r="C635" s="1">
        <v>29</v>
      </c>
    </row>
    <row r="636" spans="1:3" ht="19.5">
      <c r="A636" s="1" t="s">
        <v>95</v>
      </c>
      <c r="B636" s="1">
        <v>104</v>
      </c>
      <c r="C636" s="1">
        <v>46</v>
      </c>
    </row>
    <row r="637" spans="1:3" ht="19.5">
      <c r="A637" s="1" t="s">
        <v>177</v>
      </c>
      <c r="B637" s="1">
        <v>104</v>
      </c>
      <c r="C637" s="1">
        <v>32</v>
      </c>
    </row>
    <row r="638" spans="1:3" ht="19.5">
      <c r="A638" s="1" t="s">
        <v>178</v>
      </c>
      <c r="B638" s="1">
        <v>104</v>
      </c>
      <c r="C638" s="1">
        <v>35</v>
      </c>
    </row>
    <row r="639" spans="1:3" ht="19.5">
      <c r="A639" s="1" t="s">
        <v>252</v>
      </c>
      <c r="B639" s="1">
        <v>104</v>
      </c>
      <c r="C639" s="1">
        <v>40</v>
      </c>
    </row>
    <row r="640" spans="1:3" ht="19.5">
      <c r="A640" s="1" t="s">
        <v>72</v>
      </c>
      <c r="B640" s="1">
        <v>103</v>
      </c>
      <c r="C640" s="1">
        <v>42</v>
      </c>
    </row>
    <row r="641" spans="1:3" ht="19.5">
      <c r="A641" s="1" t="s">
        <v>444</v>
      </c>
      <c r="B641" s="1">
        <v>103</v>
      </c>
      <c r="C641" s="1">
        <v>31</v>
      </c>
    </row>
    <row r="642" spans="1:3" ht="19.5">
      <c r="A642" s="1" t="s">
        <v>87</v>
      </c>
      <c r="B642" s="1">
        <v>102</v>
      </c>
      <c r="C642" s="1">
        <v>32</v>
      </c>
    </row>
    <row r="643" spans="1:3" ht="19.5">
      <c r="A643" s="1" t="s">
        <v>137</v>
      </c>
      <c r="B643" s="1">
        <v>102</v>
      </c>
      <c r="C643" s="1">
        <v>36</v>
      </c>
    </row>
    <row r="644" spans="1:3" ht="19.5">
      <c r="A644" s="1" t="s">
        <v>174</v>
      </c>
      <c r="B644" s="1">
        <v>102</v>
      </c>
      <c r="C644" s="1">
        <v>30</v>
      </c>
    </row>
    <row r="645" spans="1:3" ht="19.5">
      <c r="A645" s="1" t="s">
        <v>355</v>
      </c>
      <c r="B645" s="1">
        <v>102</v>
      </c>
      <c r="C645" s="1">
        <v>33</v>
      </c>
    </row>
    <row r="646" spans="1:3" ht="19.5">
      <c r="A646" s="1" t="s">
        <v>358</v>
      </c>
      <c r="B646" s="1">
        <v>102</v>
      </c>
      <c r="C646" s="1">
        <v>36</v>
      </c>
    </row>
    <row r="647" spans="1:3" ht="19.5">
      <c r="A647" s="1" t="s">
        <v>523</v>
      </c>
      <c r="B647" s="1">
        <v>102</v>
      </c>
      <c r="C647" s="1">
        <v>42</v>
      </c>
    </row>
    <row r="648" spans="1:3" ht="19.5">
      <c r="A648" s="1" t="s">
        <v>632</v>
      </c>
      <c r="B648" s="1">
        <v>102</v>
      </c>
      <c r="C648" s="1">
        <v>32</v>
      </c>
    </row>
    <row r="649" spans="1:3" ht="19.5">
      <c r="A649" s="1" t="s">
        <v>173</v>
      </c>
      <c r="B649" s="1">
        <v>101</v>
      </c>
      <c r="C649" s="1">
        <v>41</v>
      </c>
    </row>
    <row r="650" spans="1:3" ht="19.5">
      <c r="A650" s="1" t="s">
        <v>456</v>
      </c>
      <c r="B650" s="1">
        <v>101</v>
      </c>
      <c r="C650" s="1">
        <v>36</v>
      </c>
    </row>
    <row r="651" spans="1:3" ht="19.5">
      <c r="A651" s="1" t="s">
        <v>176</v>
      </c>
      <c r="B651" s="1">
        <v>100</v>
      </c>
      <c r="C651" s="1">
        <v>53</v>
      </c>
    </row>
    <row r="652" spans="1:3" ht="19.5">
      <c r="A652" s="1" t="s">
        <v>351</v>
      </c>
      <c r="B652" s="1">
        <v>100</v>
      </c>
      <c r="C652" s="1">
        <v>35</v>
      </c>
    </row>
    <row r="653" spans="1:3" ht="19.5">
      <c r="A653" s="1" t="s">
        <v>369</v>
      </c>
      <c r="B653" s="1">
        <v>100</v>
      </c>
      <c r="C653" s="1">
        <v>36</v>
      </c>
    </row>
    <row r="654" spans="1:3" ht="19.5">
      <c r="A654" s="1" t="s">
        <v>506</v>
      </c>
      <c r="B654" s="1">
        <v>100</v>
      </c>
      <c r="C654" s="1">
        <v>36</v>
      </c>
    </row>
    <row r="655" spans="1:3" ht="19.5">
      <c r="A655" s="1" t="s">
        <v>687</v>
      </c>
      <c r="B655" s="1">
        <v>100</v>
      </c>
      <c r="C655" s="1">
        <v>33</v>
      </c>
    </row>
    <row r="656" spans="1:3" ht="19.5">
      <c r="A656" s="1" t="s">
        <v>271</v>
      </c>
      <c r="B656" s="1">
        <v>99</v>
      </c>
      <c r="C656" s="1">
        <v>41</v>
      </c>
    </row>
    <row r="657" spans="1:3" ht="19.5">
      <c r="A657" s="1" t="s">
        <v>391</v>
      </c>
      <c r="B657" s="1">
        <v>99</v>
      </c>
      <c r="C657" s="1">
        <v>53</v>
      </c>
    </row>
    <row r="658" spans="1:3" ht="19.5">
      <c r="A658" s="1" t="s">
        <v>504</v>
      </c>
      <c r="B658" s="1">
        <v>99</v>
      </c>
      <c r="C658" s="1">
        <v>32</v>
      </c>
    </row>
    <row r="659" spans="1:3" ht="19.5">
      <c r="A659" s="1" t="s">
        <v>61</v>
      </c>
      <c r="B659" s="1">
        <v>97</v>
      </c>
      <c r="C659" s="1">
        <v>40</v>
      </c>
    </row>
    <row r="660" spans="1:3" ht="19.5">
      <c r="A660" s="1" t="s">
        <v>169</v>
      </c>
      <c r="B660" s="1">
        <v>97</v>
      </c>
      <c r="C660" s="1">
        <v>39</v>
      </c>
    </row>
    <row r="661" spans="1:3" ht="19.5">
      <c r="A661" s="1" t="s">
        <v>362</v>
      </c>
      <c r="B661" s="1">
        <v>97</v>
      </c>
      <c r="C661" s="1">
        <v>43</v>
      </c>
    </row>
    <row r="662" spans="1:3" ht="19.5">
      <c r="A662" s="1" t="s">
        <v>399</v>
      </c>
      <c r="B662" s="1">
        <v>97</v>
      </c>
      <c r="C662" s="1">
        <v>34</v>
      </c>
    </row>
    <row r="663" spans="1:3" ht="19.5">
      <c r="A663" s="1" t="s">
        <v>651</v>
      </c>
      <c r="B663" s="1">
        <v>96</v>
      </c>
      <c r="C663" s="1">
        <v>34</v>
      </c>
    </row>
    <row r="664" spans="1:3" ht="19.5">
      <c r="A664" s="1" t="s">
        <v>380</v>
      </c>
      <c r="B664" s="1">
        <v>94</v>
      </c>
      <c r="C664" s="1">
        <v>44</v>
      </c>
    </row>
    <row r="665" spans="1:3" ht="19.5">
      <c r="A665" s="1" t="s">
        <v>365</v>
      </c>
      <c r="B665" s="1">
        <v>92</v>
      </c>
      <c r="C665" s="1">
        <v>37</v>
      </c>
    </row>
    <row r="666" spans="1:3" ht="19.5">
      <c r="A666" s="1" t="s">
        <v>559</v>
      </c>
      <c r="B666" s="1">
        <v>90</v>
      </c>
      <c r="C666" s="1">
        <v>50</v>
      </c>
    </row>
    <row r="667" spans="1:3" ht="19.5">
      <c r="A667" s="1" t="s">
        <v>230</v>
      </c>
      <c r="B667" s="1">
        <v>89</v>
      </c>
      <c r="C667" s="1">
        <v>37</v>
      </c>
    </row>
    <row r="668" spans="1:3" ht="19.5">
      <c r="A668" s="1" t="s">
        <v>241</v>
      </c>
      <c r="B668" s="1">
        <v>89</v>
      </c>
      <c r="C668" s="1">
        <v>50</v>
      </c>
    </row>
    <row r="669" spans="1:3" ht="19.5">
      <c r="A669" s="1" t="s">
        <v>586</v>
      </c>
      <c r="B669" s="1">
        <v>86</v>
      </c>
      <c r="C669" s="1">
        <v>41</v>
      </c>
    </row>
    <row r="670" spans="1:3" ht="19.5">
      <c r="A670" s="1" t="s">
        <v>202</v>
      </c>
      <c r="B670" s="1">
        <v>84</v>
      </c>
      <c r="C670" s="1">
        <v>43</v>
      </c>
    </row>
    <row r="671" spans="1:3" ht="19.5">
      <c r="A671" s="1" t="s">
        <v>563</v>
      </c>
      <c r="B671" s="1">
        <v>84</v>
      </c>
      <c r="C671" s="1">
        <v>50</v>
      </c>
    </row>
    <row r="672" spans="1:3" ht="19.5">
      <c r="A672" s="1" t="s">
        <v>638</v>
      </c>
      <c r="B672" s="1">
        <v>81</v>
      </c>
      <c r="C672" s="1">
        <v>47</v>
      </c>
    </row>
    <row r="673" spans="1:3" ht="19.5">
      <c r="A673" s="1" t="s">
        <v>662</v>
      </c>
      <c r="B673" s="1">
        <v>80</v>
      </c>
      <c r="C673" s="1">
        <v>57</v>
      </c>
    </row>
    <row r="674" spans="1:3" ht="19.5">
      <c r="A674" s="1" t="s">
        <v>477</v>
      </c>
      <c r="B674" s="1">
        <v>79</v>
      </c>
      <c r="C674" s="1">
        <v>51</v>
      </c>
    </row>
    <row r="675" spans="1:3" ht="19.5">
      <c r="A675" s="1" t="s">
        <v>471</v>
      </c>
      <c r="B675" s="1">
        <v>78</v>
      </c>
      <c r="C675" s="1">
        <v>45</v>
      </c>
    </row>
    <row r="676" spans="1:3" ht="19.5">
      <c r="A676" s="1" t="s">
        <v>320</v>
      </c>
      <c r="B676" s="1">
        <v>76</v>
      </c>
      <c r="C676" s="1">
        <v>46</v>
      </c>
    </row>
    <row r="677" spans="1:3" ht="19.5">
      <c r="A677" s="1" t="s">
        <v>521</v>
      </c>
      <c r="B677" s="1">
        <v>76</v>
      </c>
      <c r="C677" s="1">
        <v>47</v>
      </c>
    </row>
    <row r="678" spans="1:3" ht="19.5">
      <c r="A678" s="1" t="s">
        <v>175</v>
      </c>
      <c r="B678" s="1">
        <v>72</v>
      </c>
      <c r="C678" s="1">
        <v>50</v>
      </c>
    </row>
    <row r="679" spans="1:3" ht="19.5">
      <c r="A679" s="1" t="s">
        <v>462</v>
      </c>
      <c r="B679" s="1">
        <v>61</v>
      </c>
      <c r="C679" s="1">
        <v>61</v>
      </c>
    </row>
    <row r="680" spans="1:3" ht="19.5">
      <c r="A680" s="1" t="s">
        <v>672</v>
      </c>
      <c r="B680" s="1">
        <v>59</v>
      </c>
      <c r="C680" s="1">
        <v>56</v>
      </c>
    </row>
    <row r="681" spans="1:3" ht="19.5">
      <c r="A681" s="1" t="s">
        <v>243</v>
      </c>
      <c r="B681" s="1">
        <v>0</v>
      </c>
      <c r="C681" s="1">
        <v>22</v>
      </c>
    </row>
    <row r="682" spans="1:3" ht="19.5">
      <c r="A682" s="1" t="s">
        <v>306</v>
      </c>
      <c r="B682" s="1">
        <v>0</v>
      </c>
      <c r="C682" s="1">
        <v>30</v>
      </c>
    </row>
    <row r="683" spans="1:3" ht="19.5">
      <c r="A683" s="1" t="s">
        <v>435</v>
      </c>
      <c r="B683" s="1">
        <v>0</v>
      </c>
      <c r="C683" s="1">
        <v>20</v>
      </c>
    </row>
  </sheetData>
  <autoFilter ref="A1:C1" xr:uid="{70ADFFAD-6C0B-4611-849B-129200D1717A}">
    <sortState xmlns:xlrd2="http://schemas.microsoft.com/office/spreadsheetml/2017/richdata2" ref="A2:C683">
      <sortCondition descending="1" ref="B1"/>
    </sortState>
  </autoFilter>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C4E76-5495-4AB4-9BBA-22454909E57A}">
  <dimension ref="A1:G683"/>
  <sheetViews>
    <sheetView workbookViewId="0">
      <selection activeCell="F4" sqref="F4"/>
    </sheetView>
  </sheetViews>
  <sheetFormatPr defaultColWidth="12.25" defaultRowHeight="18.75"/>
  <cols>
    <col min="1" max="1" width="10.125" style="10" bestFit="1" customWidth="1"/>
    <col min="2" max="2" width="15.5" style="10" bestFit="1" customWidth="1"/>
    <col min="3" max="4" width="12.25" style="10"/>
    <col min="5" max="5" width="15.5" style="10" bestFit="1" customWidth="1"/>
    <col min="6" max="6" width="18.25" style="10" bestFit="1" customWidth="1"/>
    <col min="7" max="7" width="20" style="10" bestFit="1" customWidth="1"/>
    <col min="8" max="8" width="16.625" style="10" customWidth="1"/>
    <col min="9" max="9" width="15.5" style="10" bestFit="1" customWidth="1"/>
    <col min="10" max="10" width="18.25" style="10" bestFit="1" customWidth="1"/>
    <col min="11" max="11" width="22.25" style="10" bestFit="1" customWidth="1"/>
    <col min="12" max="16384" width="12.25" style="10"/>
  </cols>
  <sheetData>
    <row r="1" spans="1:6">
      <c r="A1" s="10" t="s">
        <v>3</v>
      </c>
      <c r="B1" s="10" t="s">
        <v>4</v>
      </c>
      <c r="C1" s="10" t="s">
        <v>10</v>
      </c>
    </row>
    <row r="2" spans="1:6">
      <c r="A2" s="10" t="s">
        <v>11</v>
      </c>
      <c r="B2" s="10" t="s">
        <v>12</v>
      </c>
      <c r="C2" s="10">
        <v>22</v>
      </c>
      <c r="E2" s="10" t="s">
        <v>761</v>
      </c>
    </row>
    <row r="3" spans="1:6">
      <c r="A3" s="10" t="s">
        <v>14</v>
      </c>
      <c r="B3" s="10" t="s">
        <v>12</v>
      </c>
      <c r="C3" s="10">
        <v>49</v>
      </c>
    </row>
    <row r="4" spans="1:6">
      <c r="A4" s="10" t="s">
        <v>15</v>
      </c>
      <c r="B4" s="10" t="s">
        <v>12</v>
      </c>
      <c r="C4" s="10">
        <v>19</v>
      </c>
      <c r="E4" s="10" t="s">
        <v>4</v>
      </c>
      <c r="F4" s="10" t="s">
        <v>744</v>
      </c>
    </row>
    <row r="5" spans="1:6">
      <c r="A5" s="10" t="s">
        <v>17</v>
      </c>
      <c r="B5" s="10" t="s">
        <v>12</v>
      </c>
      <c r="C5" s="10">
        <v>14</v>
      </c>
      <c r="E5" s="10" t="s">
        <v>734</v>
      </c>
      <c r="F5" s="14">
        <v>33.130434782608695</v>
      </c>
    </row>
    <row r="6" spans="1:6">
      <c r="A6" s="10" t="s">
        <v>18</v>
      </c>
      <c r="B6" s="10" t="s">
        <v>12</v>
      </c>
      <c r="C6" s="10">
        <v>19</v>
      </c>
      <c r="E6" s="10" t="s">
        <v>42</v>
      </c>
      <c r="F6" s="14">
        <v>30.829629629629629</v>
      </c>
    </row>
    <row r="7" spans="1:6">
      <c r="A7" s="10" t="s">
        <v>19</v>
      </c>
      <c r="B7" s="10" t="s">
        <v>12</v>
      </c>
      <c r="C7" s="10">
        <v>25</v>
      </c>
      <c r="E7" s="10" t="s">
        <v>39</v>
      </c>
      <c r="F7" s="14">
        <v>28.073529411764707</v>
      </c>
    </row>
    <row r="8" spans="1:6">
      <c r="A8" s="10" t="s">
        <v>21</v>
      </c>
      <c r="B8" s="10" t="s">
        <v>12</v>
      </c>
      <c r="C8" s="10">
        <v>27</v>
      </c>
      <c r="E8" s="10" t="s">
        <v>737</v>
      </c>
      <c r="F8" s="14">
        <v>27.277777777777779</v>
      </c>
    </row>
    <row r="9" spans="1:6">
      <c r="A9" s="10" t="s">
        <v>22</v>
      </c>
      <c r="B9" s="10" t="s">
        <v>12</v>
      </c>
      <c r="C9" s="10">
        <v>51</v>
      </c>
      <c r="E9" s="10" t="s">
        <v>739</v>
      </c>
      <c r="F9" s="14">
        <v>27.267857142857142</v>
      </c>
    </row>
    <row r="10" spans="1:6">
      <c r="A10" s="10" t="s">
        <v>23</v>
      </c>
      <c r="B10" s="10" t="s">
        <v>12</v>
      </c>
      <c r="C10" s="10">
        <v>33</v>
      </c>
      <c r="E10" s="10" t="s">
        <v>735</v>
      </c>
      <c r="F10" s="14">
        <v>26.266666666666666</v>
      </c>
    </row>
    <row r="11" spans="1:6">
      <c r="A11" s="10" t="s">
        <v>24</v>
      </c>
      <c r="B11" s="10" t="s">
        <v>12</v>
      </c>
      <c r="C11" s="10">
        <v>14</v>
      </c>
      <c r="E11" s="10" t="s">
        <v>740</v>
      </c>
      <c r="F11" s="14">
        <v>26.238805970149254</v>
      </c>
    </row>
    <row r="12" spans="1:6">
      <c r="A12" s="10" t="s">
        <v>25</v>
      </c>
      <c r="B12" s="10" t="s">
        <v>12</v>
      </c>
      <c r="C12" s="10">
        <v>25</v>
      </c>
      <c r="E12" s="10" t="s">
        <v>628</v>
      </c>
      <c r="F12" s="14">
        <v>25.777777777777779</v>
      </c>
    </row>
    <row r="13" spans="1:6">
      <c r="A13" s="10" t="s">
        <v>26</v>
      </c>
      <c r="B13" s="10" t="s">
        <v>12</v>
      </c>
      <c r="C13" s="10">
        <v>34</v>
      </c>
      <c r="E13" s="10" t="s">
        <v>37</v>
      </c>
      <c r="F13" s="14">
        <v>25.359550561797754</v>
      </c>
    </row>
    <row r="14" spans="1:6">
      <c r="A14" s="10" t="s">
        <v>27</v>
      </c>
      <c r="B14" s="10" t="s">
        <v>12</v>
      </c>
      <c r="C14" s="10">
        <v>21</v>
      </c>
      <c r="E14" s="10" t="s">
        <v>736</v>
      </c>
      <c r="F14" s="14">
        <v>25.258064516129032</v>
      </c>
    </row>
    <row r="15" spans="1:6">
      <c r="A15" s="10" t="s">
        <v>28</v>
      </c>
      <c r="B15" s="10" t="s">
        <v>12</v>
      </c>
      <c r="C15" s="10">
        <v>26</v>
      </c>
      <c r="E15" s="10" t="s">
        <v>738</v>
      </c>
      <c r="F15" s="14">
        <v>23.142857142857142</v>
      </c>
    </row>
    <row r="16" spans="1:6">
      <c r="A16" s="10" t="s">
        <v>29</v>
      </c>
      <c r="B16" s="10" t="s">
        <v>12</v>
      </c>
      <c r="C16" s="10">
        <v>15</v>
      </c>
    </row>
    <row r="17" spans="1:6">
      <c r="A17" s="10" t="s">
        <v>30</v>
      </c>
      <c r="B17" s="10" t="s">
        <v>31</v>
      </c>
      <c r="C17" s="10">
        <v>18</v>
      </c>
    </row>
    <row r="18" spans="1:6">
      <c r="A18" s="10" t="s">
        <v>33</v>
      </c>
      <c r="B18" s="10" t="s">
        <v>34</v>
      </c>
      <c r="C18" s="10">
        <v>26</v>
      </c>
      <c r="F18" s="14"/>
    </row>
    <row r="19" spans="1:6">
      <c r="A19" s="10" t="s">
        <v>35</v>
      </c>
      <c r="B19" s="10" t="s">
        <v>34</v>
      </c>
      <c r="C19" s="10">
        <v>23</v>
      </c>
      <c r="F19" s="14"/>
    </row>
    <row r="20" spans="1:6">
      <c r="A20" s="10" t="s">
        <v>36</v>
      </c>
      <c r="B20" s="10" t="s">
        <v>37</v>
      </c>
      <c r="C20" s="10">
        <v>21</v>
      </c>
      <c r="F20" s="14"/>
    </row>
    <row r="21" spans="1:6">
      <c r="A21" s="10" t="s">
        <v>38</v>
      </c>
      <c r="B21" s="10" t="s">
        <v>39</v>
      </c>
      <c r="C21" s="10">
        <v>36</v>
      </c>
      <c r="F21" s="14"/>
    </row>
    <row r="22" spans="1:6">
      <c r="A22" s="10" t="s">
        <v>40</v>
      </c>
      <c r="B22" s="10" t="s">
        <v>39</v>
      </c>
      <c r="C22" s="10">
        <v>24</v>
      </c>
      <c r="F22" s="14"/>
    </row>
    <row r="23" spans="1:6">
      <c r="A23" s="10" t="s">
        <v>41</v>
      </c>
      <c r="B23" s="10" t="s">
        <v>42</v>
      </c>
      <c r="C23" s="10">
        <v>35</v>
      </c>
      <c r="F23" s="14"/>
    </row>
    <row r="24" spans="1:6">
      <c r="A24" s="10" t="s">
        <v>43</v>
      </c>
      <c r="B24" s="10" t="s">
        <v>31</v>
      </c>
      <c r="C24" s="10">
        <v>18</v>
      </c>
      <c r="F24" s="14"/>
    </row>
    <row r="25" spans="1:6">
      <c r="A25" s="10" t="s">
        <v>44</v>
      </c>
      <c r="B25" s="10" t="s">
        <v>34</v>
      </c>
      <c r="C25" s="10">
        <v>25</v>
      </c>
      <c r="F25" s="14"/>
    </row>
    <row r="26" spans="1:6">
      <c r="A26" s="10" t="s">
        <v>45</v>
      </c>
      <c r="B26" s="10" t="s">
        <v>37</v>
      </c>
      <c r="C26" s="10">
        <v>31</v>
      </c>
      <c r="F26" s="14"/>
    </row>
    <row r="27" spans="1:6">
      <c r="A27" s="10" t="s">
        <v>46</v>
      </c>
      <c r="C27" s="10">
        <v>33</v>
      </c>
      <c r="F27" s="14"/>
    </row>
    <row r="28" spans="1:6">
      <c r="A28" s="10" t="s">
        <v>47</v>
      </c>
      <c r="B28" s="10" t="s">
        <v>34</v>
      </c>
      <c r="C28" s="10">
        <v>15</v>
      </c>
      <c r="F28" s="14"/>
    </row>
    <row r="29" spans="1:6">
      <c r="A29" s="10" t="s">
        <v>48</v>
      </c>
      <c r="B29" s="10" t="s">
        <v>37</v>
      </c>
      <c r="C29" s="10">
        <v>24</v>
      </c>
    </row>
    <row r="30" spans="1:6">
      <c r="A30" s="10" t="s">
        <v>49</v>
      </c>
      <c r="B30" s="10" t="s">
        <v>50</v>
      </c>
      <c r="C30" s="10">
        <v>26</v>
      </c>
    </row>
    <row r="31" spans="1:6">
      <c r="A31" s="10" t="s">
        <v>51</v>
      </c>
      <c r="B31" s="10" t="s">
        <v>39</v>
      </c>
      <c r="C31" s="10">
        <v>25</v>
      </c>
    </row>
    <row r="32" spans="1:6">
      <c r="A32" s="10" t="s">
        <v>52</v>
      </c>
      <c r="B32" s="10" t="s">
        <v>39</v>
      </c>
      <c r="C32" s="10">
        <v>30</v>
      </c>
    </row>
    <row r="33" spans="1:7">
      <c r="A33" s="10" t="s">
        <v>53</v>
      </c>
      <c r="B33" s="10" t="s">
        <v>42</v>
      </c>
      <c r="C33" s="10">
        <v>37</v>
      </c>
    </row>
    <row r="34" spans="1:7">
      <c r="A34" s="10" t="s">
        <v>54</v>
      </c>
      <c r="B34" s="10" t="s">
        <v>42</v>
      </c>
      <c r="C34" s="10">
        <v>38</v>
      </c>
      <c r="F34" s="14"/>
      <c r="G34" s="14"/>
    </row>
    <row r="35" spans="1:7">
      <c r="A35" s="10" t="s">
        <v>55</v>
      </c>
      <c r="B35" s="10" t="s">
        <v>31</v>
      </c>
      <c r="C35" s="10">
        <v>25</v>
      </c>
      <c r="F35" s="14"/>
      <c r="G35" s="14"/>
    </row>
    <row r="36" spans="1:7">
      <c r="A36" s="10" t="s">
        <v>56</v>
      </c>
      <c r="B36" s="10" t="s">
        <v>34</v>
      </c>
      <c r="C36" s="10">
        <v>17</v>
      </c>
      <c r="F36" s="14"/>
      <c r="G36" s="14"/>
    </row>
    <row r="37" spans="1:7">
      <c r="A37" s="10" t="s">
        <v>57</v>
      </c>
      <c r="B37" s="10" t="s">
        <v>34</v>
      </c>
      <c r="C37" s="10">
        <v>30</v>
      </c>
      <c r="F37" s="14"/>
      <c r="G37" s="14"/>
    </row>
    <row r="38" spans="1:7">
      <c r="A38" s="10" t="s">
        <v>58</v>
      </c>
      <c r="B38" s="10" t="s">
        <v>37</v>
      </c>
      <c r="C38" s="10">
        <v>25</v>
      </c>
      <c r="F38" s="14"/>
      <c r="G38" s="14"/>
    </row>
    <row r="39" spans="1:7">
      <c r="A39" s="10" t="s">
        <v>59</v>
      </c>
      <c r="B39" s="10" t="s">
        <v>39</v>
      </c>
      <c r="C39" s="10">
        <v>24</v>
      </c>
      <c r="F39" s="14"/>
      <c r="G39" s="14"/>
    </row>
    <row r="40" spans="1:7">
      <c r="A40" s="10" t="s">
        <v>60</v>
      </c>
      <c r="B40" s="10" t="s">
        <v>39</v>
      </c>
      <c r="C40" s="10">
        <v>36</v>
      </c>
      <c r="F40" s="14"/>
      <c r="G40" s="14"/>
    </row>
    <row r="41" spans="1:7">
      <c r="A41" s="10" t="s">
        <v>61</v>
      </c>
      <c r="B41" s="10" t="s">
        <v>42</v>
      </c>
      <c r="C41" s="10">
        <v>40</v>
      </c>
      <c r="F41" s="14"/>
      <c r="G41" s="14"/>
    </row>
    <row r="42" spans="1:7">
      <c r="A42" s="10" t="s">
        <v>62</v>
      </c>
      <c r="B42" s="10" t="s">
        <v>31</v>
      </c>
      <c r="C42" s="10">
        <v>37</v>
      </c>
      <c r="F42" s="14"/>
      <c r="G42" s="14"/>
    </row>
    <row r="43" spans="1:7">
      <c r="A43" s="10" t="s">
        <v>63</v>
      </c>
      <c r="B43" s="10" t="s">
        <v>34</v>
      </c>
      <c r="C43" s="10">
        <v>39</v>
      </c>
      <c r="F43" s="14"/>
      <c r="G43" s="14"/>
    </row>
    <row r="44" spans="1:7">
      <c r="A44" s="10" t="s">
        <v>64</v>
      </c>
      <c r="B44" s="10" t="s">
        <v>37</v>
      </c>
      <c r="C44" s="10">
        <v>19</v>
      </c>
      <c r="F44" s="14"/>
      <c r="G44" s="14"/>
    </row>
    <row r="45" spans="1:7">
      <c r="A45" s="10" t="s">
        <v>65</v>
      </c>
      <c r="B45" s="10" t="s">
        <v>39</v>
      </c>
      <c r="C45" s="10">
        <v>19</v>
      </c>
    </row>
    <row r="46" spans="1:7">
      <c r="A46" s="10" t="s">
        <v>66</v>
      </c>
      <c r="B46" s="10" t="s">
        <v>31</v>
      </c>
      <c r="C46" s="10">
        <v>33</v>
      </c>
    </row>
    <row r="47" spans="1:7">
      <c r="A47" s="10" t="s">
        <v>67</v>
      </c>
      <c r="B47" s="10" t="s">
        <v>37</v>
      </c>
      <c r="C47" s="10">
        <v>33</v>
      </c>
    </row>
    <row r="48" spans="1:7">
      <c r="A48" s="10" t="s">
        <v>68</v>
      </c>
      <c r="B48" s="10" t="s">
        <v>39</v>
      </c>
      <c r="C48" s="10">
        <v>27</v>
      </c>
    </row>
    <row r="49" spans="1:3">
      <c r="A49" s="10" t="s">
        <v>69</v>
      </c>
      <c r="B49" s="10" t="s">
        <v>42</v>
      </c>
      <c r="C49" s="10">
        <v>23</v>
      </c>
    </row>
    <row r="50" spans="1:3">
      <c r="A50" s="10" t="s">
        <v>70</v>
      </c>
      <c r="B50" s="10" t="s">
        <v>31</v>
      </c>
      <c r="C50" s="10">
        <v>27</v>
      </c>
    </row>
    <row r="51" spans="1:3">
      <c r="A51" s="10" t="s">
        <v>71</v>
      </c>
      <c r="B51" s="10" t="s">
        <v>34</v>
      </c>
      <c r="C51" s="10">
        <v>30</v>
      </c>
    </row>
    <row r="52" spans="1:3">
      <c r="A52" s="10" t="s">
        <v>72</v>
      </c>
      <c r="B52" s="10" t="s">
        <v>39</v>
      </c>
      <c r="C52" s="10">
        <v>42</v>
      </c>
    </row>
    <row r="53" spans="1:3">
      <c r="A53" s="10" t="s">
        <v>73</v>
      </c>
      <c r="B53" s="10" t="s">
        <v>42</v>
      </c>
      <c r="C53" s="10">
        <v>28</v>
      </c>
    </row>
    <row r="54" spans="1:3">
      <c r="A54" s="10" t="s">
        <v>74</v>
      </c>
      <c r="B54" s="10" t="s">
        <v>31</v>
      </c>
      <c r="C54" s="10">
        <v>22</v>
      </c>
    </row>
    <row r="55" spans="1:3">
      <c r="A55" s="10" t="s">
        <v>75</v>
      </c>
      <c r="B55" s="10" t="s">
        <v>34</v>
      </c>
      <c r="C55" s="10">
        <v>29</v>
      </c>
    </row>
    <row r="56" spans="1:3">
      <c r="A56" s="10" t="s">
        <v>76</v>
      </c>
      <c r="B56" s="10" t="s">
        <v>39</v>
      </c>
      <c r="C56" s="10">
        <v>33</v>
      </c>
    </row>
    <row r="57" spans="1:3">
      <c r="A57" s="10" t="s">
        <v>77</v>
      </c>
      <c r="B57" s="10" t="s">
        <v>34</v>
      </c>
      <c r="C57" s="10">
        <v>16</v>
      </c>
    </row>
    <row r="58" spans="1:3">
      <c r="A58" s="10" t="s">
        <v>78</v>
      </c>
      <c r="B58" s="10" t="s">
        <v>37</v>
      </c>
      <c r="C58" s="10">
        <v>35</v>
      </c>
    </row>
    <row r="59" spans="1:3">
      <c r="A59" s="10" t="s">
        <v>79</v>
      </c>
      <c r="B59" s="10" t="s">
        <v>39</v>
      </c>
      <c r="C59" s="10">
        <v>24</v>
      </c>
    </row>
    <row r="60" spans="1:3">
      <c r="A60" s="10" t="s">
        <v>80</v>
      </c>
      <c r="B60" s="10" t="s">
        <v>39</v>
      </c>
      <c r="C60" s="10">
        <v>31</v>
      </c>
    </row>
    <row r="61" spans="1:3">
      <c r="A61" s="10" t="s">
        <v>81</v>
      </c>
      <c r="B61" s="10" t="s">
        <v>42</v>
      </c>
      <c r="C61" s="10">
        <v>38</v>
      </c>
    </row>
    <row r="62" spans="1:3">
      <c r="A62" s="10" t="s">
        <v>82</v>
      </c>
      <c r="B62" s="10" t="s">
        <v>42</v>
      </c>
      <c r="C62" s="10">
        <v>26</v>
      </c>
    </row>
    <row r="63" spans="1:3">
      <c r="A63" s="10" t="s">
        <v>83</v>
      </c>
      <c r="B63" s="10" t="s">
        <v>31</v>
      </c>
      <c r="C63" s="10">
        <v>16</v>
      </c>
    </row>
    <row r="64" spans="1:3">
      <c r="A64" s="10" t="s">
        <v>84</v>
      </c>
      <c r="B64" s="10" t="s">
        <v>34</v>
      </c>
      <c r="C64" s="10">
        <v>18</v>
      </c>
    </row>
    <row r="65" spans="1:3">
      <c r="A65" s="10" t="s">
        <v>85</v>
      </c>
      <c r="B65" s="10" t="s">
        <v>39</v>
      </c>
      <c r="C65" s="10">
        <v>21</v>
      </c>
    </row>
    <row r="66" spans="1:3">
      <c r="A66" s="10" t="s">
        <v>86</v>
      </c>
      <c r="B66" s="10" t="s">
        <v>42</v>
      </c>
      <c r="C66" s="10">
        <v>19</v>
      </c>
    </row>
    <row r="67" spans="1:3">
      <c r="A67" s="10" t="s">
        <v>87</v>
      </c>
      <c r="B67" s="10" t="s">
        <v>31</v>
      </c>
      <c r="C67" s="10">
        <v>32</v>
      </c>
    </row>
    <row r="68" spans="1:3">
      <c r="A68" s="10" t="s">
        <v>88</v>
      </c>
      <c r="B68" s="10" t="s">
        <v>34</v>
      </c>
      <c r="C68" s="10">
        <v>28</v>
      </c>
    </row>
    <row r="69" spans="1:3">
      <c r="A69" s="10" t="s">
        <v>89</v>
      </c>
      <c r="B69" s="10" t="s">
        <v>37</v>
      </c>
      <c r="C69" s="10">
        <v>46</v>
      </c>
    </row>
    <row r="70" spans="1:3">
      <c r="A70" s="10" t="s">
        <v>90</v>
      </c>
      <c r="B70" s="10" t="s">
        <v>37</v>
      </c>
      <c r="C70" s="10">
        <v>22</v>
      </c>
    </row>
    <row r="71" spans="1:3">
      <c r="A71" s="10" t="s">
        <v>91</v>
      </c>
      <c r="B71" s="10" t="s">
        <v>37</v>
      </c>
      <c r="C71" s="10">
        <v>16</v>
      </c>
    </row>
    <row r="72" spans="1:3">
      <c r="A72" s="10" t="s">
        <v>92</v>
      </c>
      <c r="B72" s="10" t="s">
        <v>39</v>
      </c>
      <c r="C72" s="10">
        <v>26</v>
      </c>
    </row>
    <row r="73" spans="1:3">
      <c r="A73" s="10" t="s">
        <v>93</v>
      </c>
      <c r="B73" s="10" t="s">
        <v>39</v>
      </c>
      <c r="C73" s="10">
        <v>37</v>
      </c>
    </row>
    <row r="74" spans="1:3">
      <c r="A74" s="10" t="s">
        <v>94</v>
      </c>
      <c r="B74" s="10" t="s">
        <v>37</v>
      </c>
      <c r="C74" s="10">
        <v>32</v>
      </c>
    </row>
    <row r="75" spans="1:3">
      <c r="A75" s="10" t="s">
        <v>95</v>
      </c>
      <c r="B75" s="10" t="s">
        <v>39</v>
      </c>
      <c r="C75" s="10">
        <v>46</v>
      </c>
    </row>
    <row r="76" spans="1:3">
      <c r="A76" s="10" t="s">
        <v>96</v>
      </c>
      <c r="B76" s="10" t="s">
        <v>39</v>
      </c>
      <c r="C76" s="10">
        <v>20</v>
      </c>
    </row>
    <row r="77" spans="1:3">
      <c r="A77" s="10" t="s">
        <v>97</v>
      </c>
      <c r="B77" s="10" t="s">
        <v>42</v>
      </c>
      <c r="C77" s="10">
        <v>45</v>
      </c>
    </row>
    <row r="78" spans="1:3">
      <c r="A78" s="10" t="s">
        <v>98</v>
      </c>
      <c r="B78" s="10" t="s">
        <v>31</v>
      </c>
      <c r="C78" s="10">
        <v>34</v>
      </c>
    </row>
    <row r="79" spans="1:3">
      <c r="A79" s="10" t="s">
        <v>99</v>
      </c>
      <c r="B79" s="10" t="s">
        <v>37</v>
      </c>
      <c r="C79" s="10">
        <v>30</v>
      </c>
    </row>
    <row r="80" spans="1:3">
      <c r="A80" s="10" t="s">
        <v>100</v>
      </c>
      <c r="B80" s="10" t="s">
        <v>42</v>
      </c>
      <c r="C80" s="10">
        <v>19</v>
      </c>
    </row>
    <row r="81" spans="1:3">
      <c r="A81" s="10" t="s">
        <v>101</v>
      </c>
      <c r="B81" s="10" t="s">
        <v>37</v>
      </c>
      <c r="C81" s="10">
        <v>24</v>
      </c>
    </row>
    <row r="82" spans="1:3">
      <c r="A82" s="10" t="s">
        <v>102</v>
      </c>
      <c r="B82" s="10" t="s">
        <v>39</v>
      </c>
      <c r="C82" s="10">
        <v>11</v>
      </c>
    </row>
    <row r="83" spans="1:3">
      <c r="A83" s="10" t="s">
        <v>103</v>
      </c>
      <c r="B83" s="10" t="s">
        <v>39</v>
      </c>
      <c r="C83" s="10">
        <v>33</v>
      </c>
    </row>
    <row r="84" spans="1:3">
      <c r="A84" s="10" t="s">
        <v>104</v>
      </c>
      <c r="B84" s="10" t="s">
        <v>42</v>
      </c>
      <c r="C84" s="10">
        <v>21</v>
      </c>
    </row>
    <row r="85" spans="1:3">
      <c r="A85" s="10" t="s">
        <v>105</v>
      </c>
      <c r="B85" s="10" t="s">
        <v>39</v>
      </c>
      <c r="C85" s="10">
        <v>42</v>
      </c>
    </row>
    <row r="86" spans="1:3">
      <c r="A86" s="10" t="s">
        <v>106</v>
      </c>
      <c r="B86" s="10" t="s">
        <v>31</v>
      </c>
      <c r="C86" s="10">
        <v>27</v>
      </c>
    </row>
    <row r="87" spans="1:3">
      <c r="A87" s="10" t="s">
        <v>107</v>
      </c>
      <c r="B87" s="10" t="s">
        <v>37</v>
      </c>
      <c r="C87" s="10">
        <v>27</v>
      </c>
    </row>
    <row r="88" spans="1:3">
      <c r="A88" s="10" t="s">
        <v>108</v>
      </c>
      <c r="B88" s="10" t="s">
        <v>37</v>
      </c>
      <c r="C88" s="10">
        <v>18</v>
      </c>
    </row>
    <row r="89" spans="1:3">
      <c r="A89" s="10" t="s">
        <v>109</v>
      </c>
      <c r="B89" s="10" t="s">
        <v>39</v>
      </c>
      <c r="C89" s="10">
        <v>30</v>
      </c>
    </row>
    <row r="90" spans="1:3">
      <c r="A90" s="10" t="s">
        <v>110</v>
      </c>
      <c r="B90" s="10" t="s">
        <v>31</v>
      </c>
      <c r="C90" s="10">
        <v>18</v>
      </c>
    </row>
    <row r="91" spans="1:3">
      <c r="A91" s="10" t="s">
        <v>111</v>
      </c>
      <c r="B91" s="10" t="s">
        <v>34</v>
      </c>
      <c r="C91" s="10">
        <v>20</v>
      </c>
    </row>
    <row r="92" spans="1:3">
      <c r="A92" s="10" t="s">
        <v>112</v>
      </c>
      <c r="B92" s="10" t="s">
        <v>34</v>
      </c>
      <c r="C92" s="10">
        <v>26</v>
      </c>
    </row>
    <row r="93" spans="1:3">
      <c r="A93" s="10" t="s">
        <v>113</v>
      </c>
      <c r="B93" s="10" t="s">
        <v>37</v>
      </c>
      <c r="C93" s="10">
        <v>19</v>
      </c>
    </row>
    <row r="94" spans="1:3">
      <c r="A94" s="10" t="s">
        <v>114</v>
      </c>
      <c r="B94" s="10" t="s">
        <v>42</v>
      </c>
      <c r="C94" s="10">
        <v>26</v>
      </c>
    </row>
    <row r="95" spans="1:3">
      <c r="A95" s="10" t="s">
        <v>115</v>
      </c>
      <c r="B95" s="10" t="s">
        <v>31</v>
      </c>
      <c r="C95" s="10">
        <v>23</v>
      </c>
    </row>
    <row r="96" spans="1:3">
      <c r="A96" s="10" t="s">
        <v>116</v>
      </c>
      <c r="B96" s="10" t="s">
        <v>34</v>
      </c>
      <c r="C96" s="10">
        <v>20</v>
      </c>
    </row>
    <row r="97" spans="1:3">
      <c r="A97" s="10" t="s">
        <v>117</v>
      </c>
      <c r="B97" s="10" t="s">
        <v>34</v>
      </c>
      <c r="C97" s="10">
        <v>17</v>
      </c>
    </row>
    <row r="98" spans="1:3">
      <c r="A98" s="10" t="s">
        <v>118</v>
      </c>
      <c r="B98" s="10" t="s">
        <v>37</v>
      </c>
      <c r="C98" s="10">
        <v>15</v>
      </c>
    </row>
    <row r="99" spans="1:3">
      <c r="A99" s="10" t="s">
        <v>119</v>
      </c>
      <c r="B99" s="10" t="s">
        <v>39</v>
      </c>
      <c r="C99" s="10">
        <v>39</v>
      </c>
    </row>
    <row r="100" spans="1:3">
      <c r="A100" s="10" t="s">
        <v>120</v>
      </c>
      <c r="B100" s="10" t="s">
        <v>31</v>
      </c>
      <c r="C100" s="10">
        <v>30</v>
      </c>
    </row>
    <row r="101" spans="1:3">
      <c r="A101" s="10" t="s">
        <v>121</v>
      </c>
      <c r="B101" s="10" t="s">
        <v>37</v>
      </c>
      <c r="C101" s="10">
        <v>37</v>
      </c>
    </row>
    <row r="102" spans="1:3">
      <c r="A102" s="10" t="s">
        <v>122</v>
      </c>
      <c r="C102" s="10">
        <v>31</v>
      </c>
    </row>
    <row r="103" spans="1:3">
      <c r="A103" s="10" t="s">
        <v>123</v>
      </c>
      <c r="B103" s="10" t="s">
        <v>39</v>
      </c>
      <c r="C103" s="10">
        <v>15</v>
      </c>
    </row>
    <row r="104" spans="1:3">
      <c r="A104" s="10" t="s">
        <v>124</v>
      </c>
      <c r="B104" s="10" t="s">
        <v>42</v>
      </c>
      <c r="C104" s="10">
        <v>33</v>
      </c>
    </row>
    <row r="105" spans="1:3">
      <c r="A105" s="10" t="s">
        <v>125</v>
      </c>
      <c r="B105" s="10" t="s">
        <v>37</v>
      </c>
      <c r="C105" s="10">
        <v>32</v>
      </c>
    </row>
    <row r="106" spans="1:3">
      <c r="A106" s="10" t="s">
        <v>126</v>
      </c>
      <c r="B106" s="10" t="s">
        <v>39</v>
      </c>
      <c r="C106" s="10">
        <v>33</v>
      </c>
    </row>
    <row r="107" spans="1:3">
      <c r="A107" s="10" t="s">
        <v>127</v>
      </c>
      <c r="B107" s="10" t="s">
        <v>37</v>
      </c>
      <c r="C107" s="10">
        <v>24</v>
      </c>
    </row>
    <row r="108" spans="1:3">
      <c r="A108" s="10" t="s">
        <v>128</v>
      </c>
      <c r="B108" s="10" t="s">
        <v>39</v>
      </c>
      <c r="C108" s="10">
        <v>25</v>
      </c>
    </row>
    <row r="109" spans="1:3">
      <c r="A109" s="10" t="s">
        <v>129</v>
      </c>
      <c r="B109" s="10" t="s">
        <v>39</v>
      </c>
      <c r="C109" s="10">
        <v>23</v>
      </c>
    </row>
    <row r="110" spans="1:3">
      <c r="A110" s="10" t="s">
        <v>130</v>
      </c>
      <c r="B110" s="10" t="s">
        <v>31</v>
      </c>
      <c r="C110" s="10">
        <v>27</v>
      </c>
    </row>
    <row r="111" spans="1:3">
      <c r="A111" s="10" t="s">
        <v>131</v>
      </c>
      <c r="B111" s="10" t="s">
        <v>34</v>
      </c>
      <c r="C111" s="10">
        <v>33</v>
      </c>
    </row>
    <row r="112" spans="1:3">
      <c r="A112" s="10" t="s">
        <v>132</v>
      </c>
      <c r="B112" s="10" t="s">
        <v>42</v>
      </c>
      <c r="C112" s="10">
        <v>11</v>
      </c>
    </row>
    <row r="113" spans="1:3">
      <c r="A113" s="10" t="s">
        <v>133</v>
      </c>
      <c r="B113" s="10" t="s">
        <v>31</v>
      </c>
      <c r="C113" s="10">
        <v>11</v>
      </c>
    </row>
    <row r="114" spans="1:3">
      <c r="A114" s="10" t="s">
        <v>134</v>
      </c>
      <c r="B114" s="10" t="s">
        <v>34</v>
      </c>
      <c r="C114" s="10">
        <v>29</v>
      </c>
    </row>
    <row r="115" spans="1:3">
      <c r="A115" s="10" t="s">
        <v>135</v>
      </c>
      <c r="B115" s="10" t="s">
        <v>34</v>
      </c>
      <c r="C115" s="10">
        <v>38</v>
      </c>
    </row>
    <row r="116" spans="1:3">
      <c r="A116" s="10" t="s">
        <v>136</v>
      </c>
      <c r="B116" s="10" t="s">
        <v>37</v>
      </c>
      <c r="C116" s="10">
        <v>26</v>
      </c>
    </row>
    <row r="117" spans="1:3">
      <c r="A117" s="10" t="s">
        <v>137</v>
      </c>
      <c r="B117" s="10" t="s">
        <v>39</v>
      </c>
      <c r="C117" s="10">
        <v>36</v>
      </c>
    </row>
    <row r="118" spans="1:3">
      <c r="A118" s="10" t="s">
        <v>138</v>
      </c>
      <c r="B118" s="10" t="s">
        <v>39</v>
      </c>
      <c r="C118" s="10">
        <v>32</v>
      </c>
    </row>
    <row r="119" spans="1:3">
      <c r="A119" s="10" t="s">
        <v>139</v>
      </c>
      <c r="B119" s="10" t="s">
        <v>42</v>
      </c>
      <c r="C119" s="10">
        <v>18</v>
      </c>
    </row>
    <row r="120" spans="1:3">
      <c r="A120" s="10" t="s">
        <v>140</v>
      </c>
      <c r="B120" s="10" t="s">
        <v>37</v>
      </c>
      <c r="C120" s="10">
        <v>21</v>
      </c>
    </row>
    <row r="121" spans="1:3">
      <c r="A121" s="10" t="s">
        <v>141</v>
      </c>
      <c r="B121" s="10" t="s">
        <v>39</v>
      </c>
      <c r="C121" s="10">
        <v>12</v>
      </c>
    </row>
    <row r="122" spans="1:3">
      <c r="A122" s="10" t="s">
        <v>142</v>
      </c>
      <c r="B122" s="10" t="s">
        <v>37</v>
      </c>
      <c r="C122" s="10">
        <v>12</v>
      </c>
    </row>
    <row r="123" spans="1:3">
      <c r="A123" s="10" t="s">
        <v>143</v>
      </c>
      <c r="B123" s="10" t="s">
        <v>39</v>
      </c>
      <c r="C123" s="10">
        <v>32</v>
      </c>
    </row>
    <row r="124" spans="1:3">
      <c r="A124" s="10" t="s">
        <v>144</v>
      </c>
      <c r="B124" s="10" t="s">
        <v>39</v>
      </c>
      <c r="C124" s="10">
        <v>23</v>
      </c>
    </row>
    <row r="125" spans="1:3">
      <c r="A125" s="10" t="s">
        <v>145</v>
      </c>
      <c r="B125" s="10" t="s">
        <v>31</v>
      </c>
      <c r="C125" s="10">
        <v>26</v>
      </c>
    </row>
    <row r="126" spans="1:3">
      <c r="A126" s="10" t="s">
        <v>146</v>
      </c>
      <c r="B126" s="10" t="s">
        <v>37</v>
      </c>
      <c r="C126" s="10">
        <v>30</v>
      </c>
    </row>
    <row r="127" spans="1:3">
      <c r="A127" s="10" t="s">
        <v>147</v>
      </c>
      <c r="B127" s="10" t="s">
        <v>37</v>
      </c>
      <c r="C127" s="10">
        <v>13</v>
      </c>
    </row>
    <row r="128" spans="1:3">
      <c r="A128" s="10" t="s">
        <v>148</v>
      </c>
      <c r="B128" s="10" t="s">
        <v>149</v>
      </c>
      <c r="C128" s="10">
        <v>16</v>
      </c>
    </row>
    <row r="129" spans="1:3">
      <c r="A129" s="10" t="s">
        <v>150</v>
      </c>
      <c r="B129" s="10" t="s">
        <v>42</v>
      </c>
      <c r="C129" s="10">
        <v>34</v>
      </c>
    </row>
    <row r="130" spans="1:3">
      <c r="A130" s="10" t="s">
        <v>151</v>
      </c>
      <c r="B130" s="10" t="s">
        <v>34</v>
      </c>
      <c r="C130" s="10">
        <v>32</v>
      </c>
    </row>
    <row r="131" spans="1:3">
      <c r="A131" s="10" t="s">
        <v>152</v>
      </c>
      <c r="B131" s="10" t="s">
        <v>37</v>
      </c>
      <c r="C131" s="10">
        <v>31</v>
      </c>
    </row>
    <row r="132" spans="1:3">
      <c r="A132" s="10" t="s">
        <v>153</v>
      </c>
      <c r="B132" s="10" t="s">
        <v>39</v>
      </c>
      <c r="C132" s="10">
        <v>36</v>
      </c>
    </row>
    <row r="133" spans="1:3">
      <c r="A133" s="10" t="s">
        <v>154</v>
      </c>
      <c r="B133" s="10" t="s">
        <v>42</v>
      </c>
      <c r="C133" s="10">
        <v>48</v>
      </c>
    </row>
    <row r="134" spans="1:3">
      <c r="A134" s="10" t="s">
        <v>155</v>
      </c>
      <c r="B134" s="10" t="s">
        <v>31</v>
      </c>
      <c r="C134" s="10">
        <v>23</v>
      </c>
    </row>
    <row r="135" spans="1:3">
      <c r="A135" s="10" t="s">
        <v>156</v>
      </c>
      <c r="B135" s="10" t="s">
        <v>37</v>
      </c>
      <c r="C135" s="10">
        <v>24</v>
      </c>
    </row>
    <row r="136" spans="1:3">
      <c r="A136" s="10" t="s">
        <v>157</v>
      </c>
      <c r="B136" s="10" t="s">
        <v>39</v>
      </c>
      <c r="C136" s="10">
        <v>41</v>
      </c>
    </row>
    <row r="137" spans="1:3">
      <c r="A137" s="10" t="s">
        <v>158</v>
      </c>
      <c r="B137" s="10" t="s">
        <v>39</v>
      </c>
      <c r="C137" s="10">
        <v>20</v>
      </c>
    </row>
    <row r="138" spans="1:3">
      <c r="A138" s="10" t="s">
        <v>159</v>
      </c>
      <c r="B138" s="10" t="s">
        <v>42</v>
      </c>
      <c r="C138" s="10">
        <v>24</v>
      </c>
    </row>
    <row r="139" spans="1:3">
      <c r="A139" s="10" t="s">
        <v>160</v>
      </c>
      <c r="B139" s="10" t="s">
        <v>31</v>
      </c>
      <c r="C139" s="10">
        <v>20</v>
      </c>
    </row>
    <row r="140" spans="1:3">
      <c r="A140" s="10" t="s">
        <v>161</v>
      </c>
      <c r="B140" s="10" t="s">
        <v>37</v>
      </c>
      <c r="C140" s="10">
        <v>19</v>
      </c>
    </row>
    <row r="141" spans="1:3">
      <c r="A141" s="10" t="s">
        <v>162</v>
      </c>
      <c r="B141" s="10" t="s">
        <v>39</v>
      </c>
      <c r="C141" s="10">
        <v>24</v>
      </c>
    </row>
    <row r="142" spans="1:3">
      <c r="A142" s="10" t="s">
        <v>163</v>
      </c>
      <c r="B142" s="10" t="s">
        <v>42</v>
      </c>
      <c r="C142" s="10">
        <v>20</v>
      </c>
    </row>
    <row r="143" spans="1:3">
      <c r="A143" s="10" t="s">
        <v>164</v>
      </c>
      <c r="B143" s="10" t="s">
        <v>31</v>
      </c>
      <c r="C143" s="10">
        <v>32</v>
      </c>
    </row>
    <row r="144" spans="1:3">
      <c r="A144" s="10" t="s">
        <v>165</v>
      </c>
      <c r="B144" s="10" t="s">
        <v>37</v>
      </c>
      <c r="C144" s="10">
        <v>32</v>
      </c>
    </row>
    <row r="145" spans="1:3">
      <c r="A145" s="10" t="s">
        <v>166</v>
      </c>
      <c r="B145" s="10" t="s">
        <v>149</v>
      </c>
      <c r="C145" s="10">
        <v>12</v>
      </c>
    </row>
    <row r="146" spans="1:3">
      <c r="A146" s="10" t="s">
        <v>167</v>
      </c>
      <c r="B146" s="10" t="s">
        <v>42</v>
      </c>
      <c r="C146" s="10">
        <v>25</v>
      </c>
    </row>
    <row r="147" spans="1:3">
      <c r="A147" s="10" t="s">
        <v>168</v>
      </c>
      <c r="B147" s="10" t="s">
        <v>37</v>
      </c>
      <c r="C147" s="10">
        <v>10</v>
      </c>
    </row>
    <row r="148" spans="1:3">
      <c r="A148" s="10" t="s">
        <v>169</v>
      </c>
      <c r="B148" s="10" t="s">
        <v>50</v>
      </c>
      <c r="C148" s="10">
        <v>39</v>
      </c>
    </row>
    <row r="149" spans="1:3">
      <c r="A149" s="10" t="s">
        <v>170</v>
      </c>
      <c r="B149" s="10" t="s">
        <v>39</v>
      </c>
      <c r="C149" s="10">
        <v>43</v>
      </c>
    </row>
    <row r="150" spans="1:3">
      <c r="A150" s="10" t="s">
        <v>171</v>
      </c>
      <c r="B150" s="10" t="s">
        <v>149</v>
      </c>
      <c r="C150" s="10">
        <v>20</v>
      </c>
    </row>
    <row r="151" spans="1:3">
      <c r="A151" s="10" t="s">
        <v>172</v>
      </c>
      <c r="B151" s="10" t="s">
        <v>42</v>
      </c>
      <c r="C151" s="10">
        <v>16</v>
      </c>
    </row>
    <row r="152" spans="1:3">
      <c r="A152" s="10" t="s">
        <v>173</v>
      </c>
      <c r="B152" s="10" t="s">
        <v>31</v>
      </c>
      <c r="C152" s="10">
        <v>41</v>
      </c>
    </row>
    <row r="153" spans="1:3">
      <c r="A153" s="10" t="s">
        <v>174</v>
      </c>
      <c r="B153" s="10" t="s">
        <v>37</v>
      </c>
      <c r="C153" s="10">
        <v>30</v>
      </c>
    </row>
    <row r="154" spans="1:3">
      <c r="A154" s="10" t="s">
        <v>175</v>
      </c>
      <c r="B154" s="10" t="s">
        <v>39</v>
      </c>
      <c r="C154" s="10">
        <v>50</v>
      </c>
    </row>
    <row r="155" spans="1:3">
      <c r="A155" s="10" t="s">
        <v>176</v>
      </c>
      <c r="B155" s="10" t="s">
        <v>42</v>
      </c>
      <c r="C155" s="10">
        <v>53</v>
      </c>
    </row>
    <row r="156" spans="1:3">
      <c r="A156" s="10" t="s">
        <v>177</v>
      </c>
      <c r="B156" s="10" t="s">
        <v>37</v>
      </c>
      <c r="C156" s="10">
        <v>32</v>
      </c>
    </row>
    <row r="157" spans="1:3">
      <c r="A157" s="10" t="s">
        <v>178</v>
      </c>
      <c r="B157" s="10" t="s">
        <v>39</v>
      </c>
      <c r="C157" s="10">
        <v>35</v>
      </c>
    </row>
    <row r="158" spans="1:3">
      <c r="A158" s="10" t="s">
        <v>179</v>
      </c>
      <c r="B158" s="10" t="s">
        <v>31</v>
      </c>
      <c r="C158" s="10">
        <v>29</v>
      </c>
    </row>
    <row r="159" spans="1:3">
      <c r="A159" s="10" t="s">
        <v>180</v>
      </c>
      <c r="B159" s="10" t="s">
        <v>37</v>
      </c>
      <c r="C159" s="10">
        <v>26</v>
      </c>
    </row>
    <row r="160" spans="1:3">
      <c r="A160" s="10" t="s">
        <v>181</v>
      </c>
      <c r="B160" s="10" t="s">
        <v>39</v>
      </c>
      <c r="C160" s="10">
        <v>22</v>
      </c>
    </row>
    <row r="161" spans="1:3">
      <c r="A161" s="10" t="s">
        <v>182</v>
      </c>
      <c r="B161" s="10" t="s">
        <v>149</v>
      </c>
      <c r="C161" s="10">
        <v>23</v>
      </c>
    </row>
    <row r="162" spans="1:3">
      <c r="A162" s="10" t="s">
        <v>183</v>
      </c>
      <c r="B162" s="10" t="s">
        <v>42</v>
      </c>
      <c r="C162" s="10">
        <v>52</v>
      </c>
    </row>
    <row r="163" spans="1:3">
      <c r="A163" s="10" t="s">
        <v>184</v>
      </c>
      <c r="B163" s="10" t="s">
        <v>37</v>
      </c>
      <c r="C163" s="10">
        <v>24</v>
      </c>
    </row>
    <row r="164" spans="1:3">
      <c r="A164" s="10" t="s">
        <v>185</v>
      </c>
      <c r="B164" s="10" t="s">
        <v>50</v>
      </c>
      <c r="C164" s="10">
        <v>42</v>
      </c>
    </row>
    <row r="165" spans="1:3">
      <c r="A165" s="10" t="s">
        <v>186</v>
      </c>
      <c r="B165" s="10" t="s">
        <v>149</v>
      </c>
      <c r="C165" s="10">
        <v>36</v>
      </c>
    </row>
    <row r="166" spans="1:3">
      <c r="A166" s="10" t="s">
        <v>187</v>
      </c>
      <c r="B166" s="10" t="s">
        <v>31</v>
      </c>
      <c r="C166" s="10">
        <v>16</v>
      </c>
    </row>
    <row r="167" spans="1:3">
      <c r="A167" s="10" t="s">
        <v>188</v>
      </c>
      <c r="B167" s="10" t="s">
        <v>37</v>
      </c>
      <c r="C167" s="10">
        <v>26</v>
      </c>
    </row>
    <row r="168" spans="1:3">
      <c r="A168" s="10" t="s">
        <v>189</v>
      </c>
      <c r="B168" s="10" t="s">
        <v>50</v>
      </c>
      <c r="C168" s="10">
        <v>28</v>
      </c>
    </row>
    <row r="169" spans="1:3">
      <c r="A169" s="10" t="s">
        <v>190</v>
      </c>
      <c r="B169" s="10" t="s">
        <v>39</v>
      </c>
      <c r="C169" s="10">
        <v>22</v>
      </c>
    </row>
    <row r="170" spans="1:3">
      <c r="A170" s="10" t="s">
        <v>191</v>
      </c>
      <c r="B170" s="10" t="s">
        <v>42</v>
      </c>
      <c r="C170" s="10">
        <v>36</v>
      </c>
    </row>
    <row r="171" spans="1:3">
      <c r="A171" s="10" t="s">
        <v>192</v>
      </c>
      <c r="B171" s="10" t="s">
        <v>42</v>
      </c>
      <c r="C171" s="10">
        <v>25</v>
      </c>
    </row>
    <row r="172" spans="1:3">
      <c r="A172" s="10" t="s">
        <v>193</v>
      </c>
      <c r="B172" s="10" t="s">
        <v>37</v>
      </c>
      <c r="C172" s="10">
        <v>17</v>
      </c>
    </row>
    <row r="173" spans="1:3">
      <c r="A173" s="10" t="s">
        <v>194</v>
      </c>
      <c r="B173" s="10" t="s">
        <v>37</v>
      </c>
      <c r="C173" s="10">
        <v>27</v>
      </c>
    </row>
    <row r="174" spans="1:3">
      <c r="A174" s="10" t="s">
        <v>195</v>
      </c>
      <c r="B174" s="10" t="s">
        <v>31</v>
      </c>
      <c r="C174" s="10">
        <v>31</v>
      </c>
    </row>
    <row r="175" spans="1:3">
      <c r="A175" s="10" t="s">
        <v>196</v>
      </c>
      <c r="B175" s="10" t="s">
        <v>37</v>
      </c>
      <c r="C175" s="10">
        <v>28</v>
      </c>
    </row>
    <row r="176" spans="1:3">
      <c r="A176" s="10" t="s">
        <v>197</v>
      </c>
      <c r="B176" s="10" t="s">
        <v>39</v>
      </c>
      <c r="C176" s="10">
        <v>41</v>
      </c>
    </row>
    <row r="177" spans="1:3">
      <c r="A177" s="10" t="s">
        <v>198</v>
      </c>
      <c r="B177" s="10" t="s">
        <v>37</v>
      </c>
      <c r="C177" s="10">
        <v>18</v>
      </c>
    </row>
    <row r="178" spans="1:3">
      <c r="A178" s="10" t="s">
        <v>199</v>
      </c>
      <c r="B178" s="10" t="s">
        <v>50</v>
      </c>
      <c r="C178" s="10">
        <v>16</v>
      </c>
    </row>
    <row r="179" spans="1:3">
      <c r="A179" s="10" t="s">
        <v>200</v>
      </c>
      <c r="B179" s="10" t="s">
        <v>42</v>
      </c>
      <c r="C179" s="10">
        <v>26</v>
      </c>
    </row>
    <row r="180" spans="1:3">
      <c r="A180" s="10" t="s">
        <v>201</v>
      </c>
      <c r="B180" s="10" t="s">
        <v>31</v>
      </c>
      <c r="C180" s="10">
        <v>14</v>
      </c>
    </row>
    <row r="181" spans="1:3">
      <c r="A181" s="10" t="s">
        <v>202</v>
      </c>
      <c r="B181" s="10" t="s">
        <v>37</v>
      </c>
      <c r="C181" s="10">
        <v>43</v>
      </c>
    </row>
    <row r="182" spans="1:3">
      <c r="A182" s="10" t="s">
        <v>203</v>
      </c>
      <c r="B182" s="10" t="s">
        <v>50</v>
      </c>
      <c r="C182" s="10">
        <v>23</v>
      </c>
    </row>
    <row r="183" spans="1:3">
      <c r="A183" s="10" t="s">
        <v>204</v>
      </c>
      <c r="B183" s="10" t="s">
        <v>39</v>
      </c>
      <c r="C183" s="10">
        <v>20</v>
      </c>
    </row>
    <row r="184" spans="1:3">
      <c r="A184" s="10" t="s">
        <v>205</v>
      </c>
      <c r="B184" s="10" t="s">
        <v>42</v>
      </c>
      <c r="C184" s="10">
        <v>31</v>
      </c>
    </row>
    <row r="185" spans="1:3">
      <c r="A185" s="10" t="s">
        <v>206</v>
      </c>
      <c r="B185" s="10" t="s">
        <v>42</v>
      </c>
      <c r="C185" s="10">
        <v>38</v>
      </c>
    </row>
    <row r="186" spans="1:3">
      <c r="A186" s="10" t="s">
        <v>207</v>
      </c>
      <c r="B186" s="10" t="s">
        <v>31</v>
      </c>
      <c r="C186" s="10">
        <v>33</v>
      </c>
    </row>
    <row r="187" spans="1:3">
      <c r="A187" s="10" t="s">
        <v>208</v>
      </c>
      <c r="B187" s="10" t="s">
        <v>34</v>
      </c>
      <c r="C187" s="10">
        <v>27</v>
      </c>
    </row>
    <row r="188" spans="1:3">
      <c r="A188" s="10" t="s">
        <v>209</v>
      </c>
      <c r="B188" s="10" t="s">
        <v>37</v>
      </c>
      <c r="C188" s="10">
        <v>24</v>
      </c>
    </row>
    <row r="189" spans="1:3">
      <c r="A189" s="10" t="s">
        <v>210</v>
      </c>
      <c r="B189" s="10" t="s">
        <v>39</v>
      </c>
      <c r="C189" s="10">
        <v>38</v>
      </c>
    </row>
    <row r="190" spans="1:3">
      <c r="A190" s="10" t="s">
        <v>211</v>
      </c>
      <c r="B190" s="10" t="s">
        <v>42</v>
      </c>
      <c r="C190" s="10">
        <v>47</v>
      </c>
    </row>
    <row r="191" spans="1:3">
      <c r="A191" s="10" t="s">
        <v>212</v>
      </c>
      <c r="B191" s="10" t="s">
        <v>37</v>
      </c>
      <c r="C191" s="10">
        <v>31</v>
      </c>
    </row>
    <row r="192" spans="1:3">
      <c r="A192" s="10" t="s">
        <v>213</v>
      </c>
      <c r="B192" s="10" t="s">
        <v>39</v>
      </c>
      <c r="C192" s="10">
        <v>20</v>
      </c>
    </row>
    <row r="193" spans="1:3">
      <c r="A193" s="10" t="s">
        <v>214</v>
      </c>
      <c r="B193" s="10" t="s">
        <v>42</v>
      </c>
      <c r="C193" s="10">
        <v>19</v>
      </c>
    </row>
    <row r="194" spans="1:3">
      <c r="A194" s="10" t="s">
        <v>215</v>
      </c>
      <c r="B194" s="10" t="s">
        <v>31</v>
      </c>
      <c r="C194" s="10">
        <v>45</v>
      </c>
    </row>
    <row r="195" spans="1:3">
      <c r="A195" s="10" t="s">
        <v>216</v>
      </c>
      <c r="B195" s="10" t="s">
        <v>39</v>
      </c>
      <c r="C195" s="10">
        <v>38</v>
      </c>
    </row>
    <row r="196" spans="1:3">
      <c r="A196" s="10" t="s">
        <v>217</v>
      </c>
      <c r="B196" s="10" t="s">
        <v>149</v>
      </c>
      <c r="C196" s="10">
        <v>18</v>
      </c>
    </row>
    <row r="197" spans="1:3">
      <c r="A197" s="10" t="s">
        <v>218</v>
      </c>
      <c r="B197" s="10" t="s">
        <v>50</v>
      </c>
      <c r="C197" s="10">
        <v>14</v>
      </c>
    </row>
    <row r="198" spans="1:3">
      <c r="A198" s="10" t="s">
        <v>219</v>
      </c>
      <c r="B198" s="10" t="s">
        <v>42</v>
      </c>
      <c r="C198" s="10">
        <v>42</v>
      </c>
    </row>
    <row r="199" spans="1:3">
      <c r="A199" s="10" t="s">
        <v>220</v>
      </c>
      <c r="B199" s="10" t="s">
        <v>34</v>
      </c>
      <c r="C199" s="10">
        <v>33</v>
      </c>
    </row>
    <row r="200" spans="1:3">
      <c r="A200" s="10" t="s">
        <v>221</v>
      </c>
      <c r="B200" s="10" t="s">
        <v>42</v>
      </c>
      <c r="C200" s="10">
        <v>34</v>
      </c>
    </row>
    <row r="201" spans="1:3">
      <c r="A201" s="10" t="s">
        <v>222</v>
      </c>
      <c r="B201" s="10" t="s">
        <v>42</v>
      </c>
      <c r="C201" s="10">
        <v>15</v>
      </c>
    </row>
    <row r="202" spans="1:3">
      <c r="A202" s="10" t="s">
        <v>223</v>
      </c>
      <c r="B202" s="10" t="s">
        <v>31</v>
      </c>
      <c r="C202" s="10">
        <v>22</v>
      </c>
    </row>
    <row r="203" spans="1:3">
      <c r="A203" s="10" t="s">
        <v>224</v>
      </c>
      <c r="B203" s="10" t="s">
        <v>37</v>
      </c>
      <c r="C203" s="10">
        <v>30</v>
      </c>
    </row>
    <row r="204" spans="1:3">
      <c r="A204" s="10" t="s">
        <v>225</v>
      </c>
      <c r="B204" s="10" t="s">
        <v>39</v>
      </c>
      <c r="C204" s="10">
        <v>25</v>
      </c>
    </row>
    <row r="205" spans="1:3">
      <c r="A205" s="10" t="s">
        <v>226</v>
      </c>
      <c r="B205" s="10" t="s">
        <v>42</v>
      </c>
      <c r="C205" s="10">
        <v>26</v>
      </c>
    </row>
    <row r="206" spans="1:3">
      <c r="A206" s="10" t="s">
        <v>227</v>
      </c>
      <c r="B206" s="10" t="s">
        <v>42</v>
      </c>
      <c r="C206" s="10">
        <v>11</v>
      </c>
    </row>
    <row r="207" spans="1:3">
      <c r="A207" s="10" t="s">
        <v>228</v>
      </c>
      <c r="B207" s="10" t="s">
        <v>37</v>
      </c>
      <c r="C207" s="10">
        <v>28</v>
      </c>
    </row>
    <row r="208" spans="1:3">
      <c r="A208" s="10" t="s">
        <v>229</v>
      </c>
      <c r="B208" s="10" t="s">
        <v>39</v>
      </c>
      <c r="C208" s="10">
        <v>22</v>
      </c>
    </row>
    <row r="209" spans="1:3">
      <c r="A209" s="10" t="s">
        <v>230</v>
      </c>
      <c r="B209" s="10" t="s">
        <v>149</v>
      </c>
      <c r="C209" s="10">
        <v>37</v>
      </c>
    </row>
    <row r="210" spans="1:3">
      <c r="A210" s="10" t="s">
        <v>231</v>
      </c>
      <c r="B210" s="10" t="s">
        <v>42</v>
      </c>
      <c r="C210" s="10">
        <v>31</v>
      </c>
    </row>
    <row r="211" spans="1:3">
      <c r="A211" s="10" t="s">
        <v>232</v>
      </c>
      <c r="B211" s="10" t="s">
        <v>37</v>
      </c>
      <c r="C211" s="10">
        <v>19</v>
      </c>
    </row>
    <row r="212" spans="1:3">
      <c r="A212" s="10" t="s">
        <v>233</v>
      </c>
      <c r="B212" s="10" t="s">
        <v>50</v>
      </c>
      <c r="C212" s="10">
        <v>32</v>
      </c>
    </row>
    <row r="213" spans="1:3">
      <c r="A213" s="10" t="s">
        <v>234</v>
      </c>
      <c r="B213" s="10" t="s">
        <v>39</v>
      </c>
      <c r="C213" s="10">
        <v>27</v>
      </c>
    </row>
    <row r="214" spans="1:3">
      <c r="A214" s="10" t="s">
        <v>235</v>
      </c>
      <c r="B214" s="10" t="s">
        <v>42</v>
      </c>
      <c r="C214" s="10">
        <v>13</v>
      </c>
    </row>
    <row r="215" spans="1:3">
      <c r="A215" s="10" t="s">
        <v>236</v>
      </c>
      <c r="B215" s="10" t="s">
        <v>34</v>
      </c>
      <c r="C215" s="10">
        <v>31</v>
      </c>
    </row>
    <row r="216" spans="1:3">
      <c r="A216" s="10" t="s">
        <v>237</v>
      </c>
      <c r="B216" s="10" t="s">
        <v>37</v>
      </c>
      <c r="C216" s="10">
        <v>20</v>
      </c>
    </row>
    <row r="217" spans="1:3">
      <c r="A217" s="10" t="s">
        <v>238</v>
      </c>
      <c r="B217" s="10" t="s">
        <v>39</v>
      </c>
      <c r="C217" s="10">
        <v>26</v>
      </c>
    </row>
    <row r="218" spans="1:3">
      <c r="A218" s="10" t="s">
        <v>239</v>
      </c>
      <c r="B218" s="10" t="s">
        <v>42</v>
      </c>
      <c r="C218" s="10">
        <v>42</v>
      </c>
    </row>
    <row r="219" spans="1:3">
      <c r="A219" s="10" t="s">
        <v>240</v>
      </c>
      <c r="B219" s="10" t="s">
        <v>42</v>
      </c>
      <c r="C219" s="10">
        <v>24</v>
      </c>
    </row>
    <row r="220" spans="1:3">
      <c r="A220" s="10" t="s">
        <v>241</v>
      </c>
      <c r="B220" s="10" t="s">
        <v>50</v>
      </c>
      <c r="C220" s="10">
        <v>50</v>
      </c>
    </row>
    <row r="221" spans="1:3">
      <c r="A221" s="10" t="s">
        <v>242</v>
      </c>
      <c r="B221" s="10" t="s">
        <v>37</v>
      </c>
      <c r="C221" s="10">
        <v>41</v>
      </c>
    </row>
    <row r="222" spans="1:3">
      <c r="A222" s="10" t="s">
        <v>243</v>
      </c>
      <c r="B222" s="10" t="s">
        <v>39</v>
      </c>
      <c r="C222" s="10">
        <v>22</v>
      </c>
    </row>
    <row r="223" spans="1:3">
      <c r="A223" s="10" t="s">
        <v>244</v>
      </c>
      <c r="B223" s="10" t="s">
        <v>42</v>
      </c>
      <c r="C223" s="10">
        <v>29</v>
      </c>
    </row>
    <row r="224" spans="1:3">
      <c r="A224" s="10" t="s">
        <v>245</v>
      </c>
      <c r="B224" s="10" t="s">
        <v>50</v>
      </c>
      <c r="C224" s="10">
        <v>23</v>
      </c>
    </row>
    <row r="225" spans="1:3">
      <c r="A225" s="10" t="s">
        <v>246</v>
      </c>
      <c r="B225" s="10" t="s">
        <v>37</v>
      </c>
      <c r="C225" s="10">
        <v>13</v>
      </c>
    </row>
    <row r="226" spans="1:3">
      <c r="A226" s="10" t="s">
        <v>247</v>
      </c>
      <c r="B226" s="10" t="s">
        <v>39</v>
      </c>
      <c r="C226" s="10">
        <v>32</v>
      </c>
    </row>
    <row r="227" spans="1:3">
      <c r="A227" s="10" t="s">
        <v>248</v>
      </c>
      <c r="B227" s="10" t="s">
        <v>42</v>
      </c>
      <c r="C227" s="10">
        <v>24</v>
      </c>
    </row>
    <row r="228" spans="1:3">
      <c r="A228" s="10" t="s">
        <v>249</v>
      </c>
      <c r="B228" s="10" t="s">
        <v>42</v>
      </c>
      <c r="C228" s="10">
        <v>33</v>
      </c>
    </row>
    <row r="229" spans="1:3">
      <c r="A229" s="10" t="s">
        <v>250</v>
      </c>
      <c r="B229" s="10" t="s">
        <v>31</v>
      </c>
      <c r="C229" s="10">
        <v>29</v>
      </c>
    </row>
    <row r="230" spans="1:3">
      <c r="A230" s="10" t="s">
        <v>251</v>
      </c>
      <c r="B230" s="10" t="s">
        <v>37</v>
      </c>
      <c r="C230" s="10">
        <v>24</v>
      </c>
    </row>
    <row r="231" spans="1:3">
      <c r="A231" s="10" t="s">
        <v>252</v>
      </c>
      <c r="B231" s="10" t="s">
        <v>37</v>
      </c>
      <c r="C231" s="10">
        <v>40</v>
      </c>
    </row>
    <row r="232" spans="1:3">
      <c r="A232" s="10" t="s">
        <v>253</v>
      </c>
      <c r="B232" s="10" t="s">
        <v>39</v>
      </c>
      <c r="C232" s="10">
        <v>16</v>
      </c>
    </row>
    <row r="233" spans="1:3">
      <c r="A233" s="10" t="s">
        <v>254</v>
      </c>
      <c r="B233" s="10" t="s">
        <v>34</v>
      </c>
      <c r="C233" s="10">
        <v>11</v>
      </c>
    </row>
    <row r="234" spans="1:3">
      <c r="A234" s="10" t="s">
        <v>255</v>
      </c>
      <c r="B234" s="10" t="s">
        <v>37</v>
      </c>
      <c r="C234" s="10">
        <v>19</v>
      </c>
    </row>
    <row r="235" spans="1:3">
      <c r="A235" s="10" t="s">
        <v>256</v>
      </c>
      <c r="B235" s="10" t="s">
        <v>42</v>
      </c>
      <c r="C235" s="10">
        <v>42</v>
      </c>
    </row>
    <row r="236" spans="1:3">
      <c r="A236" s="10" t="s">
        <v>257</v>
      </c>
      <c r="B236" s="10" t="s">
        <v>42</v>
      </c>
      <c r="C236" s="10">
        <v>27</v>
      </c>
    </row>
    <row r="237" spans="1:3">
      <c r="A237" s="10" t="s">
        <v>258</v>
      </c>
      <c r="B237" s="10" t="s">
        <v>50</v>
      </c>
      <c r="C237" s="10">
        <v>24</v>
      </c>
    </row>
    <row r="238" spans="1:3">
      <c r="A238" s="10" t="s">
        <v>259</v>
      </c>
      <c r="B238" s="10" t="s">
        <v>37</v>
      </c>
      <c r="C238" s="10">
        <v>27</v>
      </c>
    </row>
    <row r="239" spans="1:3">
      <c r="A239" s="10" t="s">
        <v>260</v>
      </c>
      <c r="C239" s="10">
        <v>14</v>
      </c>
    </row>
    <row r="240" spans="1:3">
      <c r="A240" s="10" t="s">
        <v>261</v>
      </c>
      <c r="B240" s="10" t="s">
        <v>42</v>
      </c>
      <c r="C240" s="10">
        <v>12</v>
      </c>
    </row>
    <row r="241" spans="1:3">
      <c r="A241" s="10" t="s">
        <v>262</v>
      </c>
      <c r="B241" s="10" t="s">
        <v>42</v>
      </c>
      <c r="C241" s="10">
        <v>23</v>
      </c>
    </row>
    <row r="242" spans="1:3">
      <c r="A242" s="10" t="s">
        <v>263</v>
      </c>
      <c r="B242" s="10" t="s">
        <v>39</v>
      </c>
      <c r="C242" s="10">
        <v>40</v>
      </c>
    </row>
    <row r="243" spans="1:3">
      <c r="A243" s="10" t="s">
        <v>264</v>
      </c>
      <c r="B243" s="10" t="s">
        <v>42</v>
      </c>
      <c r="C243" s="10">
        <v>33</v>
      </c>
    </row>
    <row r="244" spans="1:3">
      <c r="A244" s="10" t="s">
        <v>265</v>
      </c>
      <c r="B244" s="10" t="s">
        <v>31</v>
      </c>
      <c r="C244" s="10">
        <v>33</v>
      </c>
    </row>
    <row r="245" spans="1:3">
      <c r="A245" s="10" t="s">
        <v>266</v>
      </c>
      <c r="B245" s="10" t="s">
        <v>42</v>
      </c>
      <c r="C245" s="10">
        <v>30</v>
      </c>
    </row>
    <row r="246" spans="1:3">
      <c r="A246" s="10" t="s">
        <v>267</v>
      </c>
      <c r="B246" s="10" t="s">
        <v>42</v>
      </c>
      <c r="C246" s="10">
        <v>35</v>
      </c>
    </row>
    <row r="247" spans="1:3">
      <c r="A247" s="10" t="s">
        <v>268</v>
      </c>
      <c r="B247" s="10" t="s">
        <v>31</v>
      </c>
      <c r="C247" s="10">
        <v>26</v>
      </c>
    </row>
    <row r="248" spans="1:3">
      <c r="A248" s="10" t="s">
        <v>269</v>
      </c>
      <c r="B248" s="10" t="s">
        <v>34</v>
      </c>
      <c r="C248" s="10">
        <v>6</v>
      </c>
    </row>
    <row r="249" spans="1:3">
      <c r="A249" s="10" t="s">
        <v>270</v>
      </c>
      <c r="B249" s="10" t="s">
        <v>37</v>
      </c>
      <c r="C249" s="10">
        <v>17</v>
      </c>
    </row>
    <row r="250" spans="1:3">
      <c r="A250" s="10" t="s">
        <v>271</v>
      </c>
      <c r="B250" s="10" t="s">
        <v>50</v>
      </c>
      <c r="C250" s="10">
        <v>41</v>
      </c>
    </row>
    <row r="251" spans="1:3">
      <c r="A251" s="10" t="s">
        <v>272</v>
      </c>
      <c r="B251" s="10" t="s">
        <v>39</v>
      </c>
      <c r="C251" s="10">
        <v>33</v>
      </c>
    </row>
    <row r="252" spans="1:3">
      <c r="A252" s="10" t="s">
        <v>273</v>
      </c>
      <c r="B252" s="10" t="s">
        <v>42</v>
      </c>
      <c r="C252" s="10">
        <v>39</v>
      </c>
    </row>
    <row r="253" spans="1:3">
      <c r="A253" s="10" t="s">
        <v>274</v>
      </c>
      <c r="B253" s="10" t="s">
        <v>42</v>
      </c>
      <c r="C253" s="10">
        <v>17</v>
      </c>
    </row>
    <row r="254" spans="1:3">
      <c r="A254" s="10" t="s">
        <v>275</v>
      </c>
      <c r="B254" s="10" t="s">
        <v>37</v>
      </c>
      <c r="C254" s="10">
        <v>24</v>
      </c>
    </row>
    <row r="255" spans="1:3">
      <c r="A255" s="10" t="s">
        <v>276</v>
      </c>
      <c r="B255" s="10" t="s">
        <v>39</v>
      </c>
      <c r="C255" s="10">
        <v>35</v>
      </c>
    </row>
    <row r="256" spans="1:3">
      <c r="A256" s="10" t="s">
        <v>277</v>
      </c>
      <c r="B256" s="10" t="s">
        <v>50</v>
      </c>
      <c r="C256" s="10">
        <v>18</v>
      </c>
    </row>
    <row r="257" spans="1:3">
      <c r="A257" s="10" t="s">
        <v>278</v>
      </c>
      <c r="B257" s="10" t="s">
        <v>42</v>
      </c>
      <c r="C257" s="10">
        <v>20</v>
      </c>
    </row>
    <row r="258" spans="1:3">
      <c r="A258" s="10" t="s">
        <v>279</v>
      </c>
      <c r="B258" s="10" t="s">
        <v>31</v>
      </c>
      <c r="C258" s="10">
        <v>24</v>
      </c>
    </row>
    <row r="259" spans="1:3">
      <c r="A259" s="10" t="s">
        <v>280</v>
      </c>
      <c r="B259" s="10" t="s">
        <v>50</v>
      </c>
      <c r="C259" s="10">
        <v>40</v>
      </c>
    </row>
    <row r="260" spans="1:3">
      <c r="A260" s="10" t="s">
        <v>281</v>
      </c>
      <c r="B260" s="10" t="s">
        <v>39</v>
      </c>
      <c r="C260" s="10">
        <v>13</v>
      </c>
    </row>
    <row r="261" spans="1:3">
      <c r="A261" s="10" t="s">
        <v>282</v>
      </c>
      <c r="B261" s="10" t="s">
        <v>42</v>
      </c>
      <c r="C261" s="10">
        <v>32</v>
      </c>
    </row>
    <row r="262" spans="1:3">
      <c r="A262" s="10" t="s">
        <v>283</v>
      </c>
      <c r="B262" s="10" t="s">
        <v>42</v>
      </c>
      <c r="C262" s="10">
        <v>34</v>
      </c>
    </row>
    <row r="263" spans="1:3">
      <c r="A263" s="10" t="s">
        <v>284</v>
      </c>
      <c r="B263" s="10" t="s">
        <v>50</v>
      </c>
      <c r="C263" s="10">
        <v>34</v>
      </c>
    </row>
    <row r="264" spans="1:3">
      <c r="A264" s="10" t="s">
        <v>285</v>
      </c>
      <c r="B264" s="10" t="s">
        <v>42</v>
      </c>
      <c r="C264" s="10">
        <v>31</v>
      </c>
    </row>
    <row r="265" spans="1:3">
      <c r="A265" s="10" t="s">
        <v>286</v>
      </c>
      <c r="B265" s="10" t="s">
        <v>34</v>
      </c>
      <c r="C265" s="10">
        <v>47</v>
      </c>
    </row>
    <row r="266" spans="1:3">
      <c r="A266" s="10" t="s">
        <v>287</v>
      </c>
      <c r="B266" s="10" t="s">
        <v>42</v>
      </c>
      <c r="C266" s="10">
        <v>43</v>
      </c>
    </row>
    <row r="267" spans="1:3">
      <c r="A267" s="10" t="s">
        <v>288</v>
      </c>
      <c r="B267" s="10" t="s">
        <v>31</v>
      </c>
      <c r="C267" s="10">
        <v>27</v>
      </c>
    </row>
    <row r="268" spans="1:3">
      <c r="A268" s="10" t="s">
        <v>289</v>
      </c>
      <c r="B268" s="10" t="s">
        <v>39</v>
      </c>
      <c r="C268" s="10">
        <v>11</v>
      </c>
    </row>
    <row r="269" spans="1:3">
      <c r="A269" s="10" t="s">
        <v>290</v>
      </c>
      <c r="B269" s="10" t="s">
        <v>42</v>
      </c>
      <c r="C269" s="10">
        <v>37</v>
      </c>
    </row>
    <row r="270" spans="1:3">
      <c r="A270" s="10" t="s">
        <v>291</v>
      </c>
      <c r="B270" s="10" t="s">
        <v>31</v>
      </c>
      <c r="C270" s="10">
        <v>26</v>
      </c>
    </row>
    <row r="271" spans="1:3">
      <c r="A271" s="10" t="s">
        <v>292</v>
      </c>
      <c r="B271" s="10" t="s">
        <v>50</v>
      </c>
      <c r="C271" s="10">
        <v>27</v>
      </c>
    </row>
    <row r="272" spans="1:3">
      <c r="A272" s="10" t="s">
        <v>293</v>
      </c>
      <c r="B272" s="10" t="s">
        <v>37</v>
      </c>
      <c r="C272" s="10">
        <v>21</v>
      </c>
    </row>
    <row r="273" spans="1:3">
      <c r="A273" s="10" t="s">
        <v>294</v>
      </c>
      <c r="B273" s="10" t="s">
        <v>39</v>
      </c>
      <c r="C273" s="10">
        <v>35</v>
      </c>
    </row>
    <row r="274" spans="1:3">
      <c r="A274" s="10" t="s">
        <v>295</v>
      </c>
      <c r="B274" s="10" t="s">
        <v>42</v>
      </c>
      <c r="C274" s="10">
        <v>25</v>
      </c>
    </row>
    <row r="275" spans="1:3">
      <c r="A275" s="10" t="s">
        <v>296</v>
      </c>
      <c r="B275" s="10" t="s">
        <v>42</v>
      </c>
      <c r="C275" s="10">
        <v>28</v>
      </c>
    </row>
    <row r="276" spans="1:3">
      <c r="A276" s="10" t="s">
        <v>297</v>
      </c>
      <c r="B276" s="10" t="s">
        <v>50</v>
      </c>
      <c r="C276" s="10">
        <v>21</v>
      </c>
    </row>
    <row r="277" spans="1:3">
      <c r="A277" s="10" t="s">
        <v>298</v>
      </c>
      <c r="B277" s="10" t="s">
        <v>39</v>
      </c>
      <c r="C277" s="10">
        <v>24</v>
      </c>
    </row>
    <row r="278" spans="1:3">
      <c r="A278" s="10" t="s">
        <v>299</v>
      </c>
      <c r="B278" s="10" t="s">
        <v>42</v>
      </c>
      <c r="C278" s="10">
        <v>19</v>
      </c>
    </row>
    <row r="279" spans="1:3">
      <c r="A279" s="10" t="s">
        <v>300</v>
      </c>
      <c r="B279" s="10" t="s">
        <v>301</v>
      </c>
      <c r="C279" s="10">
        <v>25</v>
      </c>
    </row>
    <row r="280" spans="1:3">
      <c r="A280" s="10" t="s">
        <v>302</v>
      </c>
      <c r="B280" s="10" t="s">
        <v>50</v>
      </c>
      <c r="C280" s="10">
        <v>33</v>
      </c>
    </row>
    <row r="281" spans="1:3">
      <c r="A281" s="10" t="s">
        <v>303</v>
      </c>
      <c r="B281" s="10" t="s">
        <v>39</v>
      </c>
      <c r="C281" s="10">
        <v>26</v>
      </c>
    </row>
    <row r="282" spans="1:3">
      <c r="A282" s="10" t="s">
        <v>304</v>
      </c>
      <c r="B282" s="10" t="s">
        <v>42</v>
      </c>
      <c r="C282" s="10">
        <v>31</v>
      </c>
    </row>
    <row r="283" spans="1:3">
      <c r="A283" s="10" t="s">
        <v>305</v>
      </c>
      <c r="B283" s="10" t="s">
        <v>42</v>
      </c>
      <c r="C283" s="10">
        <v>33</v>
      </c>
    </row>
    <row r="284" spans="1:3">
      <c r="A284" s="10" t="s">
        <v>306</v>
      </c>
      <c r="B284" s="10" t="s">
        <v>50</v>
      </c>
      <c r="C284" s="10">
        <v>30</v>
      </c>
    </row>
    <row r="285" spans="1:3">
      <c r="A285" s="10" t="s">
        <v>307</v>
      </c>
      <c r="B285" s="10" t="s">
        <v>39</v>
      </c>
      <c r="C285" s="10">
        <v>26</v>
      </c>
    </row>
    <row r="286" spans="1:3">
      <c r="A286" s="10" t="s">
        <v>308</v>
      </c>
      <c r="B286" s="10" t="s">
        <v>42</v>
      </c>
      <c r="C286" s="10">
        <v>23</v>
      </c>
    </row>
    <row r="287" spans="1:3">
      <c r="A287" s="10" t="s">
        <v>309</v>
      </c>
      <c r="B287" s="10" t="s">
        <v>31</v>
      </c>
      <c r="C287" s="10">
        <v>28</v>
      </c>
    </row>
    <row r="288" spans="1:3">
      <c r="A288" s="10" t="s">
        <v>310</v>
      </c>
      <c r="B288" s="10" t="s">
        <v>37</v>
      </c>
      <c r="C288" s="10">
        <v>18</v>
      </c>
    </row>
    <row r="289" spans="1:3">
      <c r="A289" s="10" t="s">
        <v>311</v>
      </c>
      <c r="B289" s="10" t="s">
        <v>39</v>
      </c>
      <c r="C289" s="10">
        <v>39</v>
      </c>
    </row>
    <row r="290" spans="1:3">
      <c r="A290" s="10" t="s">
        <v>312</v>
      </c>
      <c r="B290" s="10" t="s">
        <v>42</v>
      </c>
      <c r="C290" s="10">
        <v>28</v>
      </c>
    </row>
    <row r="291" spans="1:3">
      <c r="A291" s="10" t="s">
        <v>313</v>
      </c>
      <c r="B291" s="10" t="s">
        <v>42</v>
      </c>
      <c r="C291" s="10">
        <v>47</v>
      </c>
    </row>
    <row r="292" spans="1:3">
      <c r="A292" s="10" t="s">
        <v>314</v>
      </c>
      <c r="B292" s="10" t="s">
        <v>50</v>
      </c>
      <c r="C292" s="10">
        <v>41</v>
      </c>
    </row>
    <row r="293" spans="1:3">
      <c r="A293" s="10" t="s">
        <v>315</v>
      </c>
      <c r="B293" s="10" t="s">
        <v>37</v>
      </c>
      <c r="C293" s="10">
        <v>11</v>
      </c>
    </row>
    <row r="294" spans="1:3">
      <c r="A294" s="10" t="s">
        <v>316</v>
      </c>
      <c r="B294" s="10" t="s">
        <v>42</v>
      </c>
      <c r="C294" s="10">
        <v>26</v>
      </c>
    </row>
    <row r="295" spans="1:3">
      <c r="A295" s="10" t="s">
        <v>317</v>
      </c>
      <c r="B295" s="10" t="s">
        <v>42</v>
      </c>
      <c r="C295" s="10">
        <v>24</v>
      </c>
    </row>
    <row r="296" spans="1:3">
      <c r="A296" s="10" t="s">
        <v>318</v>
      </c>
      <c r="B296" s="10" t="s">
        <v>301</v>
      </c>
      <c r="C296" s="10">
        <v>14</v>
      </c>
    </row>
    <row r="297" spans="1:3">
      <c r="A297" s="10" t="s">
        <v>319</v>
      </c>
      <c r="B297" s="10" t="s">
        <v>50</v>
      </c>
      <c r="C297" s="10">
        <v>34</v>
      </c>
    </row>
    <row r="298" spans="1:3">
      <c r="A298" s="10" t="s">
        <v>320</v>
      </c>
      <c r="B298" s="10" t="s">
        <v>39</v>
      </c>
      <c r="C298" s="10">
        <v>46</v>
      </c>
    </row>
    <row r="299" spans="1:3">
      <c r="A299" s="10" t="s">
        <v>321</v>
      </c>
      <c r="B299" s="10" t="s">
        <v>301</v>
      </c>
      <c r="C299" s="10">
        <v>24</v>
      </c>
    </row>
    <row r="300" spans="1:3">
      <c r="A300" s="10" t="s">
        <v>322</v>
      </c>
      <c r="B300" s="10" t="s">
        <v>31</v>
      </c>
      <c r="C300" s="10">
        <v>22</v>
      </c>
    </row>
    <row r="301" spans="1:3">
      <c r="A301" s="10" t="s">
        <v>323</v>
      </c>
      <c r="B301" s="10" t="s">
        <v>50</v>
      </c>
      <c r="C301" s="10">
        <v>41</v>
      </c>
    </row>
    <row r="302" spans="1:3">
      <c r="A302" s="10" t="s">
        <v>324</v>
      </c>
      <c r="B302" s="10" t="s">
        <v>37</v>
      </c>
      <c r="C302" s="10">
        <v>3</v>
      </c>
    </row>
    <row r="303" spans="1:3">
      <c r="A303" s="10" t="s">
        <v>325</v>
      </c>
      <c r="B303" s="10" t="s">
        <v>39</v>
      </c>
      <c r="C303" s="10">
        <v>24</v>
      </c>
    </row>
    <row r="304" spans="1:3">
      <c r="A304" s="10" t="s">
        <v>326</v>
      </c>
      <c r="B304" s="10" t="s">
        <v>39</v>
      </c>
      <c r="C304" s="10">
        <v>19</v>
      </c>
    </row>
    <row r="305" spans="1:3">
      <c r="A305" s="10" t="s">
        <v>327</v>
      </c>
      <c r="B305" s="10" t="s">
        <v>42</v>
      </c>
      <c r="C305" s="10">
        <v>39</v>
      </c>
    </row>
    <row r="306" spans="1:3">
      <c r="A306" s="10" t="s">
        <v>328</v>
      </c>
      <c r="B306" s="10" t="s">
        <v>31</v>
      </c>
      <c r="C306" s="10">
        <v>28</v>
      </c>
    </row>
    <row r="307" spans="1:3">
      <c r="A307" s="10" t="s">
        <v>329</v>
      </c>
      <c r="B307" s="10" t="s">
        <v>50</v>
      </c>
      <c r="C307" s="10">
        <v>32</v>
      </c>
    </row>
    <row r="308" spans="1:3">
      <c r="A308" s="10" t="s">
        <v>330</v>
      </c>
      <c r="B308" s="10" t="s">
        <v>37</v>
      </c>
      <c r="C308" s="10">
        <v>25</v>
      </c>
    </row>
    <row r="309" spans="1:3">
      <c r="A309" s="10" t="s">
        <v>331</v>
      </c>
      <c r="B309" s="10" t="s">
        <v>39</v>
      </c>
      <c r="C309" s="10">
        <v>29</v>
      </c>
    </row>
    <row r="310" spans="1:3">
      <c r="A310" s="10" t="s">
        <v>332</v>
      </c>
      <c r="B310" s="10" t="s">
        <v>42</v>
      </c>
      <c r="C310" s="10">
        <v>25</v>
      </c>
    </row>
    <row r="311" spans="1:3">
      <c r="A311" s="10" t="s">
        <v>333</v>
      </c>
      <c r="B311" s="10" t="s">
        <v>42</v>
      </c>
      <c r="C311" s="10">
        <v>21</v>
      </c>
    </row>
    <row r="312" spans="1:3">
      <c r="A312" s="10" t="s">
        <v>334</v>
      </c>
      <c r="B312" s="10" t="s">
        <v>31</v>
      </c>
      <c r="C312" s="10">
        <v>31</v>
      </c>
    </row>
    <row r="313" spans="1:3">
      <c r="A313" s="10" t="s">
        <v>335</v>
      </c>
      <c r="B313" s="10" t="s">
        <v>50</v>
      </c>
      <c r="C313" s="10">
        <v>25</v>
      </c>
    </row>
    <row r="314" spans="1:3">
      <c r="A314" s="10" t="s">
        <v>336</v>
      </c>
      <c r="B314" s="10" t="s">
        <v>37</v>
      </c>
      <c r="C314" s="10">
        <v>14</v>
      </c>
    </row>
    <row r="315" spans="1:3">
      <c r="A315" s="10" t="s">
        <v>337</v>
      </c>
      <c r="B315" s="10" t="s">
        <v>42</v>
      </c>
      <c r="C315" s="10">
        <v>21</v>
      </c>
    </row>
    <row r="316" spans="1:3">
      <c r="A316" s="10" t="s">
        <v>338</v>
      </c>
      <c r="B316" s="10" t="s">
        <v>37</v>
      </c>
      <c r="C316" s="10">
        <v>24</v>
      </c>
    </row>
    <row r="317" spans="1:3">
      <c r="A317" s="10" t="s">
        <v>339</v>
      </c>
      <c r="B317" s="10" t="s">
        <v>42</v>
      </c>
      <c r="C317" s="10">
        <v>25</v>
      </c>
    </row>
    <row r="318" spans="1:3">
      <c r="A318" s="10" t="s">
        <v>340</v>
      </c>
      <c r="B318" s="10" t="s">
        <v>42</v>
      </c>
      <c r="C318" s="10">
        <v>42</v>
      </c>
    </row>
    <row r="319" spans="1:3">
      <c r="A319" s="10" t="s">
        <v>341</v>
      </c>
      <c r="B319" s="10" t="s">
        <v>301</v>
      </c>
      <c r="C319" s="10">
        <v>20</v>
      </c>
    </row>
    <row r="320" spans="1:3">
      <c r="A320" s="10" t="s">
        <v>342</v>
      </c>
      <c r="B320" s="10" t="s">
        <v>31</v>
      </c>
      <c r="C320" s="10">
        <v>22</v>
      </c>
    </row>
    <row r="321" spans="1:3">
      <c r="A321" s="10" t="s">
        <v>343</v>
      </c>
      <c r="B321" s="10" t="s">
        <v>50</v>
      </c>
      <c r="C321" s="10">
        <v>36</v>
      </c>
    </row>
    <row r="322" spans="1:3">
      <c r="A322" s="10" t="s">
        <v>344</v>
      </c>
      <c r="B322" s="10" t="s">
        <v>42</v>
      </c>
      <c r="C322" s="10">
        <v>38</v>
      </c>
    </row>
    <row r="323" spans="1:3">
      <c r="A323" s="10" t="s">
        <v>345</v>
      </c>
      <c r="B323" s="10" t="s">
        <v>42</v>
      </c>
      <c r="C323" s="10">
        <v>18</v>
      </c>
    </row>
    <row r="324" spans="1:3">
      <c r="A324" s="10" t="s">
        <v>346</v>
      </c>
      <c r="B324" s="10" t="s">
        <v>301</v>
      </c>
      <c r="C324" s="10">
        <v>16</v>
      </c>
    </row>
    <row r="325" spans="1:3">
      <c r="A325" s="10" t="s">
        <v>347</v>
      </c>
      <c r="B325" s="10" t="s">
        <v>31</v>
      </c>
      <c r="C325" s="10">
        <v>31</v>
      </c>
    </row>
    <row r="326" spans="1:3">
      <c r="A326" s="10" t="s">
        <v>348</v>
      </c>
      <c r="B326" s="10" t="s">
        <v>50</v>
      </c>
      <c r="C326" s="10">
        <v>28</v>
      </c>
    </row>
    <row r="327" spans="1:3">
      <c r="A327" s="10" t="s">
        <v>349</v>
      </c>
      <c r="B327" s="10" t="s">
        <v>39</v>
      </c>
      <c r="C327" s="10">
        <v>34</v>
      </c>
    </row>
    <row r="328" spans="1:3">
      <c r="A328" s="10" t="s">
        <v>350</v>
      </c>
      <c r="B328" s="10" t="s">
        <v>42</v>
      </c>
      <c r="C328" s="10">
        <v>48</v>
      </c>
    </row>
    <row r="329" spans="1:3">
      <c r="A329" s="10" t="s">
        <v>351</v>
      </c>
      <c r="B329" s="10" t="s">
        <v>31</v>
      </c>
      <c r="C329" s="10">
        <v>35</v>
      </c>
    </row>
    <row r="330" spans="1:3">
      <c r="A330" s="10" t="s">
        <v>352</v>
      </c>
      <c r="B330" s="10" t="s">
        <v>50</v>
      </c>
      <c r="C330" s="10">
        <v>24</v>
      </c>
    </row>
    <row r="331" spans="1:3">
      <c r="A331" s="10" t="s">
        <v>353</v>
      </c>
      <c r="B331" s="10" t="s">
        <v>42</v>
      </c>
      <c r="C331" s="10">
        <v>25</v>
      </c>
    </row>
    <row r="332" spans="1:3">
      <c r="A332" s="10" t="s">
        <v>354</v>
      </c>
      <c r="B332" s="10" t="s">
        <v>37</v>
      </c>
      <c r="C332" s="10">
        <v>32</v>
      </c>
    </row>
    <row r="333" spans="1:3">
      <c r="A333" s="10" t="s">
        <v>355</v>
      </c>
      <c r="B333" s="10" t="s">
        <v>39</v>
      </c>
      <c r="C333" s="10">
        <v>33</v>
      </c>
    </row>
    <row r="334" spans="1:3">
      <c r="A334" s="10" t="s">
        <v>356</v>
      </c>
      <c r="B334" s="10" t="s">
        <v>301</v>
      </c>
      <c r="C334" s="10">
        <v>19</v>
      </c>
    </row>
    <row r="335" spans="1:3">
      <c r="A335" s="10" t="s">
        <v>357</v>
      </c>
      <c r="B335" s="10" t="s">
        <v>39</v>
      </c>
      <c r="C335" s="10">
        <v>7</v>
      </c>
    </row>
    <row r="336" spans="1:3">
      <c r="A336" s="10" t="s">
        <v>358</v>
      </c>
      <c r="B336" s="10" t="s">
        <v>39</v>
      </c>
      <c r="C336" s="10">
        <v>36</v>
      </c>
    </row>
    <row r="337" spans="1:3">
      <c r="A337" s="10" t="s">
        <v>359</v>
      </c>
      <c r="B337" s="10" t="s">
        <v>42</v>
      </c>
      <c r="C337" s="10">
        <v>44</v>
      </c>
    </row>
    <row r="338" spans="1:3">
      <c r="A338" s="10" t="s">
        <v>360</v>
      </c>
      <c r="B338" s="10" t="s">
        <v>42</v>
      </c>
      <c r="C338" s="10">
        <v>35</v>
      </c>
    </row>
    <row r="339" spans="1:3">
      <c r="A339" s="10" t="s">
        <v>361</v>
      </c>
      <c r="B339" s="10" t="s">
        <v>301</v>
      </c>
      <c r="C339" s="10">
        <v>11</v>
      </c>
    </row>
    <row r="340" spans="1:3">
      <c r="A340" s="10" t="s">
        <v>362</v>
      </c>
      <c r="B340" s="10" t="s">
        <v>31</v>
      </c>
      <c r="C340" s="10">
        <v>43</v>
      </c>
    </row>
    <row r="341" spans="1:3">
      <c r="A341" s="10" t="s">
        <v>363</v>
      </c>
      <c r="B341" s="10" t="s">
        <v>50</v>
      </c>
      <c r="C341" s="10">
        <v>22</v>
      </c>
    </row>
    <row r="342" spans="1:3">
      <c r="A342" s="10" t="s">
        <v>364</v>
      </c>
      <c r="B342" s="10" t="s">
        <v>39</v>
      </c>
      <c r="C342" s="10">
        <v>49</v>
      </c>
    </row>
    <row r="343" spans="1:3">
      <c r="A343" s="10" t="s">
        <v>365</v>
      </c>
      <c r="B343" s="10" t="s">
        <v>39</v>
      </c>
      <c r="C343" s="10">
        <v>37</v>
      </c>
    </row>
    <row r="344" spans="1:3">
      <c r="A344" s="10" t="s">
        <v>366</v>
      </c>
      <c r="B344" s="10" t="s">
        <v>42</v>
      </c>
      <c r="C344" s="10">
        <v>26</v>
      </c>
    </row>
    <row r="345" spans="1:3">
      <c r="A345" s="10" t="s">
        <v>367</v>
      </c>
      <c r="B345" s="10" t="s">
        <v>301</v>
      </c>
      <c r="C345" s="10">
        <v>19</v>
      </c>
    </row>
    <row r="346" spans="1:3">
      <c r="A346" s="10" t="s">
        <v>368</v>
      </c>
      <c r="B346" s="10" t="s">
        <v>31</v>
      </c>
      <c r="C346" s="10">
        <v>20</v>
      </c>
    </row>
    <row r="347" spans="1:3">
      <c r="A347" s="10" t="s">
        <v>369</v>
      </c>
      <c r="B347" s="10" t="s">
        <v>34</v>
      </c>
      <c r="C347" s="10">
        <v>36</v>
      </c>
    </row>
    <row r="348" spans="1:3">
      <c r="A348" s="10" t="s">
        <v>370</v>
      </c>
      <c r="B348" s="10" t="s">
        <v>37</v>
      </c>
      <c r="C348" s="10">
        <v>39</v>
      </c>
    </row>
    <row r="349" spans="1:3">
      <c r="A349" s="10" t="s">
        <v>371</v>
      </c>
      <c r="B349" s="10" t="s">
        <v>39</v>
      </c>
      <c r="C349" s="10">
        <v>10</v>
      </c>
    </row>
    <row r="350" spans="1:3">
      <c r="A350" s="10" t="s">
        <v>372</v>
      </c>
      <c r="B350" s="10" t="s">
        <v>39</v>
      </c>
      <c r="C350" s="10">
        <v>24</v>
      </c>
    </row>
    <row r="351" spans="1:3">
      <c r="A351" s="10" t="s">
        <v>373</v>
      </c>
      <c r="B351" s="10" t="s">
        <v>42</v>
      </c>
      <c r="C351" s="10">
        <v>35</v>
      </c>
    </row>
    <row r="352" spans="1:3">
      <c r="A352" s="10" t="s">
        <v>374</v>
      </c>
      <c r="B352" s="10" t="s">
        <v>50</v>
      </c>
      <c r="C352" s="10">
        <v>32</v>
      </c>
    </row>
    <row r="353" spans="1:3">
      <c r="A353" s="10" t="s">
        <v>375</v>
      </c>
      <c r="B353" s="10" t="s">
        <v>37</v>
      </c>
      <c r="C353" s="10">
        <v>20</v>
      </c>
    </row>
    <row r="354" spans="1:3">
      <c r="A354" s="10" t="s">
        <v>376</v>
      </c>
      <c r="B354" s="10" t="s">
        <v>42</v>
      </c>
      <c r="C354" s="10">
        <v>34</v>
      </c>
    </row>
    <row r="355" spans="1:3">
      <c r="A355" s="10" t="s">
        <v>377</v>
      </c>
      <c r="B355" s="10" t="s">
        <v>50</v>
      </c>
      <c r="C355" s="10">
        <v>29</v>
      </c>
    </row>
    <row r="356" spans="1:3">
      <c r="A356" s="10" t="s">
        <v>378</v>
      </c>
      <c r="B356" s="10" t="s">
        <v>37</v>
      </c>
      <c r="C356" s="10">
        <v>26</v>
      </c>
    </row>
    <row r="357" spans="1:3">
      <c r="A357" s="10" t="s">
        <v>379</v>
      </c>
      <c r="B357" s="10" t="s">
        <v>39</v>
      </c>
      <c r="C357" s="10">
        <v>25</v>
      </c>
    </row>
    <row r="358" spans="1:3">
      <c r="A358" s="10" t="s">
        <v>380</v>
      </c>
      <c r="B358" s="10" t="s">
        <v>39</v>
      </c>
      <c r="C358" s="10">
        <v>44</v>
      </c>
    </row>
    <row r="359" spans="1:3">
      <c r="A359" s="10" t="s">
        <v>381</v>
      </c>
      <c r="B359" s="10" t="s">
        <v>42</v>
      </c>
      <c r="C359" s="10">
        <v>28</v>
      </c>
    </row>
    <row r="360" spans="1:3">
      <c r="A360" s="10" t="s">
        <v>382</v>
      </c>
      <c r="B360" s="10" t="s">
        <v>301</v>
      </c>
      <c r="C360" s="10">
        <v>35</v>
      </c>
    </row>
    <row r="361" spans="1:3">
      <c r="A361" s="10" t="s">
        <v>383</v>
      </c>
      <c r="B361" s="10" t="s">
        <v>31</v>
      </c>
      <c r="C361" s="10">
        <v>30</v>
      </c>
    </row>
    <row r="362" spans="1:3">
      <c r="A362" s="10" t="s">
        <v>384</v>
      </c>
      <c r="B362" s="10" t="s">
        <v>37</v>
      </c>
      <c r="C362" s="10">
        <v>24</v>
      </c>
    </row>
    <row r="363" spans="1:3">
      <c r="A363" s="10" t="s">
        <v>385</v>
      </c>
      <c r="B363" s="10" t="s">
        <v>39</v>
      </c>
      <c r="C363" s="10">
        <v>18</v>
      </c>
    </row>
    <row r="364" spans="1:3">
      <c r="A364" s="10" t="s">
        <v>386</v>
      </c>
      <c r="B364" s="10" t="s">
        <v>42</v>
      </c>
      <c r="C364" s="10">
        <v>34</v>
      </c>
    </row>
    <row r="365" spans="1:3">
      <c r="A365" s="10" t="s">
        <v>387</v>
      </c>
      <c r="B365" s="10" t="s">
        <v>34</v>
      </c>
      <c r="C365" s="10">
        <v>20</v>
      </c>
    </row>
    <row r="366" spans="1:3">
      <c r="A366" s="10" t="s">
        <v>388</v>
      </c>
      <c r="B366" s="10" t="s">
        <v>50</v>
      </c>
      <c r="C366" s="10">
        <v>24</v>
      </c>
    </row>
    <row r="367" spans="1:3">
      <c r="A367" s="10" t="s">
        <v>389</v>
      </c>
      <c r="B367" s="10" t="s">
        <v>39</v>
      </c>
      <c r="C367" s="10">
        <v>41</v>
      </c>
    </row>
    <row r="368" spans="1:3">
      <c r="A368" s="10" t="s">
        <v>390</v>
      </c>
      <c r="B368" s="10" t="s">
        <v>42</v>
      </c>
      <c r="C368" s="10">
        <v>26</v>
      </c>
    </row>
    <row r="369" spans="1:3">
      <c r="A369" s="10" t="s">
        <v>391</v>
      </c>
      <c r="B369" s="10" t="s">
        <v>42</v>
      </c>
      <c r="C369" s="10">
        <v>53</v>
      </c>
    </row>
    <row r="370" spans="1:3">
      <c r="A370" s="10" t="s">
        <v>392</v>
      </c>
      <c r="B370" s="10" t="s">
        <v>301</v>
      </c>
      <c r="C370" s="10">
        <v>35</v>
      </c>
    </row>
    <row r="371" spans="1:3">
      <c r="A371" s="10" t="s">
        <v>393</v>
      </c>
      <c r="B371" s="10" t="s">
        <v>31</v>
      </c>
      <c r="C371" s="10">
        <v>5</v>
      </c>
    </row>
    <row r="372" spans="1:3">
      <c r="A372" s="10" t="s">
        <v>394</v>
      </c>
      <c r="B372" s="10" t="s">
        <v>50</v>
      </c>
      <c r="C372" s="10">
        <v>23</v>
      </c>
    </row>
    <row r="373" spans="1:3">
      <c r="A373" s="10" t="s">
        <v>395</v>
      </c>
      <c r="B373" s="10" t="s">
        <v>39</v>
      </c>
      <c r="C373" s="10">
        <v>21</v>
      </c>
    </row>
    <row r="374" spans="1:3">
      <c r="A374" s="10" t="s">
        <v>396</v>
      </c>
      <c r="B374" s="10" t="s">
        <v>39</v>
      </c>
      <c r="C374" s="10">
        <v>27</v>
      </c>
    </row>
    <row r="375" spans="1:3">
      <c r="A375" s="10" t="s">
        <v>397</v>
      </c>
      <c r="B375" s="10" t="s">
        <v>301</v>
      </c>
      <c r="C375" s="10">
        <v>44</v>
      </c>
    </row>
    <row r="376" spans="1:3">
      <c r="A376" s="10" t="s">
        <v>398</v>
      </c>
      <c r="B376" s="10" t="s">
        <v>37</v>
      </c>
      <c r="C376" s="10">
        <v>28</v>
      </c>
    </row>
    <row r="377" spans="1:3">
      <c r="A377" s="10" t="s">
        <v>399</v>
      </c>
      <c r="B377" s="10" t="s">
        <v>39</v>
      </c>
      <c r="C377" s="10">
        <v>34</v>
      </c>
    </row>
    <row r="378" spans="1:3">
      <c r="A378" s="10" t="s">
        <v>400</v>
      </c>
      <c r="B378" s="10" t="s">
        <v>39</v>
      </c>
      <c r="C378" s="10">
        <v>11</v>
      </c>
    </row>
    <row r="379" spans="1:3">
      <c r="A379" s="10" t="s">
        <v>401</v>
      </c>
      <c r="B379" s="10" t="s">
        <v>42</v>
      </c>
      <c r="C379" s="10">
        <v>22</v>
      </c>
    </row>
    <row r="380" spans="1:3">
      <c r="A380" s="10" t="s">
        <v>402</v>
      </c>
      <c r="B380" s="10" t="s">
        <v>42</v>
      </c>
      <c r="C380" s="10">
        <v>29</v>
      </c>
    </row>
    <row r="381" spans="1:3">
      <c r="A381" s="10" t="s">
        <v>403</v>
      </c>
      <c r="B381" s="10" t="s">
        <v>301</v>
      </c>
      <c r="C381" s="10">
        <v>31</v>
      </c>
    </row>
    <row r="382" spans="1:3">
      <c r="A382" s="10" t="s">
        <v>404</v>
      </c>
      <c r="B382" s="10" t="s">
        <v>50</v>
      </c>
      <c r="C382" s="10">
        <v>25</v>
      </c>
    </row>
    <row r="383" spans="1:3">
      <c r="A383" s="10" t="s">
        <v>405</v>
      </c>
      <c r="B383" s="10" t="s">
        <v>37</v>
      </c>
      <c r="C383" s="10">
        <v>46</v>
      </c>
    </row>
    <row r="384" spans="1:3">
      <c r="A384" s="10" t="s">
        <v>406</v>
      </c>
      <c r="B384" s="10" t="s">
        <v>39</v>
      </c>
      <c r="C384" s="10">
        <v>27</v>
      </c>
    </row>
    <row r="385" spans="1:3">
      <c r="A385" s="10" t="s">
        <v>407</v>
      </c>
      <c r="B385" s="10" t="s">
        <v>39</v>
      </c>
      <c r="C385" s="10">
        <v>36</v>
      </c>
    </row>
    <row r="386" spans="1:3">
      <c r="A386" s="10" t="s">
        <v>408</v>
      </c>
      <c r="B386" s="10" t="s">
        <v>42</v>
      </c>
      <c r="C386" s="10">
        <v>36</v>
      </c>
    </row>
    <row r="387" spans="1:3">
      <c r="A387" s="10" t="s">
        <v>409</v>
      </c>
      <c r="B387" s="10" t="s">
        <v>301</v>
      </c>
      <c r="C387" s="10">
        <v>12</v>
      </c>
    </row>
    <row r="388" spans="1:3">
      <c r="A388" s="10" t="s">
        <v>410</v>
      </c>
      <c r="B388" s="10" t="s">
        <v>31</v>
      </c>
      <c r="C388" s="10">
        <v>33</v>
      </c>
    </row>
    <row r="389" spans="1:3">
      <c r="A389" s="10" t="s">
        <v>411</v>
      </c>
      <c r="B389" s="10" t="s">
        <v>34</v>
      </c>
      <c r="C389" s="10">
        <v>29</v>
      </c>
    </row>
    <row r="390" spans="1:3">
      <c r="A390" s="10" t="s">
        <v>412</v>
      </c>
      <c r="B390" s="10" t="s">
        <v>50</v>
      </c>
      <c r="C390" s="10">
        <v>24</v>
      </c>
    </row>
    <row r="391" spans="1:3">
      <c r="A391" s="10" t="s">
        <v>413</v>
      </c>
      <c r="B391" s="10" t="s">
        <v>39</v>
      </c>
      <c r="C391" s="10">
        <v>17</v>
      </c>
    </row>
    <row r="392" spans="1:3">
      <c r="A392" s="10" t="s">
        <v>414</v>
      </c>
      <c r="B392" s="10" t="s">
        <v>42</v>
      </c>
      <c r="C392" s="10">
        <v>18</v>
      </c>
    </row>
    <row r="393" spans="1:3">
      <c r="A393" s="10" t="s">
        <v>415</v>
      </c>
      <c r="B393" s="10" t="s">
        <v>42</v>
      </c>
      <c r="C393" s="10">
        <v>37</v>
      </c>
    </row>
    <row r="394" spans="1:3">
      <c r="A394" s="10" t="s">
        <v>416</v>
      </c>
      <c r="B394" s="10" t="s">
        <v>301</v>
      </c>
      <c r="C394" s="10">
        <v>32</v>
      </c>
    </row>
    <row r="395" spans="1:3">
      <c r="A395" s="10" t="s">
        <v>417</v>
      </c>
      <c r="B395" s="10" t="s">
        <v>37</v>
      </c>
      <c r="C395" s="10">
        <v>36</v>
      </c>
    </row>
    <row r="396" spans="1:3">
      <c r="A396" s="10" t="s">
        <v>418</v>
      </c>
      <c r="B396" s="10" t="s">
        <v>31</v>
      </c>
      <c r="C396" s="10">
        <v>31</v>
      </c>
    </row>
    <row r="397" spans="1:3">
      <c r="A397" s="10" t="s">
        <v>419</v>
      </c>
      <c r="B397" s="10" t="s">
        <v>34</v>
      </c>
      <c r="C397" s="10">
        <v>35</v>
      </c>
    </row>
    <row r="398" spans="1:3">
      <c r="A398" s="10" t="s">
        <v>420</v>
      </c>
      <c r="B398" s="10" t="s">
        <v>37</v>
      </c>
      <c r="C398" s="10">
        <v>23</v>
      </c>
    </row>
    <row r="399" spans="1:3">
      <c r="A399" s="10" t="s">
        <v>421</v>
      </c>
      <c r="B399" s="10" t="s">
        <v>39</v>
      </c>
      <c r="C399" s="10">
        <v>14</v>
      </c>
    </row>
    <row r="400" spans="1:3">
      <c r="A400" s="10" t="s">
        <v>422</v>
      </c>
      <c r="B400" s="10" t="s">
        <v>39</v>
      </c>
      <c r="C400" s="10">
        <v>30</v>
      </c>
    </row>
    <row r="401" spans="1:3">
      <c r="A401" s="10" t="s">
        <v>423</v>
      </c>
      <c r="B401" s="10" t="s">
        <v>42</v>
      </c>
      <c r="C401" s="10">
        <v>43</v>
      </c>
    </row>
    <row r="402" spans="1:3">
      <c r="A402" s="10" t="s">
        <v>424</v>
      </c>
      <c r="C402" s="10">
        <v>39</v>
      </c>
    </row>
    <row r="403" spans="1:3">
      <c r="A403" s="10" t="s">
        <v>425</v>
      </c>
      <c r="B403" s="10" t="s">
        <v>301</v>
      </c>
      <c r="C403" s="10">
        <v>16</v>
      </c>
    </row>
    <row r="404" spans="1:3">
      <c r="A404" s="10" t="s">
        <v>426</v>
      </c>
      <c r="B404" s="10" t="s">
        <v>50</v>
      </c>
      <c r="C404" s="10">
        <v>34</v>
      </c>
    </row>
    <row r="405" spans="1:3">
      <c r="A405" s="10" t="s">
        <v>427</v>
      </c>
      <c r="B405" s="10" t="s">
        <v>37</v>
      </c>
      <c r="C405" s="10">
        <v>16</v>
      </c>
    </row>
    <row r="406" spans="1:3">
      <c r="A406" s="10" t="s">
        <v>428</v>
      </c>
      <c r="B406" s="10" t="s">
        <v>39</v>
      </c>
      <c r="C406" s="10">
        <v>27</v>
      </c>
    </row>
    <row r="407" spans="1:3">
      <c r="A407" s="10" t="s">
        <v>429</v>
      </c>
      <c r="B407" s="10" t="s">
        <v>39</v>
      </c>
      <c r="C407" s="10">
        <v>37</v>
      </c>
    </row>
    <row r="408" spans="1:3">
      <c r="A408" s="10" t="s">
        <v>430</v>
      </c>
      <c r="B408" s="10" t="s">
        <v>301</v>
      </c>
      <c r="C408" s="10">
        <v>21</v>
      </c>
    </row>
    <row r="409" spans="1:3">
      <c r="A409" s="10" t="s">
        <v>431</v>
      </c>
      <c r="B409" s="10" t="s">
        <v>50</v>
      </c>
      <c r="C409" s="10">
        <v>29</v>
      </c>
    </row>
    <row r="410" spans="1:3">
      <c r="A410" s="10" t="s">
        <v>432</v>
      </c>
      <c r="B410" s="10" t="s">
        <v>37</v>
      </c>
      <c r="C410" s="10">
        <v>34</v>
      </c>
    </row>
    <row r="411" spans="1:3">
      <c r="A411" s="10" t="s">
        <v>433</v>
      </c>
      <c r="B411" s="10" t="s">
        <v>39</v>
      </c>
      <c r="C411" s="10">
        <v>28</v>
      </c>
    </row>
    <row r="412" spans="1:3">
      <c r="A412" s="10" t="s">
        <v>434</v>
      </c>
      <c r="B412" s="10" t="s">
        <v>42</v>
      </c>
      <c r="C412" s="10">
        <v>24</v>
      </c>
    </row>
    <row r="413" spans="1:3">
      <c r="A413" s="10" t="s">
        <v>435</v>
      </c>
      <c r="B413" s="10" t="s">
        <v>301</v>
      </c>
      <c r="C413" s="10">
        <v>20</v>
      </c>
    </row>
    <row r="414" spans="1:3">
      <c r="A414" s="10" t="s">
        <v>436</v>
      </c>
      <c r="B414" s="10" t="s">
        <v>50</v>
      </c>
      <c r="C414" s="10">
        <v>17</v>
      </c>
    </row>
    <row r="415" spans="1:3">
      <c r="A415" s="10" t="s">
        <v>437</v>
      </c>
      <c r="B415" s="10" t="s">
        <v>39</v>
      </c>
      <c r="C415" s="10">
        <v>28</v>
      </c>
    </row>
    <row r="416" spans="1:3">
      <c r="A416" s="10" t="s">
        <v>438</v>
      </c>
      <c r="B416" s="10" t="s">
        <v>39</v>
      </c>
      <c r="C416" s="10">
        <v>20</v>
      </c>
    </row>
    <row r="417" spans="1:3">
      <c r="A417" s="10" t="s">
        <v>439</v>
      </c>
      <c r="B417" s="10" t="s">
        <v>42</v>
      </c>
      <c r="C417" s="10">
        <v>38</v>
      </c>
    </row>
    <row r="418" spans="1:3">
      <c r="A418" s="10" t="s">
        <v>440</v>
      </c>
      <c r="B418" s="10" t="s">
        <v>301</v>
      </c>
      <c r="C418" s="10">
        <v>18</v>
      </c>
    </row>
    <row r="419" spans="1:3">
      <c r="A419" s="10" t="s">
        <v>441</v>
      </c>
      <c r="B419" s="10" t="s">
        <v>34</v>
      </c>
      <c r="C419" s="10">
        <v>22</v>
      </c>
    </row>
    <row r="420" spans="1:3">
      <c r="A420" s="10" t="s">
        <v>442</v>
      </c>
      <c r="B420" s="10" t="s">
        <v>37</v>
      </c>
      <c r="C420" s="10">
        <v>21</v>
      </c>
    </row>
    <row r="421" spans="1:3">
      <c r="A421" s="10" t="s">
        <v>443</v>
      </c>
      <c r="B421" s="10" t="s">
        <v>39</v>
      </c>
      <c r="C421" s="10">
        <v>25</v>
      </c>
    </row>
    <row r="422" spans="1:3">
      <c r="A422" s="10" t="s">
        <v>444</v>
      </c>
      <c r="B422" s="10" t="s">
        <v>39</v>
      </c>
      <c r="C422" s="10">
        <v>31</v>
      </c>
    </row>
    <row r="423" spans="1:3">
      <c r="A423" s="10" t="s">
        <v>445</v>
      </c>
      <c r="B423" s="10" t="s">
        <v>42</v>
      </c>
      <c r="C423" s="10">
        <v>32</v>
      </c>
    </row>
    <row r="424" spans="1:3">
      <c r="A424" s="10" t="s">
        <v>446</v>
      </c>
      <c r="B424" s="10" t="s">
        <v>42</v>
      </c>
      <c r="C424" s="10">
        <v>33</v>
      </c>
    </row>
    <row r="425" spans="1:3">
      <c r="A425" s="10" t="s">
        <v>447</v>
      </c>
      <c r="B425" s="10" t="s">
        <v>34</v>
      </c>
      <c r="C425" s="10">
        <v>8</v>
      </c>
    </row>
    <row r="426" spans="1:3">
      <c r="A426" s="10" t="s">
        <v>448</v>
      </c>
      <c r="B426" s="10" t="s">
        <v>50</v>
      </c>
      <c r="C426" s="10">
        <v>15</v>
      </c>
    </row>
    <row r="427" spans="1:3">
      <c r="A427" s="10" t="s">
        <v>449</v>
      </c>
      <c r="B427" s="10" t="s">
        <v>39</v>
      </c>
      <c r="C427" s="10">
        <v>26</v>
      </c>
    </row>
    <row r="428" spans="1:3">
      <c r="A428" s="10" t="s">
        <v>450</v>
      </c>
      <c r="B428" s="10" t="s">
        <v>37</v>
      </c>
      <c r="C428" s="10">
        <v>20</v>
      </c>
    </row>
    <row r="429" spans="1:3">
      <c r="A429" s="10" t="s">
        <v>451</v>
      </c>
      <c r="B429" s="10" t="s">
        <v>42</v>
      </c>
      <c r="C429" s="10">
        <v>26</v>
      </c>
    </row>
    <row r="430" spans="1:3">
      <c r="A430" s="10" t="s">
        <v>452</v>
      </c>
      <c r="B430" s="10" t="s">
        <v>301</v>
      </c>
      <c r="C430" s="10">
        <v>33</v>
      </c>
    </row>
    <row r="431" spans="1:3">
      <c r="A431" s="10" t="s">
        <v>453</v>
      </c>
      <c r="B431" s="10" t="s">
        <v>31</v>
      </c>
      <c r="C431" s="10">
        <v>23</v>
      </c>
    </row>
    <row r="432" spans="1:3">
      <c r="A432" s="10" t="s">
        <v>454</v>
      </c>
      <c r="B432" s="10" t="s">
        <v>34</v>
      </c>
      <c r="C432" s="10">
        <v>21</v>
      </c>
    </row>
    <row r="433" spans="1:3">
      <c r="A433" s="10" t="s">
        <v>455</v>
      </c>
      <c r="B433" s="10" t="s">
        <v>39</v>
      </c>
      <c r="C433" s="10">
        <v>43</v>
      </c>
    </row>
    <row r="434" spans="1:3">
      <c r="A434" s="10" t="s">
        <v>456</v>
      </c>
      <c r="B434" s="10" t="s">
        <v>39</v>
      </c>
      <c r="C434" s="10">
        <v>36</v>
      </c>
    </row>
    <row r="435" spans="1:3">
      <c r="A435" s="10" t="s">
        <v>457</v>
      </c>
      <c r="B435" s="10" t="s">
        <v>42</v>
      </c>
      <c r="C435" s="10">
        <v>34</v>
      </c>
    </row>
    <row r="436" spans="1:3">
      <c r="A436" s="10" t="s">
        <v>458</v>
      </c>
      <c r="B436" s="10" t="s">
        <v>42</v>
      </c>
      <c r="C436" s="10">
        <v>25</v>
      </c>
    </row>
    <row r="437" spans="1:3">
      <c r="A437" s="10" t="s">
        <v>459</v>
      </c>
      <c r="B437" s="10" t="s">
        <v>301</v>
      </c>
      <c r="C437" s="10">
        <v>14</v>
      </c>
    </row>
    <row r="438" spans="1:3">
      <c r="A438" s="10" t="s">
        <v>460</v>
      </c>
      <c r="B438" s="10" t="s">
        <v>31</v>
      </c>
      <c r="C438" s="10">
        <v>24</v>
      </c>
    </row>
    <row r="439" spans="1:3">
      <c r="A439" s="10" t="s">
        <v>461</v>
      </c>
      <c r="B439" s="10" t="s">
        <v>39</v>
      </c>
      <c r="C439" s="10">
        <v>38</v>
      </c>
    </row>
    <row r="440" spans="1:3">
      <c r="A440" s="10" t="s">
        <v>462</v>
      </c>
      <c r="B440" s="10" t="s">
        <v>42</v>
      </c>
      <c r="C440" s="10">
        <v>61</v>
      </c>
    </row>
    <row r="441" spans="1:3">
      <c r="A441" s="10" t="s">
        <v>463</v>
      </c>
      <c r="B441" s="10" t="s">
        <v>301</v>
      </c>
      <c r="C441" s="10">
        <v>30</v>
      </c>
    </row>
    <row r="442" spans="1:3">
      <c r="A442" s="10" t="s">
        <v>464</v>
      </c>
      <c r="B442" s="10" t="s">
        <v>34</v>
      </c>
      <c r="C442" s="10">
        <v>41</v>
      </c>
    </row>
    <row r="443" spans="1:3">
      <c r="A443" s="10" t="s">
        <v>465</v>
      </c>
      <c r="B443" s="10" t="s">
        <v>39</v>
      </c>
      <c r="C443" s="10">
        <v>28</v>
      </c>
    </row>
    <row r="444" spans="1:3">
      <c r="A444" s="10" t="s">
        <v>466</v>
      </c>
      <c r="B444" s="10" t="s">
        <v>39</v>
      </c>
      <c r="C444" s="10">
        <v>27</v>
      </c>
    </row>
    <row r="445" spans="1:3">
      <c r="A445" s="10" t="s">
        <v>467</v>
      </c>
      <c r="B445" s="10" t="s">
        <v>42</v>
      </c>
      <c r="C445" s="10">
        <v>28</v>
      </c>
    </row>
    <row r="446" spans="1:3">
      <c r="A446" s="10" t="s">
        <v>468</v>
      </c>
      <c r="B446" s="10" t="s">
        <v>301</v>
      </c>
      <c r="C446" s="10">
        <v>14</v>
      </c>
    </row>
    <row r="447" spans="1:3">
      <c r="A447" s="10" t="s">
        <v>469</v>
      </c>
      <c r="B447" s="10" t="s">
        <v>31</v>
      </c>
      <c r="C447" s="10">
        <v>30</v>
      </c>
    </row>
    <row r="448" spans="1:3">
      <c r="A448" s="10" t="s">
        <v>470</v>
      </c>
      <c r="B448" s="10" t="s">
        <v>34</v>
      </c>
      <c r="C448" s="10">
        <v>13</v>
      </c>
    </row>
    <row r="449" spans="1:3">
      <c r="A449" s="10" t="s">
        <v>471</v>
      </c>
      <c r="B449" s="10" t="s">
        <v>50</v>
      </c>
      <c r="C449" s="10">
        <v>45</v>
      </c>
    </row>
    <row r="450" spans="1:3">
      <c r="A450" s="10" t="s">
        <v>472</v>
      </c>
      <c r="B450" s="10" t="s">
        <v>37</v>
      </c>
      <c r="C450" s="10">
        <v>11</v>
      </c>
    </row>
    <row r="451" spans="1:3">
      <c r="A451" s="10" t="s">
        <v>473</v>
      </c>
      <c r="B451" s="10" t="s">
        <v>39</v>
      </c>
      <c r="C451" s="10">
        <v>36</v>
      </c>
    </row>
    <row r="452" spans="1:3">
      <c r="A452" s="10" t="s">
        <v>474</v>
      </c>
      <c r="B452" s="10" t="s">
        <v>42</v>
      </c>
      <c r="C452" s="10">
        <v>27</v>
      </c>
    </row>
    <row r="453" spans="1:3">
      <c r="A453" s="10" t="s">
        <v>475</v>
      </c>
      <c r="B453" s="10" t="s">
        <v>42</v>
      </c>
      <c r="C453" s="10">
        <v>41</v>
      </c>
    </row>
    <row r="454" spans="1:3">
      <c r="A454" s="10" t="s">
        <v>476</v>
      </c>
      <c r="B454" s="10" t="s">
        <v>301</v>
      </c>
      <c r="C454" s="10">
        <v>34</v>
      </c>
    </row>
    <row r="455" spans="1:3">
      <c r="A455" s="10" t="s">
        <v>477</v>
      </c>
      <c r="B455" s="10" t="s">
        <v>31</v>
      </c>
      <c r="C455" s="10">
        <v>51</v>
      </c>
    </row>
    <row r="456" spans="1:3">
      <c r="A456" s="10" t="s">
        <v>478</v>
      </c>
      <c r="B456" s="10" t="s">
        <v>34</v>
      </c>
      <c r="C456" s="10">
        <v>38</v>
      </c>
    </row>
    <row r="457" spans="1:3">
      <c r="A457" s="10" t="s">
        <v>479</v>
      </c>
      <c r="B457" s="10" t="s">
        <v>50</v>
      </c>
      <c r="C457" s="10">
        <v>19</v>
      </c>
    </row>
    <row r="458" spans="1:3">
      <c r="A458" s="10" t="s">
        <v>480</v>
      </c>
      <c r="B458" s="10" t="s">
        <v>39</v>
      </c>
      <c r="C458" s="10">
        <v>9</v>
      </c>
    </row>
    <row r="459" spans="1:3">
      <c r="A459" s="10" t="s">
        <v>481</v>
      </c>
      <c r="B459" s="10" t="s">
        <v>39</v>
      </c>
      <c r="C459" s="10">
        <v>19</v>
      </c>
    </row>
    <row r="460" spans="1:3">
      <c r="A460" s="10" t="s">
        <v>482</v>
      </c>
      <c r="B460" s="10" t="s">
        <v>42</v>
      </c>
      <c r="C460" s="10">
        <v>24</v>
      </c>
    </row>
    <row r="461" spans="1:3">
      <c r="A461" s="10" t="s">
        <v>483</v>
      </c>
      <c r="C461" s="10">
        <v>29</v>
      </c>
    </row>
    <row r="462" spans="1:3">
      <c r="A462" s="10" t="s">
        <v>484</v>
      </c>
      <c r="B462" s="10" t="s">
        <v>34</v>
      </c>
      <c r="C462" s="10">
        <v>30</v>
      </c>
    </row>
    <row r="463" spans="1:3">
      <c r="A463" s="10" t="s">
        <v>485</v>
      </c>
      <c r="B463" s="10" t="s">
        <v>50</v>
      </c>
      <c r="C463" s="10">
        <v>25</v>
      </c>
    </row>
    <row r="464" spans="1:3">
      <c r="A464" s="10" t="s">
        <v>486</v>
      </c>
      <c r="B464" s="10" t="s">
        <v>37</v>
      </c>
      <c r="C464" s="10">
        <v>10</v>
      </c>
    </row>
    <row r="465" spans="1:3">
      <c r="A465" s="10" t="s">
        <v>487</v>
      </c>
      <c r="B465" s="10" t="s">
        <v>39</v>
      </c>
      <c r="C465" s="10">
        <v>35</v>
      </c>
    </row>
    <row r="466" spans="1:3">
      <c r="A466" s="10" t="s">
        <v>488</v>
      </c>
      <c r="B466" s="10" t="s">
        <v>39</v>
      </c>
      <c r="C466" s="10">
        <v>43</v>
      </c>
    </row>
    <row r="467" spans="1:3">
      <c r="A467" s="10" t="s">
        <v>489</v>
      </c>
      <c r="B467" s="10" t="s">
        <v>42</v>
      </c>
      <c r="C467" s="10">
        <v>30</v>
      </c>
    </row>
    <row r="468" spans="1:3">
      <c r="A468" s="10" t="s">
        <v>490</v>
      </c>
      <c r="B468" s="10" t="s">
        <v>42</v>
      </c>
      <c r="C468" s="10">
        <v>13</v>
      </c>
    </row>
    <row r="469" spans="1:3">
      <c r="A469" s="10" t="s">
        <v>491</v>
      </c>
      <c r="B469" s="10" t="s">
        <v>301</v>
      </c>
      <c r="C469" s="10">
        <v>34</v>
      </c>
    </row>
    <row r="470" spans="1:3">
      <c r="A470" s="10" t="s">
        <v>492</v>
      </c>
      <c r="B470" s="10" t="s">
        <v>31</v>
      </c>
      <c r="C470" s="10">
        <v>42</v>
      </c>
    </row>
    <row r="471" spans="1:3">
      <c r="A471" s="10" t="s">
        <v>493</v>
      </c>
      <c r="B471" s="10" t="s">
        <v>34</v>
      </c>
      <c r="C471" s="10">
        <v>18</v>
      </c>
    </row>
    <row r="472" spans="1:3">
      <c r="A472" s="10" t="s">
        <v>494</v>
      </c>
      <c r="B472" s="10" t="s">
        <v>50</v>
      </c>
      <c r="C472" s="10">
        <v>18</v>
      </c>
    </row>
    <row r="473" spans="1:3">
      <c r="A473" s="10" t="s">
        <v>495</v>
      </c>
      <c r="B473" s="10" t="s">
        <v>37</v>
      </c>
      <c r="C473" s="10">
        <v>18</v>
      </c>
    </row>
    <row r="474" spans="1:3">
      <c r="A474" s="10" t="s">
        <v>496</v>
      </c>
      <c r="B474" s="10" t="s">
        <v>39</v>
      </c>
      <c r="C474" s="10">
        <v>28</v>
      </c>
    </row>
    <row r="475" spans="1:3">
      <c r="A475" s="10" t="s">
        <v>497</v>
      </c>
      <c r="B475" s="10" t="s">
        <v>39</v>
      </c>
      <c r="C475" s="10">
        <v>17</v>
      </c>
    </row>
    <row r="476" spans="1:3">
      <c r="A476" s="10" t="s">
        <v>498</v>
      </c>
      <c r="B476" s="10" t="s">
        <v>31</v>
      </c>
      <c r="C476" s="10">
        <v>36</v>
      </c>
    </row>
    <row r="477" spans="1:3">
      <c r="A477" s="10" t="s">
        <v>499</v>
      </c>
      <c r="B477" s="10" t="s">
        <v>50</v>
      </c>
      <c r="C477" s="10">
        <v>24</v>
      </c>
    </row>
    <row r="478" spans="1:3">
      <c r="A478" s="10" t="s">
        <v>500</v>
      </c>
      <c r="B478" s="10" t="s">
        <v>39</v>
      </c>
      <c r="C478" s="10">
        <v>21</v>
      </c>
    </row>
    <row r="479" spans="1:3">
      <c r="A479" s="10" t="s">
        <v>501</v>
      </c>
      <c r="B479" s="10" t="s">
        <v>42</v>
      </c>
      <c r="C479" s="10">
        <v>24</v>
      </c>
    </row>
    <row r="480" spans="1:3">
      <c r="A480" s="10" t="s">
        <v>502</v>
      </c>
      <c r="B480" s="10" t="s">
        <v>301</v>
      </c>
      <c r="C480" s="10">
        <v>25</v>
      </c>
    </row>
    <row r="481" spans="1:3">
      <c r="A481" s="10" t="s">
        <v>503</v>
      </c>
      <c r="B481" s="10" t="s">
        <v>34</v>
      </c>
      <c r="C481" s="10">
        <v>43</v>
      </c>
    </row>
    <row r="482" spans="1:3">
      <c r="A482" s="10" t="s">
        <v>504</v>
      </c>
      <c r="B482" s="10" t="s">
        <v>37</v>
      </c>
      <c r="C482" s="10">
        <v>32</v>
      </c>
    </row>
    <row r="483" spans="1:3">
      <c r="A483" s="10" t="s">
        <v>505</v>
      </c>
      <c r="B483" s="10" t="s">
        <v>31</v>
      </c>
      <c r="C483" s="10">
        <v>29</v>
      </c>
    </row>
    <row r="484" spans="1:3">
      <c r="A484" s="10" t="s">
        <v>506</v>
      </c>
      <c r="B484" s="10" t="s">
        <v>34</v>
      </c>
      <c r="C484" s="10">
        <v>36</v>
      </c>
    </row>
    <row r="485" spans="1:3">
      <c r="A485" s="10" t="s">
        <v>507</v>
      </c>
      <c r="B485" s="10" t="s">
        <v>39</v>
      </c>
      <c r="C485" s="10">
        <v>19</v>
      </c>
    </row>
    <row r="486" spans="1:3">
      <c r="A486" s="10" t="s">
        <v>508</v>
      </c>
      <c r="B486" s="10" t="s">
        <v>42</v>
      </c>
      <c r="C486" s="10">
        <v>46</v>
      </c>
    </row>
    <row r="487" spans="1:3">
      <c r="A487" s="10" t="s">
        <v>509</v>
      </c>
      <c r="B487" s="10" t="s">
        <v>31</v>
      </c>
      <c r="C487" s="10">
        <v>27</v>
      </c>
    </row>
    <row r="488" spans="1:3">
      <c r="A488" s="10" t="s">
        <v>510</v>
      </c>
      <c r="B488" s="10" t="s">
        <v>50</v>
      </c>
      <c r="C488" s="10">
        <v>32</v>
      </c>
    </row>
    <row r="489" spans="1:3">
      <c r="A489" s="10" t="s">
        <v>511</v>
      </c>
      <c r="B489" s="10" t="s">
        <v>39</v>
      </c>
      <c r="C489" s="10">
        <v>27</v>
      </c>
    </row>
    <row r="490" spans="1:3">
      <c r="A490" s="10" t="s">
        <v>512</v>
      </c>
      <c r="B490" s="10" t="s">
        <v>39</v>
      </c>
      <c r="C490" s="10">
        <v>13</v>
      </c>
    </row>
    <row r="491" spans="1:3">
      <c r="A491" s="10" t="s">
        <v>513</v>
      </c>
      <c r="B491" s="10" t="s">
        <v>42</v>
      </c>
      <c r="C491" s="10">
        <v>45</v>
      </c>
    </row>
    <row r="492" spans="1:3">
      <c r="A492" s="10" t="s">
        <v>514</v>
      </c>
      <c r="B492" s="10" t="s">
        <v>31</v>
      </c>
      <c r="C492" s="10">
        <v>14</v>
      </c>
    </row>
    <row r="493" spans="1:3">
      <c r="A493" s="10" t="s">
        <v>515</v>
      </c>
      <c r="B493" s="10" t="s">
        <v>34</v>
      </c>
      <c r="C493" s="10">
        <v>24</v>
      </c>
    </row>
    <row r="494" spans="1:3">
      <c r="A494" s="10" t="s">
        <v>516</v>
      </c>
      <c r="B494" s="10" t="s">
        <v>37</v>
      </c>
      <c r="C494" s="10">
        <v>42</v>
      </c>
    </row>
    <row r="495" spans="1:3">
      <c r="A495" s="10" t="s">
        <v>517</v>
      </c>
      <c r="B495" s="10" t="s">
        <v>39</v>
      </c>
      <c r="C495" s="10">
        <v>22</v>
      </c>
    </row>
    <row r="496" spans="1:3">
      <c r="A496" s="10" t="s">
        <v>518</v>
      </c>
      <c r="B496" s="10" t="s">
        <v>39</v>
      </c>
      <c r="C496" s="10">
        <v>17</v>
      </c>
    </row>
    <row r="497" spans="1:3">
      <c r="A497" s="10" t="s">
        <v>519</v>
      </c>
      <c r="B497" s="10" t="s">
        <v>42</v>
      </c>
      <c r="C497" s="10">
        <v>33</v>
      </c>
    </row>
    <row r="498" spans="1:3">
      <c r="A498" s="10" t="s">
        <v>520</v>
      </c>
      <c r="B498" s="10" t="s">
        <v>301</v>
      </c>
      <c r="C498" s="10">
        <v>18</v>
      </c>
    </row>
    <row r="499" spans="1:3">
      <c r="A499" s="10" t="s">
        <v>521</v>
      </c>
      <c r="B499" s="10" t="s">
        <v>31</v>
      </c>
      <c r="C499" s="10">
        <v>47</v>
      </c>
    </row>
    <row r="500" spans="1:3">
      <c r="A500" s="10" t="s">
        <v>522</v>
      </c>
      <c r="B500" s="10" t="s">
        <v>50</v>
      </c>
      <c r="C500" s="10">
        <v>22</v>
      </c>
    </row>
    <row r="501" spans="1:3">
      <c r="A501" s="10" t="s">
        <v>523</v>
      </c>
      <c r="B501" s="10" t="s">
        <v>37</v>
      </c>
      <c r="C501" s="10">
        <v>42</v>
      </c>
    </row>
    <row r="502" spans="1:3">
      <c r="A502" s="10" t="s">
        <v>524</v>
      </c>
      <c r="B502" s="10" t="s">
        <v>39</v>
      </c>
      <c r="C502" s="10">
        <v>40</v>
      </c>
    </row>
    <row r="503" spans="1:3">
      <c r="A503" s="10" t="s">
        <v>525</v>
      </c>
      <c r="B503" s="10" t="s">
        <v>39</v>
      </c>
      <c r="C503" s="10">
        <v>19</v>
      </c>
    </row>
    <row r="504" spans="1:3">
      <c r="A504" s="10" t="s">
        <v>526</v>
      </c>
      <c r="B504" s="10" t="s">
        <v>42</v>
      </c>
      <c r="C504" s="10">
        <v>25</v>
      </c>
    </row>
    <row r="505" spans="1:3">
      <c r="A505" s="10" t="s">
        <v>527</v>
      </c>
      <c r="B505" s="10" t="s">
        <v>42</v>
      </c>
      <c r="C505" s="10">
        <v>33</v>
      </c>
    </row>
    <row r="506" spans="1:3">
      <c r="A506" s="10" t="s">
        <v>528</v>
      </c>
      <c r="B506" s="10" t="s">
        <v>31</v>
      </c>
      <c r="C506" s="10">
        <v>16</v>
      </c>
    </row>
    <row r="507" spans="1:3">
      <c r="A507" s="10" t="s">
        <v>529</v>
      </c>
      <c r="B507" s="10" t="s">
        <v>34</v>
      </c>
      <c r="C507" s="10">
        <v>7</v>
      </c>
    </row>
    <row r="508" spans="1:3">
      <c r="A508" s="10" t="s">
        <v>530</v>
      </c>
      <c r="B508" s="10" t="s">
        <v>50</v>
      </c>
      <c r="C508" s="10">
        <v>9</v>
      </c>
    </row>
    <row r="509" spans="1:3">
      <c r="A509" s="10" t="s">
        <v>531</v>
      </c>
      <c r="B509" s="10" t="s">
        <v>37</v>
      </c>
      <c r="C509" s="10">
        <v>30</v>
      </c>
    </row>
    <row r="510" spans="1:3">
      <c r="A510" s="10" t="s">
        <v>532</v>
      </c>
      <c r="B510" s="10" t="s">
        <v>39</v>
      </c>
      <c r="C510" s="10">
        <v>19</v>
      </c>
    </row>
    <row r="511" spans="1:3">
      <c r="A511" s="10" t="s">
        <v>533</v>
      </c>
      <c r="B511" s="10" t="s">
        <v>42</v>
      </c>
      <c r="C511" s="10">
        <v>37</v>
      </c>
    </row>
    <row r="512" spans="1:3">
      <c r="A512" s="10" t="s">
        <v>534</v>
      </c>
      <c r="B512" s="10" t="s">
        <v>31</v>
      </c>
      <c r="C512" s="10">
        <v>21</v>
      </c>
    </row>
    <row r="513" spans="1:3">
      <c r="A513" s="10" t="s">
        <v>535</v>
      </c>
      <c r="B513" s="10" t="s">
        <v>34</v>
      </c>
      <c r="C513" s="10">
        <v>24</v>
      </c>
    </row>
    <row r="514" spans="1:3">
      <c r="A514" s="10" t="s">
        <v>536</v>
      </c>
      <c r="B514" s="10" t="s">
        <v>50</v>
      </c>
      <c r="C514" s="10">
        <v>26</v>
      </c>
    </row>
    <row r="515" spans="1:3">
      <c r="A515" s="10" t="s">
        <v>537</v>
      </c>
      <c r="B515" s="10" t="s">
        <v>42</v>
      </c>
      <c r="C515" s="10">
        <v>15</v>
      </c>
    </row>
    <row r="516" spans="1:3">
      <c r="A516" s="10" t="s">
        <v>538</v>
      </c>
      <c r="B516" s="10" t="s">
        <v>31</v>
      </c>
      <c r="C516" s="10">
        <v>22</v>
      </c>
    </row>
    <row r="517" spans="1:3">
      <c r="A517" s="10" t="s">
        <v>539</v>
      </c>
      <c r="B517" s="10" t="s">
        <v>50</v>
      </c>
      <c r="C517" s="10">
        <v>31</v>
      </c>
    </row>
    <row r="518" spans="1:3">
      <c r="A518" s="10" t="s">
        <v>540</v>
      </c>
      <c r="B518" s="10" t="s">
        <v>37</v>
      </c>
      <c r="C518" s="10">
        <v>24</v>
      </c>
    </row>
    <row r="519" spans="1:3">
      <c r="A519" s="10" t="s">
        <v>541</v>
      </c>
      <c r="B519" s="10" t="s">
        <v>39</v>
      </c>
      <c r="C519" s="10">
        <v>22</v>
      </c>
    </row>
    <row r="520" spans="1:3">
      <c r="A520" s="10" t="s">
        <v>542</v>
      </c>
      <c r="B520" s="10" t="s">
        <v>39</v>
      </c>
      <c r="C520" s="10">
        <v>39</v>
      </c>
    </row>
    <row r="521" spans="1:3">
      <c r="A521" s="10" t="s">
        <v>543</v>
      </c>
      <c r="B521" s="10" t="s">
        <v>31</v>
      </c>
      <c r="C521" s="10">
        <v>17</v>
      </c>
    </row>
    <row r="522" spans="1:3">
      <c r="A522" s="10" t="s">
        <v>544</v>
      </c>
      <c r="B522" s="10" t="s">
        <v>50</v>
      </c>
      <c r="C522" s="10">
        <v>17</v>
      </c>
    </row>
    <row r="523" spans="1:3">
      <c r="A523" s="10" t="s">
        <v>545</v>
      </c>
      <c r="B523" s="10" t="s">
        <v>37</v>
      </c>
      <c r="C523" s="10">
        <v>17</v>
      </c>
    </row>
    <row r="524" spans="1:3">
      <c r="A524" s="10" t="s">
        <v>546</v>
      </c>
      <c r="B524" s="10" t="s">
        <v>39</v>
      </c>
      <c r="C524" s="10">
        <v>24</v>
      </c>
    </row>
    <row r="525" spans="1:3">
      <c r="A525" s="10" t="s">
        <v>547</v>
      </c>
      <c r="B525" s="10" t="s">
        <v>42</v>
      </c>
      <c r="C525" s="10">
        <v>33</v>
      </c>
    </row>
    <row r="526" spans="1:3">
      <c r="A526" s="10" t="s">
        <v>548</v>
      </c>
      <c r="B526" s="10" t="s">
        <v>42</v>
      </c>
      <c r="C526" s="10">
        <v>16</v>
      </c>
    </row>
    <row r="527" spans="1:3">
      <c r="A527" s="10" t="s">
        <v>549</v>
      </c>
      <c r="B527" s="10" t="s">
        <v>31</v>
      </c>
      <c r="C527" s="10">
        <v>32</v>
      </c>
    </row>
    <row r="528" spans="1:3">
      <c r="A528" s="10" t="s">
        <v>550</v>
      </c>
      <c r="B528" s="10" t="s">
        <v>50</v>
      </c>
      <c r="C528" s="10">
        <v>4</v>
      </c>
    </row>
    <row r="529" spans="1:3">
      <c r="A529" s="10" t="s">
        <v>551</v>
      </c>
      <c r="B529" s="10" t="s">
        <v>39</v>
      </c>
      <c r="C529" s="10">
        <v>30</v>
      </c>
    </row>
    <row r="530" spans="1:3">
      <c r="A530" s="10" t="s">
        <v>552</v>
      </c>
      <c r="B530" s="10" t="s">
        <v>42</v>
      </c>
      <c r="C530" s="10">
        <v>24</v>
      </c>
    </row>
    <row r="531" spans="1:3">
      <c r="A531" s="10" t="s">
        <v>553</v>
      </c>
      <c r="B531" s="10" t="s">
        <v>31</v>
      </c>
      <c r="C531" s="10">
        <v>17</v>
      </c>
    </row>
    <row r="532" spans="1:3">
      <c r="A532" s="10" t="s">
        <v>554</v>
      </c>
      <c r="B532" s="10" t="s">
        <v>34</v>
      </c>
      <c r="C532" s="10">
        <v>22</v>
      </c>
    </row>
    <row r="533" spans="1:3">
      <c r="A533" s="10" t="s">
        <v>555</v>
      </c>
      <c r="B533" s="10" t="s">
        <v>37</v>
      </c>
      <c r="C533" s="10">
        <v>31</v>
      </c>
    </row>
    <row r="534" spans="1:3">
      <c r="A534" s="10" t="s">
        <v>556</v>
      </c>
      <c r="B534" s="10" t="s">
        <v>39</v>
      </c>
      <c r="C534" s="10">
        <v>23</v>
      </c>
    </row>
    <row r="535" spans="1:3">
      <c r="A535" s="10" t="s">
        <v>557</v>
      </c>
      <c r="B535" s="10" t="s">
        <v>42</v>
      </c>
      <c r="C535" s="10">
        <v>35</v>
      </c>
    </row>
    <row r="536" spans="1:3">
      <c r="A536" s="10" t="s">
        <v>558</v>
      </c>
      <c r="B536" s="10" t="s">
        <v>42</v>
      </c>
      <c r="C536" s="10">
        <v>39</v>
      </c>
    </row>
    <row r="537" spans="1:3">
      <c r="A537" s="10" t="s">
        <v>559</v>
      </c>
      <c r="B537" s="10" t="s">
        <v>31</v>
      </c>
      <c r="C537" s="10">
        <v>50</v>
      </c>
    </row>
    <row r="538" spans="1:3">
      <c r="A538" s="10" t="s">
        <v>560</v>
      </c>
      <c r="B538" s="10" t="s">
        <v>50</v>
      </c>
      <c r="C538" s="10">
        <v>26</v>
      </c>
    </row>
    <row r="539" spans="1:3">
      <c r="A539" s="10" t="s">
        <v>561</v>
      </c>
      <c r="B539" s="10" t="s">
        <v>39</v>
      </c>
      <c r="C539" s="10">
        <v>23</v>
      </c>
    </row>
    <row r="540" spans="1:3">
      <c r="A540" s="10" t="s">
        <v>562</v>
      </c>
      <c r="B540" s="10" t="s">
        <v>42</v>
      </c>
      <c r="C540" s="10">
        <v>37</v>
      </c>
    </row>
    <row r="541" spans="1:3">
      <c r="A541" s="10" t="s">
        <v>563</v>
      </c>
      <c r="B541" s="10" t="s">
        <v>42</v>
      </c>
      <c r="C541" s="10">
        <v>50</v>
      </c>
    </row>
    <row r="542" spans="1:3">
      <c r="A542" s="10" t="s">
        <v>564</v>
      </c>
      <c r="B542" s="10" t="s">
        <v>301</v>
      </c>
      <c r="C542" s="10">
        <v>31</v>
      </c>
    </row>
    <row r="543" spans="1:3">
      <c r="A543" s="10" t="s">
        <v>565</v>
      </c>
      <c r="B543" s="10" t="s">
        <v>31</v>
      </c>
      <c r="C543" s="10">
        <v>23</v>
      </c>
    </row>
    <row r="544" spans="1:3">
      <c r="A544" s="10" t="s">
        <v>566</v>
      </c>
      <c r="B544" s="10" t="s">
        <v>34</v>
      </c>
      <c r="C544" s="10">
        <v>34</v>
      </c>
    </row>
    <row r="545" spans="1:3">
      <c r="A545" s="10" t="s">
        <v>567</v>
      </c>
      <c r="B545" s="10" t="s">
        <v>39</v>
      </c>
      <c r="C545" s="10">
        <v>34</v>
      </c>
    </row>
    <row r="546" spans="1:3">
      <c r="A546" s="10" t="s">
        <v>568</v>
      </c>
      <c r="B546" s="10" t="s">
        <v>42</v>
      </c>
      <c r="C546" s="10">
        <v>33</v>
      </c>
    </row>
    <row r="547" spans="1:3">
      <c r="A547" s="10" t="s">
        <v>569</v>
      </c>
      <c r="B547" s="10" t="s">
        <v>42</v>
      </c>
      <c r="C547" s="10">
        <v>48</v>
      </c>
    </row>
    <row r="548" spans="1:3">
      <c r="A548" s="10" t="s">
        <v>570</v>
      </c>
      <c r="B548" s="10" t="s">
        <v>301</v>
      </c>
      <c r="C548" s="10">
        <v>29</v>
      </c>
    </row>
    <row r="549" spans="1:3">
      <c r="A549" s="10" t="s">
        <v>571</v>
      </c>
      <c r="B549" s="10" t="s">
        <v>34</v>
      </c>
      <c r="C549" s="10">
        <v>35</v>
      </c>
    </row>
    <row r="550" spans="1:3">
      <c r="A550" s="10" t="s">
        <v>572</v>
      </c>
      <c r="B550" s="10" t="s">
        <v>50</v>
      </c>
      <c r="C550" s="10">
        <v>28</v>
      </c>
    </row>
    <row r="551" spans="1:3">
      <c r="A551" s="10" t="s">
        <v>573</v>
      </c>
      <c r="B551" s="10" t="s">
        <v>37</v>
      </c>
      <c r="C551" s="10">
        <v>28</v>
      </c>
    </row>
    <row r="552" spans="1:3">
      <c r="A552" s="10" t="s">
        <v>574</v>
      </c>
      <c r="B552" s="10" t="s">
        <v>39</v>
      </c>
      <c r="C552" s="10">
        <v>19</v>
      </c>
    </row>
    <row r="553" spans="1:3">
      <c r="A553" s="10" t="s">
        <v>575</v>
      </c>
      <c r="C553" s="10">
        <v>22</v>
      </c>
    </row>
    <row r="554" spans="1:3">
      <c r="A554" s="10" t="s">
        <v>576</v>
      </c>
      <c r="B554" s="10" t="s">
        <v>42</v>
      </c>
      <c r="C554" s="10">
        <v>26</v>
      </c>
    </row>
    <row r="555" spans="1:3">
      <c r="A555" s="10" t="s">
        <v>577</v>
      </c>
      <c r="B555" s="10" t="s">
        <v>34</v>
      </c>
      <c r="C555" s="10">
        <v>29</v>
      </c>
    </row>
    <row r="556" spans="1:3">
      <c r="A556" s="10" t="s">
        <v>578</v>
      </c>
      <c r="B556" s="10" t="s">
        <v>37</v>
      </c>
      <c r="C556" s="10">
        <v>35</v>
      </c>
    </row>
    <row r="557" spans="1:3">
      <c r="A557" s="10" t="s">
        <v>579</v>
      </c>
      <c r="B557" s="10" t="s">
        <v>42</v>
      </c>
      <c r="C557" s="10">
        <v>32</v>
      </c>
    </row>
    <row r="558" spans="1:3">
      <c r="A558" s="10" t="s">
        <v>580</v>
      </c>
      <c r="B558" s="10" t="s">
        <v>31</v>
      </c>
      <c r="C558" s="10">
        <v>44</v>
      </c>
    </row>
    <row r="559" spans="1:3">
      <c r="A559" s="10" t="s">
        <v>581</v>
      </c>
      <c r="B559" s="10" t="s">
        <v>34</v>
      </c>
      <c r="C559" s="10">
        <v>32</v>
      </c>
    </row>
    <row r="560" spans="1:3">
      <c r="A560" s="10" t="s">
        <v>582</v>
      </c>
      <c r="B560" s="10" t="s">
        <v>34</v>
      </c>
      <c r="C560" s="10">
        <v>8</v>
      </c>
    </row>
    <row r="561" spans="1:3">
      <c r="A561" s="10" t="s">
        <v>583</v>
      </c>
      <c r="B561" s="10" t="s">
        <v>39</v>
      </c>
      <c r="C561" s="10">
        <v>30</v>
      </c>
    </row>
    <row r="562" spans="1:3">
      <c r="A562" s="10" t="s">
        <v>584</v>
      </c>
      <c r="B562" s="10" t="s">
        <v>42</v>
      </c>
      <c r="C562" s="10">
        <v>42</v>
      </c>
    </row>
    <row r="563" spans="1:3">
      <c r="A563" s="10" t="s">
        <v>585</v>
      </c>
      <c r="B563" s="10" t="s">
        <v>42</v>
      </c>
      <c r="C563" s="10">
        <v>44</v>
      </c>
    </row>
    <row r="564" spans="1:3">
      <c r="A564" s="10" t="s">
        <v>586</v>
      </c>
      <c r="B564" s="10" t="s">
        <v>301</v>
      </c>
      <c r="C564" s="10">
        <v>41</v>
      </c>
    </row>
    <row r="565" spans="1:3">
      <c r="A565" s="10" t="s">
        <v>587</v>
      </c>
      <c r="B565" s="10" t="s">
        <v>31</v>
      </c>
      <c r="C565" s="10">
        <v>19</v>
      </c>
    </row>
    <row r="566" spans="1:3">
      <c r="A566" s="10" t="s">
        <v>588</v>
      </c>
      <c r="B566" s="10" t="s">
        <v>50</v>
      </c>
      <c r="C566" s="10">
        <v>42</v>
      </c>
    </row>
    <row r="567" spans="1:3">
      <c r="A567" s="10" t="s">
        <v>589</v>
      </c>
      <c r="B567" s="10" t="s">
        <v>39</v>
      </c>
      <c r="C567" s="10">
        <v>30</v>
      </c>
    </row>
    <row r="568" spans="1:3">
      <c r="A568" s="10" t="s">
        <v>590</v>
      </c>
      <c r="B568" s="10" t="s">
        <v>42</v>
      </c>
      <c r="C568" s="10">
        <v>13</v>
      </c>
    </row>
    <row r="569" spans="1:3">
      <c r="A569" s="10" t="s">
        <v>591</v>
      </c>
      <c r="B569" s="10" t="s">
        <v>42</v>
      </c>
      <c r="C569" s="10">
        <v>34</v>
      </c>
    </row>
    <row r="570" spans="1:3">
      <c r="A570" s="10" t="s">
        <v>592</v>
      </c>
      <c r="B570" s="10" t="s">
        <v>301</v>
      </c>
      <c r="C570" s="10">
        <v>38</v>
      </c>
    </row>
    <row r="571" spans="1:3">
      <c r="A571" s="10" t="s">
        <v>593</v>
      </c>
      <c r="B571" s="10" t="s">
        <v>31</v>
      </c>
      <c r="C571" s="10">
        <v>17</v>
      </c>
    </row>
    <row r="572" spans="1:3">
      <c r="A572" s="10" t="s">
        <v>594</v>
      </c>
      <c r="B572" s="10" t="s">
        <v>34</v>
      </c>
      <c r="C572" s="10">
        <v>37</v>
      </c>
    </row>
    <row r="573" spans="1:3">
      <c r="A573" s="10" t="s">
        <v>595</v>
      </c>
      <c r="B573" s="10" t="s">
        <v>50</v>
      </c>
      <c r="C573" s="10">
        <v>27</v>
      </c>
    </row>
    <row r="574" spans="1:3">
      <c r="A574" s="10" t="s">
        <v>596</v>
      </c>
      <c r="B574" s="10" t="s">
        <v>39</v>
      </c>
      <c r="C574" s="10">
        <v>36</v>
      </c>
    </row>
    <row r="575" spans="1:3">
      <c r="A575" s="10" t="s">
        <v>597</v>
      </c>
      <c r="B575" s="10" t="s">
        <v>39</v>
      </c>
      <c r="C575" s="10">
        <v>22</v>
      </c>
    </row>
    <row r="576" spans="1:3">
      <c r="A576" s="10" t="s">
        <v>598</v>
      </c>
      <c r="B576" s="10" t="s">
        <v>31</v>
      </c>
      <c r="C576" s="10">
        <v>30</v>
      </c>
    </row>
    <row r="577" spans="1:3">
      <c r="A577" s="10" t="s">
        <v>599</v>
      </c>
      <c r="B577" s="10" t="s">
        <v>34</v>
      </c>
      <c r="C577" s="10">
        <v>10</v>
      </c>
    </row>
    <row r="578" spans="1:3">
      <c r="A578" s="10" t="s">
        <v>600</v>
      </c>
      <c r="B578" s="10" t="s">
        <v>39</v>
      </c>
      <c r="C578" s="10">
        <v>28</v>
      </c>
    </row>
    <row r="579" spans="1:3">
      <c r="A579" s="10" t="s">
        <v>601</v>
      </c>
      <c r="B579" s="10" t="s">
        <v>39</v>
      </c>
      <c r="C579" s="10">
        <v>15</v>
      </c>
    </row>
    <row r="580" spans="1:3">
      <c r="A580" s="10" t="s">
        <v>602</v>
      </c>
      <c r="B580" s="10" t="s">
        <v>42</v>
      </c>
      <c r="C580" s="10">
        <v>35</v>
      </c>
    </row>
    <row r="581" spans="1:3">
      <c r="A581" s="10" t="s">
        <v>603</v>
      </c>
      <c r="B581" s="10" t="s">
        <v>34</v>
      </c>
      <c r="C581" s="10">
        <v>32</v>
      </c>
    </row>
    <row r="582" spans="1:3">
      <c r="A582" s="10" t="s">
        <v>604</v>
      </c>
      <c r="B582" s="10" t="s">
        <v>34</v>
      </c>
      <c r="C582" s="10">
        <v>23</v>
      </c>
    </row>
    <row r="583" spans="1:3">
      <c r="A583" s="10" t="s">
        <v>605</v>
      </c>
      <c r="B583" s="10" t="s">
        <v>37</v>
      </c>
      <c r="C583" s="10">
        <v>24</v>
      </c>
    </row>
    <row r="584" spans="1:3">
      <c r="A584" s="10" t="s">
        <v>606</v>
      </c>
      <c r="B584" s="10" t="s">
        <v>39</v>
      </c>
      <c r="C584" s="10">
        <v>27</v>
      </c>
    </row>
    <row r="585" spans="1:3">
      <c r="A585" s="10" t="s">
        <v>607</v>
      </c>
      <c r="B585" s="10" t="s">
        <v>39</v>
      </c>
      <c r="C585" s="10">
        <v>45</v>
      </c>
    </row>
    <row r="586" spans="1:3">
      <c r="A586" s="10" t="s">
        <v>608</v>
      </c>
      <c r="B586" s="10" t="s">
        <v>42</v>
      </c>
      <c r="C586" s="10">
        <v>25</v>
      </c>
    </row>
    <row r="587" spans="1:3">
      <c r="A587" s="10" t="s">
        <v>609</v>
      </c>
      <c r="B587" s="10" t="s">
        <v>42</v>
      </c>
      <c r="C587" s="10">
        <v>25</v>
      </c>
    </row>
    <row r="588" spans="1:3">
      <c r="A588" s="10" t="s">
        <v>610</v>
      </c>
      <c r="B588" s="10" t="s">
        <v>31</v>
      </c>
      <c r="C588" s="10">
        <v>33</v>
      </c>
    </row>
    <row r="589" spans="1:3">
      <c r="A589" s="10" t="s">
        <v>611</v>
      </c>
      <c r="B589" s="10" t="s">
        <v>34</v>
      </c>
      <c r="C589" s="10">
        <v>30</v>
      </c>
    </row>
    <row r="590" spans="1:3">
      <c r="A590" s="10" t="s">
        <v>612</v>
      </c>
      <c r="B590" s="10" t="s">
        <v>39</v>
      </c>
      <c r="C590" s="10">
        <v>30</v>
      </c>
    </row>
    <row r="591" spans="1:3">
      <c r="A591" s="10" t="s">
        <v>613</v>
      </c>
      <c r="B591" s="10" t="s">
        <v>42</v>
      </c>
      <c r="C591" s="10">
        <v>32</v>
      </c>
    </row>
    <row r="592" spans="1:3">
      <c r="A592" s="10" t="s">
        <v>614</v>
      </c>
      <c r="B592" s="10" t="s">
        <v>301</v>
      </c>
      <c r="C592" s="10">
        <v>30</v>
      </c>
    </row>
    <row r="593" spans="1:3">
      <c r="A593" s="10" t="s">
        <v>615</v>
      </c>
      <c r="B593" s="10" t="s">
        <v>31</v>
      </c>
      <c r="C593" s="10">
        <v>22</v>
      </c>
    </row>
    <row r="594" spans="1:3">
      <c r="A594" s="10" t="s">
        <v>616</v>
      </c>
      <c r="B594" s="10" t="s">
        <v>34</v>
      </c>
      <c r="C594" s="10">
        <v>29</v>
      </c>
    </row>
    <row r="595" spans="1:3">
      <c r="A595" s="10" t="s">
        <v>617</v>
      </c>
      <c r="B595" s="10" t="s">
        <v>50</v>
      </c>
      <c r="C595" s="10">
        <v>14</v>
      </c>
    </row>
    <row r="596" spans="1:3">
      <c r="A596" s="10" t="s">
        <v>618</v>
      </c>
      <c r="B596" s="10" t="s">
        <v>37</v>
      </c>
      <c r="C596" s="10">
        <v>18</v>
      </c>
    </row>
    <row r="597" spans="1:3">
      <c r="A597" s="10" t="s">
        <v>619</v>
      </c>
      <c r="B597" s="10" t="s">
        <v>39</v>
      </c>
      <c r="C597" s="10">
        <v>34</v>
      </c>
    </row>
    <row r="598" spans="1:3">
      <c r="A598" s="10" t="s">
        <v>620</v>
      </c>
      <c r="B598" s="10" t="s">
        <v>31</v>
      </c>
      <c r="C598" s="10">
        <v>24</v>
      </c>
    </row>
    <row r="599" spans="1:3">
      <c r="A599" s="10" t="s">
        <v>621</v>
      </c>
      <c r="B599" s="10" t="s">
        <v>34</v>
      </c>
      <c r="C599" s="10">
        <v>32</v>
      </c>
    </row>
    <row r="600" spans="1:3">
      <c r="A600" s="10" t="s">
        <v>622</v>
      </c>
      <c r="B600" s="10" t="s">
        <v>50</v>
      </c>
      <c r="C600" s="10">
        <v>22</v>
      </c>
    </row>
    <row r="601" spans="1:3">
      <c r="A601" s="10" t="s">
        <v>623</v>
      </c>
      <c r="B601" s="10" t="s">
        <v>37</v>
      </c>
      <c r="C601" s="10">
        <v>38</v>
      </c>
    </row>
    <row r="602" spans="1:3">
      <c r="A602" s="10" t="s">
        <v>624</v>
      </c>
      <c r="B602" s="10" t="s">
        <v>39</v>
      </c>
      <c r="C602" s="10">
        <v>28</v>
      </c>
    </row>
    <row r="603" spans="1:3">
      <c r="A603" s="10" t="s">
        <v>625</v>
      </c>
      <c r="B603" s="10" t="s">
        <v>39</v>
      </c>
      <c r="C603" s="10">
        <v>19</v>
      </c>
    </row>
    <row r="604" spans="1:3">
      <c r="A604" s="10" t="s">
        <v>626</v>
      </c>
      <c r="B604" s="10" t="s">
        <v>42</v>
      </c>
      <c r="C604" s="10">
        <v>29</v>
      </c>
    </row>
    <row r="605" spans="1:3">
      <c r="A605" s="10" t="s">
        <v>627</v>
      </c>
      <c r="B605" s="10" t="s">
        <v>628</v>
      </c>
      <c r="C605" s="10">
        <v>29</v>
      </c>
    </row>
    <row r="606" spans="1:3">
      <c r="A606" s="10" t="s">
        <v>629</v>
      </c>
      <c r="B606" s="10" t="s">
        <v>628</v>
      </c>
      <c r="C606" s="10">
        <v>37</v>
      </c>
    </row>
    <row r="607" spans="1:3">
      <c r="A607" s="10" t="s">
        <v>630</v>
      </c>
      <c r="B607" s="10" t="s">
        <v>628</v>
      </c>
      <c r="C607" s="10">
        <v>2</v>
      </c>
    </row>
    <row r="608" spans="1:3">
      <c r="A608" s="10" t="s">
        <v>631</v>
      </c>
      <c r="B608" s="10" t="s">
        <v>628</v>
      </c>
      <c r="C608" s="10">
        <v>26</v>
      </c>
    </row>
    <row r="609" spans="1:3">
      <c r="A609" s="10" t="s">
        <v>632</v>
      </c>
      <c r="B609" s="10" t="s">
        <v>628</v>
      </c>
      <c r="C609" s="10">
        <v>32</v>
      </c>
    </row>
    <row r="610" spans="1:3">
      <c r="A610" s="10" t="s">
        <v>633</v>
      </c>
      <c r="B610" s="10" t="s">
        <v>628</v>
      </c>
      <c r="C610" s="10">
        <v>21</v>
      </c>
    </row>
    <row r="611" spans="1:3">
      <c r="A611" s="10" t="s">
        <v>634</v>
      </c>
      <c r="B611" s="10" t="s">
        <v>628</v>
      </c>
      <c r="C611" s="10">
        <v>15</v>
      </c>
    </row>
    <row r="612" spans="1:3">
      <c r="A612" s="10" t="s">
        <v>635</v>
      </c>
      <c r="B612" s="10" t="s">
        <v>628</v>
      </c>
      <c r="C612" s="10">
        <v>33</v>
      </c>
    </row>
    <row r="613" spans="1:3">
      <c r="A613" s="10" t="s">
        <v>636</v>
      </c>
      <c r="B613" s="10" t="s">
        <v>628</v>
      </c>
      <c r="C613" s="10">
        <v>27</v>
      </c>
    </row>
    <row r="614" spans="1:3">
      <c r="A614" s="10" t="s">
        <v>637</v>
      </c>
      <c r="B614" s="10" t="s">
        <v>628</v>
      </c>
      <c r="C614" s="10">
        <v>29</v>
      </c>
    </row>
    <row r="615" spans="1:3">
      <c r="A615" s="10" t="s">
        <v>638</v>
      </c>
      <c r="B615" s="10" t="s">
        <v>628</v>
      </c>
      <c r="C615" s="10">
        <v>47</v>
      </c>
    </row>
    <row r="616" spans="1:3">
      <c r="A616" s="10" t="s">
        <v>639</v>
      </c>
      <c r="B616" s="10" t="s">
        <v>628</v>
      </c>
      <c r="C616" s="10">
        <v>19</v>
      </c>
    </row>
    <row r="617" spans="1:3">
      <c r="A617" s="10" t="s">
        <v>640</v>
      </c>
      <c r="B617" s="10" t="s">
        <v>628</v>
      </c>
      <c r="C617" s="10">
        <v>23</v>
      </c>
    </row>
    <row r="618" spans="1:3">
      <c r="A618" s="10" t="s">
        <v>641</v>
      </c>
      <c r="B618" s="10" t="s">
        <v>628</v>
      </c>
      <c r="C618" s="10">
        <v>26</v>
      </c>
    </row>
    <row r="619" spans="1:3">
      <c r="A619" s="10" t="s">
        <v>642</v>
      </c>
      <c r="B619" s="10" t="s">
        <v>628</v>
      </c>
      <c r="C619" s="10">
        <v>29</v>
      </c>
    </row>
    <row r="620" spans="1:3">
      <c r="A620" s="10" t="s">
        <v>643</v>
      </c>
      <c r="B620" s="10" t="s">
        <v>34</v>
      </c>
      <c r="C620" s="10">
        <v>17</v>
      </c>
    </row>
    <row r="621" spans="1:3">
      <c r="A621" s="10" t="s">
        <v>644</v>
      </c>
      <c r="B621" s="10" t="s">
        <v>628</v>
      </c>
      <c r="C621" s="10">
        <v>13</v>
      </c>
    </row>
    <row r="622" spans="1:3">
      <c r="A622" s="10" t="s">
        <v>645</v>
      </c>
      <c r="B622" s="10" t="s">
        <v>628</v>
      </c>
      <c r="C622" s="10">
        <v>45</v>
      </c>
    </row>
    <row r="623" spans="1:3">
      <c r="A623" s="10" t="s">
        <v>646</v>
      </c>
      <c r="B623" s="10" t="s">
        <v>628</v>
      </c>
      <c r="C623" s="10">
        <v>50</v>
      </c>
    </row>
    <row r="624" spans="1:3">
      <c r="A624" s="10" t="s">
        <v>647</v>
      </c>
      <c r="B624" s="10" t="s">
        <v>628</v>
      </c>
      <c r="C624" s="10">
        <v>12</v>
      </c>
    </row>
    <row r="625" spans="1:3">
      <c r="A625" s="10" t="s">
        <v>648</v>
      </c>
      <c r="B625" s="10" t="s">
        <v>34</v>
      </c>
      <c r="C625" s="10">
        <v>27</v>
      </c>
    </row>
    <row r="626" spans="1:3">
      <c r="A626" s="10" t="s">
        <v>649</v>
      </c>
      <c r="B626" s="10" t="s">
        <v>650</v>
      </c>
      <c r="C626" s="10">
        <v>50</v>
      </c>
    </row>
    <row r="627" spans="1:3">
      <c r="A627" s="10" t="s">
        <v>651</v>
      </c>
      <c r="B627" s="10" t="s">
        <v>628</v>
      </c>
      <c r="C627" s="10">
        <v>34</v>
      </c>
    </row>
    <row r="628" spans="1:3">
      <c r="A628" s="10" t="s">
        <v>652</v>
      </c>
      <c r="B628" s="10" t="s">
        <v>34</v>
      </c>
      <c r="C628" s="10">
        <v>7</v>
      </c>
    </row>
    <row r="629" spans="1:3">
      <c r="A629" s="10" t="s">
        <v>653</v>
      </c>
      <c r="B629" s="10" t="s">
        <v>628</v>
      </c>
      <c r="C629" s="10">
        <v>50</v>
      </c>
    </row>
    <row r="630" spans="1:3">
      <c r="A630" s="10" t="s">
        <v>654</v>
      </c>
      <c r="B630" s="10" t="s">
        <v>628</v>
      </c>
      <c r="C630" s="10">
        <v>35</v>
      </c>
    </row>
    <row r="631" spans="1:3">
      <c r="A631" s="10" t="s">
        <v>655</v>
      </c>
      <c r="B631" s="10" t="s">
        <v>34</v>
      </c>
      <c r="C631" s="10">
        <v>33</v>
      </c>
    </row>
    <row r="632" spans="1:3">
      <c r="A632" s="10" t="s">
        <v>656</v>
      </c>
      <c r="B632" s="10" t="s">
        <v>628</v>
      </c>
      <c r="C632" s="10">
        <v>24</v>
      </c>
    </row>
    <row r="633" spans="1:3">
      <c r="A633" s="10" t="s">
        <v>657</v>
      </c>
      <c r="B633" s="10" t="s">
        <v>650</v>
      </c>
      <c r="C633" s="10">
        <v>24</v>
      </c>
    </row>
    <row r="634" spans="1:3">
      <c r="A634" s="10" t="s">
        <v>658</v>
      </c>
      <c r="B634" s="10" t="s">
        <v>628</v>
      </c>
      <c r="C634" s="10">
        <v>24</v>
      </c>
    </row>
    <row r="635" spans="1:3">
      <c r="A635" s="10" t="s">
        <v>659</v>
      </c>
      <c r="B635" s="10" t="s">
        <v>628</v>
      </c>
      <c r="C635" s="10">
        <v>21</v>
      </c>
    </row>
    <row r="636" spans="1:3">
      <c r="A636" s="10" t="s">
        <v>660</v>
      </c>
      <c r="B636" s="10" t="s">
        <v>628</v>
      </c>
      <c r="C636" s="10">
        <v>14</v>
      </c>
    </row>
    <row r="637" spans="1:3">
      <c r="A637" s="10" t="s">
        <v>661</v>
      </c>
      <c r="B637" s="10" t="s">
        <v>628</v>
      </c>
      <c r="C637" s="10">
        <v>21</v>
      </c>
    </row>
    <row r="638" spans="1:3">
      <c r="A638" s="10" t="s">
        <v>662</v>
      </c>
      <c r="B638" s="10" t="s">
        <v>650</v>
      </c>
      <c r="C638" s="10">
        <v>57</v>
      </c>
    </row>
    <row r="639" spans="1:3">
      <c r="A639" s="10" t="s">
        <v>663</v>
      </c>
      <c r="B639" s="10" t="s">
        <v>628</v>
      </c>
      <c r="C639" s="10">
        <v>25</v>
      </c>
    </row>
    <row r="640" spans="1:3">
      <c r="A640" s="10" t="s">
        <v>664</v>
      </c>
      <c r="B640" s="10" t="s">
        <v>34</v>
      </c>
      <c r="C640" s="10">
        <v>32</v>
      </c>
    </row>
    <row r="641" spans="1:3">
      <c r="A641" s="10" t="s">
        <v>665</v>
      </c>
      <c r="B641" s="10" t="s">
        <v>34</v>
      </c>
      <c r="C641" s="10">
        <v>23</v>
      </c>
    </row>
    <row r="642" spans="1:3">
      <c r="A642" s="10" t="s">
        <v>666</v>
      </c>
      <c r="B642" s="10" t="s">
        <v>628</v>
      </c>
      <c r="C642" s="10">
        <v>28</v>
      </c>
    </row>
    <row r="643" spans="1:3">
      <c r="A643" s="10" t="s">
        <v>667</v>
      </c>
      <c r="B643" s="10" t="s">
        <v>34</v>
      </c>
      <c r="C643" s="10">
        <v>21</v>
      </c>
    </row>
    <row r="644" spans="1:3">
      <c r="A644" s="10" t="s">
        <v>668</v>
      </c>
      <c r="B644" s="10" t="s">
        <v>650</v>
      </c>
      <c r="C644" s="10">
        <v>26</v>
      </c>
    </row>
    <row r="645" spans="1:3">
      <c r="A645" s="10" t="s">
        <v>669</v>
      </c>
      <c r="B645" s="10" t="s">
        <v>650</v>
      </c>
      <c r="C645" s="10">
        <v>28</v>
      </c>
    </row>
    <row r="646" spans="1:3">
      <c r="A646" s="10" t="s">
        <v>670</v>
      </c>
      <c r="B646" s="10" t="s">
        <v>628</v>
      </c>
      <c r="C646" s="10">
        <v>10</v>
      </c>
    </row>
    <row r="647" spans="1:3">
      <c r="A647" s="10" t="s">
        <v>671</v>
      </c>
      <c r="B647" s="10" t="s">
        <v>628</v>
      </c>
      <c r="C647" s="10">
        <v>21</v>
      </c>
    </row>
    <row r="648" spans="1:3">
      <c r="A648" s="10" t="s">
        <v>672</v>
      </c>
      <c r="B648" s="10" t="s">
        <v>34</v>
      </c>
      <c r="C648" s="10">
        <v>56</v>
      </c>
    </row>
    <row r="649" spans="1:3">
      <c r="A649" s="10" t="s">
        <v>673</v>
      </c>
      <c r="B649" s="10" t="s">
        <v>34</v>
      </c>
      <c r="C649" s="10">
        <v>35</v>
      </c>
    </row>
    <row r="650" spans="1:3">
      <c r="A650" s="10" t="s">
        <v>674</v>
      </c>
      <c r="B650" s="10" t="s">
        <v>650</v>
      </c>
      <c r="C650" s="10">
        <v>23</v>
      </c>
    </row>
    <row r="651" spans="1:3">
      <c r="A651" s="10" t="s">
        <v>675</v>
      </c>
      <c r="B651" s="10" t="s">
        <v>628</v>
      </c>
      <c r="C651" s="10">
        <v>14</v>
      </c>
    </row>
    <row r="652" spans="1:3">
      <c r="A652" s="10" t="s">
        <v>676</v>
      </c>
      <c r="B652" s="10" t="s">
        <v>650</v>
      </c>
      <c r="C652" s="10">
        <v>29</v>
      </c>
    </row>
    <row r="653" spans="1:3">
      <c r="A653" s="10" t="s">
        <v>677</v>
      </c>
      <c r="B653" s="10" t="s">
        <v>628</v>
      </c>
      <c r="C653" s="10">
        <v>22</v>
      </c>
    </row>
    <row r="654" spans="1:3">
      <c r="A654" s="10" t="s">
        <v>678</v>
      </c>
      <c r="B654" s="10" t="s">
        <v>34</v>
      </c>
      <c r="C654" s="10">
        <v>25</v>
      </c>
    </row>
    <row r="655" spans="1:3">
      <c r="A655" s="10" t="s">
        <v>679</v>
      </c>
      <c r="B655" s="10" t="s">
        <v>650</v>
      </c>
      <c r="C655" s="10">
        <v>44</v>
      </c>
    </row>
    <row r="656" spans="1:3">
      <c r="A656" s="10" t="s">
        <v>680</v>
      </c>
      <c r="B656" s="10" t="s">
        <v>650</v>
      </c>
      <c r="C656" s="10">
        <v>32</v>
      </c>
    </row>
    <row r="657" spans="1:3">
      <c r="A657" s="10" t="s">
        <v>681</v>
      </c>
      <c r="B657" s="10" t="s">
        <v>628</v>
      </c>
      <c r="C657" s="10">
        <v>28</v>
      </c>
    </row>
    <row r="658" spans="1:3">
      <c r="A658" s="10" t="s">
        <v>682</v>
      </c>
      <c r="B658" s="10" t="s">
        <v>628</v>
      </c>
      <c r="C658" s="10">
        <v>17</v>
      </c>
    </row>
    <row r="659" spans="1:3">
      <c r="A659" s="10" t="s">
        <v>683</v>
      </c>
      <c r="B659" s="10" t="s">
        <v>650</v>
      </c>
      <c r="C659" s="10">
        <v>22</v>
      </c>
    </row>
    <row r="660" spans="1:3">
      <c r="A660" s="10" t="s">
        <v>684</v>
      </c>
      <c r="B660" s="10" t="s">
        <v>650</v>
      </c>
      <c r="C660" s="10">
        <v>32</v>
      </c>
    </row>
    <row r="661" spans="1:3">
      <c r="A661" s="10" t="s">
        <v>685</v>
      </c>
      <c r="B661" s="10" t="s">
        <v>628</v>
      </c>
      <c r="C661" s="10">
        <v>33</v>
      </c>
    </row>
    <row r="662" spans="1:3">
      <c r="A662" s="10" t="s">
        <v>686</v>
      </c>
      <c r="B662" s="10" t="s">
        <v>34</v>
      </c>
      <c r="C662" s="10">
        <v>18</v>
      </c>
    </row>
    <row r="663" spans="1:3">
      <c r="A663" s="10" t="s">
        <v>687</v>
      </c>
      <c r="B663" s="10" t="s">
        <v>628</v>
      </c>
      <c r="C663" s="10">
        <v>33</v>
      </c>
    </row>
    <row r="664" spans="1:3">
      <c r="A664" s="10" t="s">
        <v>688</v>
      </c>
      <c r="B664" s="10" t="s">
        <v>650</v>
      </c>
      <c r="C664" s="10">
        <v>29</v>
      </c>
    </row>
    <row r="665" spans="1:3">
      <c r="A665" s="10" t="s">
        <v>689</v>
      </c>
      <c r="B665" s="10" t="s">
        <v>628</v>
      </c>
      <c r="C665" s="10">
        <v>36</v>
      </c>
    </row>
    <row r="666" spans="1:3">
      <c r="A666" s="10" t="s">
        <v>690</v>
      </c>
      <c r="B666" s="10" t="s">
        <v>650</v>
      </c>
      <c r="C666" s="10">
        <v>33</v>
      </c>
    </row>
    <row r="667" spans="1:3">
      <c r="A667" s="10" t="s">
        <v>691</v>
      </c>
      <c r="B667" s="10" t="s">
        <v>650</v>
      </c>
      <c r="C667" s="10">
        <v>35</v>
      </c>
    </row>
    <row r="668" spans="1:3">
      <c r="A668" s="10" t="s">
        <v>692</v>
      </c>
      <c r="B668" s="10" t="s">
        <v>628</v>
      </c>
      <c r="C668" s="10">
        <v>27</v>
      </c>
    </row>
    <row r="669" spans="1:3">
      <c r="A669" s="10" t="s">
        <v>693</v>
      </c>
      <c r="B669" s="10" t="s">
        <v>650</v>
      </c>
      <c r="C669" s="10">
        <v>14</v>
      </c>
    </row>
    <row r="670" spans="1:3">
      <c r="A670" s="10" t="s">
        <v>694</v>
      </c>
      <c r="B670" s="10" t="s">
        <v>650</v>
      </c>
      <c r="C670" s="10">
        <v>43</v>
      </c>
    </row>
    <row r="671" spans="1:3">
      <c r="A671" s="10" t="s">
        <v>695</v>
      </c>
      <c r="B671" s="10" t="s">
        <v>650</v>
      </c>
      <c r="C671" s="10">
        <v>42</v>
      </c>
    </row>
    <row r="672" spans="1:3">
      <c r="A672" s="10" t="s">
        <v>696</v>
      </c>
      <c r="B672" s="10" t="s">
        <v>628</v>
      </c>
      <c r="C672" s="10">
        <v>34</v>
      </c>
    </row>
    <row r="673" spans="1:3">
      <c r="A673" s="10" t="s">
        <v>697</v>
      </c>
      <c r="B673" s="10" t="s">
        <v>650</v>
      </c>
      <c r="C673" s="10">
        <v>21</v>
      </c>
    </row>
    <row r="674" spans="1:3">
      <c r="A674" s="10" t="s">
        <v>698</v>
      </c>
      <c r="B674" s="10" t="s">
        <v>628</v>
      </c>
      <c r="C674" s="10">
        <v>14</v>
      </c>
    </row>
    <row r="675" spans="1:3">
      <c r="A675" s="10" t="s">
        <v>699</v>
      </c>
      <c r="B675" s="10" t="s">
        <v>650</v>
      </c>
      <c r="C675" s="10">
        <v>30</v>
      </c>
    </row>
    <row r="676" spans="1:3">
      <c r="A676" s="10" t="s">
        <v>700</v>
      </c>
      <c r="B676" s="10" t="s">
        <v>628</v>
      </c>
      <c r="C676" s="10">
        <v>27</v>
      </c>
    </row>
    <row r="677" spans="1:3">
      <c r="A677" s="10" t="s">
        <v>701</v>
      </c>
      <c r="B677" s="10" t="s">
        <v>650</v>
      </c>
      <c r="C677" s="10">
        <v>25</v>
      </c>
    </row>
    <row r="678" spans="1:3">
      <c r="A678" s="10" t="s">
        <v>702</v>
      </c>
      <c r="B678" s="10" t="s">
        <v>650</v>
      </c>
      <c r="C678" s="10">
        <v>34</v>
      </c>
    </row>
    <row r="679" spans="1:3">
      <c r="A679" s="10" t="s">
        <v>703</v>
      </c>
      <c r="B679" s="10" t="s">
        <v>650</v>
      </c>
      <c r="C679" s="10">
        <v>34</v>
      </c>
    </row>
    <row r="680" spans="1:3">
      <c r="A680" s="10" t="s">
        <v>704</v>
      </c>
      <c r="B680" s="10" t="s">
        <v>650</v>
      </c>
      <c r="C680" s="10">
        <v>55</v>
      </c>
    </row>
    <row r="681" spans="1:3">
      <c r="A681" s="10" t="s">
        <v>705</v>
      </c>
      <c r="B681" s="10" t="s">
        <v>628</v>
      </c>
      <c r="C681" s="10">
        <v>18</v>
      </c>
    </row>
    <row r="682" spans="1:3">
      <c r="A682" s="10" t="s">
        <v>706</v>
      </c>
      <c r="B682" s="10" t="s">
        <v>628</v>
      </c>
      <c r="C682" s="10">
        <v>16</v>
      </c>
    </row>
    <row r="683" spans="1:3">
      <c r="A683" s="10" t="s">
        <v>707</v>
      </c>
      <c r="B683" s="10" t="s">
        <v>628</v>
      </c>
      <c r="C683" s="10">
        <v>19</v>
      </c>
    </row>
  </sheetData>
  <autoFilter ref="E4:F4" xr:uid="{B19C4E76-5495-4AB4-9BBA-22454909E57A}">
    <sortState xmlns:xlrd2="http://schemas.microsoft.com/office/spreadsheetml/2017/richdata2" ref="E5:F15">
      <sortCondition descending="1" ref="F4"/>
    </sortState>
  </autoFilter>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0F0F-3CD2-4751-9B4E-1AB3F604E96A}">
  <dimension ref="A1:J683"/>
  <sheetViews>
    <sheetView topLeftCell="A10" workbookViewId="0">
      <selection activeCell="J26" sqref="J26"/>
    </sheetView>
  </sheetViews>
  <sheetFormatPr defaultColWidth="12.25" defaultRowHeight="18.75"/>
  <cols>
    <col min="1" max="1" width="10.125" style="10" bestFit="1" customWidth="1"/>
    <col min="2" max="2" width="15.5" style="10" bestFit="1" customWidth="1"/>
    <col min="3" max="3" width="16.875" style="10" bestFit="1" customWidth="1"/>
    <col min="4" max="5" width="12.25" style="10"/>
    <col min="6" max="6" width="15.75" style="10" bestFit="1" customWidth="1"/>
    <col min="7" max="8" width="14.375" style="10" bestFit="1" customWidth="1"/>
    <col min="9" max="9" width="7.375" style="10" bestFit="1" customWidth="1"/>
    <col min="10" max="10" width="14.375" style="10" bestFit="1" customWidth="1"/>
    <col min="11" max="11" width="7.375" style="10" bestFit="1" customWidth="1"/>
    <col min="12" max="12" width="14.375" style="10" bestFit="1" customWidth="1"/>
    <col min="13" max="16384" width="12.25" style="10"/>
  </cols>
  <sheetData>
    <row r="1" spans="1:10">
      <c r="A1" s="10" t="s">
        <v>3</v>
      </c>
      <c r="B1" s="10" t="s">
        <v>4</v>
      </c>
      <c r="C1" s="10" t="s">
        <v>5</v>
      </c>
      <c r="D1" s="10" t="s">
        <v>10</v>
      </c>
    </row>
    <row r="2" spans="1:10">
      <c r="A2" s="10" t="s">
        <v>11</v>
      </c>
      <c r="B2" s="10" t="s">
        <v>12</v>
      </c>
      <c r="C2" s="10" t="s">
        <v>13</v>
      </c>
      <c r="D2" s="10">
        <v>22</v>
      </c>
    </row>
    <row r="3" spans="1:10">
      <c r="A3" s="10" t="s">
        <v>14</v>
      </c>
      <c r="B3" s="10" t="s">
        <v>12</v>
      </c>
      <c r="C3" s="10" t="s">
        <v>13</v>
      </c>
      <c r="D3" s="10">
        <v>49</v>
      </c>
      <c r="F3" s="20" t="s">
        <v>744</v>
      </c>
      <c r="G3" s="20" t="s">
        <v>762</v>
      </c>
    </row>
    <row r="4" spans="1:10">
      <c r="A4" s="10" t="s">
        <v>15</v>
      </c>
      <c r="B4" s="10" t="s">
        <v>12</v>
      </c>
      <c r="C4" s="10" t="s">
        <v>16</v>
      </c>
      <c r="D4" s="10">
        <v>19</v>
      </c>
      <c r="F4" s="20" t="s">
        <v>733</v>
      </c>
      <c r="G4" s="10" t="s">
        <v>20</v>
      </c>
      <c r="H4" s="10" t="s">
        <v>13</v>
      </c>
      <c r="I4" s="10" t="s">
        <v>741</v>
      </c>
      <c r="J4" s="10" t="s">
        <v>742</v>
      </c>
    </row>
    <row r="5" spans="1:10">
      <c r="A5" s="10" t="s">
        <v>17</v>
      </c>
      <c r="B5" s="10" t="s">
        <v>12</v>
      </c>
      <c r="C5" s="10" t="s">
        <v>13</v>
      </c>
      <c r="D5" s="10">
        <v>14</v>
      </c>
      <c r="F5" s="15" t="s">
        <v>734</v>
      </c>
      <c r="G5" s="16">
        <v>33</v>
      </c>
      <c r="H5" s="16">
        <v>32.125</v>
      </c>
      <c r="J5" s="10">
        <v>32.363636363636367</v>
      </c>
    </row>
    <row r="6" spans="1:10">
      <c r="A6" s="10" t="s">
        <v>763</v>
      </c>
      <c r="B6" s="10" t="s">
        <v>12</v>
      </c>
      <c r="C6" s="10" t="s">
        <v>13</v>
      </c>
      <c r="D6" s="10">
        <v>19</v>
      </c>
      <c r="F6" s="15" t="s">
        <v>42</v>
      </c>
      <c r="G6" s="16">
        <v>33.6</v>
      </c>
      <c r="H6" s="16">
        <v>29.645833333333332</v>
      </c>
      <c r="J6" s="10">
        <v>30.702290076335878</v>
      </c>
    </row>
    <row r="7" spans="1:10">
      <c r="A7" s="10" t="s">
        <v>19</v>
      </c>
      <c r="B7" s="10" t="s">
        <v>12</v>
      </c>
      <c r="C7" s="10" t="s">
        <v>20</v>
      </c>
      <c r="D7" s="10">
        <v>25</v>
      </c>
      <c r="F7" s="15" t="s">
        <v>735</v>
      </c>
      <c r="G7" s="16">
        <v>33.5</v>
      </c>
      <c r="H7" s="16">
        <v>24.1</v>
      </c>
      <c r="J7" s="10">
        <v>26.785714285714285</v>
      </c>
    </row>
    <row r="8" spans="1:10">
      <c r="A8" s="10" t="s">
        <v>21</v>
      </c>
      <c r="B8" s="10" t="s">
        <v>12</v>
      </c>
      <c r="C8" s="10" t="s">
        <v>13</v>
      </c>
      <c r="D8" s="10">
        <v>27</v>
      </c>
      <c r="F8" s="15" t="s">
        <v>628</v>
      </c>
      <c r="G8" s="16">
        <v>30.46153846153846</v>
      </c>
      <c r="H8" s="16">
        <v>23.96551724137931</v>
      </c>
      <c r="J8" s="10">
        <v>25.976190476190474</v>
      </c>
    </row>
    <row r="9" spans="1:10">
      <c r="A9" s="10" t="s">
        <v>22</v>
      </c>
      <c r="B9" s="10" t="s">
        <v>12</v>
      </c>
      <c r="C9" s="10" t="s">
        <v>20</v>
      </c>
      <c r="D9" s="10">
        <v>51</v>
      </c>
      <c r="F9" s="15" t="s">
        <v>736</v>
      </c>
      <c r="G9" s="16">
        <v>31.142857142857142</v>
      </c>
      <c r="H9" s="16">
        <v>23.40909090909091</v>
      </c>
      <c r="J9" s="10">
        <v>25.275862068965516</v>
      </c>
    </row>
    <row r="10" spans="1:10">
      <c r="A10" s="10" t="s">
        <v>23</v>
      </c>
      <c r="B10" s="10" t="s">
        <v>12</v>
      </c>
      <c r="C10" s="10" t="s">
        <v>20</v>
      </c>
      <c r="D10" s="10">
        <v>33</v>
      </c>
      <c r="F10" s="15" t="s">
        <v>737</v>
      </c>
      <c r="G10" s="16">
        <v>30.714285714285715</v>
      </c>
      <c r="H10" s="16">
        <v>26.020833333333332</v>
      </c>
      <c r="J10" s="10">
        <v>27.44927536231884</v>
      </c>
    </row>
    <row r="11" spans="1:10">
      <c r="A11" s="10" t="s">
        <v>24</v>
      </c>
      <c r="B11" s="10" t="s">
        <v>12</v>
      </c>
      <c r="C11" s="10" t="s">
        <v>13</v>
      </c>
      <c r="D11" s="10">
        <v>14</v>
      </c>
      <c r="F11" s="15" t="s">
        <v>738</v>
      </c>
      <c r="G11" s="16">
        <v>31</v>
      </c>
      <c r="H11" s="16">
        <v>17.25</v>
      </c>
      <c r="J11" s="10">
        <v>23.142857142857142</v>
      </c>
    </row>
    <row r="12" spans="1:10">
      <c r="A12" s="10" t="s">
        <v>25</v>
      </c>
      <c r="B12" s="10" t="s">
        <v>12</v>
      </c>
      <c r="C12" s="10" t="s">
        <v>20</v>
      </c>
      <c r="D12" s="10">
        <v>25</v>
      </c>
      <c r="F12" s="15" t="s">
        <v>39</v>
      </c>
      <c r="G12" s="16">
        <v>30.457142857142856</v>
      </c>
      <c r="H12" s="16">
        <v>27.4</v>
      </c>
      <c r="J12" s="10">
        <v>28.223076923076924</v>
      </c>
    </row>
    <row r="13" spans="1:10">
      <c r="A13" s="10" t="s">
        <v>26</v>
      </c>
      <c r="B13" s="10" t="s">
        <v>12</v>
      </c>
      <c r="C13" s="10" t="s">
        <v>13</v>
      </c>
      <c r="D13" s="10">
        <v>34</v>
      </c>
      <c r="F13" s="15" t="s">
        <v>739</v>
      </c>
      <c r="G13" s="16">
        <v>29.882352941176471</v>
      </c>
      <c r="H13" s="16">
        <v>26.555555555555557</v>
      </c>
      <c r="J13" s="10">
        <v>27.622641509433961</v>
      </c>
    </row>
    <row r="14" spans="1:10">
      <c r="A14" s="10" t="s">
        <v>27</v>
      </c>
      <c r="B14" s="10" t="s">
        <v>12</v>
      </c>
      <c r="C14" s="10" t="s">
        <v>13</v>
      </c>
      <c r="D14" s="10">
        <v>21</v>
      </c>
      <c r="F14" s="15" t="s">
        <v>740</v>
      </c>
      <c r="G14" s="16">
        <v>32.133333333333333</v>
      </c>
      <c r="H14" s="16">
        <v>24.5</v>
      </c>
      <c r="J14" s="10">
        <v>26.317460317460316</v>
      </c>
    </row>
    <row r="15" spans="1:10">
      <c r="A15" s="10" t="s">
        <v>28</v>
      </c>
      <c r="B15" s="10" t="s">
        <v>12</v>
      </c>
      <c r="C15" s="10" t="s">
        <v>13</v>
      </c>
      <c r="D15" s="10">
        <v>26</v>
      </c>
      <c r="F15" s="15" t="s">
        <v>37</v>
      </c>
      <c r="G15" s="16">
        <v>25</v>
      </c>
      <c r="H15" s="16">
        <v>25.363636363636363</v>
      </c>
      <c r="J15" s="10">
        <v>25.275862068965516</v>
      </c>
    </row>
    <row r="16" spans="1:10">
      <c r="A16" s="10" t="s">
        <v>29</v>
      </c>
      <c r="B16" s="10" t="s">
        <v>12</v>
      </c>
      <c r="C16" s="10" t="s">
        <v>13</v>
      </c>
      <c r="D16" s="10">
        <v>15</v>
      </c>
      <c r="F16" s="15" t="s">
        <v>741</v>
      </c>
      <c r="G16" s="16">
        <v>33</v>
      </c>
      <c r="H16" s="16">
        <v>27</v>
      </c>
      <c r="J16" s="10">
        <v>28</v>
      </c>
    </row>
    <row r="17" spans="1:10">
      <c r="A17" s="10" t="s">
        <v>30</v>
      </c>
      <c r="B17" s="10" t="s">
        <v>31</v>
      </c>
      <c r="C17" s="10" t="s">
        <v>32</v>
      </c>
      <c r="D17" s="10">
        <v>18</v>
      </c>
      <c r="F17" s="15" t="s">
        <v>742</v>
      </c>
      <c r="G17" s="10">
        <v>30.752808988764045</v>
      </c>
      <c r="H17" s="10">
        <v>26.68</v>
      </c>
      <c r="J17" s="10">
        <v>27.790199081163859</v>
      </c>
    </row>
    <row r="18" spans="1:10">
      <c r="A18" s="10" t="s">
        <v>33</v>
      </c>
      <c r="B18" s="10" t="s">
        <v>34</v>
      </c>
      <c r="C18" s="10" t="s">
        <v>13</v>
      </c>
      <c r="D18" s="10">
        <v>26</v>
      </c>
    </row>
    <row r="19" spans="1:10">
      <c r="A19" s="10" t="s">
        <v>35</v>
      </c>
      <c r="B19" s="10" t="s">
        <v>34</v>
      </c>
      <c r="C19" s="10" t="s">
        <v>32</v>
      </c>
      <c r="D19" s="10">
        <v>23</v>
      </c>
    </row>
    <row r="20" spans="1:10">
      <c r="A20" s="10" t="s">
        <v>36</v>
      </c>
      <c r="B20" s="10" t="s">
        <v>37</v>
      </c>
      <c r="C20" s="10" t="s">
        <v>13</v>
      </c>
      <c r="D20" s="10">
        <v>21</v>
      </c>
      <c r="F20" s="15" t="s">
        <v>764</v>
      </c>
    </row>
    <row r="21" spans="1:10" ht="19.5">
      <c r="A21" s="10" t="s">
        <v>38</v>
      </c>
      <c r="B21" s="10" t="s">
        <v>39</v>
      </c>
      <c r="C21" s="10" t="s">
        <v>13</v>
      </c>
      <c r="D21" s="10">
        <v>36</v>
      </c>
      <c r="F21" s="17"/>
      <c r="G21" s="17" t="s">
        <v>20</v>
      </c>
      <c r="H21" s="17" t="s">
        <v>13</v>
      </c>
    </row>
    <row r="22" spans="1:10">
      <c r="A22" s="10" t="s">
        <v>40</v>
      </c>
      <c r="B22" s="10" t="s">
        <v>39</v>
      </c>
      <c r="C22" s="10" t="s">
        <v>13</v>
      </c>
      <c r="D22" s="10">
        <v>24</v>
      </c>
      <c r="F22" s="18" t="s">
        <v>734</v>
      </c>
      <c r="G22" s="19">
        <v>33</v>
      </c>
      <c r="H22" s="19">
        <v>32.125</v>
      </c>
    </row>
    <row r="23" spans="1:10">
      <c r="A23" s="10" t="s">
        <v>41</v>
      </c>
      <c r="B23" s="10" t="s">
        <v>42</v>
      </c>
      <c r="C23" s="10" t="s">
        <v>20</v>
      </c>
      <c r="D23" s="10">
        <v>35</v>
      </c>
      <c r="F23" s="18" t="s">
        <v>42</v>
      </c>
      <c r="G23" s="19">
        <v>33.6</v>
      </c>
      <c r="H23" s="19">
        <v>29.645833333333332</v>
      </c>
    </row>
    <row r="24" spans="1:10">
      <c r="A24" s="10" t="s">
        <v>43</v>
      </c>
      <c r="B24" s="10" t="s">
        <v>31</v>
      </c>
      <c r="C24" s="10" t="s">
        <v>13</v>
      </c>
      <c r="D24" s="10">
        <v>18</v>
      </c>
      <c r="F24" s="18" t="s">
        <v>735</v>
      </c>
      <c r="G24" s="19">
        <v>33.5</v>
      </c>
      <c r="H24" s="19">
        <v>24.1</v>
      </c>
    </row>
    <row r="25" spans="1:10">
      <c r="A25" s="10" t="s">
        <v>44</v>
      </c>
      <c r="B25" s="10" t="s">
        <v>34</v>
      </c>
      <c r="C25" s="10" t="s">
        <v>13</v>
      </c>
      <c r="D25" s="10">
        <v>25</v>
      </c>
      <c r="F25" s="18" t="s">
        <v>628</v>
      </c>
      <c r="G25" s="19">
        <v>30.46153846153846</v>
      </c>
      <c r="H25" s="19">
        <v>23.96551724137931</v>
      </c>
    </row>
    <row r="26" spans="1:10">
      <c r="A26" s="10" t="s">
        <v>45</v>
      </c>
      <c r="B26" s="10" t="s">
        <v>37</v>
      </c>
      <c r="C26" s="10" t="s">
        <v>13</v>
      </c>
      <c r="D26" s="10">
        <v>31</v>
      </c>
      <c r="F26" s="18" t="s">
        <v>736</v>
      </c>
      <c r="G26" s="19">
        <v>31.142857142857142</v>
      </c>
      <c r="H26" s="19">
        <v>23.40909090909091</v>
      </c>
    </row>
    <row r="27" spans="1:10">
      <c r="A27" s="10" t="s">
        <v>46</v>
      </c>
      <c r="C27" s="10" t="s">
        <v>20</v>
      </c>
      <c r="D27" s="10">
        <v>33</v>
      </c>
      <c r="F27" s="18" t="s">
        <v>737</v>
      </c>
      <c r="G27" s="19">
        <v>30.714285714285715</v>
      </c>
      <c r="H27" s="19">
        <v>26.020833333333332</v>
      </c>
    </row>
    <row r="28" spans="1:10">
      <c r="A28" s="10" t="s">
        <v>47</v>
      </c>
      <c r="B28" s="10" t="s">
        <v>34</v>
      </c>
      <c r="C28" s="10" t="s">
        <v>13</v>
      </c>
      <c r="D28" s="10">
        <v>15</v>
      </c>
      <c r="F28" s="18" t="s">
        <v>738</v>
      </c>
      <c r="G28" s="19">
        <v>31</v>
      </c>
      <c r="H28" s="19">
        <v>17.25</v>
      </c>
    </row>
    <row r="29" spans="1:10">
      <c r="A29" s="10" t="s">
        <v>48</v>
      </c>
      <c r="B29" s="10" t="s">
        <v>37</v>
      </c>
      <c r="C29" s="10" t="s">
        <v>13</v>
      </c>
      <c r="D29" s="10">
        <v>24</v>
      </c>
      <c r="F29" s="18" t="s">
        <v>39</v>
      </c>
      <c r="G29" s="19">
        <v>30.457142857142856</v>
      </c>
      <c r="H29" s="19">
        <v>27.4</v>
      </c>
    </row>
    <row r="30" spans="1:10">
      <c r="A30" s="10" t="s">
        <v>49</v>
      </c>
      <c r="B30" s="10" t="s">
        <v>50</v>
      </c>
      <c r="C30" s="10" t="s">
        <v>13</v>
      </c>
      <c r="D30" s="10">
        <v>26</v>
      </c>
      <c r="F30" s="18" t="s">
        <v>739</v>
      </c>
      <c r="G30" s="19">
        <v>29.882352941176471</v>
      </c>
      <c r="H30" s="19">
        <v>26.555555555555557</v>
      </c>
    </row>
    <row r="31" spans="1:10">
      <c r="A31" s="10" t="s">
        <v>51</v>
      </c>
      <c r="B31" s="10" t="s">
        <v>39</v>
      </c>
      <c r="C31" s="10" t="s">
        <v>13</v>
      </c>
      <c r="D31" s="10">
        <v>25</v>
      </c>
      <c r="F31" s="18" t="s">
        <v>740</v>
      </c>
      <c r="G31" s="19">
        <v>32.133333333333333</v>
      </c>
      <c r="H31" s="19">
        <v>24.5</v>
      </c>
    </row>
    <row r="32" spans="1:10">
      <c r="A32" s="10" t="s">
        <v>52</v>
      </c>
      <c r="B32" s="10" t="s">
        <v>39</v>
      </c>
      <c r="C32" s="10" t="s">
        <v>13</v>
      </c>
      <c r="D32" s="10">
        <v>30</v>
      </c>
      <c r="F32" s="18" t="s">
        <v>37</v>
      </c>
      <c r="G32" s="19">
        <v>25</v>
      </c>
      <c r="H32" s="19">
        <v>25.363636363636363</v>
      </c>
    </row>
    <row r="33" spans="1:4">
      <c r="A33" s="10" t="s">
        <v>53</v>
      </c>
      <c r="B33" s="10" t="s">
        <v>42</v>
      </c>
      <c r="C33" s="10" t="s">
        <v>13</v>
      </c>
      <c r="D33" s="10">
        <v>37</v>
      </c>
    </row>
    <row r="34" spans="1:4">
      <c r="A34" s="10" t="s">
        <v>54</v>
      </c>
      <c r="B34" s="10" t="s">
        <v>42</v>
      </c>
      <c r="C34" s="10" t="s">
        <v>13</v>
      </c>
      <c r="D34" s="10">
        <v>38</v>
      </c>
    </row>
    <row r="35" spans="1:4">
      <c r="A35" s="10" t="s">
        <v>55</v>
      </c>
      <c r="B35" s="10" t="s">
        <v>31</v>
      </c>
      <c r="C35" s="10" t="s">
        <v>13</v>
      </c>
      <c r="D35" s="10">
        <v>25</v>
      </c>
    </row>
    <row r="36" spans="1:4">
      <c r="A36" s="10" t="s">
        <v>56</v>
      </c>
      <c r="B36" s="10" t="s">
        <v>34</v>
      </c>
      <c r="C36" s="10" t="s">
        <v>13</v>
      </c>
      <c r="D36" s="10">
        <v>17</v>
      </c>
    </row>
    <row r="37" spans="1:4">
      <c r="A37" s="10" t="s">
        <v>57</v>
      </c>
      <c r="B37" s="10" t="s">
        <v>34</v>
      </c>
      <c r="C37" s="10" t="s">
        <v>13</v>
      </c>
      <c r="D37" s="10">
        <v>30</v>
      </c>
    </row>
    <row r="38" spans="1:4">
      <c r="A38" s="10" t="s">
        <v>58</v>
      </c>
      <c r="B38" s="10" t="s">
        <v>37</v>
      </c>
      <c r="C38" s="10" t="s">
        <v>20</v>
      </c>
      <c r="D38" s="10">
        <v>25</v>
      </c>
    </row>
    <row r="39" spans="1:4">
      <c r="A39" s="10" t="s">
        <v>59</v>
      </c>
      <c r="B39" s="10" t="s">
        <v>39</v>
      </c>
      <c r="C39" s="10" t="s">
        <v>13</v>
      </c>
      <c r="D39" s="10">
        <v>24</v>
      </c>
    </row>
    <row r="40" spans="1:4">
      <c r="A40" s="10" t="s">
        <v>60</v>
      </c>
      <c r="B40" s="10" t="s">
        <v>39</v>
      </c>
      <c r="C40" s="10" t="s">
        <v>13</v>
      </c>
      <c r="D40" s="10">
        <v>36</v>
      </c>
    </row>
    <row r="41" spans="1:4">
      <c r="A41" s="10" t="s">
        <v>61</v>
      </c>
      <c r="B41" s="10" t="s">
        <v>42</v>
      </c>
      <c r="C41" s="10" t="s">
        <v>13</v>
      </c>
      <c r="D41" s="10">
        <v>40</v>
      </c>
    </row>
    <row r="42" spans="1:4">
      <c r="A42" s="10" t="s">
        <v>62</v>
      </c>
      <c r="B42" s="10" t="s">
        <v>31</v>
      </c>
      <c r="C42" s="10" t="s">
        <v>13</v>
      </c>
      <c r="D42" s="10">
        <v>37</v>
      </c>
    </row>
    <row r="43" spans="1:4">
      <c r="A43" s="10" t="s">
        <v>63</v>
      </c>
      <c r="B43" s="10" t="s">
        <v>34</v>
      </c>
      <c r="C43" s="10" t="s">
        <v>13</v>
      </c>
      <c r="D43" s="10">
        <v>39</v>
      </c>
    </row>
    <row r="44" spans="1:4">
      <c r="A44" s="10" t="s">
        <v>64</v>
      </c>
      <c r="B44" s="10" t="s">
        <v>37</v>
      </c>
      <c r="C44" s="10" t="s">
        <v>20</v>
      </c>
      <c r="D44" s="10">
        <v>19</v>
      </c>
    </row>
    <row r="45" spans="1:4">
      <c r="A45" s="10" t="s">
        <v>65</v>
      </c>
      <c r="B45" s="10" t="s">
        <v>39</v>
      </c>
      <c r="C45" s="10" t="s">
        <v>13</v>
      </c>
      <c r="D45" s="10">
        <v>19</v>
      </c>
    </row>
    <row r="46" spans="1:4">
      <c r="A46" s="10" t="s">
        <v>66</v>
      </c>
      <c r="B46" s="10" t="s">
        <v>31</v>
      </c>
      <c r="C46" s="10" t="s">
        <v>20</v>
      </c>
      <c r="D46" s="10">
        <v>33</v>
      </c>
    </row>
    <row r="47" spans="1:4">
      <c r="A47" s="10" t="s">
        <v>67</v>
      </c>
      <c r="B47" s="10" t="s">
        <v>37</v>
      </c>
      <c r="C47" s="10" t="s">
        <v>13</v>
      </c>
      <c r="D47" s="10">
        <v>33</v>
      </c>
    </row>
    <row r="48" spans="1:4">
      <c r="A48" s="10" t="s">
        <v>68</v>
      </c>
      <c r="B48" s="10" t="s">
        <v>39</v>
      </c>
      <c r="C48" s="10" t="s">
        <v>13</v>
      </c>
      <c r="D48" s="10">
        <v>27</v>
      </c>
    </row>
    <row r="49" spans="1:4">
      <c r="A49" s="10" t="s">
        <v>69</v>
      </c>
      <c r="B49" s="10" t="s">
        <v>42</v>
      </c>
      <c r="C49" s="10" t="s">
        <v>13</v>
      </c>
      <c r="D49" s="10">
        <v>23</v>
      </c>
    </row>
    <row r="50" spans="1:4">
      <c r="A50" s="10" t="s">
        <v>70</v>
      </c>
      <c r="B50" s="10" t="s">
        <v>31</v>
      </c>
      <c r="C50" s="10" t="s">
        <v>20</v>
      </c>
      <c r="D50" s="10">
        <v>27</v>
      </c>
    </row>
    <row r="51" spans="1:4">
      <c r="A51" s="10" t="s">
        <v>71</v>
      </c>
      <c r="B51" s="10" t="s">
        <v>34</v>
      </c>
      <c r="C51" s="10" t="s">
        <v>13</v>
      </c>
      <c r="D51" s="10">
        <v>30</v>
      </c>
    </row>
    <row r="52" spans="1:4">
      <c r="A52" s="10" t="s">
        <v>72</v>
      </c>
      <c r="B52" s="10" t="s">
        <v>39</v>
      </c>
      <c r="C52" s="10" t="s">
        <v>20</v>
      </c>
      <c r="D52" s="10">
        <v>42</v>
      </c>
    </row>
    <row r="53" spans="1:4">
      <c r="A53" s="10" t="s">
        <v>73</v>
      </c>
      <c r="B53" s="10" t="s">
        <v>42</v>
      </c>
      <c r="C53" s="10" t="s">
        <v>20</v>
      </c>
      <c r="D53" s="10">
        <v>28</v>
      </c>
    </row>
    <row r="54" spans="1:4">
      <c r="A54" s="10" t="s">
        <v>74</v>
      </c>
      <c r="B54" s="10" t="s">
        <v>31</v>
      </c>
      <c r="C54" s="10" t="s">
        <v>13</v>
      </c>
      <c r="D54" s="10">
        <v>22</v>
      </c>
    </row>
    <row r="55" spans="1:4">
      <c r="A55" s="10" t="s">
        <v>75</v>
      </c>
      <c r="B55" s="10" t="s">
        <v>34</v>
      </c>
      <c r="C55" s="10" t="s">
        <v>13</v>
      </c>
      <c r="D55" s="10">
        <v>29</v>
      </c>
    </row>
    <row r="56" spans="1:4">
      <c r="A56" s="10" t="s">
        <v>76</v>
      </c>
      <c r="B56" s="10" t="s">
        <v>39</v>
      </c>
      <c r="C56" s="10" t="s">
        <v>20</v>
      </c>
      <c r="D56" s="10">
        <v>33</v>
      </c>
    </row>
    <row r="57" spans="1:4">
      <c r="A57" s="10" t="s">
        <v>77</v>
      </c>
      <c r="B57" s="10" t="s">
        <v>34</v>
      </c>
      <c r="C57" s="10" t="s">
        <v>20</v>
      </c>
      <c r="D57" s="10">
        <v>16</v>
      </c>
    </row>
    <row r="58" spans="1:4">
      <c r="A58" s="10" t="s">
        <v>78</v>
      </c>
      <c r="B58" s="10" t="s">
        <v>37</v>
      </c>
      <c r="C58" s="10" t="s">
        <v>13</v>
      </c>
      <c r="D58" s="10">
        <v>35</v>
      </c>
    </row>
    <row r="59" spans="1:4">
      <c r="A59" s="10" t="s">
        <v>79</v>
      </c>
      <c r="B59" s="10" t="s">
        <v>39</v>
      </c>
      <c r="C59" s="10" t="s">
        <v>13</v>
      </c>
      <c r="D59" s="10">
        <v>24</v>
      </c>
    </row>
    <row r="60" spans="1:4">
      <c r="A60" s="10" t="s">
        <v>80</v>
      </c>
      <c r="B60" s="10" t="s">
        <v>39</v>
      </c>
      <c r="C60" s="10" t="s">
        <v>13</v>
      </c>
      <c r="D60" s="10">
        <v>31</v>
      </c>
    </row>
    <row r="61" spans="1:4">
      <c r="A61" s="10" t="s">
        <v>81</v>
      </c>
      <c r="B61" s="10" t="s">
        <v>42</v>
      </c>
      <c r="C61" s="10" t="s">
        <v>13</v>
      </c>
      <c r="D61" s="10">
        <v>38</v>
      </c>
    </row>
    <row r="62" spans="1:4">
      <c r="A62" s="10" t="s">
        <v>82</v>
      </c>
      <c r="B62" s="10" t="s">
        <v>42</v>
      </c>
      <c r="C62" s="10" t="s">
        <v>20</v>
      </c>
      <c r="D62" s="10">
        <v>26</v>
      </c>
    </row>
    <row r="63" spans="1:4">
      <c r="A63" s="10" t="s">
        <v>83</v>
      </c>
      <c r="B63" s="10" t="s">
        <v>31</v>
      </c>
      <c r="C63" s="10" t="s">
        <v>13</v>
      </c>
      <c r="D63" s="10">
        <v>16</v>
      </c>
    </row>
    <row r="64" spans="1:4">
      <c r="A64" s="10" t="s">
        <v>84</v>
      </c>
      <c r="B64" s="10" t="s">
        <v>34</v>
      </c>
      <c r="C64" s="10" t="s">
        <v>13</v>
      </c>
      <c r="D64" s="10">
        <v>18</v>
      </c>
    </row>
    <row r="65" spans="1:4">
      <c r="A65" s="10" t="s">
        <v>85</v>
      </c>
      <c r="B65" s="10" t="s">
        <v>39</v>
      </c>
      <c r="C65" s="10" t="s">
        <v>13</v>
      </c>
      <c r="D65" s="10">
        <v>21</v>
      </c>
    </row>
    <row r="66" spans="1:4">
      <c r="A66" s="10" t="s">
        <v>86</v>
      </c>
      <c r="B66" s="10" t="s">
        <v>42</v>
      </c>
      <c r="C66" s="10" t="s">
        <v>13</v>
      </c>
      <c r="D66" s="10">
        <v>19</v>
      </c>
    </row>
    <row r="67" spans="1:4">
      <c r="A67" s="10" t="s">
        <v>87</v>
      </c>
      <c r="B67" s="10" t="s">
        <v>31</v>
      </c>
      <c r="C67" s="10" t="s">
        <v>20</v>
      </c>
      <c r="D67" s="10">
        <v>32</v>
      </c>
    </row>
    <row r="68" spans="1:4">
      <c r="A68" s="10" t="s">
        <v>88</v>
      </c>
      <c r="B68" s="10" t="s">
        <v>34</v>
      </c>
      <c r="C68" s="10" t="s">
        <v>13</v>
      </c>
      <c r="D68" s="10">
        <v>28</v>
      </c>
    </row>
    <row r="69" spans="1:4">
      <c r="A69" s="10" t="s">
        <v>89</v>
      </c>
      <c r="B69" s="10" t="s">
        <v>37</v>
      </c>
      <c r="C69" s="10" t="s">
        <v>13</v>
      </c>
      <c r="D69" s="10">
        <v>46</v>
      </c>
    </row>
    <row r="70" spans="1:4">
      <c r="A70" s="10" t="s">
        <v>90</v>
      </c>
      <c r="B70" s="10" t="s">
        <v>37</v>
      </c>
      <c r="C70" s="10" t="s">
        <v>13</v>
      </c>
      <c r="D70" s="10">
        <v>22</v>
      </c>
    </row>
    <row r="71" spans="1:4">
      <c r="A71" s="10" t="s">
        <v>91</v>
      </c>
      <c r="B71" s="10" t="s">
        <v>37</v>
      </c>
      <c r="C71" s="10" t="s">
        <v>20</v>
      </c>
      <c r="D71" s="10">
        <v>16</v>
      </c>
    </row>
    <row r="72" spans="1:4">
      <c r="A72" s="10" t="s">
        <v>92</v>
      </c>
      <c r="B72" s="10" t="s">
        <v>39</v>
      </c>
      <c r="C72" s="10" t="s">
        <v>13</v>
      </c>
      <c r="D72" s="10">
        <v>26</v>
      </c>
    </row>
    <row r="73" spans="1:4">
      <c r="A73" s="10" t="s">
        <v>93</v>
      </c>
      <c r="B73" s="10" t="s">
        <v>39</v>
      </c>
      <c r="C73" s="10" t="s">
        <v>20</v>
      </c>
      <c r="D73" s="10">
        <v>37</v>
      </c>
    </row>
    <row r="74" spans="1:4">
      <c r="A74" s="10" t="s">
        <v>94</v>
      </c>
      <c r="B74" s="10" t="s">
        <v>37</v>
      </c>
      <c r="C74" s="10" t="s">
        <v>13</v>
      </c>
      <c r="D74" s="10">
        <v>32</v>
      </c>
    </row>
    <row r="75" spans="1:4">
      <c r="A75" s="10" t="s">
        <v>95</v>
      </c>
      <c r="B75" s="10" t="s">
        <v>39</v>
      </c>
      <c r="C75" s="10" t="s">
        <v>13</v>
      </c>
      <c r="D75" s="10">
        <v>46</v>
      </c>
    </row>
    <row r="76" spans="1:4">
      <c r="A76" s="10" t="s">
        <v>96</v>
      </c>
      <c r="B76" s="10" t="s">
        <v>39</v>
      </c>
      <c r="C76" s="10" t="s">
        <v>13</v>
      </c>
      <c r="D76" s="10">
        <v>20</v>
      </c>
    </row>
    <row r="77" spans="1:4">
      <c r="A77" s="10" t="s">
        <v>97</v>
      </c>
      <c r="B77" s="10" t="s">
        <v>42</v>
      </c>
      <c r="C77" s="10" t="s">
        <v>13</v>
      </c>
      <c r="D77" s="10">
        <v>45</v>
      </c>
    </row>
    <row r="78" spans="1:4">
      <c r="A78" s="10" t="s">
        <v>98</v>
      </c>
      <c r="B78" s="10" t="s">
        <v>31</v>
      </c>
      <c r="C78" s="10" t="s">
        <v>13</v>
      </c>
      <c r="D78" s="10">
        <v>34</v>
      </c>
    </row>
    <row r="79" spans="1:4">
      <c r="A79" s="10" t="s">
        <v>99</v>
      </c>
      <c r="B79" s="10" t="s">
        <v>37</v>
      </c>
      <c r="C79" s="10" t="s">
        <v>13</v>
      </c>
      <c r="D79" s="10">
        <v>30</v>
      </c>
    </row>
    <row r="80" spans="1:4">
      <c r="A80" s="10" t="s">
        <v>100</v>
      </c>
      <c r="B80" s="10" t="s">
        <v>42</v>
      </c>
      <c r="C80" s="10" t="s">
        <v>20</v>
      </c>
      <c r="D80" s="10">
        <v>19</v>
      </c>
    </row>
    <row r="81" spans="1:4">
      <c r="A81" s="10" t="s">
        <v>101</v>
      </c>
      <c r="B81" s="10" t="s">
        <v>37</v>
      </c>
      <c r="C81" s="10" t="s">
        <v>20</v>
      </c>
      <c r="D81" s="10">
        <v>24</v>
      </c>
    </row>
    <row r="82" spans="1:4">
      <c r="A82" s="10" t="s">
        <v>102</v>
      </c>
      <c r="B82" s="10" t="s">
        <v>39</v>
      </c>
      <c r="C82" s="10" t="s">
        <v>13</v>
      </c>
      <c r="D82" s="10">
        <v>11</v>
      </c>
    </row>
    <row r="83" spans="1:4">
      <c r="A83" s="10" t="s">
        <v>103</v>
      </c>
      <c r="B83" s="10" t="s">
        <v>39</v>
      </c>
      <c r="C83" s="10" t="s">
        <v>13</v>
      </c>
      <c r="D83" s="10">
        <v>33</v>
      </c>
    </row>
    <row r="84" spans="1:4">
      <c r="A84" s="10" t="s">
        <v>104</v>
      </c>
      <c r="B84" s="10" t="s">
        <v>42</v>
      </c>
      <c r="C84" s="10" t="s">
        <v>13</v>
      </c>
      <c r="D84" s="10">
        <v>21</v>
      </c>
    </row>
    <row r="85" spans="1:4">
      <c r="A85" s="10" t="s">
        <v>105</v>
      </c>
      <c r="B85" s="10" t="s">
        <v>39</v>
      </c>
      <c r="C85" s="10" t="s">
        <v>13</v>
      </c>
      <c r="D85" s="10">
        <v>42</v>
      </c>
    </row>
    <row r="86" spans="1:4">
      <c r="A86" s="10" t="s">
        <v>106</v>
      </c>
      <c r="B86" s="10" t="s">
        <v>31</v>
      </c>
      <c r="C86" s="10" t="s">
        <v>20</v>
      </c>
      <c r="D86" s="10">
        <v>27</v>
      </c>
    </row>
    <row r="87" spans="1:4">
      <c r="A87" s="10" t="s">
        <v>107</v>
      </c>
      <c r="B87" s="10" t="s">
        <v>37</v>
      </c>
      <c r="C87" s="10" t="s">
        <v>20</v>
      </c>
      <c r="D87" s="10">
        <v>27</v>
      </c>
    </row>
    <row r="88" spans="1:4">
      <c r="A88" s="10" t="s">
        <v>108</v>
      </c>
      <c r="B88" s="10" t="s">
        <v>37</v>
      </c>
      <c r="C88" s="10" t="s">
        <v>13</v>
      </c>
      <c r="D88" s="10">
        <v>18</v>
      </c>
    </row>
    <row r="89" spans="1:4">
      <c r="A89" s="10" t="s">
        <v>109</v>
      </c>
      <c r="B89" s="10" t="s">
        <v>39</v>
      </c>
      <c r="C89" s="10" t="s">
        <v>20</v>
      </c>
      <c r="D89" s="10">
        <v>30</v>
      </c>
    </row>
    <row r="90" spans="1:4">
      <c r="A90" s="10" t="s">
        <v>110</v>
      </c>
      <c r="B90" s="10" t="s">
        <v>31</v>
      </c>
      <c r="C90" s="10" t="s">
        <v>20</v>
      </c>
      <c r="D90" s="10">
        <v>18</v>
      </c>
    </row>
    <row r="91" spans="1:4">
      <c r="A91" s="10" t="s">
        <v>111</v>
      </c>
      <c r="B91" s="10" t="s">
        <v>34</v>
      </c>
      <c r="C91" s="10" t="s">
        <v>13</v>
      </c>
      <c r="D91" s="10">
        <v>20</v>
      </c>
    </row>
    <row r="92" spans="1:4">
      <c r="A92" s="10" t="s">
        <v>112</v>
      </c>
      <c r="B92" s="10" t="s">
        <v>34</v>
      </c>
      <c r="C92" s="10" t="s">
        <v>13</v>
      </c>
      <c r="D92" s="10">
        <v>26</v>
      </c>
    </row>
    <row r="93" spans="1:4">
      <c r="A93" s="10" t="s">
        <v>113</v>
      </c>
      <c r="B93" s="10" t="s">
        <v>37</v>
      </c>
      <c r="C93" s="10" t="s">
        <v>13</v>
      </c>
      <c r="D93" s="10">
        <v>19</v>
      </c>
    </row>
    <row r="94" spans="1:4">
      <c r="A94" s="10" t="s">
        <v>114</v>
      </c>
      <c r="B94" s="10" t="s">
        <v>42</v>
      </c>
      <c r="C94" s="10" t="s">
        <v>13</v>
      </c>
      <c r="D94" s="10">
        <v>26</v>
      </c>
    </row>
    <row r="95" spans="1:4">
      <c r="A95" s="10" t="s">
        <v>115</v>
      </c>
      <c r="B95" s="10" t="s">
        <v>31</v>
      </c>
      <c r="C95" s="10" t="s">
        <v>20</v>
      </c>
      <c r="D95" s="10">
        <v>23</v>
      </c>
    </row>
    <row r="96" spans="1:4">
      <c r="A96" s="10" t="s">
        <v>116</v>
      </c>
      <c r="B96" s="10" t="s">
        <v>34</v>
      </c>
      <c r="C96" s="10" t="s">
        <v>13</v>
      </c>
      <c r="D96" s="10">
        <v>20</v>
      </c>
    </row>
    <row r="97" spans="1:4">
      <c r="A97" s="10" t="s">
        <v>117</v>
      </c>
      <c r="B97" s="10" t="s">
        <v>34</v>
      </c>
      <c r="C97" s="10" t="s">
        <v>13</v>
      </c>
      <c r="D97" s="10">
        <v>17</v>
      </c>
    </row>
    <row r="98" spans="1:4">
      <c r="A98" s="10" t="s">
        <v>118</v>
      </c>
      <c r="B98" s="10" t="s">
        <v>37</v>
      </c>
      <c r="C98" s="10" t="s">
        <v>20</v>
      </c>
      <c r="D98" s="10">
        <v>15</v>
      </c>
    </row>
    <row r="99" spans="1:4">
      <c r="A99" s="10" t="s">
        <v>119</v>
      </c>
      <c r="B99" s="10" t="s">
        <v>39</v>
      </c>
      <c r="C99" s="10" t="s">
        <v>20</v>
      </c>
      <c r="D99" s="10">
        <v>39</v>
      </c>
    </row>
    <row r="100" spans="1:4">
      <c r="A100" s="10" t="s">
        <v>120</v>
      </c>
      <c r="B100" s="10" t="s">
        <v>31</v>
      </c>
      <c r="C100" s="10" t="s">
        <v>13</v>
      </c>
      <c r="D100" s="10">
        <v>30</v>
      </c>
    </row>
    <row r="101" spans="1:4">
      <c r="A101" s="10" t="s">
        <v>121</v>
      </c>
      <c r="B101" s="10" t="s">
        <v>37</v>
      </c>
      <c r="C101" s="10" t="s">
        <v>32</v>
      </c>
      <c r="D101" s="10">
        <v>37</v>
      </c>
    </row>
    <row r="102" spans="1:4">
      <c r="A102" s="10" t="s">
        <v>122</v>
      </c>
      <c r="C102" s="10" t="s">
        <v>13</v>
      </c>
      <c r="D102" s="10">
        <v>31</v>
      </c>
    </row>
    <row r="103" spans="1:4">
      <c r="A103" s="10" t="s">
        <v>123</v>
      </c>
      <c r="B103" s="10" t="s">
        <v>39</v>
      </c>
      <c r="C103" s="10" t="s">
        <v>13</v>
      </c>
      <c r="D103" s="10">
        <v>15</v>
      </c>
    </row>
    <row r="104" spans="1:4">
      <c r="A104" s="10" t="s">
        <v>124</v>
      </c>
      <c r="B104" s="10" t="s">
        <v>42</v>
      </c>
      <c r="C104" s="10" t="s">
        <v>13</v>
      </c>
      <c r="D104" s="10">
        <v>33</v>
      </c>
    </row>
    <row r="105" spans="1:4">
      <c r="A105" s="10" t="s">
        <v>125</v>
      </c>
      <c r="B105" s="10" t="s">
        <v>37</v>
      </c>
      <c r="C105" s="10" t="s">
        <v>13</v>
      </c>
      <c r="D105" s="10">
        <v>32</v>
      </c>
    </row>
    <row r="106" spans="1:4">
      <c r="A106" s="10" t="s">
        <v>126</v>
      </c>
      <c r="B106" s="10" t="s">
        <v>39</v>
      </c>
      <c r="C106" s="10" t="s">
        <v>16</v>
      </c>
      <c r="D106" s="10">
        <v>33</v>
      </c>
    </row>
    <row r="107" spans="1:4">
      <c r="A107" s="10" t="s">
        <v>127</v>
      </c>
      <c r="B107" s="10" t="s">
        <v>37</v>
      </c>
      <c r="C107" s="10" t="s">
        <v>13</v>
      </c>
      <c r="D107" s="10">
        <v>24</v>
      </c>
    </row>
    <row r="108" spans="1:4">
      <c r="A108" s="10" t="s">
        <v>128</v>
      </c>
      <c r="B108" s="10" t="s">
        <v>39</v>
      </c>
      <c r="C108" s="10" t="s">
        <v>20</v>
      </c>
      <c r="D108" s="10">
        <v>25</v>
      </c>
    </row>
    <row r="109" spans="1:4">
      <c r="A109" s="10" t="s">
        <v>129</v>
      </c>
      <c r="B109" s="10" t="s">
        <v>39</v>
      </c>
      <c r="C109" s="10" t="s">
        <v>13</v>
      </c>
      <c r="D109" s="10">
        <v>23</v>
      </c>
    </row>
    <row r="110" spans="1:4">
      <c r="A110" s="10" t="s">
        <v>130</v>
      </c>
      <c r="B110" s="10" t="s">
        <v>31</v>
      </c>
      <c r="C110" s="10" t="s">
        <v>13</v>
      </c>
      <c r="D110" s="10">
        <v>27</v>
      </c>
    </row>
    <row r="111" spans="1:4">
      <c r="A111" s="10" t="s">
        <v>131</v>
      </c>
      <c r="B111" s="10" t="s">
        <v>34</v>
      </c>
      <c r="C111" s="10" t="s">
        <v>13</v>
      </c>
      <c r="D111" s="10">
        <v>33</v>
      </c>
    </row>
    <row r="112" spans="1:4">
      <c r="A112" s="10" t="s">
        <v>132</v>
      </c>
      <c r="B112" s="10" t="s">
        <v>42</v>
      </c>
      <c r="C112" s="10" t="s">
        <v>13</v>
      </c>
      <c r="D112" s="10">
        <v>11</v>
      </c>
    </row>
    <row r="113" spans="1:4">
      <c r="A113" s="10" t="s">
        <v>133</v>
      </c>
      <c r="B113" s="10" t="s">
        <v>31</v>
      </c>
      <c r="C113" s="10" t="s">
        <v>13</v>
      </c>
      <c r="D113" s="10">
        <v>11</v>
      </c>
    </row>
    <row r="114" spans="1:4">
      <c r="A114" s="10" t="s">
        <v>134</v>
      </c>
      <c r="B114" s="10" t="s">
        <v>34</v>
      </c>
      <c r="C114" s="10" t="s">
        <v>13</v>
      </c>
      <c r="D114" s="10">
        <v>29</v>
      </c>
    </row>
    <row r="115" spans="1:4">
      <c r="A115" s="10" t="s">
        <v>135</v>
      </c>
      <c r="B115" s="10" t="s">
        <v>34</v>
      </c>
      <c r="C115" s="10" t="s">
        <v>16</v>
      </c>
      <c r="D115" s="10">
        <v>38</v>
      </c>
    </row>
    <row r="116" spans="1:4">
      <c r="A116" s="10" t="s">
        <v>136</v>
      </c>
      <c r="B116" s="10" t="s">
        <v>37</v>
      </c>
      <c r="C116" s="10" t="s">
        <v>20</v>
      </c>
      <c r="D116" s="10">
        <v>26</v>
      </c>
    </row>
    <row r="117" spans="1:4">
      <c r="A117" s="10" t="s">
        <v>137</v>
      </c>
      <c r="B117" s="10" t="s">
        <v>39</v>
      </c>
      <c r="C117" s="10" t="s">
        <v>13</v>
      </c>
      <c r="D117" s="10">
        <v>36</v>
      </c>
    </row>
    <row r="118" spans="1:4">
      <c r="A118" s="10" t="s">
        <v>138</v>
      </c>
      <c r="B118" s="10" t="s">
        <v>39</v>
      </c>
      <c r="C118" s="10" t="s">
        <v>13</v>
      </c>
      <c r="D118" s="10">
        <v>32</v>
      </c>
    </row>
    <row r="119" spans="1:4">
      <c r="A119" s="10" t="s">
        <v>139</v>
      </c>
      <c r="B119" s="10" t="s">
        <v>42</v>
      </c>
      <c r="C119" s="10" t="s">
        <v>20</v>
      </c>
      <c r="D119" s="10">
        <v>18</v>
      </c>
    </row>
    <row r="120" spans="1:4">
      <c r="A120" s="10" t="s">
        <v>140</v>
      </c>
      <c r="B120" s="10" t="s">
        <v>37</v>
      </c>
      <c r="C120" s="10" t="s">
        <v>16</v>
      </c>
      <c r="D120" s="10">
        <v>21</v>
      </c>
    </row>
    <row r="121" spans="1:4">
      <c r="A121" s="10" t="s">
        <v>141</v>
      </c>
      <c r="B121" s="10" t="s">
        <v>39</v>
      </c>
      <c r="C121" s="10" t="s">
        <v>32</v>
      </c>
      <c r="D121" s="10">
        <v>12</v>
      </c>
    </row>
    <row r="122" spans="1:4">
      <c r="A122" s="10" t="s">
        <v>142</v>
      </c>
      <c r="B122" s="10" t="s">
        <v>37</v>
      </c>
      <c r="C122" s="10" t="s">
        <v>13</v>
      </c>
      <c r="D122" s="10">
        <v>12</v>
      </c>
    </row>
    <row r="123" spans="1:4">
      <c r="A123" s="10" t="s">
        <v>143</v>
      </c>
      <c r="B123" s="10" t="s">
        <v>39</v>
      </c>
      <c r="C123" s="10" t="s">
        <v>13</v>
      </c>
      <c r="D123" s="10">
        <v>32</v>
      </c>
    </row>
    <row r="124" spans="1:4">
      <c r="A124" s="10" t="s">
        <v>144</v>
      </c>
      <c r="B124" s="10" t="s">
        <v>39</v>
      </c>
      <c r="C124" s="10" t="s">
        <v>32</v>
      </c>
      <c r="D124" s="10">
        <v>23</v>
      </c>
    </row>
    <row r="125" spans="1:4">
      <c r="A125" s="10" t="s">
        <v>145</v>
      </c>
      <c r="B125" s="10" t="s">
        <v>31</v>
      </c>
      <c r="C125" s="10" t="s">
        <v>13</v>
      </c>
      <c r="D125" s="10">
        <v>26</v>
      </c>
    </row>
    <row r="126" spans="1:4">
      <c r="A126" s="10" t="s">
        <v>146</v>
      </c>
      <c r="B126" s="10" t="s">
        <v>37</v>
      </c>
      <c r="C126" s="10" t="s">
        <v>13</v>
      </c>
      <c r="D126" s="10">
        <v>30</v>
      </c>
    </row>
    <row r="127" spans="1:4">
      <c r="A127" s="10" t="s">
        <v>147</v>
      </c>
      <c r="B127" s="10" t="s">
        <v>37</v>
      </c>
      <c r="C127" s="10" t="s">
        <v>13</v>
      </c>
      <c r="D127" s="10">
        <v>13</v>
      </c>
    </row>
    <row r="128" spans="1:4">
      <c r="A128" s="10" t="s">
        <v>148</v>
      </c>
      <c r="B128" s="10" t="s">
        <v>149</v>
      </c>
      <c r="C128" s="10" t="s">
        <v>13</v>
      </c>
      <c r="D128" s="10">
        <v>16</v>
      </c>
    </row>
    <row r="129" spans="1:4">
      <c r="A129" s="10" t="s">
        <v>150</v>
      </c>
      <c r="B129" s="10" t="s">
        <v>42</v>
      </c>
      <c r="C129" s="10" t="s">
        <v>13</v>
      </c>
      <c r="D129" s="10">
        <v>34</v>
      </c>
    </row>
    <row r="130" spans="1:4">
      <c r="A130" s="10" t="s">
        <v>151</v>
      </c>
      <c r="B130" s="10" t="s">
        <v>34</v>
      </c>
      <c r="C130" s="10" t="s">
        <v>13</v>
      </c>
      <c r="D130" s="10">
        <v>32</v>
      </c>
    </row>
    <row r="131" spans="1:4">
      <c r="A131" s="10" t="s">
        <v>152</v>
      </c>
      <c r="B131" s="10" t="s">
        <v>37</v>
      </c>
      <c r="C131" s="10" t="s">
        <v>13</v>
      </c>
      <c r="D131" s="10">
        <v>31</v>
      </c>
    </row>
    <row r="132" spans="1:4">
      <c r="A132" s="10" t="s">
        <v>153</v>
      </c>
      <c r="B132" s="10" t="s">
        <v>39</v>
      </c>
      <c r="C132" s="10" t="s">
        <v>13</v>
      </c>
      <c r="D132" s="10">
        <v>36</v>
      </c>
    </row>
    <row r="133" spans="1:4">
      <c r="A133" s="10" t="s">
        <v>154</v>
      </c>
      <c r="B133" s="10" t="s">
        <v>42</v>
      </c>
      <c r="C133" s="10" t="s">
        <v>20</v>
      </c>
      <c r="D133" s="10">
        <v>48</v>
      </c>
    </row>
    <row r="134" spans="1:4">
      <c r="A134" s="10" t="s">
        <v>155</v>
      </c>
      <c r="B134" s="10" t="s">
        <v>31</v>
      </c>
      <c r="C134" s="10" t="s">
        <v>13</v>
      </c>
      <c r="D134" s="10">
        <v>23</v>
      </c>
    </row>
    <row r="135" spans="1:4">
      <c r="A135" s="10" t="s">
        <v>156</v>
      </c>
      <c r="B135" s="10" t="s">
        <v>37</v>
      </c>
      <c r="C135" s="10" t="s">
        <v>20</v>
      </c>
      <c r="D135" s="10">
        <v>24</v>
      </c>
    </row>
    <row r="136" spans="1:4">
      <c r="A136" s="10" t="s">
        <v>157</v>
      </c>
      <c r="B136" s="10" t="s">
        <v>39</v>
      </c>
      <c r="C136" s="10" t="s">
        <v>13</v>
      </c>
      <c r="D136" s="10">
        <v>41</v>
      </c>
    </row>
    <row r="137" spans="1:4">
      <c r="A137" s="10" t="s">
        <v>158</v>
      </c>
      <c r="B137" s="10" t="s">
        <v>39</v>
      </c>
      <c r="C137" s="10" t="s">
        <v>20</v>
      </c>
      <c r="D137" s="10">
        <v>20</v>
      </c>
    </row>
    <row r="138" spans="1:4">
      <c r="A138" s="10" t="s">
        <v>159</v>
      </c>
      <c r="B138" s="10" t="s">
        <v>42</v>
      </c>
      <c r="C138" s="10" t="s">
        <v>13</v>
      </c>
      <c r="D138" s="10">
        <v>24</v>
      </c>
    </row>
    <row r="139" spans="1:4">
      <c r="A139" s="10" t="s">
        <v>160</v>
      </c>
      <c r="B139" s="10" t="s">
        <v>31</v>
      </c>
      <c r="C139" s="10" t="s">
        <v>13</v>
      </c>
      <c r="D139" s="10">
        <v>20</v>
      </c>
    </row>
    <row r="140" spans="1:4">
      <c r="A140" s="10" t="s">
        <v>161</v>
      </c>
      <c r="B140" s="10" t="s">
        <v>37</v>
      </c>
      <c r="C140" s="10" t="s">
        <v>20</v>
      </c>
      <c r="D140" s="10">
        <v>19</v>
      </c>
    </row>
    <row r="141" spans="1:4">
      <c r="A141" s="10" t="s">
        <v>162</v>
      </c>
      <c r="B141" s="10" t="s">
        <v>39</v>
      </c>
      <c r="C141" s="10" t="s">
        <v>13</v>
      </c>
      <c r="D141" s="10">
        <v>24</v>
      </c>
    </row>
    <row r="142" spans="1:4">
      <c r="A142" s="10" t="s">
        <v>163</v>
      </c>
      <c r="B142" s="10" t="s">
        <v>42</v>
      </c>
      <c r="C142" s="10" t="s">
        <v>20</v>
      </c>
      <c r="D142" s="10">
        <v>20</v>
      </c>
    </row>
    <row r="143" spans="1:4">
      <c r="A143" s="10" t="s">
        <v>164</v>
      </c>
      <c r="B143" s="10" t="s">
        <v>31</v>
      </c>
      <c r="C143" s="10" t="s">
        <v>20</v>
      </c>
      <c r="D143" s="10">
        <v>32</v>
      </c>
    </row>
    <row r="144" spans="1:4">
      <c r="A144" s="10" t="s">
        <v>165</v>
      </c>
      <c r="B144" s="10" t="s">
        <v>37</v>
      </c>
      <c r="C144" s="10" t="s">
        <v>13</v>
      </c>
      <c r="D144" s="10">
        <v>32</v>
      </c>
    </row>
    <row r="145" spans="1:4">
      <c r="A145" s="10" t="s">
        <v>166</v>
      </c>
      <c r="B145" s="10" t="s">
        <v>149</v>
      </c>
      <c r="C145" s="10" t="s">
        <v>13</v>
      </c>
      <c r="D145" s="10">
        <v>12</v>
      </c>
    </row>
    <row r="146" spans="1:4">
      <c r="A146" s="10" t="s">
        <v>167</v>
      </c>
      <c r="B146" s="10" t="s">
        <v>42</v>
      </c>
      <c r="C146" s="10" t="s">
        <v>20</v>
      </c>
      <c r="D146" s="10">
        <v>25</v>
      </c>
    </row>
    <row r="147" spans="1:4">
      <c r="A147" s="10" t="s">
        <v>168</v>
      </c>
      <c r="B147" s="10" t="s">
        <v>37</v>
      </c>
      <c r="C147" s="10" t="s">
        <v>13</v>
      </c>
      <c r="D147" s="10">
        <v>10</v>
      </c>
    </row>
    <row r="148" spans="1:4">
      <c r="A148" s="10" t="s">
        <v>169</v>
      </c>
      <c r="B148" s="10" t="s">
        <v>50</v>
      </c>
      <c r="C148" s="10" t="s">
        <v>20</v>
      </c>
      <c r="D148" s="10">
        <v>39</v>
      </c>
    </row>
    <row r="149" spans="1:4">
      <c r="A149" s="10" t="s">
        <v>170</v>
      </c>
      <c r="B149" s="10" t="s">
        <v>39</v>
      </c>
      <c r="C149" s="10" t="s">
        <v>13</v>
      </c>
      <c r="D149" s="10">
        <v>43</v>
      </c>
    </row>
    <row r="150" spans="1:4">
      <c r="A150" s="10" t="s">
        <v>171</v>
      </c>
      <c r="B150" s="10" t="s">
        <v>149</v>
      </c>
      <c r="C150" s="10" t="s">
        <v>20</v>
      </c>
      <c r="D150" s="10">
        <v>20</v>
      </c>
    </row>
    <row r="151" spans="1:4">
      <c r="A151" s="10" t="s">
        <v>172</v>
      </c>
      <c r="B151" s="10" t="s">
        <v>42</v>
      </c>
      <c r="C151" s="10" t="s">
        <v>13</v>
      </c>
      <c r="D151" s="10">
        <v>16</v>
      </c>
    </row>
    <row r="152" spans="1:4">
      <c r="A152" s="10" t="s">
        <v>173</v>
      </c>
      <c r="B152" s="10" t="s">
        <v>31</v>
      </c>
      <c r="C152" s="10" t="s">
        <v>13</v>
      </c>
      <c r="D152" s="10">
        <v>41</v>
      </c>
    </row>
    <row r="153" spans="1:4">
      <c r="A153" s="10" t="s">
        <v>174</v>
      </c>
      <c r="B153" s="10" t="s">
        <v>37</v>
      </c>
      <c r="C153" s="10" t="s">
        <v>13</v>
      </c>
      <c r="D153" s="10">
        <v>30</v>
      </c>
    </row>
    <row r="154" spans="1:4">
      <c r="A154" s="10" t="s">
        <v>175</v>
      </c>
      <c r="B154" s="10" t="s">
        <v>39</v>
      </c>
      <c r="C154" s="10" t="s">
        <v>13</v>
      </c>
      <c r="D154" s="10">
        <v>50</v>
      </c>
    </row>
    <row r="155" spans="1:4">
      <c r="A155" s="10" t="s">
        <v>176</v>
      </c>
      <c r="B155" s="10" t="s">
        <v>42</v>
      </c>
      <c r="C155" s="10" t="s">
        <v>13</v>
      </c>
      <c r="D155" s="10">
        <v>53</v>
      </c>
    </row>
    <row r="156" spans="1:4">
      <c r="A156" s="10" t="s">
        <v>177</v>
      </c>
      <c r="B156" s="10" t="s">
        <v>37</v>
      </c>
      <c r="C156" s="10" t="s">
        <v>13</v>
      </c>
      <c r="D156" s="10">
        <v>32</v>
      </c>
    </row>
    <row r="157" spans="1:4">
      <c r="A157" s="10" t="s">
        <v>178</v>
      </c>
      <c r="B157" s="10" t="s">
        <v>39</v>
      </c>
      <c r="C157" s="10" t="s">
        <v>13</v>
      </c>
      <c r="D157" s="10">
        <v>35</v>
      </c>
    </row>
    <row r="158" spans="1:4">
      <c r="A158" s="10" t="s">
        <v>179</v>
      </c>
      <c r="B158" s="10" t="s">
        <v>31</v>
      </c>
      <c r="C158" s="10" t="s">
        <v>13</v>
      </c>
      <c r="D158" s="10">
        <v>29</v>
      </c>
    </row>
    <row r="159" spans="1:4">
      <c r="A159" s="10" t="s">
        <v>180</v>
      </c>
      <c r="B159" s="10" t="s">
        <v>37</v>
      </c>
      <c r="C159" s="10" t="s">
        <v>13</v>
      </c>
      <c r="D159" s="10">
        <v>26</v>
      </c>
    </row>
    <row r="160" spans="1:4">
      <c r="A160" s="10" t="s">
        <v>181</v>
      </c>
      <c r="B160" s="10" t="s">
        <v>39</v>
      </c>
      <c r="C160" s="10" t="s">
        <v>13</v>
      </c>
      <c r="D160" s="10">
        <v>22</v>
      </c>
    </row>
    <row r="161" spans="1:4">
      <c r="A161" s="10" t="s">
        <v>182</v>
      </c>
      <c r="B161" s="10" t="s">
        <v>149</v>
      </c>
      <c r="C161" s="10" t="s">
        <v>13</v>
      </c>
      <c r="D161" s="10">
        <v>23</v>
      </c>
    </row>
    <row r="162" spans="1:4">
      <c r="A162" s="10" t="s">
        <v>183</v>
      </c>
      <c r="B162" s="10" t="s">
        <v>42</v>
      </c>
      <c r="C162" s="10" t="s">
        <v>13</v>
      </c>
      <c r="D162" s="10">
        <v>52</v>
      </c>
    </row>
    <row r="163" spans="1:4">
      <c r="A163" s="10" t="s">
        <v>184</v>
      </c>
      <c r="B163" s="10" t="s">
        <v>37</v>
      </c>
      <c r="C163" s="10" t="s">
        <v>13</v>
      </c>
      <c r="D163" s="10">
        <v>24</v>
      </c>
    </row>
    <row r="164" spans="1:4">
      <c r="A164" s="10" t="s">
        <v>185</v>
      </c>
      <c r="B164" s="10" t="s">
        <v>50</v>
      </c>
      <c r="C164" s="10" t="s">
        <v>13</v>
      </c>
      <c r="D164" s="10">
        <v>42</v>
      </c>
    </row>
    <row r="165" spans="1:4">
      <c r="A165" s="10" t="s">
        <v>186</v>
      </c>
      <c r="B165" s="10" t="s">
        <v>149</v>
      </c>
      <c r="C165" s="10" t="s">
        <v>20</v>
      </c>
      <c r="D165" s="10">
        <v>36</v>
      </c>
    </row>
    <row r="166" spans="1:4">
      <c r="A166" s="10" t="s">
        <v>187</v>
      </c>
      <c r="B166" s="10" t="s">
        <v>31</v>
      </c>
      <c r="C166" s="10" t="s">
        <v>13</v>
      </c>
      <c r="D166" s="10">
        <v>16</v>
      </c>
    </row>
    <row r="167" spans="1:4">
      <c r="A167" s="10" t="s">
        <v>188</v>
      </c>
      <c r="B167" s="10" t="s">
        <v>37</v>
      </c>
      <c r="C167" s="10" t="s">
        <v>13</v>
      </c>
      <c r="D167" s="10">
        <v>26</v>
      </c>
    </row>
    <row r="168" spans="1:4">
      <c r="A168" s="10" t="s">
        <v>189</v>
      </c>
      <c r="B168" s="10" t="s">
        <v>50</v>
      </c>
      <c r="C168" s="10" t="s">
        <v>20</v>
      </c>
      <c r="D168" s="10">
        <v>28</v>
      </c>
    </row>
    <row r="169" spans="1:4">
      <c r="A169" s="10" t="s">
        <v>190</v>
      </c>
      <c r="B169" s="10" t="s">
        <v>39</v>
      </c>
      <c r="C169" s="10" t="s">
        <v>20</v>
      </c>
      <c r="D169" s="10">
        <v>22</v>
      </c>
    </row>
    <row r="170" spans="1:4">
      <c r="A170" s="10" t="s">
        <v>191</v>
      </c>
      <c r="B170" s="10" t="s">
        <v>42</v>
      </c>
      <c r="C170" s="10" t="s">
        <v>32</v>
      </c>
      <c r="D170" s="10">
        <v>36</v>
      </c>
    </row>
    <row r="171" spans="1:4">
      <c r="A171" s="10" t="s">
        <v>192</v>
      </c>
      <c r="B171" s="10" t="s">
        <v>42</v>
      </c>
      <c r="C171" s="10" t="s">
        <v>13</v>
      </c>
      <c r="D171" s="10">
        <v>25</v>
      </c>
    </row>
    <row r="172" spans="1:4">
      <c r="A172" s="10" t="s">
        <v>193</v>
      </c>
      <c r="B172" s="10" t="s">
        <v>37</v>
      </c>
      <c r="C172" s="10" t="s">
        <v>13</v>
      </c>
      <c r="D172" s="10">
        <v>17</v>
      </c>
    </row>
    <row r="173" spans="1:4">
      <c r="A173" s="10" t="s">
        <v>194</v>
      </c>
      <c r="B173" s="10" t="s">
        <v>37</v>
      </c>
      <c r="C173" s="10" t="s">
        <v>13</v>
      </c>
      <c r="D173" s="10">
        <v>27</v>
      </c>
    </row>
    <row r="174" spans="1:4">
      <c r="A174" s="10" t="s">
        <v>195</v>
      </c>
      <c r="B174" s="10" t="s">
        <v>31</v>
      </c>
      <c r="C174" s="10" t="s">
        <v>13</v>
      </c>
      <c r="D174" s="10">
        <v>31</v>
      </c>
    </row>
    <row r="175" spans="1:4">
      <c r="A175" s="10" t="s">
        <v>196</v>
      </c>
      <c r="B175" s="10" t="s">
        <v>37</v>
      </c>
      <c r="C175" s="10" t="s">
        <v>13</v>
      </c>
      <c r="D175" s="10">
        <v>28</v>
      </c>
    </row>
    <row r="176" spans="1:4">
      <c r="A176" s="10" t="s">
        <v>197</v>
      </c>
      <c r="B176" s="10" t="s">
        <v>39</v>
      </c>
      <c r="C176" s="10" t="s">
        <v>20</v>
      </c>
      <c r="D176" s="10">
        <v>41</v>
      </c>
    </row>
    <row r="177" spans="1:4">
      <c r="A177" s="10" t="s">
        <v>198</v>
      </c>
      <c r="B177" s="10" t="s">
        <v>37</v>
      </c>
      <c r="C177" s="10" t="s">
        <v>13</v>
      </c>
      <c r="D177" s="10">
        <v>18</v>
      </c>
    </row>
    <row r="178" spans="1:4">
      <c r="A178" s="10" t="s">
        <v>199</v>
      </c>
      <c r="B178" s="10" t="s">
        <v>50</v>
      </c>
      <c r="C178" s="10" t="s">
        <v>13</v>
      </c>
      <c r="D178" s="10">
        <v>16</v>
      </c>
    </row>
    <row r="179" spans="1:4">
      <c r="A179" s="10" t="s">
        <v>200</v>
      </c>
      <c r="B179" s="10" t="s">
        <v>42</v>
      </c>
      <c r="C179" s="10" t="s">
        <v>13</v>
      </c>
      <c r="D179" s="10">
        <v>26</v>
      </c>
    </row>
    <row r="180" spans="1:4">
      <c r="A180" s="10" t="s">
        <v>201</v>
      </c>
      <c r="B180" s="10" t="s">
        <v>31</v>
      </c>
      <c r="C180" s="10" t="s">
        <v>13</v>
      </c>
      <c r="D180" s="10">
        <v>14</v>
      </c>
    </row>
    <row r="181" spans="1:4">
      <c r="A181" s="10" t="s">
        <v>202</v>
      </c>
      <c r="B181" s="10" t="s">
        <v>37</v>
      </c>
      <c r="C181" s="10" t="s">
        <v>13</v>
      </c>
      <c r="D181" s="10">
        <v>43</v>
      </c>
    </row>
    <row r="182" spans="1:4">
      <c r="A182" s="10" t="s">
        <v>203</v>
      </c>
      <c r="B182" s="10" t="s">
        <v>50</v>
      </c>
      <c r="C182" s="10" t="s">
        <v>32</v>
      </c>
      <c r="D182" s="10">
        <v>23</v>
      </c>
    </row>
    <row r="183" spans="1:4">
      <c r="A183" s="10" t="s">
        <v>204</v>
      </c>
      <c r="B183" s="10" t="s">
        <v>39</v>
      </c>
      <c r="C183" s="10" t="s">
        <v>13</v>
      </c>
      <c r="D183" s="10">
        <v>20</v>
      </c>
    </row>
    <row r="184" spans="1:4">
      <c r="A184" s="10" t="s">
        <v>205</v>
      </c>
      <c r="B184" s="10" t="s">
        <v>42</v>
      </c>
      <c r="C184" s="10" t="s">
        <v>13</v>
      </c>
      <c r="D184" s="10">
        <v>31</v>
      </c>
    </row>
    <row r="185" spans="1:4">
      <c r="A185" s="10" t="s">
        <v>206</v>
      </c>
      <c r="B185" s="10" t="s">
        <v>42</v>
      </c>
      <c r="C185" s="10" t="s">
        <v>13</v>
      </c>
      <c r="D185" s="10">
        <v>38</v>
      </c>
    </row>
    <row r="186" spans="1:4">
      <c r="A186" s="10" t="s">
        <v>207</v>
      </c>
      <c r="B186" s="10" t="s">
        <v>31</v>
      </c>
      <c r="C186" s="10" t="s">
        <v>13</v>
      </c>
      <c r="D186" s="10">
        <v>33</v>
      </c>
    </row>
    <row r="187" spans="1:4">
      <c r="A187" s="10" t="s">
        <v>208</v>
      </c>
      <c r="B187" s="10" t="s">
        <v>34</v>
      </c>
      <c r="C187" s="10" t="s">
        <v>13</v>
      </c>
      <c r="D187" s="10">
        <v>27</v>
      </c>
    </row>
    <row r="188" spans="1:4">
      <c r="A188" s="10" t="s">
        <v>209</v>
      </c>
      <c r="B188" s="10" t="s">
        <v>37</v>
      </c>
      <c r="C188" s="10" t="s">
        <v>13</v>
      </c>
      <c r="D188" s="10">
        <v>24</v>
      </c>
    </row>
    <row r="189" spans="1:4">
      <c r="A189" s="10" t="s">
        <v>210</v>
      </c>
      <c r="B189" s="10" t="s">
        <v>39</v>
      </c>
      <c r="C189" s="10" t="s">
        <v>13</v>
      </c>
      <c r="D189" s="10">
        <v>38</v>
      </c>
    </row>
    <row r="190" spans="1:4">
      <c r="A190" s="10" t="s">
        <v>211</v>
      </c>
      <c r="B190" s="10" t="s">
        <v>42</v>
      </c>
      <c r="C190" s="10" t="s">
        <v>13</v>
      </c>
      <c r="D190" s="10">
        <v>47</v>
      </c>
    </row>
    <row r="191" spans="1:4">
      <c r="A191" s="10" t="s">
        <v>212</v>
      </c>
      <c r="B191" s="10" t="s">
        <v>37</v>
      </c>
      <c r="C191" s="10" t="s">
        <v>20</v>
      </c>
      <c r="D191" s="10">
        <v>31</v>
      </c>
    </row>
    <row r="192" spans="1:4">
      <c r="A192" s="10" t="s">
        <v>213</v>
      </c>
      <c r="B192" s="10" t="s">
        <v>39</v>
      </c>
      <c r="C192" s="10" t="s">
        <v>13</v>
      </c>
      <c r="D192" s="10">
        <v>20</v>
      </c>
    </row>
    <row r="193" spans="1:4">
      <c r="A193" s="10" t="s">
        <v>214</v>
      </c>
      <c r="B193" s="10" t="s">
        <v>42</v>
      </c>
      <c r="C193" s="10" t="s">
        <v>13</v>
      </c>
      <c r="D193" s="10">
        <v>19</v>
      </c>
    </row>
    <row r="194" spans="1:4">
      <c r="A194" s="10" t="s">
        <v>215</v>
      </c>
      <c r="B194" s="10" t="s">
        <v>31</v>
      </c>
      <c r="C194" s="10" t="s">
        <v>20</v>
      </c>
      <c r="D194" s="10">
        <v>45</v>
      </c>
    </row>
    <row r="195" spans="1:4">
      <c r="A195" s="10" t="s">
        <v>216</v>
      </c>
      <c r="B195" s="10" t="s">
        <v>39</v>
      </c>
      <c r="C195" s="10" t="s">
        <v>13</v>
      </c>
      <c r="D195" s="10">
        <v>38</v>
      </c>
    </row>
    <row r="196" spans="1:4">
      <c r="A196" s="10" t="s">
        <v>217</v>
      </c>
      <c r="B196" s="10" t="s">
        <v>149</v>
      </c>
      <c r="C196" s="10" t="s">
        <v>13</v>
      </c>
      <c r="D196" s="10">
        <v>18</v>
      </c>
    </row>
    <row r="197" spans="1:4">
      <c r="A197" s="10" t="s">
        <v>218</v>
      </c>
      <c r="B197" s="10" t="s">
        <v>50</v>
      </c>
      <c r="C197" s="10" t="s">
        <v>13</v>
      </c>
      <c r="D197" s="10">
        <v>14</v>
      </c>
    </row>
    <row r="198" spans="1:4">
      <c r="A198" s="10" t="s">
        <v>219</v>
      </c>
      <c r="B198" s="10" t="s">
        <v>42</v>
      </c>
      <c r="C198" s="10" t="s">
        <v>13</v>
      </c>
      <c r="D198" s="10">
        <v>42</v>
      </c>
    </row>
    <row r="199" spans="1:4">
      <c r="A199" s="10" t="s">
        <v>220</v>
      </c>
      <c r="B199" s="10" t="s">
        <v>34</v>
      </c>
      <c r="C199" s="10" t="s">
        <v>16</v>
      </c>
      <c r="D199" s="10">
        <v>33</v>
      </c>
    </row>
    <row r="200" spans="1:4">
      <c r="A200" s="10" t="s">
        <v>221</v>
      </c>
      <c r="B200" s="10" t="s">
        <v>42</v>
      </c>
      <c r="C200" s="10" t="s">
        <v>20</v>
      </c>
      <c r="D200" s="10">
        <v>34</v>
      </c>
    </row>
    <row r="201" spans="1:4">
      <c r="A201" s="10" t="s">
        <v>222</v>
      </c>
      <c r="B201" s="10" t="s">
        <v>42</v>
      </c>
      <c r="C201" s="10" t="s">
        <v>13</v>
      </c>
      <c r="D201" s="10">
        <v>15</v>
      </c>
    </row>
    <row r="202" spans="1:4">
      <c r="A202" s="10" t="s">
        <v>223</v>
      </c>
      <c r="B202" s="10" t="s">
        <v>31</v>
      </c>
      <c r="C202" s="10" t="s">
        <v>13</v>
      </c>
      <c r="D202" s="10">
        <v>22</v>
      </c>
    </row>
    <row r="203" spans="1:4">
      <c r="A203" s="10" t="s">
        <v>224</v>
      </c>
      <c r="B203" s="10" t="s">
        <v>37</v>
      </c>
      <c r="C203" s="10" t="s">
        <v>13</v>
      </c>
      <c r="D203" s="10">
        <v>30</v>
      </c>
    </row>
    <row r="204" spans="1:4">
      <c r="A204" s="10" t="s">
        <v>225</v>
      </c>
      <c r="B204" s="10" t="s">
        <v>39</v>
      </c>
      <c r="C204" s="10" t="s">
        <v>20</v>
      </c>
      <c r="D204" s="10">
        <v>25</v>
      </c>
    </row>
    <row r="205" spans="1:4">
      <c r="A205" s="10" t="s">
        <v>226</v>
      </c>
      <c r="B205" s="10" t="s">
        <v>42</v>
      </c>
      <c r="C205" s="10" t="s">
        <v>13</v>
      </c>
      <c r="D205" s="10">
        <v>26</v>
      </c>
    </row>
    <row r="206" spans="1:4">
      <c r="A206" s="10" t="s">
        <v>227</v>
      </c>
      <c r="B206" s="10" t="s">
        <v>42</v>
      </c>
      <c r="C206" s="10" t="s">
        <v>13</v>
      </c>
      <c r="D206" s="10">
        <v>11</v>
      </c>
    </row>
    <row r="207" spans="1:4">
      <c r="A207" s="10" t="s">
        <v>228</v>
      </c>
      <c r="B207" s="10" t="s">
        <v>37</v>
      </c>
      <c r="C207" s="10" t="s">
        <v>13</v>
      </c>
      <c r="D207" s="10">
        <v>28</v>
      </c>
    </row>
    <row r="208" spans="1:4">
      <c r="A208" s="10" t="s">
        <v>229</v>
      </c>
      <c r="B208" s="10" t="s">
        <v>39</v>
      </c>
      <c r="C208" s="10" t="s">
        <v>20</v>
      </c>
      <c r="D208" s="10">
        <v>22</v>
      </c>
    </row>
    <row r="209" spans="1:4">
      <c r="A209" s="10" t="s">
        <v>230</v>
      </c>
      <c r="B209" s="10" t="s">
        <v>149</v>
      </c>
      <c r="C209" s="10" t="s">
        <v>20</v>
      </c>
      <c r="D209" s="10">
        <v>37</v>
      </c>
    </row>
    <row r="210" spans="1:4">
      <c r="A210" s="10" t="s">
        <v>231</v>
      </c>
      <c r="B210" s="10" t="s">
        <v>42</v>
      </c>
      <c r="C210" s="10" t="s">
        <v>13</v>
      </c>
      <c r="D210" s="10">
        <v>31</v>
      </c>
    </row>
    <row r="211" spans="1:4">
      <c r="A211" s="10" t="s">
        <v>232</v>
      </c>
      <c r="B211" s="10" t="s">
        <v>37</v>
      </c>
      <c r="C211" s="10" t="s">
        <v>13</v>
      </c>
      <c r="D211" s="10">
        <v>19</v>
      </c>
    </row>
    <row r="212" spans="1:4">
      <c r="A212" s="10" t="s">
        <v>233</v>
      </c>
      <c r="B212" s="10" t="s">
        <v>50</v>
      </c>
      <c r="C212" s="10" t="s">
        <v>13</v>
      </c>
      <c r="D212" s="10">
        <v>32</v>
      </c>
    </row>
    <row r="213" spans="1:4">
      <c r="A213" s="10" t="s">
        <v>234</v>
      </c>
      <c r="B213" s="10" t="s">
        <v>39</v>
      </c>
      <c r="C213" s="10" t="s">
        <v>13</v>
      </c>
      <c r="D213" s="10">
        <v>27</v>
      </c>
    </row>
    <row r="214" spans="1:4">
      <c r="A214" s="10" t="s">
        <v>235</v>
      </c>
      <c r="B214" s="10" t="s">
        <v>42</v>
      </c>
      <c r="C214" s="10" t="s">
        <v>20</v>
      </c>
      <c r="D214" s="10">
        <v>13</v>
      </c>
    </row>
    <row r="215" spans="1:4">
      <c r="A215" s="10" t="s">
        <v>236</v>
      </c>
      <c r="B215" s="10" t="s">
        <v>34</v>
      </c>
      <c r="C215" s="10" t="s">
        <v>13</v>
      </c>
      <c r="D215" s="10">
        <v>31</v>
      </c>
    </row>
    <row r="216" spans="1:4">
      <c r="A216" s="10" t="s">
        <v>237</v>
      </c>
      <c r="B216" s="10" t="s">
        <v>37</v>
      </c>
      <c r="C216" s="10" t="s">
        <v>13</v>
      </c>
      <c r="D216" s="10">
        <v>20</v>
      </c>
    </row>
    <row r="217" spans="1:4">
      <c r="A217" s="10" t="s">
        <v>238</v>
      </c>
      <c r="B217" s="10" t="s">
        <v>39</v>
      </c>
      <c r="C217" s="10" t="s">
        <v>13</v>
      </c>
      <c r="D217" s="10">
        <v>26</v>
      </c>
    </row>
    <row r="218" spans="1:4">
      <c r="A218" s="10" t="s">
        <v>239</v>
      </c>
      <c r="B218" s="10" t="s">
        <v>42</v>
      </c>
      <c r="C218" s="10" t="s">
        <v>13</v>
      </c>
      <c r="D218" s="10">
        <v>42</v>
      </c>
    </row>
    <row r="219" spans="1:4">
      <c r="A219" s="10" t="s">
        <v>240</v>
      </c>
      <c r="B219" s="10" t="s">
        <v>42</v>
      </c>
      <c r="C219" s="10" t="s">
        <v>13</v>
      </c>
      <c r="D219" s="10">
        <v>24</v>
      </c>
    </row>
    <row r="220" spans="1:4">
      <c r="A220" s="10" t="s">
        <v>241</v>
      </c>
      <c r="B220" s="10" t="s">
        <v>50</v>
      </c>
      <c r="C220" s="10" t="s">
        <v>20</v>
      </c>
      <c r="D220" s="10">
        <v>50</v>
      </c>
    </row>
    <row r="221" spans="1:4">
      <c r="A221" s="10" t="s">
        <v>242</v>
      </c>
      <c r="B221" s="10" t="s">
        <v>37</v>
      </c>
      <c r="C221" s="10" t="s">
        <v>13</v>
      </c>
      <c r="D221" s="10">
        <v>41</v>
      </c>
    </row>
    <row r="222" spans="1:4">
      <c r="A222" s="10" t="s">
        <v>243</v>
      </c>
      <c r="B222" s="10" t="s">
        <v>39</v>
      </c>
      <c r="C222" s="10" t="s">
        <v>13</v>
      </c>
      <c r="D222" s="10">
        <v>22</v>
      </c>
    </row>
    <row r="223" spans="1:4">
      <c r="A223" s="10" t="s">
        <v>244</v>
      </c>
      <c r="B223" s="10" t="s">
        <v>42</v>
      </c>
      <c r="C223" s="10" t="s">
        <v>13</v>
      </c>
      <c r="D223" s="10">
        <v>29</v>
      </c>
    </row>
    <row r="224" spans="1:4">
      <c r="A224" s="10" t="s">
        <v>245</v>
      </c>
      <c r="B224" s="10" t="s">
        <v>50</v>
      </c>
      <c r="C224" s="10" t="s">
        <v>20</v>
      </c>
      <c r="D224" s="10">
        <v>23</v>
      </c>
    </row>
    <row r="225" spans="1:4">
      <c r="A225" s="10" t="s">
        <v>246</v>
      </c>
      <c r="B225" s="10" t="s">
        <v>37</v>
      </c>
      <c r="C225" s="10" t="s">
        <v>13</v>
      </c>
      <c r="D225" s="10">
        <v>13</v>
      </c>
    </row>
    <row r="226" spans="1:4">
      <c r="A226" s="10" t="s">
        <v>247</v>
      </c>
      <c r="B226" s="10" t="s">
        <v>39</v>
      </c>
      <c r="C226" s="10" t="s">
        <v>13</v>
      </c>
      <c r="D226" s="10">
        <v>32</v>
      </c>
    </row>
    <row r="227" spans="1:4">
      <c r="A227" s="10" t="s">
        <v>248</v>
      </c>
      <c r="B227" s="10" t="s">
        <v>42</v>
      </c>
      <c r="C227" s="10" t="s">
        <v>13</v>
      </c>
      <c r="D227" s="10">
        <v>24</v>
      </c>
    </row>
    <row r="228" spans="1:4">
      <c r="A228" s="10" t="s">
        <v>249</v>
      </c>
      <c r="B228" s="10" t="s">
        <v>42</v>
      </c>
      <c r="C228" s="10" t="s">
        <v>13</v>
      </c>
      <c r="D228" s="10">
        <v>33</v>
      </c>
    </row>
    <row r="229" spans="1:4">
      <c r="A229" s="10" t="s">
        <v>250</v>
      </c>
      <c r="B229" s="10" t="s">
        <v>31</v>
      </c>
      <c r="C229" s="10" t="s">
        <v>16</v>
      </c>
      <c r="D229" s="10">
        <v>29</v>
      </c>
    </row>
    <row r="230" spans="1:4">
      <c r="A230" s="10" t="s">
        <v>251</v>
      </c>
      <c r="B230" s="10" t="s">
        <v>37</v>
      </c>
      <c r="C230" s="10" t="s">
        <v>20</v>
      </c>
      <c r="D230" s="10">
        <v>24</v>
      </c>
    </row>
    <row r="231" spans="1:4">
      <c r="A231" s="10" t="s">
        <v>252</v>
      </c>
      <c r="B231" s="10" t="s">
        <v>37</v>
      </c>
      <c r="C231" s="10" t="s">
        <v>13</v>
      </c>
      <c r="D231" s="10">
        <v>40</v>
      </c>
    </row>
    <row r="232" spans="1:4">
      <c r="A232" s="10" t="s">
        <v>253</v>
      </c>
      <c r="B232" s="10" t="s">
        <v>39</v>
      </c>
      <c r="C232" s="10" t="s">
        <v>13</v>
      </c>
      <c r="D232" s="10">
        <v>16</v>
      </c>
    </row>
    <row r="233" spans="1:4">
      <c r="A233" s="10" t="s">
        <v>254</v>
      </c>
      <c r="B233" s="10" t="s">
        <v>34</v>
      </c>
      <c r="C233" s="10" t="s">
        <v>13</v>
      </c>
      <c r="D233" s="10">
        <v>11</v>
      </c>
    </row>
    <row r="234" spans="1:4">
      <c r="A234" s="10" t="s">
        <v>255</v>
      </c>
      <c r="B234" s="10" t="s">
        <v>37</v>
      </c>
      <c r="C234" s="10" t="s">
        <v>13</v>
      </c>
      <c r="D234" s="10">
        <v>19</v>
      </c>
    </row>
    <row r="235" spans="1:4">
      <c r="A235" s="10" t="s">
        <v>256</v>
      </c>
      <c r="B235" s="10" t="s">
        <v>42</v>
      </c>
      <c r="C235" s="10" t="s">
        <v>20</v>
      </c>
      <c r="D235" s="10">
        <v>42</v>
      </c>
    </row>
    <row r="236" spans="1:4">
      <c r="A236" s="10" t="s">
        <v>257</v>
      </c>
      <c r="B236" s="10" t="s">
        <v>42</v>
      </c>
      <c r="C236" s="10" t="s">
        <v>13</v>
      </c>
      <c r="D236" s="10">
        <v>27</v>
      </c>
    </row>
    <row r="237" spans="1:4">
      <c r="A237" s="10" t="s">
        <v>258</v>
      </c>
      <c r="B237" s="10" t="s">
        <v>50</v>
      </c>
      <c r="C237" s="10" t="s">
        <v>20</v>
      </c>
      <c r="D237" s="10">
        <v>24</v>
      </c>
    </row>
    <row r="238" spans="1:4">
      <c r="A238" s="10" t="s">
        <v>259</v>
      </c>
      <c r="B238" s="10" t="s">
        <v>37</v>
      </c>
      <c r="C238" s="10" t="s">
        <v>13</v>
      </c>
      <c r="D238" s="10">
        <v>27</v>
      </c>
    </row>
    <row r="239" spans="1:4">
      <c r="A239" s="10" t="s">
        <v>260</v>
      </c>
      <c r="C239" s="10" t="s">
        <v>13</v>
      </c>
      <c r="D239" s="10">
        <v>14</v>
      </c>
    </row>
    <row r="240" spans="1:4">
      <c r="A240" s="10" t="s">
        <v>261</v>
      </c>
      <c r="B240" s="10" t="s">
        <v>42</v>
      </c>
      <c r="C240" s="10" t="s">
        <v>13</v>
      </c>
      <c r="D240" s="10">
        <v>12</v>
      </c>
    </row>
    <row r="241" spans="1:4">
      <c r="A241" s="10" t="s">
        <v>262</v>
      </c>
      <c r="B241" s="10" t="s">
        <v>42</v>
      </c>
      <c r="C241" s="10" t="s">
        <v>20</v>
      </c>
      <c r="D241" s="10">
        <v>23</v>
      </c>
    </row>
    <row r="242" spans="1:4">
      <c r="A242" s="10" t="s">
        <v>263</v>
      </c>
      <c r="B242" s="10" t="s">
        <v>39</v>
      </c>
      <c r="C242" s="10" t="s">
        <v>20</v>
      </c>
      <c r="D242" s="10">
        <v>40</v>
      </c>
    </row>
    <row r="243" spans="1:4">
      <c r="A243" s="10" t="s">
        <v>264</v>
      </c>
      <c r="B243" s="10" t="s">
        <v>42</v>
      </c>
      <c r="C243" s="10" t="s">
        <v>20</v>
      </c>
      <c r="D243" s="10">
        <v>33</v>
      </c>
    </row>
    <row r="244" spans="1:4">
      <c r="A244" s="10" t="s">
        <v>265</v>
      </c>
      <c r="B244" s="10" t="s">
        <v>31</v>
      </c>
      <c r="C244" s="10" t="s">
        <v>20</v>
      </c>
      <c r="D244" s="10">
        <v>33</v>
      </c>
    </row>
    <row r="245" spans="1:4">
      <c r="A245" s="10" t="s">
        <v>266</v>
      </c>
      <c r="B245" s="10" t="s">
        <v>42</v>
      </c>
      <c r="C245" s="10" t="s">
        <v>13</v>
      </c>
      <c r="D245" s="10">
        <v>30</v>
      </c>
    </row>
    <row r="246" spans="1:4">
      <c r="A246" s="10" t="s">
        <v>267</v>
      </c>
      <c r="B246" s="10" t="s">
        <v>42</v>
      </c>
      <c r="C246" s="10" t="s">
        <v>20</v>
      </c>
      <c r="D246" s="10">
        <v>35</v>
      </c>
    </row>
    <row r="247" spans="1:4">
      <c r="A247" s="10" t="s">
        <v>268</v>
      </c>
      <c r="B247" s="10" t="s">
        <v>31</v>
      </c>
      <c r="C247" s="10" t="s">
        <v>13</v>
      </c>
      <c r="D247" s="10">
        <v>26</v>
      </c>
    </row>
    <row r="248" spans="1:4">
      <c r="A248" s="10" t="s">
        <v>269</v>
      </c>
      <c r="B248" s="10" t="s">
        <v>34</v>
      </c>
      <c r="C248" s="10" t="s">
        <v>32</v>
      </c>
      <c r="D248" s="10">
        <v>6</v>
      </c>
    </row>
    <row r="249" spans="1:4">
      <c r="A249" s="10" t="s">
        <v>270</v>
      </c>
      <c r="B249" s="10" t="s">
        <v>37</v>
      </c>
      <c r="C249" s="10" t="s">
        <v>20</v>
      </c>
      <c r="D249" s="10">
        <v>17</v>
      </c>
    </row>
    <row r="250" spans="1:4">
      <c r="A250" s="10" t="s">
        <v>271</v>
      </c>
      <c r="B250" s="10" t="s">
        <v>50</v>
      </c>
      <c r="C250" s="10" t="s">
        <v>20</v>
      </c>
      <c r="D250" s="10">
        <v>41</v>
      </c>
    </row>
    <row r="251" spans="1:4">
      <c r="A251" s="10" t="s">
        <v>272</v>
      </c>
      <c r="B251" s="10" t="s">
        <v>39</v>
      </c>
      <c r="C251" s="10" t="s">
        <v>13</v>
      </c>
      <c r="D251" s="10">
        <v>33</v>
      </c>
    </row>
    <row r="252" spans="1:4">
      <c r="A252" s="10" t="s">
        <v>273</v>
      </c>
      <c r="B252" s="10" t="s">
        <v>42</v>
      </c>
      <c r="C252" s="10" t="s">
        <v>20</v>
      </c>
      <c r="D252" s="10">
        <v>39</v>
      </c>
    </row>
    <row r="253" spans="1:4">
      <c r="A253" s="10" t="s">
        <v>274</v>
      </c>
      <c r="B253" s="10" t="s">
        <v>42</v>
      </c>
      <c r="C253" s="10" t="s">
        <v>13</v>
      </c>
      <c r="D253" s="10">
        <v>17</v>
      </c>
    </row>
    <row r="254" spans="1:4">
      <c r="A254" s="10" t="s">
        <v>275</v>
      </c>
      <c r="B254" s="10" t="s">
        <v>37</v>
      </c>
      <c r="C254" s="10" t="s">
        <v>13</v>
      </c>
      <c r="D254" s="10">
        <v>24</v>
      </c>
    </row>
    <row r="255" spans="1:4">
      <c r="A255" s="10" t="s">
        <v>276</v>
      </c>
      <c r="B255" s="10" t="s">
        <v>39</v>
      </c>
      <c r="C255" s="10" t="s">
        <v>20</v>
      </c>
      <c r="D255" s="10">
        <v>35</v>
      </c>
    </row>
    <row r="256" spans="1:4">
      <c r="A256" s="10" t="s">
        <v>277</v>
      </c>
      <c r="B256" s="10" t="s">
        <v>50</v>
      </c>
      <c r="C256" s="10" t="s">
        <v>13</v>
      </c>
      <c r="D256" s="10">
        <v>18</v>
      </c>
    </row>
    <row r="257" spans="1:4">
      <c r="A257" s="10" t="s">
        <v>278</v>
      </c>
      <c r="B257" s="10" t="s">
        <v>42</v>
      </c>
      <c r="C257" s="10" t="s">
        <v>13</v>
      </c>
      <c r="D257" s="10">
        <v>20</v>
      </c>
    </row>
    <row r="258" spans="1:4">
      <c r="A258" s="10" t="s">
        <v>279</v>
      </c>
      <c r="B258" s="10" t="s">
        <v>31</v>
      </c>
      <c r="C258" s="10" t="s">
        <v>13</v>
      </c>
      <c r="D258" s="10">
        <v>24</v>
      </c>
    </row>
    <row r="259" spans="1:4">
      <c r="A259" s="10" t="s">
        <v>280</v>
      </c>
      <c r="B259" s="10" t="s">
        <v>50</v>
      </c>
      <c r="C259" s="10" t="s">
        <v>13</v>
      </c>
      <c r="D259" s="10">
        <v>40</v>
      </c>
    </row>
    <row r="260" spans="1:4">
      <c r="A260" s="10" t="s">
        <v>281</v>
      </c>
      <c r="B260" s="10" t="s">
        <v>39</v>
      </c>
      <c r="C260" s="10" t="s">
        <v>20</v>
      </c>
      <c r="D260" s="10">
        <v>13</v>
      </c>
    </row>
    <row r="261" spans="1:4">
      <c r="A261" s="10" t="s">
        <v>282</v>
      </c>
      <c r="B261" s="10" t="s">
        <v>42</v>
      </c>
      <c r="C261" s="10" t="s">
        <v>13</v>
      </c>
      <c r="D261" s="10">
        <v>32</v>
      </c>
    </row>
    <row r="262" spans="1:4">
      <c r="A262" s="10" t="s">
        <v>283</v>
      </c>
      <c r="B262" s="10" t="s">
        <v>42</v>
      </c>
      <c r="C262" s="10" t="s">
        <v>20</v>
      </c>
      <c r="D262" s="10">
        <v>34</v>
      </c>
    </row>
    <row r="263" spans="1:4">
      <c r="A263" s="10" t="s">
        <v>284</v>
      </c>
      <c r="B263" s="10" t="s">
        <v>50</v>
      </c>
      <c r="C263" s="10" t="s">
        <v>20</v>
      </c>
      <c r="D263" s="10">
        <v>34</v>
      </c>
    </row>
    <row r="264" spans="1:4">
      <c r="A264" s="10" t="s">
        <v>285</v>
      </c>
      <c r="B264" s="10" t="s">
        <v>42</v>
      </c>
      <c r="C264" s="10" t="s">
        <v>13</v>
      </c>
      <c r="D264" s="10">
        <v>31</v>
      </c>
    </row>
    <row r="265" spans="1:4">
      <c r="A265" s="10" t="s">
        <v>286</v>
      </c>
      <c r="B265" s="10" t="s">
        <v>34</v>
      </c>
      <c r="C265" s="10" t="s">
        <v>13</v>
      </c>
      <c r="D265" s="10">
        <v>47</v>
      </c>
    </row>
    <row r="266" spans="1:4">
      <c r="A266" s="10" t="s">
        <v>287</v>
      </c>
      <c r="B266" s="10" t="s">
        <v>42</v>
      </c>
      <c r="C266" s="10" t="s">
        <v>13</v>
      </c>
      <c r="D266" s="10">
        <v>43</v>
      </c>
    </row>
    <row r="267" spans="1:4">
      <c r="A267" s="10" t="s">
        <v>288</v>
      </c>
      <c r="B267" s="10" t="s">
        <v>31</v>
      </c>
      <c r="C267" s="10" t="s">
        <v>13</v>
      </c>
      <c r="D267" s="10">
        <v>27</v>
      </c>
    </row>
    <row r="268" spans="1:4">
      <c r="A268" s="10" t="s">
        <v>289</v>
      </c>
      <c r="B268" s="10" t="s">
        <v>39</v>
      </c>
      <c r="C268" s="10" t="s">
        <v>13</v>
      </c>
      <c r="D268" s="10">
        <v>11</v>
      </c>
    </row>
    <row r="269" spans="1:4">
      <c r="A269" s="10" t="s">
        <v>290</v>
      </c>
      <c r="B269" s="10" t="s">
        <v>42</v>
      </c>
      <c r="C269" s="10" t="s">
        <v>13</v>
      </c>
      <c r="D269" s="10">
        <v>37</v>
      </c>
    </row>
    <row r="270" spans="1:4">
      <c r="A270" s="10" t="s">
        <v>291</v>
      </c>
      <c r="B270" s="10" t="s">
        <v>31</v>
      </c>
      <c r="C270" s="10" t="s">
        <v>13</v>
      </c>
      <c r="D270" s="10">
        <v>26</v>
      </c>
    </row>
    <row r="271" spans="1:4">
      <c r="A271" s="10" t="s">
        <v>292</v>
      </c>
      <c r="B271" s="10" t="s">
        <v>50</v>
      </c>
      <c r="C271" s="10" t="s">
        <v>13</v>
      </c>
      <c r="D271" s="10">
        <v>27</v>
      </c>
    </row>
    <row r="272" spans="1:4">
      <c r="A272" s="10" t="s">
        <v>293</v>
      </c>
      <c r="B272" s="10" t="s">
        <v>37</v>
      </c>
      <c r="C272" s="10" t="s">
        <v>13</v>
      </c>
      <c r="D272" s="10">
        <v>21</v>
      </c>
    </row>
    <row r="273" spans="1:4">
      <c r="A273" s="10" t="s">
        <v>294</v>
      </c>
      <c r="B273" s="10" t="s">
        <v>39</v>
      </c>
      <c r="C273" s="10" t="s">
        <v>13</v>
      </c>
      <c r="D273" s="10">
        <v>35</v>
      </c>
    </row>
    <row r="274" spans="1:4">
      <c r="A274" s="10" t="s">
        <v>295</v>
      </c>
      <c r="B274" s="10" t="s">
        <v>42</v>
      </c>
      <c r="C274" s="10" t="s">
        <v>20</v>
      </c>
      <c r="D274" s="10">
        <v>25</v>
      </c>
    </row>
    <row r="275" spans="1:4">
      <c r="A275" s="10" t="s">
        <v>296</v>
      </c>
      <c r="B275" s="10" t="s">
        <v>42</v>
      </c>
      <c r="C275" s="10" t="s">
        <v>13</v>
      </c>
      <c r="D275" s="10">
        <v>28</v>
      </c>
    </row>
    <row r="276" spans="1:4">
      <c r="A276" s="10" t="s">
        <v>297</v>
      </c>
      <c r="B276" s="10" t="s">
        <v>50</v>
      </c>
      <c r="C276" s="10" t="s">
        <v>13</v>
      </c>
      <c r="D276" s="10">
        <v>21</v>
      </c>
    </row>
    <row r="277" spans="1:4">
      <c r="A277" s="10" t="s">
        <v>298</v>
      </c>
      <c r="B277" s="10" t="s">
        <v>39</v>
      </c>
      <c r="C277" s="10" t="s">
        <v>13</v>
      </c>
      <c r="D277" s="10">
        <v>24</v>
      </c>
    </row>
    <row r="278" spans="1:4">
      <c r="A278" s="10" t="s">
        <v>299</v>
      </c>
      <c r="B278" s="10" t="s">
        <v>42</v>
      </c>
      <c r="C278" s="10" t="s">
        <v>13</v>
      </c>
      <c r="D278" s="10">
        <v>19</v>
      </c>
    </row>
    <row r="279" spans="1:4">
      <c r="A279" s="10" t="s">
        <v>300</v>
      </c>
      <c r="B279" s="10" t="s">
        <v>301</v>
      </c>
      <c r="C279" s="10" t="s">
        <v>13</v>
      </c>
      <c r="D279" s="10">
        <v>25</v>
      </c>
    </row>
    <row r="280" spans="1:4">
      <c r="A280" s="10" t="s">
        <v>302</v>
      </c>
      <c r="B280" s="10" t="s">
        <v>50</v>
      </c>
      <c r="C280" s="10" t="s">
        <v>13</v>
      </c>
      <c r="D280" s="10">
        <v>33</v>
      </c>
    </row>
    <row r="281" spans="1:4">
      <c r="A281" s="10" t="s">
        <v>303</v>
      </c>
      <c r="B281" s="10" t="s">
        <v>39</v>
      </c>
      <c r="C281" s="10" t="s">
        <v>13</v>
      </c>
      <c r="D281" s="10">
        <v>26</v>
      </c>
    </row>
    <row r="282" spans="1:4">
      <c r="A282" s="10" t="s">
        <v>304</v>
      </c>
      <c r="B282" s="10" t="s">
        <v>42</v>
      </c>
      <c r="C282" s="10" t="s">
        <v>13</v>
      </c>
      <c r="D282" s="10">
        <v>31</v>
      </c>
    </row>
    <row r="283" spans="1:4">
      <c r="A283" s="10" t="s">
        <v>305</v>
      </c>
      <c r="B283" s="10" t="s">
        <v>42</v>
      </c>
      <c r="C283" s="10" t="s">
        <v>13</v>
      </c>
      <c r="D283" s="10">
        <v>33</v>
      </c>
    </row>
    <row r="284" spans="1:4">
      <c r="A284" s="10" t="s">
        <v>306</v>
      </c>
      <c r="B284" s="10" t="s">
        <v>50</v>
      </c>
      <c r="C284" s="10" t="s">
        <v>13</v>
      </c>
      <c r="D284" s="10">
        <v>30</v>
      </c>
    </row>
    <row r="285" spans="1:4">
      <c r="A285" s="10" t="s">
        <v>307</v>
      </c>
      <c r="B285" s="10" t="s">
        <v>39</v>
      </c>
      <c r="C285" s="10" t="s">
        <v>13</v>
      </c>
      <c r="D285" s="10">
        <v>26</v>
      </c>
    </row>
    <row r="286" spans="1:4">
      <c r="A286" s="10" t="s">
        <v>308</v>
      </c>
      <c r="B286" s="10" t="s">
        <v>42</v>
      </c>
      <c r="C286" s="10" t="s">
        <v>13</v>
      </c>
      <c r="D286" s="10">
        <v>23</v>
      </c>
    </row>
    <row r="287" spans="1:4">
      <c r="A287" s="10" t="s">
        <v>309</v>
      </c>
      <c r="B287" s="10" t="s">
        <v>31</v>
      </c>
      <c r="C287" s="10" t="s">
        <v>13</v>
      </c>
      <c r="D287" s="10">
        <v>28</v>
      </c>
    </row>
    <row r="288" spans="1:4">
      <c r="A288" s="10" t="s">
        <v>310</v>
      </c>
      <c r="B288" s="10" t="s">
        <v>37</v>
      </c>
      <c r="C288" s="10" t="s">
        <v>13</v>
      </c>
      <c r="D288" s="10">
        <v>18</v>
      </c>
    </row>
    <row r="289" spans="1:4">
      <c r="A289" s="10" t="s">
        <v>311</v>
      </c>
      <c r="B289" s="10" t="s">
        <v>39</v>
      </c>
      <c r="C289" s="10" t="s">
        <v>13</v>
      </c>
      <c r="D289" s="10">
        <v>39</v>
      </c>
    </row>
    <row r="290" spans="1:4">
      <c r="A290" s="10" t="s">
        <v>312</v>
      </c>
      <c r="B290" s="10" t="s">
        <v>42</v>
      </c>
      <c r="C290" s="10" t="s">
        <v>13</v>
      </c>
      <c r="D290" s="10">
        <v>28</v>
      </c>
    </row>
    <row r="291" spans="1:4">
      <c r="A291" s="10" t="s">
        <v>313</v>
      </c>
      <c r="B291" s="10" t="s">
        <v>42</v>
      </c>
      <c r="C291" s="10" t="s">
        <v>13</v>
      </c>
      <c r="D291" s="10">
        <v>47</v>
      </c>
    </row>
    <row r="292" spans="1:4">
      <c r="A292" s="10" t="s">
        <v>314</v>
      </c>
      <c r="B292" s="10" t="s">
        <v>50</v>
      </c>
      <c r="C292" s="10" t="s">
        <v>13</v>
      </c>
      <c r="D292" s="10">
        <v>41</v>
      </c>
    </row>
    <row r="293" spans="1:4">
      <c r="A293" s="10" t="s">
        <v>315</v>
      </c>
      <c r="B293" s="10" t="s">
        <v>37</v>
      </c>
      <c r="C293" s="10" t="s">
        <v>13</v>
      </c>
      <c r="D293" s="10">
        <v>11</v>
      </c>
    </row>
    <row r="294" spans="1:4">
      <c r="A294" s="10" t="s">
        <v>316</v>
      </c>
      <c r="B294" s="10" t="s">
        <v>42</v>
      </c>
      <c r="C294" s="10" t="s">
        <v>13</v>
      </c>
      <c r="D294" s="10">
        <v>26</v>
      </c>
    </row>
    <row r="295" spans="1:4">
      <c r="A295" s="10" t="s">
        <v>317</v>
      </c>
      <c r="B295" s="10" t="s">
        <v>42</v>
      </c>
      <c r="C295" s="10" t="s">
        <v>20</v>
      </c>
      <c r="D295" s="10">
        <v>24</v>
      </c>
    </row>
    <row r="296" spans="1:4">
      <c r="A296" s="10" t="s">
        <v>318</v>
      </c>
      <c r="B296" s="10" t="s">
        <v>301</v>
      </c>
      <c r="C296" s="10" t="s">
        <v>13</v>
      </c>
      <c r="D296" s="10">
        <v>14</v>
      </c>
    </row>
    <row r="297" spans="1:4">
      <c r="A297" s="10" t="s">
        <v>319</v>
      </c>
      <c r="B297" s="10" t="s">
        <v>50</v>
      </c>
      <c r="C297" s="10" t="s">
        <v>13</v>
      </c>
      <c r="D297" s="10">
        <v>34</v>
      </c>
    </row>
    <row r="298" spans="1:4">
      <c r="A298" s="10" t="s">
        <v>320</v>
      </c>
      <c r="B298" s="10" t="s">
        <v>39</v>
      </c>
      <c r="C298" s="10" t="s">
        <v>20</v>
      </c>
      <c r="D298" s="10">
        <v>46</v>
      </c>
    </row>
    <row r="299" spans="1:4">
      <c r="A299" s="10" t="s">
        <v>321</v>
      </c>
      <c r="B299" s="10" t="s">
        <v>301</v>
      </c>
      <c r="C299" s="10" t="s">
        <v>13</v>
      </c>
      <c r="D299" s="10">
        <v>24</v>
      </c>
    </row>
    <row r="300" spans="1:4">
      <c r="A300" s="10" t="s">
        <v>322</v>
      </c>
      <c r="B300" s="10" t="s">
        <v>31</v>
      </c>
      <c r="C300" s="10" t="s">
        <v>13</v>
      </c>
      <c r="D300" s="10">
        <v>22</v>
      </c>
    </row>
    <row r="301" spans="1:4">
      <c r="A301" s="10" t="s">
        <v>323</v>
      </c>
      <c r="B301" s="10" t="s">
        <v>50</v>
      </c>
      <c r="C301" s="10" t="s">
        <v>13</v>
      </c>
      <c r="D301" s="10">
        <v>41</v>
      </c>
    </row>
    <row r="302" spans="1:4">
      <c r="A302" s="10" t="s">
        <v>324</v>
      </c>
      <c r="B302" s="10" t="s">
        <v>37</v>
      </c>
      <c r="C302" s="10" t="s">
        <v>13</v>
      </c>
      <c r="D302" s="10">
        <v>3</v>
      </c>
    </row>
    <row r="303" spans="1:4">
      <c r="A303" s="10" t="s">
        <v>325</v>
      </c>
      <c r="B303" s="10" t="s">
        <v>39</v>
      </c>
      <c r="C303" s="10" t="s">
        <v>13</v>
      </c>
      <c r="D303" s="10">
        <v>24</v>
      </c>
    </row>
    <row r="304" spans="1:4">
      <c r="A304" s="10" t="s">
        <v>326</v>
      </c>
      <c r="B304" s="10" t="s">
        <v>39</v>
      </c>
      <c r="C304" s="10" t="s">
        <v>13</v>
      </c>
      <c r="D304" s="10">
        <v>19</v>
      </c>
    </row>
    <row r="305" spans="1:4">
      <c r="A305" s="10" t="s">
        <v>327</v>
      </c>
      <c r="B305" s="10" t="s">
        <v>42</v>
      </c>
      <c r="C305" s="10" t="s">
        <v>20</v>
      </c>
      <c r="D305" s="10">
        <v>39</v>
      </c>
    </row>
    <row r="306" spans="1:4">
      <c r="A306" s="10" t="s">
        <v>328</v>
      </c>
      <c r="B306" s="10" t="s">
        <v>31</v>
      </c>
      <c r="C306" s="10" t="s">
        <v>20</v>
      </c>
      <c r="D306" s="10">
        <v>28</v>
      </c>
    </row>
    <row r="307" spans="1:4">
      <c r="A307" s="10" t="s">
        <v>329</v>
      </c>
      <c r="B307" s="10" t="s">
        <v>50</v>
      </c>
      <c r="C307" s="10" t="s">
        <v>13</v>
      </c>
      <c r="D307" s="10">
        <v>32</v>
      </c>
    </row>
    <row r="308" spans="1:4">
      <c r="A308" s="10" t="s">
        <v>330</v>
      </c>
      <c r="B308" s="10" t="s">
        <v>37</v>
      </c>
      <c r="C308" s="10" t="s">
        <v>13</v>
      </c>
      <c r="D308" s="10">
        <v>25</v>
      </c>
    </row>
    <row r="309" spans="1:4">
      <c r="A309" s="10" t="s">
        <v>331</v>
      </c>
      <c r="B309" s="10" t="s">
        <v>39</v>
      </c>
      <c r="C309" s="10" t="s">
        <v>20</v>
      </c>
      <c r="D309" s="10">
        <v>29</v>
      </c>
    </row>
    <row r="310" spans="1:4">
      <c r="A310" s="10" t="s">
        <v>332</v>
      </c>
      <c r="B310" s="10" t="s">
        <v>42</v>
      </c>
      <c r="C310" s="10" t="s">
        <v>13</v>
      </c>
      <c r="D310" s="10">
        <v>25</v>
      </c>
    </row>
    <row r="311" spans="1:4">
      <c r="A311" s="10" t="s">
        <v>333</v>
      </c>
      <c r="B311" s="10" t="s">
        <v>42</v>
      </c>
      <c r="C311" s="10" t="s">
        <v>13</v>
      </c>
      <c r="D311" s="10">
        <v>21</v>
      </c>
    </row>
    <row r="312" spans="1:4">
      <c r="A312" s="10" t="s">
        <v>334</v>
      </c>
      <c r="B312" s="10" t="s">
        <v>31</v>
      </c>
      <c r="C312" s="10" t="s">
        <v>20</v>
      </c>
      <c r="D312" s="10">
        <v>31</v>
      </c>
    </row>
    <row r="313" spans="1:4">
      <c r="A313" s="10" t="s">
        <v>335</v>
      </c>
      <c r="B313" s="10" t="s">
        <v>50</v>
      </c>
      <c r="C313" s="10" t="s">
        <v>13</v>
      </c>
      <c r="D313" s="10">
        <v>25</v>
      </c>
    </row>
    <row r="314" spans="1:4">
      <c r="A314" s="10" t="s">
        <v>336</v>
      </c>
      <c r="B314" s="10" t="s">
        <v>37</v>
      </c>
      <c r="C314" s="10" t="s">
        <v>13</v>
      </c>
      <c r="D314" s="10">
        <v>14</v>
      </c>
    </row>
    <row r="315" spans="1:4">
      <c r="A315" s="10" t="s">
        <v>337</v>
      </c>
      <c r="B315" s="10" t="s">
        <v>42</v>
      </c>
      <c r="C315" s="10" t="s">
        <v>13</v>
      </c>
      <c r="D315" s="10">
        <v>21</v>
      </c>
    </row>
    <row r="316" spans="1:4">
      <c r="A316" s="10" t="s">
        <v>338</v>
      </c>
      <c r="B316" s="10" t="s">
        <v>37</v>
      </c>
      <c r="C316" s="10" t="s">
        <v>13</v>
      </c>
      <c r="D316" s="10">
        <v>24</v>
      </c>
    </row>
    <row r="317" spans="1:4">
      <c r="A317" s="10" t="s">
        <v>339</v>
      </c>
      <c r="B317" s="10" t="s">
        <v>42</v>
      </c>
      <c r="C317" s="10" t="s">
        <v>13</v>
      </c>
      <c r="D317" s="10">
        <v>25</v>
      </c>
    </row>
    <row r="318" spans="1:4">
      <c r="A318" s="10" t="s">
        <v>340</v>
      </c>
      <c r="B318" s="10" t="s">
        <v>42</v>
      </c>
      <c r="C318" s="10" t="s">
        <v>20</v>
      </c>
      <c r="D318" s="10">
        <v>42</v>
      </c>
    </row>
    <row r="319" spans="1:4">
      <c r="A319" s="10" t="s">
        <v>341</v>
      </c>
      <c r="B319" s="10" t="s">
        <v>301</v>
      </c>
      <c r="C319" s="10" t="s">
        <v>20</v>
      </c>
      <c r="D319" s="10">
        <v>20</v>
      </c>
    </row>
    <row r="320" spans="1:4">
      <c r="A320" s="10" t="s">
        <v>342</v>
      </c>
      <c r="B320" s="10" t="s">
        <v>31</v>
      </c>
      <c r="C320" s="10" t="s">
        <v>13</v>
      </c>
      <c r="D320" s="10">
        <v>22</v>
      </c>
    </row>
    <row r="321" spans="1:4">
      <c r="A321" s="10" t="s">
        <v>343</v>
      </c>
      <c r="B321" s="10" t="s">
        <v>50</v>
      </c>
      <c r="C321" s="10" t="s">
        <v>13</v>
      </c>
      <c r="D321" s="10">
        <v>36</v>
      </c>
    </row>
    <row r="322" spans="1:4">
      <c r="A322" s="10" t="s">
        <v>344</v>
      </c>
      <c r="B322" s="10" t="s">
        <v>42</v>
      </c>
      <c r="C322" s="10" t="s">
        <v>13</v>
      </c>
      <c r="D322" s="10">
        <v>38</v>
      </c>
    </row>
    <row r="323" spans="1:4">
      <c r="A323" s="10" t="s">
        <v>345</v>
      </c>
      <c r="B323" s="10" t="s">
        <v>42</v>
      </c>
      <c r="C323" s="10" t="s">
        <v>13</v>
      </c>
      <c r="D323" s="10">
        <v>18</v>
      </c>
    </row>
    <row r="324" spans="1:4">
      <c r="A324" s="10" t="s">
        <v>346</v>
      </c>
      <c r="B324" s="10" t="s">
        <v>301</v>
      </c>
      <c r="C324" s="10" t="s">
        <v>13</v>
      </c>
      <c r="D324" s="10">
        <v>16</v>
      </c>
    </row>
    <row r="325" spans="1:4">
      <c r="A325" s="10" t="s">
        <v>347</v>
      </c>
      <c r="B325" s="10" t="s">
        <v>31</v>
      </c>
      <c r="C325" s="10" t="s">
        <v>13</v>
      </c>
      <c r="D325" s="10">
        <v>31</v>
      </c>
    </row>
    <row r="326" spans="1:4">
      <c r="A326" s="10" t="s">
        <v>348</v>
      </c>
      <c r="B326" s="10" t="s">
        <v>50</v>
      </c>
      <c r="C326" s="10" t="s">
        <v>13</v>
      </c>
      <c r="D326" s="10">
        <v>28</v>
      </c>
    </row>
    <row r="327" spans="1:4">
      <c r="A327" s="10" t="s">
        <v>349</v>
      </c>
      <c r="B327" s="10" t="s">
        <v>39</v>
      </c>
      <c r="C327" s="10" t="s">
        <v>13</v>
      </c>
      <c r="D327" s="10">
        <v>34</v>
      </c>
    </row>
    <row r="328" spans="1:4">
      <c r="A328" s="10" t="s">
        <v>350</v>
      </c>
      <c r="B328" s="10" t="s">
        <v>42</v>
      </c>
      <c r="C328" s="10" t="s">
        <v>20</v>
      </c>
      <c r="D328" s="10">
        <v>48</v>
      </c>
    </row>
    <row r="329" spans="1:4">
      <c r="A329" s="10" t="s">
        <v>351</v>
      </c>
      <c r="B329" s="10" t="s">
        <v>31</v>
      </c>
      <c r="C329" s="10" t="s">
        <v>13</v>
      </c>
      <c r="D329" s="10">
        <v>35</v>
      </c>
    </row>
    <row r="330" spans="1:4">
      <c r="A330" s="10" t="s">
        <v>352</v>
      </c>
      <c r="B330" s="10" t="s">
        <v>50</v>
      </c>
      <c r="C330" s="10" t="s">
        <v>20</v>
      </c>
      <c r="D330" s="10">
        <v>24</v>
      </c>
    </row>
    <row r="331" spans="1:4">
      <c r="A331" s="10" t="s">
        <v>353</v>
      </c>
      <c r="B331" s="10" t="s">
        <v>42</v>
      </c>
      <c r="C331" s="10" t="s">
        <v>13</v>
      </c>
      <c r="D331" s="10">
        <v>25</v>
      </c>
    </row>
    <row r="332" spans="1:4">
      <c r="A332" s="10" t="s">
        <v>354</v>
      </c>
      <c r="B332" s="10" t="s">
        <v>37</v>
      </c>
      <c r="C332" s="10" t="s">
        <v>13</v>
      </c>
      <c r="D332" s="10">
        <v>32</v>
      </c>
    </row>
    <row r="333" spans="1:4">
      <c r="A333" s="10" t="s">
        <v>355</v>
      </c>
      <c r="B333" s="10" t="s">
        <v>39</v>
      </c>
      <c r="C333" s="10" t="s">
        <v>20</v>
      </c>
      <c r="D333" s="10">
        <v>33</v>
      </c>
    </row>
    <row r="334" spans="1:4">
      <c r="A334" s="10" t="s">
        <v>356</v>
      </c>
      <c r="B334" s="10" t="s">
        <v>301</v>
      </c>
      <c r="C334" s="10" t="s">
        <v>20</v>
      </c>
      <c r="D334" s="10">
        <v>19</v>
      </c>
    </row>
    <row r="335" spans="1:4">
      <c r="A335" s="10" t="s">
        <v>357</v>
      </c>
      <c r="B335" s="10" t="s">
        <v>39</v>
      </c>
      <c r="C335" s="10" t="s">
        <v>13</v>
      </c>
      <c r="D335" s="10">
        <v>7</v>
      </c>
    </row>
    <row r="336" spans="1:4">
      <c r="A336" s="10" t="s">
        <v>358</v>
      </c>
      <c r="B336" s="10" t="s">
        <v>39</v>
      </c>
      <c r="C336" s="10" t="s">
        <v>20</v>
      </c>
      <c r="D336" s="10">
        <v>36</v>
      </c>
    </row>
    <row r="337" spans="1:4">
      <c r="A337" s="10" t="s">
        <v>359</v>
      </c>
      <c r="B337" s="10" t="s">
        <v>42</v>
      </c>
      <c r="C337" s="10" t="s">
        <v>16</v>
      </c>
      <c r="D337" s="10">
        <v>44</v>
      </c>
    </row>
    <row r="338" spans="1:4">
      <c r="A338" s="10" t="s">
        <v>360</v>
      </c>
      <c r="B338" s="10" t="s">
        <v>42</v>
      </c>
      <c r="C338" s="10" t="s">
        <v>732</v>
      </c>
      <c r="D338" s="10">
        <v>35</v>
      </c>
    </row>
    <row r="339" spans="1:4">
      <c r="A339" s="10" t="s">
        <v>361</v>
      </c>
      <c r="B339" s="10" t="s">
        <v>301</v>
      </c>
      <c r="C339" s="10" t="s">
        <v>13</v>
      </c>
      <c r="D339" s="10">
        <v>11</v>
      </c>
    </row>
    <row r="340" spans="1:4">
      <c r="A340" s="10" t="s">
        <v>362</v>
      </c>
      <c r="B340" s="10" t="s">
        <v>31</v>
      </c>
      <c r="C340" s="10" t="s">
        <v>13</v>
      </c>
      <c r="D340" s="10">
        <v>43</v>
      </c>
    </row>
    <row r="341" spans="1:4">
      <c r="A341" s="10" t="s">
        <v>363</v>
      </c>
      <c r="B341" s="10" t="s">
        <v>50</v>
      </c>
      <c r="C341" s="10" t="s">
        <v>13</v>
      </c>
      <c r="D341" s="10">
        <v>22</v>
      </c>
    </row>
    <row r="342" spans="1:4">
      <c r="A342" s="10" t="s">
        <v>364</v>
      </c>
      <c r="B342" s="10" t="s">
        <v>39</v>
      </c>
      <c r="C342" s="10" t="s">
        <v>20</v>
      </c>
      <c r="D342" s="10">
        <v>49</v>
      </c>
    </row>
    <row r="343" spans="1:4">
      <c r="A343" s="10" t="s">
        <v>365</v>
      </c>
      <c r="B343" s="10" t="s">
        <v>39</v>
      </c>
      <c r="C343" s="10" t="s">
        <v>32</v>
      </c>
      <c r="D343" s="10">
        <v>37</v>
      </c>
    </row>
    <row r="344" spans="1:4">
      <c r="A344" s="10" t="s">
        <v>366</v>
      </c>
      <c r="B344" s="10" t="s">
        <v>42</v>
      </c>
      <c r="C344" s="10" t="s">
        <v>13</v>
      </c>
      <c r="D344" s="10">
        <v>26</v>
      </c>
    </row>
    <row r="345" spans="1:4">
      <c r="A345" s="10" t="s">
        <v>367</v>
      </c>
      <c r="B345" s="10" t="s">
        <v>301</v>
      </c>
      <c r="C345" s="10" t="s">
        <v>13</v>
      </c>
      <c r="D345" s="10">
        <v>19</v>
      </c>
    </row>
    <row r="346" spans="1:4">
      <c r="A346" s="10" t="s">
        <v>368</v>
      </c>
      <c r="B346" s="10" t="s">
        <v>31</v>
      </c>
      <c r="C346" s="10" t="s">
        <v>13</v>
      </c>
      <c r="D346" s="10">
        <v>20</v>
      </c>
    </row>
    <row r="347" spans="1:4">
      <c r="A347" s="10" t="s">
        <v>369</v>
      </c>
      <c r="B347" s="10" t="s">
        <v>34</v>
      </c>
      <c r="C347" s="10" t="s">
        <v>20</v>
      </c>
      <c r="D347" s="10">
        <v>36</v>
      </c>
    </row>
    <row r="348" spans="1:4">
      <c r="A348" s="10" t="s">
        <v>370</v>
      </c>
      <c r="B348" s="10" t="s">
        <v>37</v>
      </c>
      <c r="C348" s="10" t="s">
        <v>20</v>
      </c>
      <c r="D348" s="10">
        <v>39</v>
      </c>
    </row>
    <row r="349" spans="1:4">
      <c r="A349" s="10" t="s">
        <v>371</v>
      </c>
      <c r="B349" s="10" t="s">
        <v>39</v>
      </c>
      <c r="C349" s="10" t="s">
        <v>13</v>
      </c>
      <c r="D349" s="10">
        <v>10</v>
      </c>
    </row>
    <row r="350" spans="1:4">
      <c r="A350" s="10" t="s">
        <v>372</v>
      </c>
      <c r="B350" s="10" t="s">
        <v>39</v>
      </c>
      <c r="C350" s="10" t="s">
        <v>13</v>
      </c>
      <c r="D350" s="10">
        <v>24</v>
      </c>
    </row>
    <row r="351" spans="1:4">
      <c r="A351" s="10" t="s">
        <v>373</v>
      </c>
      <c r="B351" s="10" t="s">
        <v>42</v>
      </c>
      <c r="C351" s="10" t="s">
        <v>13</v>
      </c>
      <c r="D351" s="10">
        <v>35</v>
      </c>
    </row>
    <row r="352" spans="1:4">
      <c r="A352" s="10" t="s">
        <v>374</v>
      </c>
      <c r="B352" s="10" t="s">
        <v>50</v>
      </c>
      <c r="C352" s="10" t="s">
        <v>13</v>
      </c>
      <c r="D352" s="10">
        <v>32</v>
      </c>
    </row>
    <row r="353" spans="1:4">
      <c r="A353" s="10" t="s">
        <v>375</v>
      </c>
      <c r="B353" s="10" t="s">
        <v>37</v>
      </c>
      <c r="C353" s="10" t="s">
        <v>13</v>
      </c>
      <c r="D353" s="10">
        <v>20</v>
      </c>
    </row>
    <row r="354" spans="1:4">
      <c r="A354" s="10" t="s">
        <v>376</v>
      </c>
      <c r="B354" s="10" t="s">
        <v>42</v>
      </c>
      <c r="C354" s="10" t="s">
        <v>20</v>
      </c>
      <c r="D354" s="10">
        <v>34</v>
      </c>
    </row>
    <row r="355" spans="1:4">
      <c r="A355" s="10" t="s">
        <v>377</v>
      </c>
      <c r="B355" s="10" t="s">
        <v>50</v>
      </c>
      <c r="C355" s="10" t="s">
        <v>13</v>
      </c>
      <c r="D355" s="10">
        <v>29</v>
      </c>
    </row>
    <row r="356" spans="1:4">
      <c r="A356" s="10" t="s">
        <v>378</v>
      </c>
      <c r="B356" s="10" t="s">
        <v>37</v>
      </c>
      <c r="C356" s="10" t="s">
        <v>20</v>
      </c>
      <c r="D356" s="10">
        <v>26</v>
      </c>
    </row>
    <row r="357" spans="1:4">
      <c r="A357" s="10" t="s">
        <v>379</v>
      </c>
      <c r="B357" s="10" t="s">
        <v>39</v>
      </c>
      <c r="C357" s="10" t="s">
        <v>16</v>
      </c>
      <c r="D357" s="10">
        <v>25</v>
      </c>
    </row>
    <row r="358" spans="1:4">
      <c r="A358" s="10" t="s">
        <v>380</v>
      </c>
      <c r="B358" s="10" t="s">
        <v>39</v>
      </c>
      <c r="C358" s="10" t="s">
        <v>13</v>
      </c>
      <c r="D358" s="10">
        <v>44</v>
      </c>
    </row>
    <row r="359" spans="1:4">
      <c r="A359" s="10" t="s">
        <v>381</v>
      </c>
      <c r="B359" s="10" t="s">
        <v>42</v>
      </c>
      <c r="C359" s="10" t="s">
        <v>13</v>
      </c>
      <c r="D359" s="10">
        <v>28</v>
      </c>
    </row>
    <row r="360" spans="1:4">
      <c r="A360" s="10" t="s">
        <v>382</v>
      </c>
      <c r="B360" s="10" t="s">
        <v>301</v>
      </c>
      <c r="C360" s="10" t="s">
        <v>20</v>
      </c>
      <c r="D360" s="10">
        <v>35</v>
      </c>
    </row>
    <row r="361" spans="1:4">
      <c r="A361" s="10" t="s">
        <v>383</v>
      </c>
      <c r="B361" s="10" t="s">
        <v>31</v>
      </c>
      <c r="C361" s="10" t="s">
        <v>13</v>
      </c>
      <c r="D361" s="10">
        <v>30</v>
      </c>
    </row>
    <row r="362" spans="1:4">
      <c r="A362" s="10" t="s">
        <v>384</v>
      </c>
      <c r="B362" s="10" t="s">
        <v>37</v>
      </c>
      <c r="C362" s="10" t="s">
        <v>13</v>
      </c>
      <c r="D362" s="10">
        <v>24</v>
      </c>
    </row>
    <row r="363" spans="1:4">
      <c r="A363" s="10" t="s">
        <v>385</v>
      </c>
      <c r="B363" s="10" t="s">
        <v>39</v>
      </c>
      <c r="C363" s="10" t="s">
        <v>20</v>
      </c>
      <c r="D363" s="10">
        <v>18</v>
      </c>
    </row>
    <row r="364" spans="1:4">
      <c r="A364" s="10" t="s">
        <v>386</v>
      </c>
      <c r="B364" s="10" t="s">
        <v>42</v>
      </c>
      <c r="C364" s="10" t="s">
        <v>20</v>
      </c>
      <c r="D364" s="10">
        <v>34</v>
      </c>
    </row>
    <row r="365" spans="1:4">
      <c r="A365" s="10" t="s">
        <v>387</v>
      </c>
      <c r="B365" s="10" t="s">
        <v>34</v>
      </c>
      <c r="C365" s="10" t="s">
        <v>13</v>
      </c>
      <c r="D365" s="10">
        <v>20</v>
      </c>
    </row>
    <row r="366" spans="1:4">
      <c r="A366" s="10" t="s">
        <v>388</v>
      </c>
      <c r="B366" s="10" t="s">
        <v>50</v>
      </c>
      <c r="C366" s="10" t="s">
        <v>13</v>
      </c>
      <c r="D366" s="10">
        <v>24</v>
      </c>
    </row>
    <row r="367" spans="1:4">
      <c r="A367" s="10" t="s">
        <v>389</v>
      </c>
      <c r="B367" s="10" t="s">
        <v>39</v>
      </c>
      <c r="C367" s="10" t="s">
        <v>20</v>
      </c>
      <c r="D367" s="10">
        <v>41</v>
      </c>
    </row>
    <row r="368" spans="1:4">
      <c r="A368" s="10" t="s">
        <v>390</v>
      </c>
      <c r="B368" s="10" t="s">
        <v>42</v>
      </c>
      <c r="C368" s="10" t="s">
        <v>13</v>
      </c>
      <c r="D368" s="10">
        <v>26</v>
      </c>
    </row>
    <row r="369" spans="1:4">
      <c r="A369" s="10" t="s">
        <v>391</v>
      </c>
      <c r="B369" s="10" t="s">
        <v>42</v>
      </c>
      <c r="C369" s="10" t="s">
        <v>20</v>
      </c>
      <c r="D369" s="10">
        <v>53</v>
      </c>
    </row>
    <row r="370" spans="1:4">
      <c r="A370" s="10" t="s">
        <v>392</v>
      </c>
      <c r="B370" s="10" t="s">
        <v>301</v>
      </c>
      <c r="C370" s="10" t="s">
        <v>13</v>
      </c>
      <c r="D370" s="10">
        <v>35</v>
      </c>
    </row>
    <row r="371" spans="1:4">
      <c r="A371" s="10" t="s">
        <v>393</v>
      </c>
      <c r="B371" s="10" t="s">
        <v>31</v>
      </c>
      <c r="C371" s="10" t="s">
        <v>13</v>
      </c>
      <c r="D371" s="10">
        <v>5</v>
      </c>
    </row>
    <row r="372" spans="1:4">
      <c r="A372" s="10" t="s">
        <v>394</v>
      </c>
      <c r="B372" s="10" t="s">
        <v>50</v>
      </c>
      <c r="C372" s="10" t="s">
        <v>20</v>
      </c>
      <c r="D372" s="10">
        <v>23</v>
      </c>
    </row>
    <row r="373" spans="1:4">
      <c r="A373" s="10" t="s">
        <v>395</v>
      </c>
      <c r="B373" s="10" t="s">
        <v>39</v>
      </c>
      <c r="C373" s="10" t="s">
        <v>13</v>
      </c>
      <c r="D373" s="10">
        <v>21</v>
      </c>
    </row>
    <row r="374" spans="1:4">
      <c r="A374" s="10" t="s">
        <v>396</v>
      </c>
      <c r="B374" s="10" t="s">
        <v>39</v>
      </c>
      <c r="C374" s="10" t="s">
        <v>20</v>
      </c>
      <c r="D374" s="10">
        <v>27</v>
      </c>
    </row>
    <row r="375" spans="1:4">
      <c r="A375" s="10" t="s">
        <v>397</v>
      </c>
      <c r="B375" s="10" t="s">
        <v>301</v>
      </c>
      <c r="C375" s="10" t="s">
        <v>13</v>
      </c>
      <c r="D375" s="10">
        <v>44</v>
      </c>
    </row>
    <row r="376" spans="1:4">
      <c r="A376" s="10" t="s">
        <v>398</v>
      </c>
      <c r="B376" s="10" t="s">
        <v>37</v>
      </c>
      <c r="C376" s="10" t="s">
        <v>13</v>
      </c>
      <c r="D376" s="10">
        <v>28</v>
      </c>
    </row>
    <row r="377" spans="1:4">
      <c r="A377" s="10" t="s">
        <v>399</v>
      </c>
      <c r="B377" s="10" t="s">
        <v>39</v>
      </c>
      <c r="C377" s="10" t="s">
        <v>13</v>
      </c>
      <c r="D377" s="10">
        <v>34</v>
      </c>
    </row>
    <row r="378" spans="1:4">
      <c r="A378" s="10" t="s">
        <v>400</v>
      </c>
      <c r="B378" s="10" t="s">
        <v>39</v>
      </c>
      <c r="C378" s="10" t="s">
        <v>13</v>
      </c>
      <c r="D378" s="10">
        <v>11</v>
      </c>
    </row>
    <row r="379" spans="1:4">
      <c r="A379" s="10" t="s">
        <v>401</v>
      </c>
      <c r="B379" s="10" t="s">
        <v>42</v>
      </c>
      <c r="C379" s="10" t="s">
        <v>13</v>
      </c>
      <c r="D379" s="10">
        <v>22</v>
      </c>
    </row>
    <row r="380" spans="1:4">
      <c r="A380" s="10" t="s">
        <v>402</v>
      </c>
      <c r="B380" s="10" t="s">
        <v>42</v>
      </c>
      <c r="C380" s="10" t="s">
        <v>13</v>
      </c>
      <c r="D380" s="10">
        <v>29</v>
      </c>
    </row>
    <row r="381" spans="1:4">
      <c r="A381" s="10" t="s">
        <v>403</v>
      </c>
      <c r="B381" s="10" t="s">
        <v>301</v>
      </c>
      <c r="C381" s="10" t="s">
        <v>13</v>
      </c>
      <c r="D381" s="10">
        <v>31</v>
      </c>
    </row>
    <row r="382" spans="1:4">
      <c r="A382" s="10" t="s">
        <v>404</v>
      </c>
      <c r="B382" s="10" t="s">
        <v>50</v>
      </c>
      <c r="C382" s="10" t="s">
        <v>20</v>
      </c>
      <c r="D382" s="10">
        <v>25</v>
      </c>
    </row>
    <row r="383" spans="1:4">
      <c r="A383" s="10" t="s">
        <v>405</v>
      </c>
      <c r="B383" s="10" t="s">
        <v>37</v>
      </c>
      <c r="C383" s="10" t="s">
        <v>13</v>
      </c>
      <c r="D383" s="10">
        <v>46</v>
      </c>
    </row>
    <row r="384" spans="1:4">
      <c r="A384" s="10" t="s">
        <v>406</v>
      </c>
      <c r="B384" s="10" t="s">
        <v>39</v>
      </c>
      <c r="C384" s="10" t="s">
        <v>20</v>
      </c>
      <c r="D384" s="10">
        <v>27</v>
      </c>
    </row>
    <row r="385" spans="1:4">
      <c r="A385" s="10" t="s">
        <v>407</v>
      </c>
      <c r="B385" s="10" t="s">
        <v>39</v>
      </c>
      <c r="C385" s="10" t="s">
        <v>13</v>
      </c>
      <c r="D385" s="10">
        <v>36</v>
      </c>
    </row>
    <row r="386" spans="1:4">
      <c r="A386" s="10" t="s">
        <v>408</v>
      </c>
      <c r="B386" s="10" t="s">
        <v>42</v>
      </c>
      <c r="C386" s="10" t="s">
        <v>13</v>
      </c>
      <c r="D386" s="10">
        <v>36</v>
      </c>
    </row>
    <row r="387" spans="1:4">
      <c r="A387" s="10" t="s">
        <v>409</v>
      </c>
      <c r="B387" s="10" t="s">
        <v>301</v>
      </c>
      <c r="C387" s="10" t="s">
        <v>13</v>
      </c>
      <c r="D387" s="10">
        <v>12</v>
      </c>
    </row>
    <row r="388" spans="1:4">
      <c r="A388" s="10" t="s">
        <v>410</v>
      </c>
      <c r="B388" s="10" t="s">
        <v>31</v>
      </c>
      <c r="C388" s="10" t="s">
        <v>13</v>
      </c>
      <c r="D388" s="10">
        <v>33</v>
      </c>
    </row>
    <row r="389" spans="1:4">
      <c r="A389" s="10" t="s">
        <v>411</v>
      </c>
      <c r="B389" s="10" t="s">
        <v>34</v>
      </c>
      <c r="C389" s="10" t="s">
        <v>13</v>
      </c>
      <c r="D389" s="10">
        <v>29</v>
      </c>
    </row>
    <row r="390" spans="1:4">
      <c r="A390" s="10" t="s">
        <v>412</v>
      </c>
      <c r="B390" s="10" t="s">
        <v>50</v>
      </c>
      <c r="C390" s="10" t="s">
        <v>20</v>
      </c>
      <c r="D390" s="10">
        <v>24</v>
      </c>
    </row>
    <row r="391" spans="1:4">
      <c r="A391" s="10" t="s">
        <v>413</v>
      </c>
      <c r="B391" s="10" t="s">
        <v>39</v>
      </c>
      <c r="C391" s="10" t="s">
        <v>13</v>
      </c>
      <c r="D391" s="10">
        <v>17</v>
      </c>
    </row>
    <row r="392" spans="1:4">
      <c r="A392" s="10" t="s">
        <v>414</v>
      </c>
      <c r="B392" s="10" t="s">
        <v>42</v>
      </c>
      <c r="C392" s="10" t="s">
        <v>13</v>
      </c>
      <c r="D392" s="10">
        <v>18</v>
      </c>
    </row>
    <row r="393" spans="1:4">
      <c r="A393" s="10" t="s">
        <v>415</v>
      </c>
      <c r="B393" s="10" t="s">
        <v>42</v>
      </c>
      <c r="C393" s="10" t="s">
        <v>13</v>
      </c>
      <c r="D393" s="10">
        <v>37</v>
      </c>
    </row>
    <row r="394" spans="1:4">
      <c r="A394" s="10" t="s">
        <v>416</v>
      </c>
      <c r="B394" s="10" t="s">
        <v>301</v>
      </c>
      <c r="C394" s="10" t="s">
        <v>13</v>
      </c>
      <c r="D394" s="10">
        <v>32</v>
      </c>
    </row>
    <row r="395" spans="1:4">
      <c r="A395" s="10" t="s">
        <v>417</v>
      </c>
      <c r="B395" s="10" t="s">
        <v>37</v>
      </c>
      <c r="C395" s="10" t="s">
        <v>13</v>
      </c>
      <c r="D395" s="10">
        <v>36</v>
      </c>
    </row>
    <row r="396" spans="1:4">
      <c r="A396" s="10" t="s">
        <v>418</v>
      </c>
      <c r="B396" s="10" t="s">
        <v>31</v>
      </c>
      <c r="C396" s="10" t="s">
        <v>13</v>
      </c>
      <c r="D396" s="10">
        <v>31</v>
      </c>
    </row>
    <row r="397" spans="1:4">
      <c r="A397" s="10" t="s">
        <v>419</v>
      </c>
      <c r="B397" s="10" t="s">
        <v>34</v>
      </c>
      <c r="C397" s="10" t="s">
        <v>20</v>
      </c>
      <c r="D397" s="10">
        <v>35</v>
      </c>
    </row>
    <row r="398" spans="1:4">
      <c r="A398" s="10" t="s">
        <v>420</v>
      </c>
      <c r="B398" s="10" t="s">
        <v>37</v>
      </c>
      <c r="C398" s="10" t="s">
        <v>13</v>
      </c>
      <c r="D398" s="10">
        <v>23</v>
      </c>
    </row>
    <row r="399" spans="1:4">
      <c r="A399" s="10" t="s">
        <v>421</v>
      </c>
      <c r="B399" s="10" t="s">
        <v>39</v>
      </c>
      <c r="C399" s="10" t="s">
        <v>13</v>
      </c>
      <c r="D399" s="10">
        <v>14</v>
      </c>
    </row>
    <row r="400" spans="1:4">
      <c r="A400" s="10" t="s">
        <v>422</v>
      </c>
      <c r="B400" s="10" t="s">
        <v>39</v>
      </c>
      <c r="C400" s="10" t="s">
        <v>13</v>
      </c>
      <c r="D400" s="10">
        <v>30</v>
      </c>
    </row>
    <row r="401" spans="1:4">
      <c r="A401" s="10" t="s">
        <v>423</v>
      </c>
      <c r="B401" s="10" t="s">
        <v>42</v>
      </c>
      <c r="C401" s="10" t="s">
        <v>20</v>
      </c>
      <c r="D401" s="10">
        <v>43</v>
      </c>
    </row>
    <row r="402" spans="1:4">
      <c r="A402" s="10" t="s">
        <v>424</v>
      </c>
      <c r="C402" s="10" t="s">
        <v>13</v>
      </c>
      <c r="D402" s="10">
        <v>39</v>
      </c>
    </row>
    <row r="403" spans="1:4">
      <c r="A403" s="10" t="s">
        <v>425</v>
      </c>
      <c r="B403" s="10" t="s">
        <v>301</v>
      </c>
      <c r="C403" s="10" t="s">
        <v>32</v>
      </c>
      <c r="D403" s="10">
        <v>16</v>
      </c>
    </row>
    <row r="404" spans="1:4">
      <c r="A404" s="10" t="s">
        <v>426</v>
      </c>
      <c r="B404" s="10" t="s">
        <v>50</v>
      </c>
      <c r="C404" s="10" t="s">
        <v>13</v>
      </c>
      <c r="D404" s="10">
        <v>34</v>
      </c>
    </row>
    <row r="405" spans="1:4">
      <c r="A405" s="10" t="s">
        <v>427</v>
      </c>
      <c r="B405" s="10" t="s">
        <v>37</v>
      </c>
      <c r="C405" s="10" t="s">
        <v>20</v>
      </c>
      <c r="D405" s="10">
        <v>16</v>
      </c>
    </row>
    <row r="406" spans="1:4">
      <c r="A406" s="10" t="s">
        <v>428</v>
      </c>
      <c r="B406" s="10" t="s">
        <v>39</v>
      </c>
      <c r="C406" s="10" t="s">
        <v>13</v>
      </c>
      <c r="D406" s="10">
        <v>27</v>
      </c>
    </row>
    <row r="407" spans="1:4">
      <c r="A407" s="10" t="s">
        <v>429</v>
      </c>
      <c r="B407" s="10" t="s">
        <v>39</v>
      </c>
      <c r="C407" s="10" t="s">
        <v>13</v>
      </c>
      <c r="D407" s="10">
        <v>37</v>
      </c>
    </row>
    <row r="408" spans="1:4">
      <c r="A408" s="10" t="s">
        <v>430</v>
      </c>
      <c r="B408" s="10" t="s">
        <v>301</v>
      </c>
      <c r="C408" s="10" t="s">
        <v>13</v>
      </c>
      <c r="D408" s="10">
        <v>21</v>
      </c>
    </row>
    <row r="409" spans="1:4">
      <c r="A409" s="10" t="s">
        <v>431</v>
      </c>
      <c r="B409" s="10" t="s">
        <v>50</v>
      </c>
      <c r="C409" s="10" t="s">
        <v>20</v>
      </c>
      <c r="D409" s="10">
        <v>29</v>
      </c>
    </row>
    <row r="410" spans="1:4">
      <c r="A410" s="10" t="s">
        <v>432</v>
      </c>
      <c r="B410" s="10" t="s">
        <v>37</v>
      </c>
      <c r="C410" s="10" t="s">
        <v>13</v>
      </c>
      <c r="D410" s="10">
        <v>34</v>
      </c>
    </row>
    <row r="411" spans="1:4">
      <c r="A411" s="10" t="s">
        <v>433</v>
      </c>
      <c r="B411" s="10" t="s">
        <v>39</v>
      </c>
      <c r="C411" s="10" t="s">
        <v>20</v>
      </c>
      <c r="D411" s="10">
        <v>28</v>
      </c>
    </row>
    <row r="412" spans="1:4">
      <c r="A412" s="10" t="s">
        <v>434</v>
      </c>
      <c r="B412" s="10" t="s">
        <v>42</v>
      </c>
      <c r="C412" s="10" t="s">
        <v>13</v>
      </c>
      <c r="D412" s="10">
        <v>24</v>
      </c>
    </row>
    <row r="413" spans="1:4">
      <c r="A413" s="10" t="s">
        <v>435</v>
      </c>
      <c r="B413" s="10" t="s">
        <v>301</v>
      </c>
      <c r="C413" s="10" t="s">
        <v>13</v>
      </c>
      <c r="D413" s="10">
        <v>20</v>
      </c>
    </row>
    <row r="414" spans="1:4">
      <c r="A414" s="10" t="s">
        <v>436</v>
      </c>
      <c r="B414" s="10" t="s">
        <v>50</v>
      </c>
      <c r="C414" s="10" t="s">
        <v>13</v>
      </c>
      <c r="D414" s="10">
        <v>17</v>
      </c>
    </row>
    <row r="415" spans="1:4">
      <c r="A415" s="10" t="s">
        <v>437</v>
      </c>
      <c r="B415" s="10" t="s">
        <v>39</v>
      </c>
      <c r="C415" s="10" t="s">
        <v>13</v>
      </c>
      <c r="D415" s="10">
        <v>28</v>
      </c>
    </row>
    <row r="416" spans="1:4">
      <c r="A416" s="10" t="s">
        <v>438</v>
      </c>
      <c r="B416" s="10" t="s">
        <v>39</v>
      </c>
      <c r="C416" s="10" t="s">
        <v>13</v>
      </c>
      <c r="D416" s="10">
        <v>20</v>
      </c>
    </row>
    <row r="417" spans="1:4">
      <c r="A417" s="10" t="s">
        <v>439</v>
      </c>
      <c r="B417" s="10" t="s">
        <v>42</v>
      </c>
      <c r="C417" s="10" t="s">
        <v>13</v>
      </c>
      <c r="D417" s="10">
        <v>38</v>
      </c>
    </row>
    <row r="418" spans="1:4">
      <c r="A418" s="10" t="s">
        <v>440</v>
      </c>
      <c r="B418" s="10" t="s">
        <v>301</v>
      </c>
      <c r="C418" s="10" t="s">
        <v>13</v>
      </c>
      <c r="D418" s="10">
        <v>18</v>
      </c>
    </row>
    <row r="419" spans="1:4">
      <c r="A419" s="10" t="s">
        <v>441</v>
      </c>
      <c r="B419" s="10" t="s">
        <v>34</v>
      </c>
      <c r="C419" s="10" t="s">
        <v>13</v>
      </c>
      <c r="D419" s="10">
        <v>22</v>
      </c>
    </row>
    <row r="420" spans="1:4">
      <c r="A420" s="10" t="s">
        <v>442</v>
      </c>
      <c r="B420" s="10" t="s">
        <v>37</v>
      </c>
      <c r="C420" s="10" t="s">
        <v>20</v>
      </c>
      <c r="D420" s="10">
        <v>21</v>
      </c>
    </row>
    <row r="421" spans="1:4">
      <c r="A421" s="10" t="s">
        <v>443</v>
      </c>
      <c r="B421" s="10" t="s">
        <v>39</v>
      </c>
      <c r="C421" s="10" t="s">
        <v>20</v>
      </c>
      <c r="D421" s="10">
        <v>25</v>
      </c>
    </row>
    <row r="422" spans="1:4">
      <c r="A422" s="10" t="s">
        <v>444</v>
      </c>
      <c r="B422" s="10" t="s">
        <v>39</v>
      </c>
      <c r="C422" s="10" t="s">
        <v>13</v>
      </c>
      <c r="D422" s="10">
        <v>31</v>
      </c>
    </row>
    <row r="423" spans="1:4">
      <c r="A423" s="10" t="s">
        <v>445</v>
      </c>
      <c r="B423" s="10" t="s">
        <v>42</v>
      </c>
      <c r="C423" s="10" t="s">
        <v>20</v>
      </c>
      <c r="D423" s="10">
        <v>32</v>
      </c>
    </row>
    <row r="424" spans="1:4">
      <c r="A424" s="10" t="s">
        <v>446</v>
      </c>
      <c r="B424" s="10" t="s">
        <v>42</v>
      </c>
      <c r="C424" s="10" t="s">
        <v>13</v>
      </c>
      <c r="D424" s="10">
        <v>33</v>
      </c>
    </row>
    <row r="425" spans="1:4">
      <c r="A425" s="10" t="s">
        <v>447</v>
      </c>
      <c r="B425" s="10" t="s">
        <v>34</v>
      </c>
      <c r="C425" s="10" t="s">
        <v>13</v>
      </c>
      <c r="D425" s="10">
        <v>8</v>
      </c>
    </row>
    <row r="426" spans="1:4">
      <c r="A426" s="10" t="s">
        <v>448</v>
      </c>
      <c r="B426" s="10" t="s">
        <v>50</v>
      </c>
      <c r="C426" s="10" t="s">
        <v>13</v>
      </c>
      <c r="D426" s="10">
        <v>15</v>
      </c>
    </row>
    <row r="427" spans="1:4">
      <c r="A427" s="10" t="s">
        <v>449</v>
      </c>
      <c r="B427" s="10" t="s">
        <v>39</v>
      </c>
      <c r="C427" s="10" t="s">
        <v>13</v>
      </c>
      <c r="D427" s="10">
        <v>26</v>
      </c>
    </row>
    <row r="428" spans="1:4">
      <c r="A428" s="10" t="s">
        <v>450</v>
      </c>
      <c r="B428" s="10" t="s">
        <v>37</v>
      </c>
      <c r="C428" s="10" t="s">
        <v>13</v>
      </c>
      <c r="D428" s="10">
        <v>20</v>
      </c>
    </row>
    <row r="429" spans="1:4">
      <c r="A429" s="10" t="s">
        <v>451</v>
      </c>
      <c r="B429" s="10" t="s">
        <v>42</v>
      </c>
      <c r="C429" s="10" t="s">
        <v>20</v>
      </c>
      <c r="D429" s="10">
        <v>26</v>
      </c>
    </row>
    <row r="430" spans="1:4">
      <c r="A430" s="10" t="s">
        <v>452</v>
      </c>
      <c r="B430" s="10" t="s">
        <v>301</v>
      </c>
      <c r="C430" s="10" t="s">
        <v>13</v>
      </c>
      <c r="D430" s="10">
        <v>33</v>
      </c>
    </row>
    <row r="431" spans="1:4">
      <c r="A431" s="10" t="s">
        <v>453</v>
      </c>
      <c r="B431" s="10" t="s">
        <v>31</v>
      </c>
      <c r="C431" s="10" t="s">
        <v>20</v>
      </c>
      <c r="D431" s="10">
        <v>23</v>
      </c>
    </row>
    <row r="432" spans="1:4">
      <c r="A432" s="10" t="s">
        <v>454</v>
      </c>
      <c r="B432" s="10" t="s">
        <v>34</v>
      </c>
      <c r="C432" s="10" t="s">
        <v>13</v>
      </c>
      <c r="D432" s="10">
        <v>21</v>
      </c>
    </row>
    <row r="433" spans="1:4">
      <c r="A433" s="10" t="s">
        <v>455</v>
      </c>
      <c r="B433" s="10" t="s">
        <v>39</v>
      </c>
      <c r="C433" s="10" t="s">
        <v>20</v>
      </c>
      <c r="D433" s="10">
        <v>43</v>
      </c>
    </row>
    <row r="434" spans="1:4">
      <c r="A434" s="10" t="s">
        <v>456</v>
      </c>
      <c r="B434" s="10" t="s">
        <v>39</v>
      </c>
      <c r="C434" s="10" t="s">
        <v>13</v>
      </c>
      <c r="D434" s="10">
        <v>36</v>
      </c>
    </row>
    <row r="435" spans="1:4">
      <c r="A435" s="10" t="s">
        <v>457</v>
      </c>
      <c r="B435" s="10" t="s">
        <v>42</v>
      </c>
      <c r="C435" s="10" t="s">
        <v>20</v>
      </c>
      <c r="D435" s="10">
        <v>34</v>
      </c>
    </row>
    <row r="436" spans="1:4">
      <c r="A436" s="10" t="s">
        <v>458</v>
      </c>
      <c r="B436" s="10" t="s">
        <v>42</v>
      </c>
      <c r="C436" s="10" t="s">
        <v>13</v>
      </c>
      <c r="D436" s="10">
        <v>25</v>
      </c>
    </row>
    <row r="437" spans="1:4">
      <c r="A437" s="10" t="s">
        <v>459</v>
      </c>
      <c r="B437" s="10" t="s">
        <v>301</v>
      </c>
      <c r="C437" s="10" t="s">
        <v>13</v>
      </c>
      <c r="D437" s="10">
        <v>14</v>
      </c>
    </row>
    <row r="438" spans="1:4">
      <c r="A438" s="10" t="s">
        <v>460</v>
      </c>
      <c r="B438" s="10" t="s">
        <v>31</v>
      </c>
      <c r="C438" s="10" t="s">
        <v>13</v>
      </c>
      <c r="D438" s="10">
        <v>24</v>
      </c>
    </row>
    <row r="439" spans="1:4">
      <c r="A439" s="10" t="s">
        <v>461</v>
      </c>
      <c r="B439" s="10" t="s">
        <v>39</v>
      </c>
      <c r="C439" s="10" t="s">
        <v>13</v>
      </c>
      <c r="D439" s="10">
        <v>38</v>
      </c>
    </row>
    <row r="440" spans="1:4">
      <c r="A440" s="10" t="s">
        <v>462</v>
      </c>
      <c r="B440" s="10" t="s">
        <v>42</v>
      </c>
      <c r="C440" s="10" t="s">
        <v>13</v>
      </c>
      <c r="D440" s="10">
        <v>61</v>
      </c>
    </row>
    <row r="441" spans="1:4">
      <c r="A441" s="10" t="s">
        <v>463</v>
      </c>
      <c r="B441" s="10" t="s">
        <v>301</v>
      </c>
      <c r="C441" s="10" t="s">
        <v>13</v>
      </c>
      <c r="D441" s="10">
        <v>30</v>
      </c>
    </row>
    <row r="442" spans="1:4">
      <c r="A442" s="10" t="s">
        <v>464</v>
      </c>
      <c r="B442" s="10" t="s">
        <v>34</v>
      </c>
      <c r="C442" s="10" t="s">
        <v>13</v>
      </c>
      <c r="D442" s="10">
        <v>41</v>
      </c>
    </row>
    <row r="443" spans="1:4">
      <c r="A443" s="10" t="s">
        <v>465</v>
      </c>
      <c r="B443" s="10" t="s">
        <v>39</v>
      </c>
      <c r="C443" s="10" t="s">
        <v>13</v>
      </c>
      <c r="D443" s="10">
        <v>28</v>
      </c>
    </row>
    <row r="444" spans="1:4">
      <c r="A444" s="10" t="s">
        <v>466</v>
      </c>
      <c r="B444" s="10" t="s">
        <v>39</v>
      </c>
      <c r="C444" s="10" t="s">
        <v>13</v>
      </c>
      <c r="D444" s="10">
        <v>27</v>
      </c>
    </row>
    <row r="445" spans="1:4">
      <c r="A445" s="10" t="s">
        <v>467</v>
      </c>
      <c r="B445" s="10" t="s">
        <v>42</v>
      </c>
      <c r="C445" s="10" t="s">
        <v>20</v>
      </c>
      <c r="D445" s="10">
        <v>28</v>
      </c>
    </row>
    <row r="446" spans="1:4">
      <c r="A446" s="10" t="s">
        <v>468</v>
      </c>
      <c r="B446" s="10" t="s">
        <v>301</v>
      </c>
      <c r="C446" s="10" t="s">
        <v>13</v>
      </c>
      <c r="D446" s="10">
        <v>14</v>
      </c>
    </row>
    <row r="447" spans="1:4">
      <c r="A447" s="10" t="s">
        <v>469</v>
      </c>
      <c r="B447" s="10" t="s">
        <v>31</v>
      </c>
      <c r="C447" s="10" t="s">
        <v>20</v>
      </c>
      <c r="D447" s="10">
        <v>30</v>
      </c>
    </row>
    <row r="448" spans="1:4">
      <c r="A448" s="10" t="s">
        <v>470</v>
      </c>
      <c r="B448" s="10" t="s">
        <v>34</v>
      </c>
      <c r="C448" s="10" t="s">
        <v>13</v>
      </c>
      <c r="D448" s="10">
        <v>13</v>
      </c>
    </row>
    <row r="449" spans="1:4">
      <c r="A449" s="10" t="s">
        <v>471</v>
      </c>
      <c r="B449" s="10" t="s">
        <v>50</v>
      </c>
      <c r="C449" s="10" t="s">
        <v>20</v>
      </c>
      <c r="D449" s="10">
        <v>45</v>
      </c>
    </row>
    <row r="450" spans="1:4">
      <c r="A450" s="10" t="s">
        <v>472</v>
      </c>
      <c r="B450" s="10" t="s">
        <v>37</v>
      </c>
      <c r="C450" s="10" t="s">
        <v>13</v>
      </c>
      <c r="D450" s="10">
        <v>11</v>
      </c>
    </row>
    <row r="451" spans="1:4">
      <c r="A451" s="10" t="s">
        <v>473</v>
      </c>
      <c r="B451" s="10" t="s">
        <v>39</v>
      </c>
      <c r="C451" s="10" t="s">
        <v>13</v>
      </c>
      <c r="D451" s="10">
        <v>36</v>
      </c>
    </row>
    <row r="452" spans="1:4">
      <c r="A452" s="10" t="s">
        <v>474</v>
      </c>
      <c r="B452" s="10" t="s">
        <v>42</v>
      </c>
      <c r="C452" s="10" t="s">
        <v>13</v>
      </c>
      <c r="D452" s="10">
        <v>27</v>
      </c>
    </row>
    <row r="453" spans="1:4">
      <c r="A453" s="10" t="s">
        <v>475</v>
      </c>
      <c r="B453" s="10" t="s">
        <v>42</v>
      </c>
      <c r="C453" s="10" t="s">
        <v>20</v>
      </c>
      <c r="D453" s="10">
        <v>41</v>
      </c>
    </row>
    <row r="454" spans="1:4">
      <c r="A454" s="10" t="s">
        <v>476</v>
      </c>
      <c r="B454" s="10" t="s">
        <v>301</v>
      </c>
      <c r="C454" s="10" t="s">
        <v>20</v>
      </c>
      <c r="D454" s="10">
        <v>34</v>
      </c>
    </row>
    <row r="455" spans="1:4">
      <c r="A455" s="10" t="s">
        <v>477</v>
      </c>
      <c r="B455" s="10" t="s">
        <v>31</v>
      </c>
      <c r="C455" s="10" t="s">
        <v>20</v>
      </c>
      <c r="D455" s="10">
        <v>51</v>
      </c>
    </row>
    <row r="456" spans="1:4">
      <c r="A456" s="10" t="s">
        <v>478</v>
      </c>
      <c r="B456" s="10" t="s">
        <v>34</v>
      </c>
      <c r="C456" s="10" t="s">
        <v>20</v>
      </c>
      <c r="D456" s="10">
        <v>38</v>
      </c>
    </row>
    <row r="457" spans="1:4">
      <c r="A457" s="10" t="s">
        <v>479</v>
      </c>
      <c r="B457" s="10" t="s">
        <v>50</v>
      </c>
      <c r="C457" s="10" t="s">
        <v>20</v>
      </c>
      <c r="D457" s="10">
        <v>19</v>
      </c>
    </row>
    <row r="458" spans="1:4">
      <c r="A458" s="10" t="s">
        <v>480</v>
      </c>
      <c r="B458" s="10" t="s">
        <v>39</v>
      </c>
      <c r="C458" s="10" t="s">
        <v>13</v>
      </c>
      <c r="D458" s="10">
        <v>9</v>
      </c>
    </row>
    <row r="459" spans="1:4">
      <c r="A459" s="10" t="s">
        <v>481</v>
      </c>
      <c r="B459" s="10" t="s">
        <v>39</v>
      </c>
      <c r="C459" s="10" t="s">
        <v>13</v>
      </c>
      <c r="D459" s="10">
        <v>19</v>
      </c>
    </row>
    <row r="460" spans="1:4">
      <c r="A460" s="10" t="s">
        <v>482</v>
      </c>
      <c r="B460" s="10" t="s">
        <v>42</v>
      </c>
      <c r="C460" s="10" t="s">
        <v>13</v>
      </c>
      <c r="D460" s="10">
        <v>24</v>
      </c>
    </row>
    <row r="461" spans="1:4">
      <c r="A461" s="10" t="s">
        <v>483</v>
      </c>
      <c r="C461" s="10" t="s">
        <v>13</v>
      </c>
      <c r="D461" s="10">
        <v>29</v>
      </c>
    </row>
    <row r="462" spans="1:4">
      <c r="A462" s="10" t="s">
        <v>484</v>
      </c>
      <c r="B462" s="10" t="s">
        <v>34</v>
      </c>
      <c r="C462" s="10" t="s">
        <v>13</v>
      </c>
      <c r="D462" s="10">
        <v>30</v>
      </c>
    </row>
    <row r="463" spans="1:4">
      <c r="A463" s="10" t="s">
        <v>485</v>
      </c>
      <c r="B463" s="10" t="s">
        <v>50</v>
      </c>
      <c r="C463" s="10" t="s">
        <v>13</v>
      </c>
      <c r="D463" s="10">
        <v>25</v>
      </c>
    </row>
    <row r="464" spans="1:4">
      <c r="A464" s="10" t="s">
        <v>486</v>
      </c>
      <c r="B464" s="10" t="s">
        <v>37</v>
      </c>
      <c r="C464" s="10" t="s">
        <v>13</v>
      </c>
      <c r="D464" s="10">
        <v>10</v>
      </c>
    </row>
    <row r="465" spans="1:4">
      <c r="A465" s="10" t="s">
        <v>487</v>
      </c>
      <c r="B465" s="10" t="s">
        <v>39</v>
      </c>
      <c r="C465" s="10" t="s">
        <v>13</v>
      </c>
      <c r="D465" s="10">
        <v>35</v>
      </c>
    </row>
    <row r="466" spans="1:4">
      <c r="A466" s="10" t="s">
        <v>488</v>
      </c>
      <c r="B466" s="10" t="s">
        <v>39</v>
      </c>
      <c r="C466" s="10" t="s">
        <v>13</v>
      </c>
      <c r="D466" s="10">
        <v>43</v>
      </c>
    </row>
    <row r="467" spans="1:4">
      <c r="A467" s="10" t="s">
        <v>489</v>
      </c>
      <c r="B467" s="10" t="s">
        <v>42</v>
      </c>
      <c r="C467" s="10" t="s">
        <v>13</v>
      </c>
      <c r="D467" s="10">
        <v>30</v>
      </c>
    </row>
    <row r="468" spans="1:4">
      <c r="A468" s="10" t="s">
        <v>490</v>
      </c>
      <c r="B468" s="10" t="s">
        <v>42</v>
      </c>
      <c r="C468" s="10" t="s">
        <v>13</v>
      </c>
      <c r="D468" s="10">
        <v>13</v>
      </c>
    </row>
    <row r="469" spans="1:4">
      <c r="A469" s="10" t="s">
        <v>491</v>
      </c>
      <c r="B469" s="10" t="s">
        <v>301</v>
      </c>
      <c r="C469" s="10" t="s">
        <v>16</v>
      </c>
      <c r="D469" s="10">
        <v>34</v>
      </c>
    </row>
    <row r="470" spans="1:4">
      <c r="A470" s="10" t="s">
        <v>492</v>
      </c>
      <c r="B470" s="10" t="s">
        <v>31</v>
      </c>
      <c r="C470" s="10" t="s">
        <v>20</v>
      </c>
      <c r="D470" s="10">
        <v>42</v>
      </c>
    </row>
    <row r="471" spans="1:4">
      <c r="A471" s="10" t="s">
        <v>493</v>
      </c>
      <c r="B471" s="10" t="s">
        <v>34</v>
      </c>
      <c r="C471" s="10" t="s">
        <v>13</v>
      </c>
      <c r="D471" s="10">
        <v>18</v>
      </c>
    </row>
    <row r="472" spans="1:4">
      <c r="A472" s="10" t="s">
        <v>494</v>
      </c>
      <c r="B472" s="10" t="s">
        <v>50</v>
      </c>
      <c r="C472" s="10" t="s">
        <v>32</v>
      </c>
      <c r="D472" s="10">
        <v>18</v>
      </c>
    </row>
    <row r="473" spans="1:4">
      <c r="A473" s="10" t="s">
        <v>495</v>
      </c>
      <c r="B473" s="10" t="s">
        <v>37</v>
      </c>
      <c r="C473" s="10" t="s">
        <v>13</v>
      </c>
      <c r="D473" s="10">
        <v>18</v>
      </c>
    </row>
    <row r="474" spans="1:4">
      <c r="A474" s="10" t="s">
        <v>496</v>
      </c>
      <c r="B474" s="10" t="s">
        <v>39</v>
      </c>
      <c r="C474" s="10" t="s">
        <v>13</v>
      </c>
      <c r="D474" s="10">
        <v>28</v>
      </c>
    </row>
    <row r="475" spans="1:4">
      <c r="A475" s="10" t="s">
        <v>497</v>
      </c>
      <c r="B475" s="10" t="s">
        <v>39</v>
      </c>
      <c r="C475" s="10" t="s">
        <v>13</v>
      </c>
      <c r="D475" s="10">
        <v>17</v>
      </c>
    </row>
    <row r="476" spans="1:4">
      <c r="A476" s="10" t="s">
        <v>498</v>
      </c>
      <c r="B476" s="10" t="s">
        <v>31</v>
      </c>
      <c r="C476" s="10" t="s">
        <v>20</v>
      </c>
      <c r="D476" s="10">
        <v>36</v>
      </c>
    </row>
    <row r="477" spans="1:4">
      <c r="A477" s="10" t="s">
        <v>499</v>
      </c>
      <c r="B477" s="10" t="s">
        <v>50</v>
      </c>
      <c r="C477" s="10" t="s">
        <v>13</v>
      </c>
      <c r="D477" s="10">
        <v>24</v>
      </c>
    </row>
    <row r="478" spans="1:4">
      <c r="A478" s="10" t="s">
        <v>500</v>
      </c>
      <c r="B478" s="10" t="s">
        <v>39</v>
      </c>
      <c r="C478" s="10" t="s">
        <v>13</v>
      </c>
      <c r="D478" s="10">
        <v>21</v>
      </c>
    </row>
    <row r="479" spans="1:4">
      <c r="A479" s="10" t="s">
        <v>501</v>
      </c>
      <c r="B479" s="10" t="s">
        <v>42</v>
      </c>
      <c r="C479" s="10" t="s">
        <v>13</v>
      </c>
      <c r="D479" s="10">
        <v>24</v>
      </c>
    </row>
    <row r="480" spans="1:4">
      <c r="A480" s="10" t="s">
        <v>502</v>
      </c>
      <c r="B480" s="10" t="s">
        <v>301</v>
      </c>
      <c r="C480" s="10" t="s">
        <v>13</v>
      </c>
      <c r="D480" s="10">
        <v>25</v>
      </c>
    </row>
    <row r="481" spans="1:4">
      <c r="A481" s="10" t="s">
        <v>503</v>
      </c>
      <c r="B481" s="10" t="s">
        <v>34</v>
      </c>
      <c r="C481" s="10" t="s">
        <v>20</v>
      </c>
      <c r="D481" s="10">
        <v>43</v>
      </c>
    </row>
    <row r="482" spans="1:4">
      <c r="A482" s="10" t="s">
        <v>504</v>
      </c>
      <c r="B482" s="10" t="s">
        <v>37</v>
      </c>
      <c r="C482" s="10" t="s">
        <v>13</v>
      </c>
      <c r="D482" s="10">
        <v>32</v>
      </c>
    </row>
    <row r="483" spans="1:4">
      <c r="A483" s="10" t="s">
        <v>505</v>
      </c>
      <c r="B483" s="10" t="s">
        <v>31</v>
      </c>
      <c r="C483" s="10" t="s">
        <v>13</v>
      </c>
      <c r="D483" s="10">
        <v>29</v>
      </c>
    </row>
    <row r="484" spans="1:4">
      <c r="A484" s="10" t="s">
        <v>506</v>
      </c>
      <c r="B484" s="10" t="s">
        <v>34</v>
      </c>
      <c r="C484" s="10" t="s">
        <v>20</v>
      </c>
      <c r="D484" s="10">
        <v>36</v>
      </c>
    </row>
    <row r="485" spans="1:4">
      <c r="A485" s="10" t="s">
        <v>507</v>
      </c>
      <c r="B485" s="10" t="s">
        <v>39</v>
      </c>
      <c r="C485" s="10" t="s">
        <v>13</v>
      </c>
      <c r="D485" s="10">
        <v>19</v>
      </c>
    </row>
    <row r="486" spans="1:4">
      <c r="A486" s="10" t="s">
        <v>508</v>
      </c>
      <c r="B486" s="10" t="s">
        <v>42</v>
      </c>
      <c r="C486" s="10" t="s">
        <v>13</v>
      </c>
      <c r="D486" s="10">
        <v>46</v>
      </c>
    </row>
    <row r="487" spans="1:4">
      <c r="A487" s="10" t="s">
        <v>509</v>
      </c>
      <c r="B487" s="10" t="s">
        <v>31</v>
      </c>
      <c r="C487" s="10" t="s">
        <v>20</v>
      </c>
      <c r="D487" s="10">
        <v>27</v>
      </c>
    </row>
    <row r="488" spans="1:4">
      <c r="A488" s="10" t="s">
        <v>510</v>
      </c>
      <c r="B488" s="10" t="s">
        <v>50</v>
      </c>
      <c r="C488" s="10" t="s">
        <v>13</v>
      </c>
      <c r="D488" s="10">
        <v>32</v>
      </c>
    </row>
    <row r="489" spans="1:4">
      <c r="A489" s="10" t="s">
        <v>511</v>
      </c>
      <c r="B489" s="10" t="s">
        <v>39</v>
      </c>
      <c r="C489" s="10" t="s">
        <v>13</v>
      </c>
      <c r="D489" s="10">
        <v>27</v>
      </c>
    </row>
    <row r="490" spans="1:4">
      <c r="A490" s="10" t="s">
        <v>512</v>
      </c>
      <c r="B490" s="10" t="s">
        <v>39</v>
      </c>
      <c r="C490" s="10" t="s">
        <v>13</v>
      </c>
      <c r="D490" s="10">
        <v>13</v>
      </c>
    </row>
    <row r="491" spans="1:4">
      <c r="A491" s="10" t="s">
        <v>513</v>
      </c>
      <c r="B491" s="10" t="s">
        <v>42</v>
      </c>
      <c r="C491" s="10" t="s">
        <v>13</v>
      </c>
      <c r="D491" s="10">
        <v>45</v>
      </c>
    </row>
    <row r="492" spans="1:4">
      <c r="A492" s="10" t="s">
        <v>514</v>
      </c>
      <c r="B492" s="10" t="s">
        <v>31</v>
      </c>
      <c r="C492" s="10" t="s">
        <v>13</v>
      </c>
      <c r="D492" s="10">
        <v>14</v>
      </c>
    </row>
    <row r="493" spans="1:4">
      <c r="A493" s="10" t="s">
        <v>515</v>
      </c>
      <c r="B493" s="10" t="s">
        <v>34</v>
      </c>
      <c r="C493" s="10" t="s">
        <v>13</v>
      </c>
      <c r="D493" s="10">
        <v>24</v>
      </c>
    </row>
    <row r="494" spans="1:4">
      <c r="A494" s="10" t="s">
        <v>516</v>
      </c>
      <c r="B494" s="10" t="s">
        <v>37</v>
      </c>
      <c r="C494" s="10" t="s">
        <v>20</v>
      </c>
      <c r="D494" s="10">
        <v>42</v>
      </c>
    </row>
    <row r="495" spans="1:4">
      <c r="A495" s="10" t="s">
        <v>517</v>
      </c>
      <c r="B495" s="10" t="s">
        <v>39</v>
      </c>
      <c r="C495" s="10" t="s">
        <v>13</v>
      </c>
      <c r="D495" s="10">
        <v>22</v>
      </c>
    </row>
    <row r="496" spans="1:4">
      <c r="A496" s="10" t="s">
        <v>518</v>
      </c>
      <c r="B496" s="10" t="s">
        <v>39</v>
      </c>
      <c r="C496" s="10" t="s">
        <v>20</v>
      </c>
      <c r="D496" s="10">
        <v>17</v>
      </c>
    </row>
    <row r="497" spans="1:4">
      <c r="A497" s="10" t="s">
        <v>519</v>
      </c>
      <c r="B497" s="10" t="s">
        <v>42</v>
      </c>
      <c r="C497" s="10" t="s">
        <v>13</v>
      </c>
      <c r="D497" s="10">
        <v>33</v>
      </c>
    </row>
    <row r="498" spans="1:4">
      <c r="A498" s="10" t="s">
        <v>520</v>
      </c>
      <c r="B498" s="10" t="s">
        <v>301</v>
      </c>
      <c r="C498" s="10" t="s">
        <v>13</v>
      </c>
      <c r="D498" s="10">
        <v>18</v>
      </c>
    </row>
    <row r="499" spans="1:4">
      <c r="A499" s="10" t="s">
        <v>521</v>
      </c>
      <c r="B499" s="10" t="s">
        <v>31</v>
      </c>
      <c r="C499" s="10" t="s">
        <v>20</v>
      </c>
      <c r="D499" s="10">
        <v>47</v>
      </c>
    </row>
    <row r="500" spans="1:4">
      <c r="A500" s="10" t="s">
        <v>522</v>
      </c>
      <c r="B500" s="10" t="s">
        <v>50</v>
      </c>
      <c r="C500" s="10" t="s">
        <v>32</v>
      </c>
      <c r="D500" s="10">
        <v>22</v>
      </c>
    </row>
    <row r="501" spans="1:4">
      <c r="A501" s="10" t="s">
        <v>523</v>
      </c>
      <c r="B501" s="10" t="s">
        <v>37</v>
      </c>
      <c r="C501" s="10" t="s">
        <v>20</v>
      </c>
      <c r="D501" s="10">
        <v>42</v>
      </c>
    </row>
    <row r="502" spans="1:4">
      <c r="A502" s="10" t="s">
        <v>524</v>
      </c>
      <c r="B502" s="10" t="s">
        <v>39</v>
      </c>
      <c r="C502" s="10" t="s">
        <v>13</v>
      </c>
      <c r="D502" s="10">
        <v>40</v>
      </c>
    </row>
    <row r="503" spans="1:4">
      <c r="A503" s="10" t="s">
        <v>525</v>
      </c>
      <c r="B503" s="10" t="s">
        <v>39</v>
      </c>
      <c r="C503" s="10" t="s">
        <v>16</v>
      </c>
      <c r="D503" s="10">
        <v>19</v>
      </c>
    </row>
    <row r="504" spans="1:4">
      <c r="A504" s="10" t="s">
        <v>526</v>
      </c>
      <c r="B504" s="10" t="s">
        <v>42</v>
      </c>
      <c r="C504" s="10" t="s">
        <v>13</v>
      </c>
      <c r="D504" s="10">
        <v>25</v>
      </c>
    </row>
    <row r="505" spans="1:4">
      <c r="A505" s="10" t="s">
        <v>527</v>
      </c>
      <c r="B505" s="10" t="s">
        <v>42</v>
      </c>
      <c r="C505" s="10" t="s">
        <v>13</v>
      </c>
      <c r="D505" s="10">
        <v>33</v>
      </c>
    </row>
    <row r="506" spans="1:4">
      <c r="A506" s="10" t="s">
        <v>528</v>
      </c>
      <c r="B506" s="10" t="s">
        <v>31</v>
      </c>
      <c r="C506" s="10" t="s">
        <v>13</v>
      </c>
      <c r="D506" s="10">
        <v>16</v>
      </c>
    </row>
    <row r="507" spans="1:4">
      <c r="A507" s="10" t="s">
        <v>529</v>
      </c>
      <c r="B507" s="10" t="s">
        <v>34</v>
      </c>
      <c r="C507" s="10" t="s">
        <v>13</v>
      </c>
      <c r="D507" s="10">
        <v>7</v>
      </c>
    </row>
    <row r="508" spans="1:4">
      <c r="A508" s="10" t="s">
        <v>530</v>
      </c>
      <c r="B508" s="10" t="s">
        <v>50</v>
      </c>
      <c r="C508" s="10" t="s">
        <v>13</v>
      </c>
      <c r="D508" s="10">
        <v>9</v>
      </c>
    </row>
    <row r="509" spans="1:4">
      <c r="A509" s="10" t="s">
        <v>531</v>
      </c>
      <c r="B509" s="10" t="s">
        <v>37</v>
      </c>
      <c r="C509" s="10" t="s">
        <v>20</v>
      </c>
      <c r="D509" s="10">
        <v>30</v>
      </c>
    </row>
    <row r="510" spans="1:4">
      <c r="A510" s="10" t="s">
        <v>532</v>
      </c>
      <c r="B510" s="10" t="s">
        <v>39</v>
      </c>
      <c r="C510" s="10" t="s">
        <v>20</v>
      </c>
      <c r="D510" s="10">
        <v>19</v>
      </c>
    </row>
    <row r="511" spans="1:4">
      <c r="A511" s="10" t="s">
        <v>533</v>
      </c>
      <c r="B511" s="10" t="s">
        <v>42</v>
      </c>
      <c r="C511" s="10" t="s">
        <v>20</v>
      </c>
      <c r="D511" s="10">
        <v>37</v>
      </c>
    </row>
    <row r="512" spans="1:4">
      <c r="A512" s="10" t="s">
        <v>534</v>
      </c>
      <c r="B512" s="10" t="s">
        <v>31</v>
      </c>
      <c r="C512" s="10" t="s">
        <v>13</v>
      </c>
      <c r="D512" s="10">
        <v>21</v>
      </c>
    </row>
    <row r="513" spans="1:4">
      <c r="A513" s="10" t="s">
        <v>535</v>
      </c>
      <c r="B513" s="10" t="s">
        <v>34</v>
      </c>
      <c r="C513" s="10" t="s">
        <v>20</v>
      </c>
      <c r="D513" s="10">
        <v>24</v>
      </c>
    </row>
    <row r="514" spans="1:4">
      <c r="A514" s="10" t="s">
        <v>536</v>
      </c>
      <c r="B514" s="10" t="s">
        <v>50</v>
      </c>
      <c r="C514" s="10" t="s">
        <v>20</v>
      </c>
      <c r="D514" s="10">
        <v>26</v>
      </c>
    </row>
    <row r="515" spans="1:4">
      <c r="A515" s="10" t="s">
        <v>537</v>
      </c>
      <c r="B515" s="10" t="s">
        <v>42</v>
      </c>
      <c r="C515" s="10" t="s">
        <v>13</v>
      </c>
      <c r="D515" s="10">
        <v>15</v>
      </c>
    </row>
    <row r="516" spans="1:4">
      <c r="A516" s="10" t="s">
        <v>538</v>
      </c>
      <c r="B516" s="10" t="s">
        <v>31</v>
      </c>
      <c r="C516" s="10" t="s">
        <v>13</v>
      </c>
      <c r="D516" s="10">
        <v>22</v>
      </c>
    </row>
    <row r="517" spans="1:4">
      <c r="A517" s="10" t="s">
        <v>539</v>
      </c>
      <c r="B517" s="10" t="s">
        <v>50</v>
      </c>
      <c r="C517" s="10" t="s">
        <v>13</v>
      </c>
      <c r="D517" s="10">
        <v>31</v>
      </c>
    </row>
    <row r="518" spans="1:4">
      <c r="A518" s="10" t="s">
        <v>540</v>
      </c>
      <c r="B518" s="10" t="s">
        <v>37</v>
      </c>
      <c r="C518" s="10" t="s">
        <v>13</v>
      </c>
      <c r="D518" s="10">
        <v>24</v>
      </c>
    </row>
    <row r="519" spans="1:4">
      <c r="A519" s="10" t="s">
        <v>541</v>
      </c>
      <c r="B519" s="10" t="s">
        <v>39</v>
      </c>
      <c r="C519" s="10" t="s">
        <v>20</v>
      </c>
      <c r="D519" s="10">
        <v>22</v>
      </c>
    </row>
    <row r="520" spans="1:4">
      <c r="A520" s="10" t="s">
        <v>542</v>
      </c>
      <c r="B520" s="10" t="s">
        <v>39</v>
      </c>
      <c r="C520" s="10" t="s">
        <v>13</v>
      </c>
      <c r="D520" s="10">
        <v>39</v>
      </c>
    </row>
    <row r="521" spans="1:4">
      <c r="A521" s="10" t="s">
        <v>543</v>
      </c>
      <c r="B521" s="10" t="s">
        <v>31</v>
      </c>
      <c r="C521" s="10" t="s">
        <v>13</v>
      </c>
      <c r="D521" s="10">
        <v>17</v>
      </c>
    </row>
    <row r="522" spans="1:4">
      <c r="A522" s="10" t="s">
        <v>544</v>
      </c>
      <c r="B522" s="10" t="s">
        <v>50</v>
      </c>
      <c r="C522" s="10" t="s">
        <v>13</v>
      </c>
      <c r="D522" s="10">
        <v>17</v>
      </c>
    </row>
    <row r="523" spans="1:4">
      <c r="A523" s="10" t="s">
        <v>545</v>
      </c>
      <c r="B523" s="10" t="s">
        <v>37</v>
      </c>
      <c r="C523" s="10" t="s">
        <v>13</v>
      </c>
      <c r="D523" s="10">
        <v>17</v>
      </c>
    </row>
    <row r="524" spans="1:4">
      <c r="A524" s="10" t="s">
        <v>546</v>
      </c>
      <c r="B524" s="10" t="s">
        <v>39</v>
      </c>
      <c r="C524" s="10" t="s">
        <v>13</v>
      </c>
      <c r="D524" s="10">
        <v>24</v>
      </c>
    </row>
    <row r="525" spans="1:4">
      <c r="A525" s="10" t="s">
        <v>547</v>
      </c>
      <c r="B525" s="10" t="s">
        <v>42</v>
      </c>
      <c r="C525" s="10" t="s">
        <v>13</v>
      </c>
      <c r="D525" s="10">
        <v>33</v>
      </c>
    </row>
    <row r="526" spans="1:4">
      <c r="A526" s="10" t="s">
        <v>548</v>
      </c>
      <c r="B526" s="10" t="s">
        <v>42</v>
      </c>
      <c r="C526" s="10" t="s">
        <v>13</v>
      </c>
      <c r="D526" s="10">
        <v>16</v>
      </c>
    </row>
    <row r="527" spans="1:4">
      <c r="A527" s="10" t="s">
        <v>549</v>
      </c>
      <c r="B527" s="10" t="s">
        <v>31</v>
      </c>
      <c r="C527" s="10" t="s">
        <v>13</v>
      </c>
      <c r="D527" s="10">
        <v>32</v>
      </c>
    </row>
    <row r="528" spans="1:4">
      <c r="A528" s="10" t="s">
        <v>550</v>
      </c>
      <c r="B528" s="10" t="s">
        <v>50</v>
      </c>
      <c r="C528" s="10" t="s">
        <v>13</v>
      </c>
      <c r="D528" s="10">
        <v>4</v>
      </c>
    </row>
    <row r="529" spans="1:4">
      <c r="A529" s="10" t="s">
        <v>551</v>
      </c>
      <c r="B529" s="10" t="s">
        <v>39</v>
      </c>
      <c r="C529" s="10" t="s">
        <v>13</v>
      </c>
      <c r="D529" s="10">
        <v>30</v>
      </c>
    </row>
    <row r="530" spans="1:4">
      <c r="A530" s="10" t="s">
        <v>552</v>
      </c>
      <c r="B530" s="10" t="s">
        <v>42</v>
      </c>
      <c r="C530" s="10" t="s">
        <v>13</v>
      </c>
      <c r="D530" s="10">
        <v>24</v>
      </c>
    </row>
    <row r="531" spans="1:4">
      <c r="A531" s="10" t="s">
        <v>553</v>
      </c>
      <c r="B531" s="10" t="s">
        <v>31</v>
      </c>
      <c r="C531" s="10" t="s">
        <v>20</v>
      </c>
      <c r="D531" s="10">
        <v>17</v>
      </c>
    </row>
    <row r="532" spans="1:4">
      <c r="A532" s="10" t="s">
        <v>554</v>
      </c>
      <c r="B532" s="10" t="s">
        <v>34</v>
      </c>
      <c r="C532" s="10" t="s">
        <v>13</v>
      </c>
      <c r="D532" s="10">
        <v>22</v>
      </c>
    </row>
    <row r="533" spans="1:4">
      <c r="A533" s="10" t="s">
        <v>555</v>
      </c>
      <c r="B533" s="10" t="s">
        <v>37</v>
      </c>
      <c r="C533" s="10" t="s">
        <v>13</v>
      </c>
      <c r="D533" s="10">
        <v>31</v>
      </c>
    </row>
    <row r="534" spans="1:4">
      <c r="A534" s="10" t="s">
        <v>556</v>
      </c>
      <c r="B534" s="10" t="s">
        <v>39</v>
      </c>
      <c r="C534" s="10" t="s">
        <v>13</v>
      </c>
      <c r="D534" s="10">
        <v>23</v>
      </c>
    </row>
    <row r="535" spans="1:4">
      <c r="A535" s="10" t="s">
        <v>557</v>
      </c>
      <c r="B535" s="10" t="s">
        <v>42</v>
      </c>
      <c r="C535" s="10" t="s">
        <v>20</v>
      </c>
      <c r="D535" s="10">
        <v>35</v>
      </c>
    </row>
    <row r="536" spans="1:4">
      <c r="A536" s="10" t="s">
        <v>558</v>
      </c>
      <c r="B536" s="10" t="s">
        <v>42</v>
      </c>
      <c r="C536" s="10" t="s">
        <v>13</v>
      </c>
      <c r="D536" s="10">
        <v>39</v>
      </c>
    </row>
    <row r="537" spans="1:4">
      <c r="A537" s="10" t="s">
        <v>559</v>
      </c>
      <c r="B537" s="10" t="s">
        <v>31</v>
      </c>
      <c r="C537" s="10" t="s">
        <v>13</v>
      </c>
      <c r="D537" s="10">
        <v>50</v>
      </c>
    </row>
    <row r="538" spans="1:4">
      <c r="A538" s="10" t="s">
        <v>560</v>
      </c>
      <c r="B538" s="10" t="s">
        <v>50</v>
      </c>
      <c r="C538" s="10" t="s">
        <v>20</v>
      </c>
      <c r="D538" s="10">
        <v>26</v>
      </c>
    </row>
    <row r="539" spans="1:4">
      <c r="A539" s="10" t="s">
        <v>561</v>
      </c>
      <c r="B539" s="10" t="s">
        <v>39</v>
      </c>
      <c r="C539" s="10" t="s">
        <v>13</v>
      </c>
      <c r="D539" s="10">
        <v>23</v>
      </c>
    </row>
    <row r="540" spans="1:4">
      <c r="A540" s="10" t="s">
        <v>562</v>
      </c>
      <c r="B540" s="10" t="s">
        <v>42</v>
      </c>
      <c r="C540" s="10" t="s">
        <v>20</v>
      </c>
      <c r="D540" s="10">
        <v>37</v>
      </c>
    </row>
    <row r="541" spans="1:4">
      <c r="A541" s="10" t="s">
        <v>563</v>
      </c>
      <c r="B541" s="10" t="s">
        <v>42</v>
      </c>
      <c r="C541" s="10" t="s">
        <v>20</v>
      </c>
      <c r="D541" s="10">
        <v>50</v>
      </c>
    </row>
    <row r="542" spans="1:4">
      <c r="A542" s="10" t="s">
        <v>564</v>
      </c>
      <c r="B542" s="10" t="s">
        <v>301</v>
      </c>
      <c r="C542" s="10" t="s">
        <v>20</v>
      </c>
      <c r="D542" s="10">
        <v>31</v>
      </c>
    </row>
    <row r="543" spans="1:4">
      <c r="A543" s="10" t="s">
        <v>565</v>
      </c>
      <c r="B543" s="10" t="s">
        <v>31</v>
      </c>
      <c r="C543" s="10" t="s">
        <v>32</v>
      </c>
      <c r="D543" s="10">
        <v>23</v>
      </c>
    </row>
    <row r="544" spans="1:4">
      <c r="A544" s="10" t="s">
        <v>566</v>
      </c>
      <c r="B544" s="10" t="s">
        <v>34</v>
      </c>
      <c r="C544" s="10" t="s">
        <v>20</v>
      </c>
      <c r="D544" s="10">
        <v>34</v>
      </c>
    </row>
    <row r="545" spans="1:4">
      <c r="A545" s="10" t="s">
        <v>567</v>
      </c>
      <c r="B545" s="10" t="s">
        <v>39</v>
      </c>
      <c r="C545" s="10" t="s">
        <v>20</v>
      </c>
      <c r="D545" s="10">
        <v>34</v>
      </c>
    </row>
    <row r="546" spans="1:4">
      <c r="A546" s="10" t="s">
        <v>568</v>
      </c>
      <c r="B546" s="10" t="s">
        <v>42</v>
      </c>
      <c r="C546" s="10" t="s">
        <v>13</v>
      </c>
      <c r="D546" s="10">
        <v>33</v>
      </c>
    </row>
    <row r="547" spans="1:4">
      <c r="A547" s="10" t="s">
        <v>569</v>
      </c>
      <c r="B547" s="10" t="s">
        <v>42</v>
      </c>
      <c r="C547" s="10" t="s">
        <v>13</v>
      </c>
      <c r="D547" s="10">
        <v>48</v>
      </c>
    </row>
    <row r="548" spans="1:4">
      <c r="A548" s="10" t="s">
        <v>570</v>
      </c>
      <c r="B548" s="10" t="s">
        <v>301</v>
      </c>
      <c r="C548" s="10" t="s">
        <v>13</v>
      </c>
      <c r="D548" s="10">
        <v>29</v>
      </c>
    </row>
    <row r="549" spans="1:4">
      <c r="A549" s="10" t="s">
        <v>571</v>
      </c>
      <c r="B549" s="10" t="s">
        <v>34</v>
      </c>
      <c r="C549" s="10" t="s">
        <v>20</v>
      </c>
      <c r="D549" s="10">
        <v>35</v>
      </c>
    </row>
    <row r="550" spans="1:4">
      <c r="A550" s="10" t="s">
        <v>572</v>
      </c>
      <c r="B550" s="10" t="s">
        <v>50</v>
      </c>
      <c r="C550" s="10" t="s">
        <v>20</v>
      </c>
      <c r="D550" s="10">
        <v>28</v>
      </c>
    </row>
    <row r="551" spans="1:4">
      <c r="A551" s="10" t="s">
        <v>573</v>
      </c>
      <c r="B551" s="10" t="s">
        <v>37</v>
      </c>
      <c r="C551" s="10" t="s">
        <v>13</v>
      </c>
      <c r="D551" s="10">
        <v>28</v>
      </c>
    </row>
    <row r="552" spans="1:4">
      <c r="A552" s="10" t="s">
        <v>574</v>
      </c>
      <c r="B552" s="10" t="s">
        <v>39</v>
      </c>
      <c r="C552" s="10" t="s">
        <v>13</v>
      </c>
      <c r="D552" s="10">
        <v>19</v>
      </c>
    </row>
    <row r="553" spans="1:4">
      <c r="A553" s="10" t="s">
        <v>575</v>
      </c>
      <c r="C553" s="10" t="s">
        <v>13</v>
      </c>
      <c r="D553" s="10">
        <v>22</v>
      </c>
    </row>
    <row r="554" spans="1:4">
      <c r="A554" s="10" t="s">
        <v>576</v>
      </c>
      <c r="B554" s="10" t="s">
        <v>42</v>
      </c>
      <c r="C554" s="10" t="s">
        <v>13</v>
      </c>
      <c r="D554" s="10">
        <v>26</v>
      </c>
    </row>
    <row r="555" spans="1:4">
      <c r="A555" s="10" t="s">
        <v>577</v>
      </c>
      <c r="B555" s="10" t="s">
        <v>34</v>
      </c>
      <c r="C555" s="10" t="s">
        <v>13</v>
      </c>
      <c r="D555" s="10">
        <v>29</v>
      </c>
    </row>
    <row r="556" spans="1:4">
      <c r="A556" s="10" t="s">
        <v>578</v>
      </c>
      <c r="B556" s="10" t="s">
        <v>37</v>
      </c>
      <c r="C556" s="10" t="s">
        <v>13</v>
      </c>
      <c r="D556" s="10">
        <v>35</v>
      </c>
    </row>
    <row r="557" spans="1:4">
      <c r="A557" s="10" t="s">
        <v>579</v>
      </c>
      <c r="B557" s="10" t="s">
        <v>42</v>
      </c>
      <c r="C557" s="10" t="s">
        <v>13</v>
      </c>
      <c r="D557" s="10">
        <v>32</v>
      </c>
    </row>
    <row r="558" spans="1:4">
      <c r="A558" s="10" t="s">
        <v>580</v>
      </c>
      <c r="B558" s="10" t="s">
        <v>31</v>
      </c>
      <c r="C558" s="10" t="s">
        <v>13</v>
      </c>
      <c r="D558" s="10">
        <v>44</v>
      </c>
    </row>
    <row r="559" spans="1:4">
      <c r="A559" s="10" t="s">
        <v>581</v>
      </c>
      <c r="B559" s="10" t="s">
        <v>34</v>
      </c>
      <c r="C559" s="10" t="s">
        <v>20</v>
      </c>
      <c r="D559" s="10">
        <v>32</v>
      </c>
    </row>
    <row r="560" spans="1:4">
      <c r="A560" s="10" t="s">
        <v>582</v>
      </c>
      <c r="B560" s="10" t="s">
        <v>34</v>
      </c>
      <c r="C560" s="10" t="s">
        <v>13</v>
      </c>
      <c r="D560" s="10">
        <v>8</v>
      </c>
    </row>
    <row r="561" spans="1:4">
      <c r="A561" s="10" t="s">
        <v>583</v>
      </c>
      <c r="B561" s="10" t="s">
        <v>39</v>
      </c>
      <c r="C561" s="10" t="s">
        <v>13</v>
      </c>
      <c r="D561" s="10">
        <v>30</v>
      </c>
    </row>
    <row r="562" spans="1:4">
      <c r="A562" s="10" t="s">
        <v>584</v>
      </c>
      <c r="B562" s="10" t="s">
        <v>42</v>
      </c>
      <c r="C562" s="10" t="s">
        <v>20</v>
      </c>
      <c r="D562" s="10">
        <v>42</v>
      </c>
    </row>
    <row r="563" spans="1:4">
      <c r="A563" s="10" t="s">
        <v>585</v>
      </c>
      <c r="B563" s="10" t="s">
        <v>42</v>
      </c>
      <c r="C563" s="10" t="s">
        <v>13</v>
      </c>
      <c r="D563" s="10">
        <v>44</v>
      </c>
    </row>
    <row r="564" spans="1:4">
      <c r="A564" s="10" t="s">
        <v>586</v>
      </c>
      <c r="B564" s="10" t="s">
        <v>301</v>
      </c>
      <c r="C564" s="10" t="s">
        <v>20</v>
      </c>
      <c r="D564" s="10">
        <v>41</v>
      </c>
    </row>
    <row r="565" spans="1:4">
      <c r="A565" s="10" t="s">
        <v>587</v>
      </c>
      <c r="B565" s="10" t="s">
        <v>31</v>
      </c>
      <c r="C565" s="10" t="s">
        <v>20</v>
      </c>
      <c r="D565" s="10">
        <v>19</v>
      </c>
    </row>
    <row r="566" spans="1:4">
      <c r="A566" s="10" t="s">
        <v>588</v>
      </c>
      <c r="B566" s="10" t="s">
        <v>50</v>
      </c>
      <c r="C566" s="10" t="s">
        <v>13</v>
      </c>
      <c r="D566" s="10">
        <v>42</v>
      </c>
    </row>
    <row r="567" spans="1:4">
      <c r="A567" s="10" t="s">
        <v>589</v>
      </c>
      <c r="B567" s="10" t="s">
        <v>39</v>
      </c>
      <c r="C567" s="10" t="s">
        <v>13</v>
      </c>
      <c r="D567" s="10">
        <v>30</v>
      </c>
    </row>
    <row r="568" spans="1:4">
      <c r="A568" s="10" t="s">
        <v>590</v>
      </c>
      <c r="B568" s="10" t="s">
        <v>42</v>
      </c>
      <c r="C568" s="10" t="s">
        <v>13</v>
      </c>
      <c r="D568" s="10">
        <v>13</v>
      </c>
    </row>
    <row r="569" spans="1:4">
      <c r="A569" s="10" t="s">
        <v>591</v>
      </c>
      <c r="B569" s="10" t="s">
        <v>42</v>
      </c>
      <c r="C569" s="10" t="s">
        <v>13</v>
      </c>
      <c r="D569" s="10">
        <v>34</v>
      </c>
    </row>
    <row r="570" spans="1:4">
      <c r="A570" s="10" t="s">
        <v>592</v>
      </c>
      <c r="B570" s="10" t="s">
        <v>301</v>
      </c>
      <c r="C570" s="10" t="s">
        <v>20</v>
      </c>
      <c r="D570" s="10">
        <v>38</v>
      </c>
    </row>
    <row r="571" spans="1:4">
      <c r="A571" s="10" t="s">
        <v>593</v>
      </c>
      <c r="B571" s="10" t="s">
        <v>31</v>
      </c>
      <c r="C571" s="10" t="s">
        <v>13</v>
      </c>
      <c r="D571" s="10">
        <v>17</v>
      </c>
    </row>
    <row r="572" spans="1:4">
      <c r="A572" s="10" t="s">
        <v>594</v>
      </c>
      <c r="B572" s="10" t="s">
        <v>34</v>
      </c>
      <c r="C572" s="10" t="s">
        <v>13</v>
      </c>
      <c r="D572" s="10">
        <v>37</v>
      </c>
    </row>
    <row r="573" spans="1:4">
      <c r="A573" s="10" t="s">
        <v>595</v>
      </c>
      <c r="B573" s="10" t="s">
        <v>50</v>
      </c>
      <c r="C573" s="10" t="s">
        <v>13</v>
      </c>
      <c r="D573" s="10">
        <v>27</v>
      </c>
    </row>
    <row r="574" spans="1:4">
      <c r="A574" s="10" t="s">
        <v>596</v>
      </c>
      <c r="B574" s="10" t="s">
        <v>39</v>
      </c>
      <c r="C574" s="10" t="s">
        <v>20</v>
      </c>
      <c r="D574" s="10">
        <v>36</v>
      </c>
    </row>
    <row r="575" spans="1:4">
      <c r="A575" s="10" t="s">
        <v>597</v>
      </c>
      <c r="B575" s="10" t="s">
        <v>39</v>
      </c>
      <c r="C575" s="10" t="s">
        <v>20</v>
      </c>
      <c r="D575" s="10">
        <v>22</v>
      </c>
    </row>
    <row r="576" spans="1:4">
      <c r="A576" s="10" t="s">
        <v>598</v>
      </c>
      <c r="B576" s="10" t="s">
        <v>31</v>
      </c>
      <c r="C576" s="10" t="s">
        <v>13</v>
      </c>
      <c r="D576" s="10">
        <v>30</v>
      </c>
    </row>
    <row r="577" spans="1:4">
      <c r="A577" s="10" t="s">
        <v>599</v>
      </c>
      <c r="B577" s="10" t="s">
        <v>34</v>
      </c>
      <c r="C577" s="10" t="s">
        <v>20</v>
      </c>
      <c r="D577" s="10">
        <v>10</v>
      </c>
    </row>
    <row r="578" spans="1:4">
      <c r="A578" s="10" t="s">
        <v>600</v>
      </c>
      <c r="B578" s="10" t="s">
        <v>39</v>
      </c>
      <c r="C578" s="10" t="s">
        <v>13</v>
      </c>
      <c r="D578" s="10">
        <v>28</v>
      </c>
    </row>
    <row r="579" spans="1:4">
      <c r="A579" s="10" t="s">
        <v>601</v>
      </c>
      <c r="B579" s="10" t="s">
        <v>39</v>
      </c>
      <c r="C579" s="10" t="s">
        <v>20</v>
      </c>
      <c r="D579" s="10">
        <v>15</v>
      </c>
    </row>
    <row r="580" spans="1:4">
      <c r="A580" s="10" t="s">
        <v>602</v>
      </c>
      <c r="B580" s="10" t="s">
        <v>42</v>
      </c>
      <c r="C580" s="10" t="s">
        <v>13</v>
      </c>
      <c r="D580" s="10">
        <v>35</v>
      </c>
    </row>
    <row r="581" spans="1:4">
      <c r="A581" s="10" t="s">
        <v>603</v>
      </c>
      <c r="B581" s="10" t="s">
        <v>34</v>
      </c>
      <c r="C581" s="10" t="s">
        <v>20</v>
      </c>
      <c r="D581" s="10">
        <v>32</v>
      </c>
    </row>
    <row r="582" spans="1:4">
      <c r="A582" s="10" t="s">
        <v>604</v>
      </c>
      <c r="B582" s="10" t="s">
        <v>34</v>
      </c>
      <c r="C582" s="10" t="s">
        <v>20</v>
      </c>
      <c r="D582" s="10">
        <v>23</v>
      </c>
    </row>
    <row r="583" spans="1:4">
      <c r="A583" s="10" t="s">
        <v>605</v>
      </c>
      <c r="B583" s="10" t="s">
        <v>37</v>
      </c>
      <c r="C583" s="10" t="s">
        <v>20</v>
      </c>
      <c r="D583" s="10">
        <v>24</v>
      </c>
    </row>
    <row r="584" spans="1:4">
      <c r="A584" s="10" t="s">
        <v>606</v>
      </c>
      <c r="B584" s="10" t="s">
        <v>39</v>
      </c>
      <c r="C584" s="10" t="s">
        <v>13</v>
      </c>
      <c r="D584" s="10">
        <v>27</v>
      </c>
    </row>
    <row r="585" spans="1:4">
      <c r="A585" s="10" t="s">
        <v>607</v>
      </c>
      <c r="B585" s="10" t="s">
        <v>39</v>
      </c>
      <c r="C585" s="10" t="s">
        <v>20</v>
      </c>
      <c r="D585" s="10">
        <v>45</v>
      </c>
    </row>
    <row r="586" spans="1:4">
      <c r="A586" s="10" t="s">
        <v>608</v>
      </c>
      <c r="B586" s="10" t="s">
        <v>42</v>
      </c>
      <c r="C586" s="10" t="s">
        <v>13</v>
      </c>
      <c r="D586" s="10">
        <v>25</v>
      </c>
    </row>
    <row r="587" spans="1:4" ht="19.5">
      <c r="A587" s="10" t="s">
        <v>609</v>
      </c>
      <c r="B587" s="10" t="s">
        <v>42</v>
      </c>
      <c r="C587" s="11" t="s">
        <v>32</v>
      </c>
      <c r="D587" s="10">
        <v>25</v>
      </c>
    </row>
    <row r="588" spans="1:4">
      <c r="A588" s="10" t="s">
        <v>610</v>
      </c>
      <c r="B588" s="10" t="s">
        <v>31</v>
      </c>
      <c r="C588" s="10" t="s">
        <v>13</v>
      </c>
      <c r="D588" s="10">
        <v>33</v>
      </c>
    </row>
    <row r="589" spans="1:4">
      <c r="A589" s="10" t="s">
        <v>611</v>
      </c>
      <c r="B589" s="10" t="s">
        <v>34</v>
      </c>
      <c r="C589" s="10" t="s">
        <v>13</v>
      </c>
      <c r="D589" s="10">
        <v>30</v>
      </c>
    </row>
    <row r="590" spans="1:4">
      <c r="A590" s="10" t="s">
        <v>612</v>
      </c>
      <c r="B590" s="10" t="s">
        <v>39</v>
      </c>
      <c r="C590" s="10" t="s">
        <v>20</v>
      </c>
      <c r="D590" s="10">
        <v>30</v>
      </c>
    </row>
    <row r="591" spans="1:4">
      <c r="A591" s="10" t="s">
        <v>613</v>
      </c>
      <c r="B591" s="10" t="s">
        <v>42</v>
      </c>
      <c r="C591" s="10" t="s">
        <v>13</v>
      </c>
      <c r="D591" s="10">
        <v>32</v>
      </c>
    </row>
    <row r="592" spans="1:4">
      <c r="A592" s="10" t="s">
        <v>614</v>
      </c>
      <c r="B592" s="10" t="s">
        <v>301</v>
      </c>
      <c r="C592" s="10" t="s">
        <v>13</v>
      </c>
      <c r="D592" s="10">
        <v>30</v>
      </c>
    </row>
    <row r="593" spans="1:4">
      <c r="A593" s="10" t="s">
        <v>615</v>
      </c>
      <c r="B593" s="10" t="s">
        <v>31</v>
      </c>
      <c r="C593" s="10" t="s">
        <v>13</v>
      </c>
      <c r="D593" s="10">
        <v>22</v>
      </c>
    </row>
    <row r="594" spans="1:4">
      <c r="A594" s="10" t="s">
        <v>616</v>
      </c>
      <c r="B594" s="10" t="s">
        <v>34</v>
      </c>
      <c r="C594" s="10" t="s">
        <v>13</v>
      </c>
      <c r="D594" s="10">
        <v>29</v>
      </c>
    </row>
    <row r="595" spans="1:4">
      <c r="A595" s="10" t="s">
        <v>617</v>
      </c>
      <c r="B595" s="10" t="s">
        <v>50</v>
      </c>
      <c r="C595" s="10" t="s">
        <v>13</v>
      </c>
      <c r="D595" s="10">
        <v>14</v>
      </c>
    </row>
    <row r="596" spans="1:4">
      <c r="A596" s="10" t="s">
        <v>618</v>
      </c>
      <c r="B596" s="10" t="s">
        <v>37</v>
      </c>
      <c r="C596" s="10" t="s">
        <v>20</v>
      </c>
      <c r="D596" s="10">
        <v>18</v>
      </c>
    </row>
    <row r="597" spans="1:4">
      <c r="A597" s="10" t="s">
        <v>619</v>
      </c>
      <c r="B597" s="10" t="s">
        <v>39</v>
      </c>
      <c r="C597" s="10" t="s">
        <v>13</v>
      </c>
      <c r="D597" s="10">
        <v>34</v>
      </c>
    </row>
    <row r="598" spans="1:4">
      <c r="A598" s="10" t="s">
        <v>620</v>
      </c>
      <c r="B598" s="10" t="s">
        <v>31</v>
      </c>
      <c r="C598" s="10" t="s">
        <v>20</v>
      </c>
      <c r="D598" s="10">
        <v>24</v>
      </c>
    </row>
    <row r="599" spans="1:4">
      <c r="A599" s="10" t="s">
        <v>621</v>
      </c>
      <c r="B599" s="10" t="s">
        <v>34</v>
      </c>
      <c r="C599" s="10" t="s">
        <v>13</v>
      </c>
      <c r="D599" s="10">
        <v>32</v>
      </c>
    </row>
    <row r="600" spans="1:4">
      <c r="A600" s="10" t="s">
        <v>622</v>
      </c>
      <c r="B600" s="10" t="s">
        <v>50</v>
      </c>
      <c r="C600" s="10" t="s">
        <v>13</v>
      </c>
      <c r="D600" s="10">
        <v>22</v>
      </c>
    </row>
    <row r="601" spans="1:4">
      <c r="A601" s="10" t="s">
        <v>623</v>
      </c>
      <c r="B601" s="10" t="s">
        <v>37</v>
      </c>
      <c r="C601" s="10" t="s">
        <v>13</v>
      </c>
      <c r="D601" s="10">
        <v>38</v>
      </c>
    </row>
    <row r="602" spans="1:4">
      <c r="A602" s="10" t="s">
        <v>624</v>
      </c>
      <c r="B602" s="10" t="s">
        <v>39</v>
      </c>
      <c r="C602" s="10" t="s">
        <v>13</v>
      </c>
      <c r="D602" s="10">
        <v>28</v>
      </c>
    </row>
    <row r="603" spans="1:4">
      <c r="A603" s="10" t="s">
        <v>625</v>
      </c>
      <c r="B603" s="10" t="s">
        <v>39</v>
      </c>
      <c r="C603" s="10" t="s">
        <v>13</v>
      </c>
      <c r="D603" s="10">
        <v>19</v>
      </c>
    </row>
    <row r="604" spans="1:4">
      <c r="A604" s="10" t="s">
        <v>626</v>
      </c>
      <c r="B604" s="10" t="s">
        <v>42</v>
      </c>
      <c r="C604" s="10" t="s">
        <v>13</v>
      </c>
      <c r="D604" s="10">
        <v>29</v>
      </c>
    </row>
    <row r="605" spans="1:4">
      <c r="A605" s="10" t="s">
        <v>627</v>
      </c>
      <c r="B605" s="10" t="s">
        <v>628</v>
      </c>
      <c r="C605" s="10" t="s">
        <v>20</v>
      </c>
      <c r="D605" s="10">
        <v>29</v>
      </c>
    </row>
    <row r="606" spans="1:4">
      <c r="A606" s="10" t="s">
        <v>629</v>
      </c>
      <c r="B606" s="10" t="s">
        <v>628</v>
      </c>
      <c r="C606" s="10" t="s">
        <v>20</v>
      </c>
      <c r="D606" s="10">
        <v>37</v>
      </c>
    </row>
    <row r="607" spans="1:4">
      <c r="A607" s="10" t="s">
        <v>630</v>
      </c>
      <c r="B607" s="10" t="s">
        <v>628</v>
      </c>
      <c r="C607" s="10" t="s">
        <v>13</v>
      </c>
      <c r="D607" s="10">
        <v>2</v>
      </c>
    </row>
    <row r="608" spans="1:4">
      <c r="A608" s="10" t="s">
        <v>631</v>
      </c>
      <c r="B608" s="10" t="s">
        <v>628</v>
      </c>
      <c r="C608" s="10" t="s">
        <v>13</v>
      </c>
      <c r="D608" s="10">
        <v>26</v>
      </c>
    </row>
    <row r="609" spans="1:4">
      <c r="A609" s="10" t="s">
        <v>632</v>
      </c>
      <c r="B609" s="10" t="s">
        <v>628</v>
      </c>
      <c r="C609" s="10" t="s">
        <v>13</v>
      </c>
      <c r="D609" s="10">
        <v>32</v>
      </c>
    </row>
    <row r="610" spans="1:4">
      <c r="A610" s="10" t="s">
        <v>633</v>
      </c>
      <c r="B610" s="10" t="s">
        <v>628</v>
      </c>
      <c r="C610" s="10" t="s">
        <v>13</v>
      </c>
      <c r="D610" s="10">
        <v>21</v>
      </c>
    </row>
    <row r="611" spans="1:4">
      <c r="A611" s="10" t="s">
        <v>634</v>
      </c>
      <c r="B611" s="10" t="s">
        <v>628</v>
      </c>
      <c r="C611" s="10" t="s">
        <v>13</v>
      </c>
      <c r="D611" s="10">
        <v>15</v>
      </c>
    </row>
    <row r="612" spans="1:4">
      <c r="A612" s="10" t="s">
        <v>635</v>
      </c>
      <c r="B612" s="10" t="s">
        <v>628</v>
      </c>
      <c r="C612" s="10" t="s">
        <v>13</v>
      </c>
      <c r="D612" s="10">
        <v>33</v>
      </c>
    </row>
    <row r="613" spans="1:4">
      <c r="A613" s="10" t="s">
        <v>636</v>
      </c>
      <c r="B613" s="10" t="s">
        <v>628</v>
      </c>
      <c r="C613" s="10" t="s">
        <v>13</v>
      </c>
      <c r="D613" s="10">
        <v>27</v>
      </c>
    </row>
    <row r="614" spans="1:4">
      <c r="A614" s="10" t="s">
        <v>637</v>
      </c>
      <c r="B614" s="10" t="s">
        <v>628</v>
      </c>
      <c r="C614" s="10" t="s">
        <v>20</v>
      </c>
      <c r="D614" s="10">
        <v>29</v>
      </c>
    </row>
    <row r="615" spans="1:4">
      <c r="A615" s="10" t="s">
        <v>638</v>
      </c>
      <c r="B615" s="10" t="s">
        <v>628</v>
      </c>
      <c r="C615" s="10" t="s">
        <v>20</v>
      </c>
      <c r="D615" s="10">
        <v>47</v>
      </c>
    </row>
    <row r="616" spans="1:4">
      <c r="A616" s="10" t="s">
        <v>639</v>
      </c>
      <c r="B616" s="10" t="s">
        <v>628</v>
      </c>
      <c r="C616" s="10" t="s">
        <v>13</v>
      </c>
      <c r="D616" s="10">
        <v>19</v>
      </c>
    </row>
    <row r="617" spans="1:4">
      <c r="A617" s="10" t="s">
        <v>640</v>
      </c>
      <c r="B617" s="10" t="s">
        <v>628</v>
      </c>
      <c r="C617" s="10" t="s">
        <v>20</v>
      </c>
      <c r="D617" s="10">
        <v>23</v>
      </c>
    </row>
    <row r="618" spans="1:4">
      <c r="A618" s="10" t="s">
        <v>641</v>
      </c>
      <c r="B618" s="10" t="s">
        <v>628</v>
      </c>
      <c r="C618" s="10" t="s">
        <v>13</v>
      </c>
      <c r="D618" s="10">
        <v>26</v>
      </c>
    </row>
    <row r="619" spans="1:4">
      <c r="A619" s="10" t="s">
        <v>642</v>
      </c>
      <c r="B619" s="10" t="s">
        <v>628</v>
      </c>
      <c r="C619" s="10" t="s">
        <v>13</v>
      </c>
      <c r="D619" s="10">
        <v>29</v>
      </c>
    </row>
    <row r="620" spans="1:4">
      <c r="A620" s="10" t="s">
        <v>643</v>
      </c>
      <c r="B620" s="10" t="s">
        <v>34</v>
      </c>
      <c r="C620" s="10" t="s">
        <v>13</v>
      </c>
      <c r="D620" s="10">
        <v>17</v>
      </c>
    </row>
    <row r="621" spans="1:4">
      <c r="A621" s="10" t="s">
        <v>644</v>
      </c>
      <c r="B621" s="10" t="s">
        <v>628</v>
      </c>
      <c r="C621" s="10" t="s">
        <v>20</v>
      </c>
      <c r="D621" s="10">
        <v>13</v>
      </c>
    </row>
    <row r="622" spans="1:4">
      <c r="A622" s="10" t="s">
        <v>645</v>
      </c>
      <c r="B622" s="10" t="s">
        <v>628</v>
      </c>
      <c r="C622" s="10" t="s">
        <v>20</v>
      </c>
      <c r="D622" s="10">
        <v>45</v>
      </c>
    </row>
    <row r="623" spans="1:4">
      <c r="A623" s="10" t="s">
        <v>646</v>
      </c>
      <c r="B623" s="10" t="s">
        <v>628</v>
      </c>
      <c r="C623" s="10" t="s">
        <v>20</v>
      </c>
      <c r="D623" s="10">
        <v>50</v>
      </c>
    </row>
    <row r="624" spans="1:4">
      <c r="A624" s="10" t="s">
        <v>647</v>
      </c>
      <c r="B624" s="10" t="s">
        <v>628</v>
      </c>
      <c r="C624" s="10" t="s">
        <v>13</v>
      </c>
      <c r="D624" s="10">
        <v>12</v>
      </c>
    </row>
    <row r="625" spans="1:4">
      <c r="A625" s="10" t="s">
        <v>648</v>
      </c>
      <c r="B625" s="10" t="s">
        <v>34</v>
      </c>
      <c r="C625" s="10" t="s">
        <v>13</v>
      </c>
      <c r="D625" s="10">
        <v>27</v>
      </c>
    </row>
    <row r="626" spans="1:4">
      <c r="A626" s="10" t="s">
        <v>649</v>
      </c>
      <c r="B626" s="10" t="s">
        <v>650</v>
      </c>
      <c r="C626" s="10" t="s">
        <v>32</v>
      </c>
      <c r="D626" s="10">
        <v>50</v>
      </c>
    </row>
    <row r="627" spans="1:4">
      <c r="A627" s="10" t="s">
        <v>651</v>
      </c>
      <c r="B627" s="10" t="s">
        <v>628</v>
      </c>
      <c r="C627" s="10" t="s">
        <v>20</v>
      </c>
      <c r="D627" s="10">
        <v>34</v>
      </c>
    </row>
    <row r="628" spans="1:4">
      <c r="A628" s="10" t="s">
        <v>652</v>
      </c>
      <c r="B628" s="10" t="s">
        <v>34</v>
      </c>
      <c r="C628" s="10" t="s">
        <v>13</v>
      </c>
      <c r="D628" s="10">
        <v>7</v>
      </c>
    </row>
    <row r="629" spans="1:4">
      <c r="A629" s="10" t="s">
        <v>653</v>
      </c>
      <c r="B629" s="10" t="s">
        <v>628</v>
      </c>
      <c r="C629" s="10" t="s">
        <v>13</v>
      </c>
      <c r="D629" s="10">
        <v>50</v>
      </c>
    </row>
    <row r="630" spans="1:4">
      <c r="A630" s="10" t="s">
        <v>654</v>
      </c>
      <c r="B630" s="10" t="s">
        <v>628</v>
      </c>
      <c r="C630" s="10" t="s">
        <v>20</v>
      </c>
      <c r="D630" s="10">
        <v>35</v>
      </c>
    </row>
    <row r="631" spans="1:4">
      <c r="A631" s="10" t="s">
        <v>655</v>
      </c>
      <c r="B631" s="10" t="s">
        <v>34</v>
      </c>
      <c r="C631" s="10" t="s">
        <v>13</v>
      </c>
      <c r="D631" s="10">
        <v>33</v>
      </c>
    </row>
    <row r="632" spans="1:4">
      <c r="A632" s="10" t="s">
        <v>656</v>
      </c>
      <c r="B632" s="10" t="s">
        <v>628</v>
      </c>
      <c r="C632" s="10" t="s">
        <v>13</v>
      </c>
      <c r="D632" s="10">
        <v>24</v>
      </c>
    </row>
    <row r="633" spans="1:4">
      <c r="A633" s="10" t="s">
        <v>657</v>
      </c>
      <c r="B633" s="10" t="s">
        <v>650</v>
      </c>
      <c r="C633" s="10" t="s">
        <v>13</v>
      </c>
      <c r="D633" s="10">
        <v>24</v>
      </c>
    </row>
    <row r="634" spans="1:4">
      <c r="A634" s="10" t="s">
        <v>658</v>
      </c>
      <c r="B634" s="10" t="s">
        <v>628</v>
      </c>
      <c r="C634" s="10" t="s">
        <v>13</v>
      </c>
      <c r="D634" s="10">
        <v>24</v>
      </c>
    </row>
    <row r="635" spans="1:4">
      <c r="A635" s="10" t="s">
        <v>659</v>
      </c>
      <c r="B635" s="10" t="s">
        <v>628</v>
      </c>
      <c r="C635" s="10" t="s">
        <v>20</v>
      </c>
      <c r="D635" s="10">
        <v>21</v>
      </c>
    </row>
    <row r="636" spans="1:4">
      <c r="A636" s="10" t="s">
        <v>660</v>
      </c>
      <c r="B636" s="10" t="s">
        <v>628</v>
      </c>
      <c r="C636" s="10" t="s">
        <v>20</v>
      </c>
      <c r="D636" s="10">
        <v>14</v>
      </c>
    </row>
    <row r="637" spans="1:4">
      <c r="A637" s="10" t="s">
        <v>661</v>
      </c>
      <c r="B637" s="10" t="s">
        <v>628</v>
      </c>
      <c r="C637" s="10" t="s">
        <v>13</v>
      </c>
      <c r="D637" s="10">
        <v>21</v>
      </c>
    </row>
    <row r="638" spans="1:4">
      <c r="A638" s="10" t="s">
        <v>662</v>
      </c>
      <c r="B638" s="10" t="s">
        <v>650</v>
      </c>
      <c r="C638" s="10" t="s">
        <v>13</v>
      </c>
      <c r="D638" s="10">
        <v>57</v>
      </c>
    </row>
    <row r="639" spans="1:4">
      <c r="A639" s="10" t="s">
        <v>663</v>
      </c>
      <c r="B639" s="10" t="s">
        <v>628</v>
      </c>
      <c r="C639" s="10" t="s">
        <v>13</v>
      </c>
      <c r="D639" s="10">
        <v>25</v>
      </c>
    </row>
    <row r="640" spans="1:4">
      <c r="A640" s="10" t="s">
        <v>664</v>
      </c>
      <c r="B640" s="10" t="s">
        <v>34</v>
      </c>
      <c r="C640" s="10" t="s">
        <v>20</v>
      </c>
      <c r="D640" s="10">
        <v>32</v>
      </c>
    </row>
    <row r="641" spans="1:4">
      <c r="A641" s="10" t="s">
        <v>665</v>
      </c>
      <c r="B641" s="10" t="s">
        <v>34</v>
      </c>
      <c r="C641" s="10" t="s">
        <v>13</v>
      </c>
      <c r="D641" s="10">
        <v>23</v>
      </c>
    </row>
    <row r="642" spans="1:4">
      <c r="A642" s="10" t="s">
        <v>666</v>
      </c>
      <c r="B642" s="10" t="s">
        <v>628</v>
      </c>
      <c r="C642" s="10" t="s">
        <v>13</v>
      </c>
      <c r="D642" s="10">
        <v>28</v>
      </c>
    </row>
    <row r="643" spans="1:4">
      <c r="A643" s="10" t="s">
        <v>667</v>
      </c>
      <c r="B643" s="10" t="s">
        <v>34</v>
      </c>
      <c r="C643" s="10" t="s">
        <v>13</v>
      </c>
      <c r="D643" s="10">
        <v>21</v>
      </c>
    </row>
    <row r="644" spans="1:4">
      <c r="A644" s="10" t="s">
        <v>668</v>
      </c>
      <c r="B644" s="10" t="s">
        <v>650</v>
      </c>
      <c r="C644" s="10" t="s">
        <v>20</v>
      </c>
      <c r="D644" s="10">
        <v>26</v>
      </c>
    </row>
    <row r="645" spans="1:4">
      <c r="A645" s="10" t="s">
        <v>669</v>
      </c>
      <c r="B645" s="10" t="s">
        <v>650</v>
      </c>
      <c r="C645" s="10" t="s">
        <v>13</v>
      </c>
      <c r="D645" s="10">
        <v>28</v>
      </c>
    </row>
    <row r="646" spans="1:4">
      <c r="A646" s="10" t="s">
        <v>670</v>
      </c>
      <c r="B646" s="10" t="s">
        <v>628</v>
      </c>
      <c r="C646" s="10" t="s">
        <v>13</v>
      </c>
      <c r="D646" s="10">
        <v>10</v>
      </c>
    </row>
    <row r="647" spans="1:4">
      <c r="A647" s="10" t="s">
        <v>671</v>
      </c>
      <c r="B647" s="10" t="s">
        <v>628</v>
      </c>
      <c r="C647" s="10" t="s">
        <v>13</v>
      </c>
      <c r="D647" s="10">
        <v>21</v>
      </c>
    </row>
    <row r="648" spans="1:4">
      <c r="A648" s="10" t="s">
        <v>672</v>
      </c>
      <c r="B648" s="10" t="s">
        <v>34</v>
      </c>
      <c r="C648" s="10" t="s">
        <v>20</v>
      </c>
      <c r="D648" s="10">
        <v>56</v>
      </c>
    </row>
    <row r="649" spans="1:4">
      <c r="A649" s="10" t="s">
        <v>673</v>
      </c>
      <c r="B649" s="10" t="s">
        <v>34</v>
      </c>
      <c r="C649" s="10" t="s">
        <v>13</v>
      </c>
      <c r="D649" s="10">
        <v>35</v>
      </c>
    </row>
    <row r="650" spans="1:4">
      <c r="A650" s="10" t="s">
        <v>674</v>
      </c>
      <c r="B650" s="10" t="s">
        <v>650</v>
      </c>
      <c r="C650" s="10" t="s">
        <v>13</v>
      </c>
      <c r="D650" s="10">
        <v>23</v>
      </c>
    </row>
    <row r="651" spans="1:4">
      <c r="A651" s="10" t="s">
        <v>675</v>
      </c>
      <c r="B651" s="10" t="s">
        <v>628</v>
      </c>
      <c r="C651" s="10" t="s">
        <v>13</v>
      </c>
      <c r="D651" s="10">
        <v>14</v>
      </c>
    </row>
    <row r="652" spans="1:4">
      <c r="A652" s="10" t="s">
        <v>676</v>
      </c>
      <c r="B652" s="10" t="s">
        <v>650</v>
      </c>
      <c r="C652" s="10" t="s">
        <v>13</v>
      </c>
      <c r="D652" s="10">
        <v>29</v>
      </c>
    </row>
    <row r="653" spans="1:4" ht="19.5">
      <c r="A653" s="10" t="s">
        <v>677</v>
      </c>
      <c r="B653" s="10" t="s">
        <v>628</v>
      </c>
      <c r="C653" s="11" t="s">
        <v>32</v>
      </c>
      <c r="D653" s="10">
        <v>22</v>
      </c>
    </row>
    <row r="654" spans="1:4">
      <c r="A654" s="10" t="s">
        <v>678</v>
      </c>
      <c r="B654" s="10" t="s">
        <v>34</v>
      </c>
      <c r="C654" s="10" t="s">
        <v>13</v>
      </c>
      <c r="D654" s="10">
        <v>25</v>
      </c>
    </row>
    <row r="655" spans="1:4">
      <c r="A655" s="10" t="s">
        <v>679</v>
      </c>
      <c r="B655" s="10" t="s">
        <v>650</v>
      </c>
      <c r="C655" s="10" t="s">
        <v>13</v>
      </c>
      <c r="D655" s="10">
        <v>44</v>
      </c>
    </row>
    <row r="656" spans="1:4">
      <c r="A656" s="10" t="s">
        <v>680</v>
      </c>
      <c r="B656" s="10" t="s">
        <v>650</v>
      </c>
      <c r="C656" s="10" t="s">
        <v>13</v>
      </c>
      <c r="D656" s="10">
        <v>32</v>
      </c>
    </row>
    <row r="657" spans="1:4">
      <c r="A657" s="10" t="s">
        <v>681</v>
      </c>
      <c r="B657" s="10" t="s">
        <v>628</v>
      </c>
      <c r="C657" s="10" t="s">
        <v>13</v>
      </c>
      <c r="D657" s="10">
        <v>28</v>
      </c>
    </row>
    <row r="658" spans="1:4">
      <c r="A658" s="10" t="s">
        <v>682</v>
      </c>
      <c r="B658" s="10" t="s">
        <v>628</v>
      </c>
      <c r="C658" s="10" t="s">
        <v>13</v>
      </c>
      <c r="D658" s="10">
        <v>17</v>
      </c>
    </row>
    <row r="659" spans="1:4">
      <c r="A659" s="10" t="s">
        <v>683</v>
      </c>
      <c r="B659" s="10" t="s">
        <v>650</v>
      </c>
      <c r="C659" s="10" t="s">
        <v>13</v>
      </c>
      <c r="D659" s="10">
        <v>22</v>
      </c>
    </row>
    <row r="660" spans="1:4">
      <c r="A660" s="10" t="s">
        <v>684</v>
      </c>
      <c r="B660" s="10" t="s">
        <v>650</v>
      </c>
      <c r="C660" s="10" t="s">
        <v>13</v>
      </c>
      <c r="D660" s="10">
        <v>32</v>
      </c>
    </row>
    <row r="661" spans="1:4" ht="19.5">
      <c r="A661" s="10" t="s">
        <v>685</v>
      </c>
      <c r="B661" s="10" t="s">
        <v>628</v>
      </c>
      <c r="C661" s="11" t="s">
        <v>32</v>
      </c>
      <c r="D661" s="10">
        <v>33</v>
      </c>
    </row>
    <row r="662" spans="1:4">
      <c r="A662" s="10" t="s">
        <v>686</v>
      </c>
      <c r="B662" s="10" t="s">
        <v>34</v>
      </c>
      <c r="C662" s="10" t="s">
        <v>13</v>
      </c>
      <c r="D662" s="10">
        <v>18</v>
      </c>
    </row>
    <row r="663" spans="1:4">
      <c r="A663" s="10" t="s">
        <v>687</v>
      </c>
      <c r="B663" s="10" t="s">
        <v>628</v>
      </c>
      <c r="C663" s="10" t="s">
        <v>13</v>
      </c>
      <c r="D663" s="10">
        <v>33</v>
      </c>
    </row>
    <row r="664" spans="1:4">
      <c r="A664" s="10" t="s">
        <v>688</v>
      </c>
      <c r="B664" s="10" t="s">
        <v>650</v>
      </c>
      <c r="C664" s="10" t="s">
        <v>20</v>
      </c>
      <c r="D664" s="10">
        <v>29</v>
      </c>
    </row>
    <row r="665" spans="1:4">
      <c r="A665" s="10" t="s">
        <v>689</v>
      </c>
      <c r="B665" s="10" t="s">
        <v>628</v>
      </c>
      <c r="C665" s="10" t="s">
        <v>13</v>
      </c>
      <c r="D665" s="10">
        <v>36</v>
      </c>
    </row>
    <row r="666" spans="1:4">
      <c r="A666" s="10" t="s">
        <v>690</v>
      </c>
      <c r="B666" s="10" t="s">
        <v>650</v>
      </c>
      <c r="C666" s="10" t="s">
        <v>20</v>
      </c>
      <c r="D666" s="10">
        <v>33</v>
      </c>
    </row>
    <row r="667" spans="1:4">
      <c r="A667" s="10" t="s">
        <v>691</v>
      </c>
      <c r="B667" s="10" t="s">
        <v>650</v>
      </c>
      <c r="C667" s="10" t="s">
        <v>13</v>
      </c>
      <c r="D667" s="10">
        <v>35</v>
      </c>
    </row>
    <row r="668" spans="1:4">
      <c r="A668" s="10" t="s">
        <v>692</v>
      </c>
      <c r="B668" s="10" t="s">
        <v>628</v>
      </c>
      <c r="C668" s="10" t="s">
        <v>13</v>
      </c>
      <c r="D668" s="10">
        <v>27</v>
      </c>
    </row>
    <row r="669" spans="1:4">
      <c r="A669" s="10" t="s">
        <v>693</v>
      </c>
      <c r="B669" s="10" t="s">
        <v>650</v>
      </c>
      <c r="C669" s="10" t="s">
        <v>13</v>
      </c>
      <c r="D669" s="10">
        <v>14</v>
      </c>
    </row>
    <row r="670" spans="1:4">
      <c r="A670" s="10" t="s">
        <v>694</v>
      </c>
      <c r="B670" s="10" t="s">
        <v>650</v>
      </c>
      <c r="C670" s="10" t="s">
        <v>13</v>
      </c>
      <c r="D670" s="10">
        <v>43</v>
      </c>
    </row>
    <row r="671" spans="1:4">
      <c r="A671" s="10" t="s">
        <v>695</v>
      </c>
      <c r="B671" s="10" t="s">
        <v>650</v>
      </c>
      <c r="C671" s="10" t="s">
        <v>20</v>
      </c>
      <c r="D671" s="10">
        <v>42</v>
      </c>
    </row>
    <row r="672" spans="1:4">
      <c r="A672" s="10" t="s">
        <v>696</v>
      </c>
      <c r="B672" s="10" t="s">
        <v>628</v>
      </c>
      <c r="C672" s="10" t="s">
        <v>13</v>
      </c>
      <c r="D672" s="10">
        <v>34</v>
      </c>
    </row>
    <row r="673" spans="1:4">
      <c r="A673" s="10" t="s">
        <v>697</v>
      </c>
      <c r="B673" s="10" t="s">
        <v>650</v>
      </c>
      <c r="C673" s="10" t="s">
        <v>13</v>
      </c>
      <c r="D673" s="10">
        <v>21</v>
      </c>
    </row>
    <row r="674" spans="1:4">
      <c r="A674" s="10" t="s">
        <v>698</v>
      </c>
      <c r="B674" s="10" t="s">
        <v>628</v>
      </c>
      <c r="C674" s="10" t="s">
        <v>16</v>
      </c>
      <c r="D674" s="10">
        <v>14</v>
      </c>
    </row>
    <row r="675" spans="1:4">
      <c r="A675" s="10" t="s">
        <v>699</v>
      </c>
      <c r="B675" s="10" t="s">
        <v>650</v>
      </c>
      <c r="C675" s="10" t="s">
        <v>13</v>
      </c>
      <c r="D675" s="10">
        <v>30</v>
      </c>
    </row>
    <row r="676" spans="1:4">
      <c r="A676" s="10" t="s">
        <v>700</v>
      </c>
      <c r="B676" s="10" t="s">
        <v>628</v>
      </c>
      <c r="C676" s="10" t="s">
        <v>13</v>
      </c>
      <c r="D676" s="10">
        <v>27</v>
      </c>
    </row>
    <row r="677" spans="1:4">
      <c r="A677" s="10" t="s">
        <v>701</v>
      </c>
      <c r="B677" s="10" t="s">
        <v>650</v>
      </c>
      <c r="C677" s="10" t="s">
        <v>13</v>
      </c>
      <c r="D677" s="10">
        <v>25</v>
      </c>
    </row>
    <row r="678" spans="1:4">
      <c r="A678" s="10" t="s">
        <v>702</v>
      </c>
      <c r="B678" s="10" t="s">
        <v>650</v>
      </c>
      <c r="C678" s="10" t="s">
        <v>20</v>
      </c>
      <c r="D678" s="10">
        <v>34</v>
      </c>
    </row>
    <row r="679" spans="1:4">
      <c r="A679" s="10" t="s">
        <v>703</v>
      </c>
      <c r="B679" s="10" t="s">
        <v>650</v>
      </c>
      <c r="C679" s="10" t="s">
        <v>20</v>
      </c>
      <c r="D679" s="10">
        <v>34</v>
      </c>
    </row>
    <row r="680" spans="1:4">
      <c r="A680" s="10" t="s">
        <v>704</v>
      </c>
      <c r="B680" s="10" t="s">
        <v>650</v>
      </c>
      <c r="C680" s="10" t="s">
        <v>13</v>
      </c>
      <c r="D680" s="10">
        <v>55</v>
      </c>
    </row>
    <row r="681" spans="1:4">
      <c r="A681" s="10" t="s">
        <v>705</v>
      </c>
      <c r="B681" s="10" t="s">
        <v>628</v>
      </c>
      <c r="C681" s="10" t="s">
        <v>13</v>
      </c>
      <c r="D681" s="10">
        <v>18</v>
      </c>
    </row>
    <row r="682" spans="1:4">
      <c r="A682" s="10" t="s">
        <v>706</v>
      </c>
      <c r="B682" s="10" t="s">
        <v>628</v>
      </c>
      <c r="C682" s="10" t="s">
        <v>13</v>
      </c>
      <c r="D682" s="10">
        <v>16</v>
      </c>
    </row>
    <row r="683" spans="1:4">
      <c r="A683" s="10" t="s">
        <v>707</v>
      </c>
      <c r="B683" s="10" t="s">
        <v>628</v>
      </c>
      <c r="C683" s="10" t="s">
        <v>20</v>
      </c>
      <c r="D683" s="10">
        <v>19</v>
      </c>
    </row>
  </sheetData>
  <phoneticPr fontId="2"/>
  <conditionalFormatting sqref="F20:H32">
    <cfRule type="colorScale" priority="1">
      <colorScale>
        <cfvo type="min"/>
        <cfvo type="max"/>
        <color rgb="FFFCFCFF"/>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B531-D908-4050-9FC1-ECDD704BF9D8}">
  <dimension ref="A1:H683"/>
  <sheetViews>
    <sheetView topLeftCell="A655" workbookViewId="0">
      <selection activeCell="B1" sqref="B1:C683"/>
    </sheetView>
  </sheetViews>
  <sheetFormatPr defaultColWidth="12.25" defaultRowHeight="18.75"/>
  <cols>
    <col min="1" max="1" width="10.125" style="10" bestFit="1" customWidth="1"/>
    <col min="2" max="2" width="14.625" style="21" bestFit="1" customWidth="1"/>
    <col min="3" max="3" width="12.25" style="10"/>
    <col min="4" max="4" width="7.25" style="10" customWidth="1"/>
    <col min="5" max="16384" width="12.25" style="10"/>
  </cols>
  <sheetData>
    <row r="1" spans="1:5">
      <c r="A1" s="10" t="s">
        <v>3</v>
      </c>
      <c r="B1" s="21" t="s">
        <v>7</v>
      </c>
      <c r="C1" s="10" t="s">
        <v>10</v>
      </c>
    </row>
    <row r="2" spans="1:5">
      <c r="A2" s="10" t="s">
        <v>11</v>
      </c>
      <c r="B2" s="21">
        <v>4.2692590691069485E-4</v>
      </c>
      <c r="C2" s="10">
        <v>22</v>
      </c>
      <c r="E2" s="10" t="s">
        <v>765</v>
      </c>
    </row>
    <row r="3" spans="1:5">
      <c r="A3" s="10" t="s">
        <v>14</v>
      </c>
      <c r="B3" s="21">
        <v>2.9505530959696036E-3</v>
      </c>
      <c r="C3" s="10">
        <v>49</v>
      </c>
    </row>
    <row r="4" spans="1:5">
      <c r="A4" s="10" t="s">
        <v>15</v>
      </c>
      <c r="B4" s="21">
        <v>4.2201445360469389E-3</v>
      </c>
      <c r="C4" s="10">
        <v>19</v>
      </c>
    </row>
    <row r="5" spans="1:5">
      <c r="A5" s="10" t="s">
        <v>17</v>
      </c>
      <c r="B5" s="21">
        <v>3.5404367313607386E-4</v>
      </c>
      <c r="C5" s="10">
        <v>14</v>
      </c>
    </row>
    <row r="6" spans="1:5">
      <c r="A6" s="10" t="s">
        <v>18</v>
      </c>
      <c r="B6" s="21">
        <v>1.3707360375521227E-3</v>
      </c>
      <c r="C6" s="10">
        <v>19</v>
      </c>
    </row>
    <row r="7" spans="1:5">
      <c r="A7" s="10" t="s">
        <v>19</v>
      </c>
      <c r="B7" s="21">
        <v>2.3751749290849417E-3</v>
      </c>
      <c r="C7" s="10">
        <v>25</v>
      </c>
    </row>
    <row r="8" spans="1:5">
      <c r="A8" s="10" t="s">
        <v>21</v>
      </c>
      <c r="B8" s="21">
        <v>1.1394207070318301E-3</v>
      </c>
      <c r="C8" s="10">
        <v>27</v>
      </c>
    </row>
    <row r="9" spans="1:5">
      <c r="A9" s="10" t="s">
        <v>22</v>
      </c>
      <c r="B9" s="21">
        <v>2.4748315353126807E-3</v>
      </c>
      <c r="C9" s="10">
        <v>51</v>
      </c>
    </row>
    <row r="10" spans="1:5">
      <c r="A10" s="10" t="s">
        <v>23</v>
      </c>
      <c r="B10" s="21">
        <v>2.0862080444302299E-3</v>
      </c>
      <c r="C10" s="10">
        <v>33</v>
      </c>
    </row>
    <row r="11" spans="1:5">
      <c r="A11" s="10" t="s">
        <v>24</v>
      </c>
      <c r="B11" s="21">
        <v>1.0456175653593323E-3</v>
      </c>
      <c r="C11" s="10">
        <v>14</v>
      </c>
    </row>
    <row r="12" spans="1:5">
      <c r="A12" s="10" t="s">
        <v>25</v>
      </c>
      <c r="B12" s="21">
        <v>1.2934086414905417E-3</v>
      </c>
      <c r="C12" s="10">
        <v>25</v>
      </c>
    </row>
    <row r="13" spans="1:5">
      <c r="A13" s="10" t="s">
        <v>26</v>
      </c>
      <c r="B13" s="21">
        <v>2.2437389010099575E-3</v>
      </c>
      <c r="C13" s="10">
        <v>34</v>
      </c>
    </row>
    <row r="14" spans="1:5">
      <c r="A14" s="10" t="s">
        <v>27</v>
      </c>
      <c r="B14" s="21">
        <v>1.65056134154929E-3</v>
      </c>
      <c r="C14" s="10">
        <v>21</v>
      </c>
    </row>
    <row r="15" spans="1:5">
      <c r="A15" s="10" t="s">
        <v>28</v>
      </c>
      <c r="B15" s="21">
        <v>1.268554239632496E-3</v>
      </c>
      <c r="C15" s="10">
        <v>26</v>
      </c>
    </row>
    <row r="16" spans="1:5">
      <c r="A16" s="10" t="s">
        <v>29</v>
      </c>
      <c r="B16" s="21">
        <v>1.6889598223240776E-3</v>
      </c>
      <c r="C16" s="10">
        <v>15</v>
      </c>
    </row>
    <row r="17" spans="1:8">
      <c r="A17" s="10" t="s">
        <v>30</v>
      </c>
      <c r="B17" s="21">
        <v>1.0730189986418192E-3</v>
      </c>
      <c r="C17" s="10">
        <v>18</v>
      </c>
    </row>
    <row r="18" spans="1:8">
      <c r="A18" s="10" t="s">
        <v>33</v>
      </c>
      <c r="B18" s="21">
        <v>1.4299549953371517E-3</v>
      </c>
      <c r="C18" s="10">
        <v>26</v>
      </c>
      <c r="E18" s="22"/>
      <c r="F18" s="22"/>
      <c r="G18" s="22"/>
      <c r="H18" s="22"/>
    </row>
    <row r="19" spans="1:8">
      <c r="A19" s="10" t="s">
        <v>35</v>
      </c>
      <c r="B19" s="21">
        <v>1.695018637021452E-3</v>
      </c>
      <c r="C19" s="10">
        <v>23</v>
      </c>
    </row>
    <row r="20" spans="1:8">
      <c r="A20" s="10" t="s">
        <v>36</v>
      </c>
      <c r="B20" s="21">
        <v>5.000370927470835E-4</v>
      </c>
      <c r="C20" s="10">
        <v>21</v>
      </c>
    </row>
    <row r="21" spans="1:8">
      <c r="A21" s="10" t="s">
        <v>38</v>
      </c>
      <c r="B21" s="21">
        <v>1.75568843201344E-3</v>
      </c>
      <c r="C21" s="10">
        <v>36</v>
      </c>
    </row>
    <row r="22" spans="1:8">
      <c r="A22" s="10" t="s">
        <v>40</v>
      </c>
      <c r="B22" s="21">
        <v>1.080098476381605E-3</v>
      </c>
      <c r="C22" s="10">
        <v>24</v>
      </c>
    </row>
    <row r="23" spans="1:8">
      <c r="A23" s="10" t="s">
        <v>41</v>
      </c>
      <c r="B23" s="21">
        <v>7.7436330778253939E-4</v>
      </c>
      <c r="C23" s="10">
        <v>35</v>
      </c>
    </row>
    <row r="24" spans="1:8">
      <c r="A24" s="10" t="s">
        <v>43</v>
      </c>
      <c r="B24" s="21">
        <v>3.6543728024486489E-4</v>
      </c>
      <c r="C24" s="10">
        <v>18</v>
      </c>
    </row>
    <row r="25" spans="1:8">
      <c r="A25" s="10" t="s">
        <v>44</v>
      </c>
      <c r="B25" s="21">
        <v>1.139370416200489E-3</v>
      </c>
      <c r="C25" s="10">
        <v>25</v>
      </c>
    </row>
    <row r="26" spans="1:8">
      <c r="A26" s="10" t="s">
        <v>45</v>
      </c>
      <c r="B26" s="21">
        <v>1.90589103227635E-3</v>
      </c>
      <c r="C26" s="10">
        <v>31</v>
      </c>
    </row>
    <row r="27" spans="1:8">
      <c r="A27" s="10" t="s">
        <v>46</v>
      </c>
      <c r="B27" s="21">
        <v>2.4503253327124806E-3</v>
      </c>
      <c r="C27" s="10">
        <v>33</v>
      </c>
    </row>
    <row r="28" spans="1:8">
      <c r="A28" s="10" t="s">
        <v>47</v>
      </c>
      <c r="B28" s="21">
        <v>5.061177044290774E-4</v>
      </c>
      <c r="C28" s="10">
        <v>15</v>
      </c>
    </row>
    <row r="29" spans="1:8">
      <c r="A29" s="10" t="s">
        <v>48</v>
      </c>
      <c r="B29" s="21">
        <v>5.896401655375239E-4</v>
      </c>
      <c r="C29" s="10">
        <v>24</v>
      </c>
    </row>
    <row r="30" spans="1:8">
      <c r="A30" s="10" t="s">
        <v>49</v>
      </c>
      <c r="B30" s="21">
        <v>1.4506981799446105E-3</v>
      </c>
      <c r="C30" s="10">
        <v>26</v>
      </c>
    </row>
    <row r="31" spans="1:8">
      <c r="A31" s="10" t="s">
        <v>51</v>
      </c>
      <c r="B31" s="21">
        <v>1.9150063838989024E-3</v>
      </c>
      <c r="C31" s="10">
        <v>25</v>
      </c>
    </row>
    <row r="32" spans="1:8">
      <c r="A32" s="10" t="s">
        <v>52</v>
      </c>
      <c r="B32" s="21">
        <v>2.3475377967311201E-3</v>
      </c>
      <c r="C32" s="10">
        <v>30</v>
      </c>
    </row>
    <row r="33" spans="1:3">
      <c r="A33" s="10" t="s">
        <v>53</v>
      </c>
      <c r="B33" s="21">
        <v>6.0939843889785148E-4</v>
      </c>
      <c r="C33" s="10">
        <v>37</v>
      </c>
    </row>
    <row r="34" spans="1:3">
      <c r="A34" s="10" t="s">
        <v>54</v>
      </c>
      <c r="B34" s="21">
        <v>2.0265383765274815E-3</v>
      </c>
      <c r="C34" s="10">
        <v>38</v>
      </c>
    </row>
    <row r="35" spans="1:3">
      <c r="A35" s="10" t="s">
        <v>55</v>
      </c>
      <c r="B35" s="21">
        <v>1.471275994124218E-3</v>
      </c>
      <c r="C35" s="10">
        <v>25</v>
      </c>
    </row>
    <row r="36" spans="1:3">
      <c r="A36" s="10" t="s">
        <v>56</v>
      </c>
      <c r="B36" s="21">
        <v>1.5046305561373834E-3</v>
      </c>
      <c r="C36" s="10">
        <v>17</v>
      </c>
    </row>
    <row r="37" spans="1:3">
      <c r="A37" s="10" t="s">
        <v>57</v>
      </c>
      <c r="B37" s="21">
        <v>4.2651296564895601E-3</v>
      </c>
      <c r="C37" s="10">
        <v>30</v>
      </c>
    </row>
    <row r="38" spans="1:3">
      <c r="A38" s="10" t="s">
        <v>58</v>
      </c>
      <c r="B38" s="21">
        <v>6.4309585632189945E-4</v>
      </c>
      <c r="C38" s="10">
        <v>25</v>
      </c>
    </row>
    <row r="39" spans="1:3">
      <c r="A39" s="10" t="s">
        <v>59</v>
      </c>
      <c r="B39" s="21">
        <v>2.1115205364997647E-3</v>
      </c>
      <c r="C39" s="10">
        <v>24</v>
      </c>
    </row>
    <row r="40" spans="1:3">
      <c r="A40" s="10" t="s">
        <v>60</v>
      </c>
      <c r="B40" s="21">
        <v>1.8760993935935653E-3</v>
      </c>
      <c r="C40" s="10">
        <v>36</v>
      </c>
    </row>
    <row r="41" spans="1:3">
      <c r="A41" s="10" t="s">
        <v>61</v>
      </c>
      <c r="B41" s="21">
        <v>1.8907215483519439E-3</v>
      </c>
      <c r="C41" s="10">
        <v>40</v>
      </c>
    </row>
    <row r="42" spans="1:3">
      <c r="A42" s="10" t="s">
        <v>62</v>
      </c>
      <c r="B42" s="21">
        <v>2.1217121063032327E-3</v>
      </c>
      <c r="C42" s="10">
        <v>37</v>
      </c>
    </row>
    <row r="43" spans="1:3">
      <c r="A43" s="10" t="s">
        <v>63</v>
      </c>
      <c r="B43" s="21">
        <v>2.8521345769411295E-3</v>
      </c>
      <c r="C43" s="10">
        <v>39</v>
      </c>
    </row>
    <row r="44" spans="1:3">
      <c r="A44" s="10" t="s">
        <v>64</v>
      </c>
      <c r="B44" s="21">
        <v>1.1009773674835353E-3</v>
      </c>
      <c r="C44" s="10">
        <v>19</v>
      </c>
    </row>
    <row r="45" spans="1:3">
      <c r="A45" s="10" t="s">
        <v>65</v>
      </c>
      <c r="B45" s="21">
        <v>1.6483681236811897E-3</v>
      </c>
      <c r="C45" s="10">
        <v>19</v>
      </c>
    </row>
    <row r="46" spans="1:3">
      <c r="A46" s="10" t="s">
        <v>66</v>
      </c>
      <c r="B46" s="21">
        <v>1.884697102983731E-3</v>
      </c>
      <c r="C46" s="10">
        <v>33</v>
      </c>
    </row>
    <row r="47" spans="1:3">
      <c r="A47" s="10" t="s">
        <v>67</v>
      </c>
      <c r="B47" s="21">
        <v>2.1782385037017651E-3</v>
      </c>
      <c r="C47" s="10">
        <v>33</v>
      </c>
    </row>
    <row r="48" spans="1:3">
      <c r="A48" s="10" t="s">
        <v>68</v>
      </c>
      <c r="B48" s="21">
        <v>1.4524864152080492E-3</v>
      </c>
      <c r="C48" s="10">
        <v>27</v>
      </c>
    </row>
    <row r="49" spans="1:3">
      <c r="A49" s="10" t="s">
        <v>69</v>
      </c>
      <c r="B49" s="21">
        <v>3.4610937137621541E-4</v>
      </c>
      <c r="C49" s="10">
        <v>23</v>
      </c>
    </row>
    <row r="50" spans="1:3">
      <c r="A50" s="10" t="s">
        <v>70</v>
      </c>
      <c r="B50" s="21">
        <v>8.9222664097469637E-4</v>
      </c>
      <c r="C50" s="10">
        <v>27</v>
      </c>
    </row>
    <row r="51" spans="1:3">
      <c r="A51" s="10" t="s">
        <v>71</v>
      </c>
      <c r="B51" s="21">
        <v>1.8152784945139448E-3</v>
      </c>
      <c r="C51" s="10">
        <v>30</v>
      </c>
    </row>
    <row r="52" spans="1:3">
      <c r="A52" s="10" t="s">
        <v>72</v>
      </c>
      <c r="B52" s="21">
        <v>2.2563940247787742E-3</v>
      </c>
      <c r="C52" s="10">
        <v>42</v>
      </c>
    </row>
    <row r="53" spans="1:3">
      <c r="A53" s="10" t="s">
        <v>73</v>
      </c>
      <c r="B53" s="21">
        <v>1.0598640824486158E-3</v>
      </c>
      <c r="C53" s="10">
        <v>28</v>
      </c>
    </row>
    <row r="54" spans="1:3">
      <c r="A54" s="10" t="s">
        <v>74</v>
      </c>
      <c r="B54" s="21">
        <v>1.4219316729648444E-3</v>
      </c>
      <c r="C54" s="10">
        <v>22</v>
      </c>
    </row>
    <row r="55" spans="1:3">
      <c r="A55" s="10" t="s">
        <v>75</v>
      </c>
      <c r="B55" s="21">
        <v>1.6459847324278068E-3</v>
      </c>
      <c r="C55" s="10">
        <v>29</v>
      </c>
    </row>
    <row r="56" spans="1:3">
      <c r="A56" s="10" t="s">
        <v>76</v>
      </c>
      <c r="B56" s="21">
        <v>1.8075703049277509E-3</v>
      </c>
      <c r="C56" s="10">
        <v>33</v>
      </c>
    </row>
    <row r="57" spans="1:3">
      <c r="A57" s="10" t="s">
        <v>77</v>
      </c>
      <c r="B57" s="21">
        <v>6.2278300003531118E-4</v>
      </c>
      <c r="C57" s="10">
        <v>16</v>
      </c>
    </row>
    <row r="58" spans="1:3">
      <c r="A58" s="10" t="s">
        <v>78</v>
      </c>
      <c r="B58" s="21">
        <v>2.9855096039994302E-3</v>
      </c>
      <c r="C58" s="10">
        <v>35</v>
      </c>
    </row>
    <row r="59" spans="1:3">
      <c r="A59" s="10" t="s">
        <v>79</v>
      </c>
      <c r="B59" s="21">
        <v>1.2910990357404882E-3</v>
      </c>
      <c r="C59" s="10">
        <v>24</v>
      </c>
    </row>
    <row r="60" spans="1:3">
      <c r="A60" s="10" t="s">
        <v>80</v>
      </c>
      <c r="B60" s="21">
        <v>1.8401442762877706E-3</v>
      </c>
      <c r="C60" s="10">
        <v>31</v>
      </c>
    </row>
    <row r="61" spans="1:3">
      <c r="A61" s="10" t="s">
        <v>81</v>
      </c>
      <c r="B61" s="21">
        <v>1.9427476304190968E-3</v>
      </c>
      <c r="C61" s="10">
        <v>38</v>
      </c>
    </row>
    <row r="62" spans="1:3">
      <c r="A62" s="10" t="s">
        <v>82</v>
      </c>
      <c r="B62" s="21">
        <v>1.1709065184826036E-3</v>
      </c>
      <c r="C62" s="10">
        <v>26</v>
      </c>
    </row>
    <row r="63" spans="1:3">
      <c r="A63" s="10" t="s">
        <v>83</v>
      </c>
      <c r="B63" s="21">
        <v>9.8859371177487977E-4</v>
      </c>
      <c r="C63" s="10">
        <v>16</v>
      </c>
    </row>
    <row r="64" spans="1:3">
      <c r="A64" s="10" t="s">
        <v>84</v>
      </c>
      <c r="B64" s="21">
        <v>1.0349331516544486E-3</v>
      </c>
      <c r="C64" s="10">
        <v>18</v>
      </c>
    </row>
    <row r="65" spans="1:3">
      <c r="A65" s="10" t="s">
        <v>85</v>
      </c>
      <c r="B65" s="21">
        <v>1.9346922064213145E-3</v>
      </c>
      <c r="C65" s="10">
        <v>21</v>
      </c>
    </row>
    <row r="66" spans="1:3">
      <c r="A66" s="10" t="s">
        <v>86</v>
      </c>
      <c r="B66" s="21">
        <v>1.4234438063633569E-3</v>
      </c>
      <c r="C66" s="10">
        <v>19</v>
      </c>
    </row>
    <row r="67" spans="1:3">
      <c r="A67" s="10" t="s">
        <v>87</v>
      </c>
      <c r="B67" s="21">
        <v>9.3981656517807459E-4</v>
      </c>
      <c r="C67" s="10">
        <v>32</v>
      </c>
    </row>
    <row r="68" spans="1:3">
      <c r="A68" s="10" t="s">
        <v>88</v>
      </c>
      <c r="B68" s="21">
        <v>1.4557219738284097E-3</v>
      </c>
      <c r="C68" s="10">
        <v>28</v>
      </c>
    </row>
    <row r="69" spans="1:3">
      <c r="A69" s="10" t="s">
        <v>89</v>
      </c>
      <c r="B69" s="21">
        <v>2.6993255337543496E-3</v>
      </c>
      <c r="C69" s="10">
        <v>46</v>
      </c>
    </row>
    <row r="70" spans="1:3">
      <c r="A70" s="10" t="s">
        <v>90</v>
      </c>
      <c r="B70" s="21">
        <v>1.151243488960453E-3</v>
      </c>
      <c r="C70" s="10">
        <v>22</v>
      </c>
    </row>
    <row r="71" spans="1:3">
      <c r="A71" s="10" t="s">
        <v>91</v>
      </c>
      <c r="B71" s="21">
        <v>3.5951551190253049E-4</v>
      </c>
      <c r="C71" s="10">
        <v>16</v>
      </c>
    </row>
    <row r="72" spans="1:3">
      <c r="A72" s="10" t="s">
        <v>92</v>
      </c>
      <c r="B72" s="21">
        <v>2.2414281809721306E-4</v>
      </c>
      <c r="C72" s="10">
        <v>26</v>
      </c>
    </row>
    <row r="73" spans="1:3">
      <c r="A73" s="10" t="s">
        <v>93</v>
      </c>
      <c r="B73" s="21">
        <v>1.8884167134048657E-3</v>
      </c>
      <c r="C73" s="10">
        <v>37</v>
      </c>
    </row>
    <row r="74" spans="1:3">
      <c r="A74" s="10" t="s">
        <v>94</v>
      </c>
      <c r="B74" s="21">
        <v>1.1284479740524009E-3</v>
      </c>
      <c r="C74" s="10">
        <v>32</v>
      </c>
    </row>
    <row r="75" spans="1:3">
      <c r="A75" s="10" t="s">
        <v>95</v>
      </c>
      <c r="B75" s="21">
        <v>1.7132106167596364E-3</v>
      </c>
      <c r="C75" s="10">
        <v>46</v>
      </c>
    </row>
    <row r="76" spans="1:3">
      <c r="A76" s="10" t="s">
        <v>96</v>
      </c>
      <c r="B76" s="21">
        <v>2.9265900039130127E-4</v>
      </c>
      <c r="C76" s="10">
        <v>20</v>
      </c>
    </row>
    <row r="77" spans="1:3">
      <c r="A77" s="10" t="s">
        <v>97</v>
      </c>
      <c r="B77" s="21">
        <v>1.4607629280686642E-3</v>
      </c>
      <c r="C77" s="10">
        <v>45</v>
      </c>
    </row>
    <row r="78" spans="1:3">
      <c r="A78" s="10" t="s">
        <v>98</v>
      </c>
      <c r="B78" s="21">
        <v>1.9317007556083406E-4</v>
      </c>
      <c r="C78" s="10">
        <v>34</v>
      </c>
    </row>
    <row r="79" spans="1:3">
      <c r="A79" s="10" t="s">
        <v>99</v>
      </c>
      <c r="B79" s="21">
        <v>1.6017775407853412E-3</v>
      </c>
      <c r="C79" s="10">
        <v>30</v>
      </c>
    </row>
    <row r="80" spans="1:3">
      <c r="A80" s="10" t="s">
        <v>100</v>
      </c>
      <c r="B80" s="21">
        <v>6.9934531102609776E-4</v>
      </c>
      <c r="C80" s="10">
        <v>19</v>
      </c>
    </row>
    <row r="81" spans="1:3">
      <c r="A81" s="10" t="s">
        <v>101</v>
      </c>
      <c r="B81" s="21">
        <v>9.6469355869245371E-4</v>
      </c>
      <c r="C81" s="10">
        <v>24</v>
      </c>
    </row>
    <row r="82" spans="1:3">
      <c r="A82" s="10" t="s">
        <v>102</v>
      </c>
      <c r="B82" s="21">
        <v>3.4990045853267401E-4</v>
      </c>
      <c r="C82" s="10">
        <v>11</v>
      </c>
    </row>
    <row r="83" spans="1:3">
      <c r="A83" s="10" t="s">
        <v>103</v>
      </c>
      <c r="B83" s="21">
        <v>2.1805598363222509E-3</v>
      </c>
      <c r="C83" s="10">
        <v>33</v>
      </c>
    </row>
    <row r="84" spans="1:3">
      <c r="A84" s="10" t="s">
        <v>104</v>
      </c>
      <c r="B84" s="21">
        <v>3.1637849816631645E-5</v>
      </c>
      <c r="C84" s="10">
        <v>21</v>
      </c>
    </row>
    <row r="85" spans="1:3">
      <c r="A85" s="10" t="s">
        <v>105</v>
      </c>
      <c r="B85" s="21">
        <v>2.1554105081547318E-3</v>
      </c>
      <c r="C85" s="10">
        <v>42</v>
      </c>
    </row>
    <row r="86" spans="1:3">
      <c r="A86" s="10" t="s">
        <v>106</v>
      </c>
      <c r="B86" s="21">
        <v>1.1360561773400694E-3</v>
      </c>
      <c r="C86" s="10">
        <v>27</v>
      </c>
    </row>
    <row r="87" spans="1:3">
      <c r="A87" s="10" t="s">
        <v>107</v>
      </c>
      <c r="B87" s="21">
        <v>1.7974422909534718E-3</v>
      </c>
      <c r="C87" s="10">
        <v>27</v>
      </c>
    </row>
    <row r="88" spans="1:3">
      <c r="A88" s="10" t="s">
        <v>108</v>
      </c>
      <c r="B88" s="21">
        <v>1.2817722431836917E-3</v>
      </c>
      <c r="C88" s="10">
        <v>18</v>
      </c>
    </row>
    <row r="89" spans="1:3">
      <c r="A89" s="10" t="s">
        <v>109</v>
      </c>
      <c r="B89" s="21">
        <v>1.6138737946756101E-3</v>
      </c>
      <c r="C89" s="10">
        <v>30</v>
      </c>
    </row>
    <row r="90" spans="1:3">
      <c r="A90" s="10" t="s">
        <v>110</v>
      </c>
      <c r="B90" s="21">
        <v>9.6832427680536607E-4</v>
      </c>
      <c r="C90" s="10">
        <v>18</v>
      </c>
    </row>
    <row r="91" spans="1:3">
      <c r="A91" s="10" t="s">
        <v>111</v>
      </c>
      <c r="B91" s="21">
        <v>2.4246517841870229E-3</v>
      </c>
      <c r="C91" s="10">
        <v>20</v>
      </c>
    </row>
    <row r="92" spans="1:3">
      <c r="A92" s="10" t="s">
        <v>112</v>
      </c>
      <c r="B92" s="21">
        <v>8.5151540160047787E-4</v>
      </c>
      <c r="C92" s="10">
        <v>26</v>
      </c>
    </row>
    <row r="93" spans="1:3">
      <c r="A93" s="10" t="s">
        <v>113</v>
      </c>
      <c r="B93" s="21">
        <v>2.0700476752190679E-3</v>
      </c>
      <c r="C93" s="10">
        <v>19</v>
      </c>
    </row>
    <row r="94" spans="1:3">
      <c r="A94" s="10" t="s">
        <v>114</v>
      </c>
      <c r="B94" s="21">
        <v>8.9976056235005345E-4</v>
      </c>
      <c r="C94" s="10">
        <v>26</v>
      </c>
    </row>
    <row r="95" spans="1:3">
      <c r="A95" s="10" t="s">
        <v>115</v>
      </c>
      <c r="B95" s="21">
        <v>7.3044533476093434E-5</v>
      </c>
      <c r="C95" s="10">
        <v>23</v>
      </c>
    </row>
    <row r="96" spans="1:3">
      <c r="A96" s="10" t="s">
        <v>116</v>
      </c>
      <c r="B96" s="21">
        <v>4.1827968917177854E-4</v>
      </c>
      <c r="C96" s="10">
        <v>20</v>
      </c>
    </row>
    <row r="97" spans="1:3">
      <c r="A97" s="10" t="s">
        <v>117</v>
      </c>
      <c r="B97" s="21">
        <v>1.2168857172278607E-3</v>
      </c>
      <c r="C97" s="10">
        <v>17</v>
      </c>
    </row>
    <row r="98" spans="1:3">
      <c r="A98" s="10" t="s">
        <v>118</v>
      </c>
      <c r="B98" s="21">
        <v>6.0195177066665797E-4</v>
      </c>
      <c r="C98" s="10">
        <v>15</v>
      </c>
    </row>
    <row r="99" spans="1:3">
      <c r="A99" s="10" t="s">
        <v>119</v>
      </c>
      <c r="B99" s="21">
        <v>1.7956007324524416E-3</v>
      </c>
      <c r="C99" s="10">
        <v>39</v>
      </c>
    </row>
    <row r="100" spans="1:3">
      <c r="A100" s="10" t="s">
        <v>120</v>
      </c>
      <c r="B100" s="21">
        <v>1.6508306826683776E-3</v>
      </c>
      <c r="C100" s="10">
        <v>30</v>
      </c>
    </row>
    <row r="101" spans="1:3">
      <c r="A101" s="10" t="s">
        <v>121</v>
      </c>
      <c r="B101" s="21">
        <v>2.0822461568619837E-3</v>
      </c>
      <c r="C101" s="10">
        <v>37</v>
      </c>
    </row>
    <row r="102" spans="1:3">
      <c r="A102" s="10" t="s">
        <v>122</v>
      </c>
      <c r="B102" s="21">
        <v>1.9397613293176807E-3</v>
      </c>
      <c r="C102" s="10">
        <v>31</v>
      </c>
    </row>
    <row r="103" spans="1:3">
      <c r="A103" s="10" t="s">
        <v>123</v>
      </c>
      <c r="B103" s="21">
        <v>1.0288350759240404E-3</v>
      </c>
      <c r="C103" s="10">
        <v>15</v>
      </c>
    </row>
    <row r="104" spans="1:3">
      <c r="A104" s="10" t="s">
        <v>124</v>
      </c>
      <c r="B104" s="21">
        <v>6.0359803963039521E-4</v>
      </c>
      <c r="C104" s="10">
        <v>33</v>
      </c>
    </row>
    <row r="105" spans="1:3">
      <c r="A105" s="10" t="s">
        <v>125</v>
      </c>
      <c r="B105" s="21">
        <v>1.3058085694423688E-3</v>
      </c>
      <c r="C105" s="10">
        <v>32</v>
      </c>
    </row>
    <row r="106" spans="1:3">
      <c r="A106" s="10" t="s">
        <v>126</v>
      </c>
      <c r="B106" s="21">
        <v>1.7752611741431712E-3</v>
      </c>
      <c r="C106" s="10">
        <v>33</v>
      </c>
    </row>
    <row r="107" spans="1:3">
      <c r="A107" s="10" t="s">
        <v>127</v>
      </c>
      <c r="B107" s="21">
        <v>1.726233175473687E-5</v>
      </c>
      <c r="C107" s="10">
        <v>24</v>
      </c>
    </row>
    <row r="108" spans="1:3">
      <c r="A108" s="10" t="s">
        <v>128</v>
      </c>
      <c r="B108" s="21">
        <v>1.2149359774641778E-3</v>
      </c>
      <c r="C108" s="10">
        <v>25</v>
      </c>
    </row>
    <row r="109" spans="1:3">
      <c r="A109" s="10" t="s">
        <v>129</v>
      </c>
      <c r="B109" s="21">
        <v>1.3752687591461925E-3</v>
      </c>
      <c r="C109" s="10">
        <v>23</v>
      </c>
    </row>
    <row r="110" spans="1:3">
      <c r="A110" s="10" t="s">
        <v>130</v>
      </c>
      <c r="B110" s="21">
        <v>1.5384416578740198E-3</v>
      </c>
      <c r="C110" s="10">
        <v>27</v>
      </c>
    </row>
    <row r="111" spans="1:3">
      <c r="A111" s="10" t="s">
        <v>131</v>
      </c>
      <c r="B111" s="21">
        <v>3.5043090281708131E-3</v>
      </c>
      <c r="C111" s="10">
        <v>33</v>
      </c>
    </row>
    <row r="112" spans="1:3">
      <c r="A112" s="10" t="s">
        <v>132</v>
      </c>
      <c r="B112" s="21">
        <v>5.5939919082352194E-4</v>
      </c>
      <c r="C112" s="10">
        <v>11</v>
      </c>
    </row>
    <row r="113" spans="1:3">
      <c r="A113" s="10" t="s">
        <v>133</v>
      </c>
      <c r="B113" s="21">
        <v>5.6056227225888917E-4</v>
      </c>
      <c r="C113" s="10">
        <v>11</v>
      </c>
    </row>
    <row r="114" spans="1:3">
      <c r="A114" s="10" t="s">
        <v>134</v>
      </c>
      <c r="B114" s="21">
        <v>1.1738697741306139E-3</v>
      </c>
      <c r="C114" s="10">
        <v>29</v>
      </c>
    </row>
    <row r="115" spans="1:3">
      <c r="A115" s="10" t="s">
        <v>135</v>
      </c>
      <c r="B115" s="21">
        <v>1.4199989795998236E-3</v>
      </c>
      <c r="C115" s="10">
        <v>38</v>
      </c>
    </row>
    <row r="116" spans="1:3">
      <c r="A116" s="10" t="s">
        <v>136</v>
      </c>
      <c r="B116" s="21">
        <v>1.3980157387597099E-3</v>
      </c>
      <c r="C116" s="10">
        <v>26</v>
      </c>
    </row>
    <row r="117" spans="1:3">
      <c r="A117" s="10" t="s">
        <v>137</v>
      </c>
      <c r="B117" s="21">
        <v>1.3843186111607169E-3</v>
      </c>
      <c r="C117" s="10">
        <v>36</v>
      </c>
    </row>
    <row r="118" spans="1:3">
      <c r="A118" s="10" t="s">
        <v>138</v>
      </c>
      <c r="B118" s="21">
        <v>2.4408145598149031E-3</v>
      </c>
      <c r="C118" s="10">
        <v>32</v>
      </c>
    </row>
    <row r="119" spans="1:3">
      <c r="A119" s="10" t="s">
        <v>139</v>
      </c>
      <c r="B119" s="21">
        <v>6.9934531102609776E-4</v>
      </c>
      <c r="C119" s="10">
        <v>18</v>
      </c>
    </row>
    <row r="120" spans="1:3">
      <c r="A120" s="10" t="s">
        <v>140</v>
      </c>
      <c r="B120" s="21">
        <v>1.0694937802934181E-3</v>
      </c>
      <c r="C120" s="10">
        <v>21</v>
      </c>
    </row>
    <row r="121" spans="1:3">
      <c r="A121" s="10" t="s">
        <v>141</v>
      </c>
      <c r="B121" s="21">
        <v>7.8202804054170339E-4</v>
      </c>
      <c r="C121" s="10">
        <v>12</v>
      </c>
    </row>
    <row r="122" spans="1:3">
      <c r="A122" s="10" t="s">
        <v>142</v>
      </c>
      <c r="B122" s="21">
        <v>1.1111139440227377E-3</v>
      </c>
      <c r="C122" s="10">
        <v>12</v>
      </c>
    </row>
    <row r="123" spans="1:3">
      <c r="A123" s="10" t="s">
        <v>143</v>
      </c>
      <c r="B123" s="21">
        <v>2.3271164127271911E-3</v>
      </c>
      <c r="C123" s="10">
        <v>32</v>
      </c>
    </row>
    <row r="124" spans="1:3">
      <c r="A124" s="10" t="s">
        <v>144</v>
      </c>
      <c r="B124" s="21">
        <v>6.6468292393004401E-4</v>
      </c>
      <c r="C124" s="10">
        <v>23</v>
      </c>
    </row>
    <row r="125" spans="1:3">
      <c r="A125" s="10" t="s">
        <v>145</v>
      </c>
      <c r="B125" s="21">
        <v>1.3049739770765653E-3</v>
      </c>
      <c r="C125" s="10">
        <v>26</v>
      </c>
    </row>
    <row r="126" spans="1:3">
      <c r="A126" s="10" t="s">
        <v>146</v>
      </c>
      <c r="B126" s="21">
        <v>1.1383366508754384E-3</v>
      </c>
      <c r="C126" s="10">
        <v>30</v>
      </c>
    </row>
    <row r="127" spans="1:3">
      <c r="A127" s="10" t="s">
        <v>147</v>
      </c>
      <c r="B127" s="21">
        <v>4.5431831788881206E-4</v>
      </c>
      <c r="C127" s="10">
        <v>13</v>
      </c>
    </row>
    <row r="128" spans="1:3">
      <c r="A128" s="10" t="s">
        <v>148</v>
      </c>
      <c r="B128" s="21">
        <v>8.6073269049365879E-4</v>
      </c>
      <c r="C128" s="10">
        <v>16</v>
      </c>
    </row>
    <row r="129" spans="1:3">
      <c r="A129" s="10" t="s">
        <v>150</v>
      </c>
      <c r="B129" s="21">
        <v>1.7046086681320625E-3</v>
      </c>
      <c r="C129" s="10">
        <v>34</v>
      </c>
    </row>
    <row r="130" spans="1:3">
      <c r="A130" s="10" t="s">
        <v>151</v>
      </c>
      <c r="B130" s="21">
        <v>1.5280480207957995E-3</v>
      </c>
      <c r="C130" s="10">
        <v>32</v>
      </c>
    </row>
    <row r="131" spans="1:3">
      <c r="A131" s="10" t="s">
        <v>152</v>
      </c>
      <c r="B131" s="21">
        <v>1.2140523811084299E-4</v>
      </c>
      <c r="C131" s="10">
        <v>31</v>
      </c>
    </row>
    <row r="132" spans="1:3">
      <c r="A132" s="10" t="s">
        <v>153</v>
      </c>
      <c r="B132" s="21">
        <v>1.680106095879548E-3</v>
      </c>
      <c r="C132" s="10">
        <v>36</v>
      </c>
    </row>
    <row r="133" spans="1:3">
      <c r="A133" s="10" t="s">
        <v>154</v>
      </c>
      <c r="B133" s="21">
        <v>8.9523597722120725E-4</v>
      </c>
      <c r="C133" s="10">
        <v>48</v>
      </c>
    </row>
    <row r="134" spans="1:3">
      <c r="A134" s="10" t="s">
        <v>155</v>
      </c>
      <c r="B134" s="21">
        <v>1.9887495992869713E-3</v>
      </c>
      <c r="C134" s="10">
        <v>23</v>
      </c>
    </row>
    <row r="135" spans="1:3">
      <c r="A135" s="10" t="s">
        <v>156</v>
      </c>
      <c r="B135" s="21">
        <v>1.7434486106339799E-3</v>
      </c>
      <c r="C135" s="10">
        <v>24</v>
      </c>
    </row>
    <row r="136" spans="1:3">
      <c r="A136" s="10" t="s">
        <v>157</v>
      </c>
      <c r="B136" s="21">
        <v>2.5496038288709672E-3</v>
      </c>
      <c r="C136" s="10">
        <v>41</v>
      </c>
    </row>
    <row r="137" spans="1:3">
      <c r="A137" s="10" t="s">
        <v>158</v>
      </c>
      <c r="B137" s="21">
        <v>9.5030675693243052E-4</v>
      </c>
      <c r="C137" s="10">
        <v>20</v>
      </c>
    </row>
    <row r="138" spans="1:3">
      <c r="A138" s="10" t="s">
        <v>159</v>
      </c>
      <c r="B138" s="21">
        <v>7.9108048010407953E-4</v>
      </c>
      <c r="C138" s="10">
        <v>24</v>
      </c>
    </row>
    <row r="139" spans="1:3">
      <c r="A139" s="10" t="s">
        <v>160</v>
      </c>
      <c r="B139" s="21">
        <v>9.4309990590535733E-4</v>
      </c>
      <c r="C139" s="10">
        <v>20</v>
      </c>
    </row>
    <row r="140" spans="1:3">
      <c r="A140" s="10" t="s">
        <v>161</v>
      </c>
      <c r="B140" s="21">
        <v>6.5718742606757244E-4</v>
      </c>
      <c r="C140" s="10">
        <v>19</v>
      </c>
    </row>
    <row r="141" spans="1:3">
      <c r="A141" s="10" t="s">
        <v>162</v>
      </c>
      <c r="B141" s="21">
        <v>1.1291694187913811E-3</v>
      </c>
      <c r="C141" s="10">
        <v>24</v>
      </c>
    </row>
    <row r="142" spans="1:3">
      <c r="A142" s="10" t="s">
        <v>163</v>
      </c>
      <c r="B142" s="21">
        <v>5.5849895844890861E-4</v>
      </c>
      <c r="C142" s="10">
        <v>20</v>
      </c>
    </row>
    <row r="143" spans="1:3">
      <c r="A143" s="10" t="s">
        <v>164</v>
      </c>
      <c r="B143" s="21">
        <v>1.1131606727540996E-3</v>
      </c>
      <c r="C143" s="10">
        <v>32</v>
      </c>
    </row>
    <row r="144" spans="1:3">
      <c r="A144" s="10" t="s">
        <v>165</v>
      </c>
      <c r="B144" s="21">
        <v>7.7639477694082843E-4</v>
      </c>
      <c r="C144" s="10">
        <v>32</v>
      </c>
    </row>
    <row r="145" spans="1:3">
      <c r="A145" s="10" t="s">
        <v>166</v>
      </c>
      <c r="B145" s="21">
        <v>6.5410322568673206E-4</v>
      </c>
      <c r="C145" s="10">
        <v>12</v>
      </c>
    </row>
    <row r="146" spans="1:3">
      <c r="A146" s="10" t="s">
        <v>167</v>
      </c>
      <c r="B146" s="21">
        <v>1.1094345358432253E-3</v>
      </c>
      <c r="C146" s="10">
        <v>25</v>
      </c>
    </row>
    <row r="147" spans="1:3">
      <c r="A147" s="10" t="s">
        <v>168</v>
      </c>
      <c r="B147" s="21">
        <v>6.029925448822268E-4</v>
      </c>
      <c r="C147" s="10">
        <v>10</v>
      </c>
    </row>
    <row r="148" spans="1:3">
      <c r="A148" s="10" t="s">
        <v>169</v>
      </c>
      <c r="B148" s="21">
        <v>2.6615175942868614E-3</v>
      </c>
      <c r="C148" s="10">
        <v>39</v>
      </c>
    </row>
    <row r="149" spans="1:3">
      <c r="A149" s="10" t="s">
        <v>170</v>
      </c>
      <c r="B149" s="21">
        <v>4.3894216085486179E-3</v>
      </c>
      <c r="C149" s="10">
        <v>43</v>
      </c>
    </row>
    <row r="150" spans="1:3">
      <c r="A150" s="10" t="s">
        <v>171</v>
      </c>
      <c r="B150" s="21">
        <v>1.2100232602440327E-3</v>
      </c>
      <c r="C150" s="10">
        <v>20</v>
      </c>
    </row>
    <row r="151" spans="1:3">
      <c r="A151" s="10" t="s">
        <v>172</v>
      </c>
      <c r="B151" s="21">
        <v>1.0518671806877863E-3</v>
      </c>
      <c r="C151" s="10">
        <v>16</v>
      </c>
    </row>
    <row r="152" spans="1:3">
      <c r="A152" s="10" t="s">
        <v>173</v>
      </c>
      <c r="B152" s="21">
        <v>1.8722030553948823E-3</v>
      </c>
      <c r="C152" s="10">
        <v>41</v>
      </c>
    </row>
    <row r="153" spans="1:3">
      <c r="A153" s="10" t="s">
        <v>174</v>
      </c>
      <c r="B153" s="21">
        <v>1.5687920659409377E-3</v>
      </c>
      <c r="C153" s="10">
        <v>30</v>
      </c>
    </row>
    <row r="154" spans="1:3">
      <c r="A154" s="10" t="s">
        <v>175</v>
      </c>
      <c r="B154" s="21">
        <v>2.6897896577926838E-3</v>
      </c>
      <c r="C154" s="10">
        <v>50</v>
      </c>
    </row>
    <row r="155" spans="1:3">
      <c r="A155" s="10" t="s">
        <v>176</v>
      </c>
      <c r="B155" s="21">
        <v>2.2669060074283556E-3</v>
      </c>
      <c r="C155" s="10">
        <v>53</v>
      </c>
    </row>
    <row r="156" spans="1:3">
      <c r="A156" s="10" t="s">
        <v>177</v>
      </c>
      <c r="B156" s="21">
        <v>1.2613570553457083E-3</v>
      </c>
      <c r="C156" s="10">
        <v>32</v>
      </c>
    </row>
    <row r="157" spans="1:3">
      <c r="A157" s="10" t="s">
        <v>178</v>
      </c>
      <c r="B157" s="21">
        <v>9.1047632360431122E-4</v>
      </c>
      <c r="C157" s="10">
        <v>35</v>
      </c>
    </row>
    <row r="158" spans="1:3">
      <c r="A158" s="10" t="s">
        <v>179</v>
      </c>
      <c r="B158" s="21">
        <v>1.5600780015197564E-3</v>
      </c>
      <c r="C158" s="10">
        <v>29</v>
      </c>
    </row>
    <row r="159" spans="1:3">
      <c r="A159" s="10" t="s">
        <v>180</v>
      </c>
      <c r="B159" s="21">
        <v>1.3573867103870031E-3</v>
      </c>
      <c r="C159" s="10">
        <v>26</v>
      </c>
    </row>
    <row r="160" spans="1:3">
      <c r="A160" s="10" t="s">
        <v>181</v>
      </c>
      <c r="B160" s="21">
        <v>1.2259151222698138E-3</v>
      </c>
      <c r="C160" s="10">
        <v>22</v>
      </c>
    </row>
    <row r="161" spans="1:3">
      <c r="A161" s="10" t="s">
        <v>182</v>
      </c>
      <c r="B161" s="21">
        <v>1.7521691012104188E-3</v>
      </c>
      <c r="C161" s="10">
        <v>23</v>
      </c>
    </row>
    <row r="162" spans="1:3">
      <c r="A162" s="10" t="s">
        <v>183</v>
      </c>
      <c r="B162" s="21">
        <v>2.8098144910986265E-3</v>
      </c>
      <c r="C162" s="10">
        <v>52</v>
      </c>
    </row>
    <row r="163" spans="1:3">
      <c r="A163" s="10" t="s">
        <v>184</v>
      </c>
      <c r="B163" s="21">
        <v>5.7510006836440262E-4</v>
      </c>
      <c r="C163" s="10">
        <v>24</v>
      </c>
    </row>
    <row r="164" spans="1:3">
      <c r="A164" s="10" t="s">
        <v>185</v>
      </c>
      <c r="B164" s="21">
        <v>1.949578872566918E-3</v>
      </c>
      <c r="C164" s="10">
        <v>42</v>
      </c>
    </row>
    <row r="165" spans="1:3">
      <c r="A165" s="10" t="s">
        <v>186</v>
      </c>
      <c r="B165" s="21">
        <v>1.5127848724946942E-3</v>
      </c>
      <c r="C165" s="10">
        <v>36</v>
      </c>
    </row>
    <row r="166" spans="1:3">
      <c r="A166" s="10" t="s">
        <v>187</v>
      </c>
      <c r="B166" s="21">
        <v>9.5366080222933141E-4</v>
      </c>
      <c r="C166" s="10">
        <v>16</v>
      </c>
    </row>
    <row r="167" spans="1:3">
      <c r="A167" s="10" t="s">
        <v>188</v>
      </c>
      <c r="B167" s="21">
        <v>1.3986906220521955E-3</v>
      </c>
      <c r="C167" s="10">
        <v>26</v>
      </c>
    </row>
    <row r="168" spans="1:3">
      <c r="A168" s="10" t="s">
        <v>189</v>
      </c>
      <c r="B168" s="21">
        <v>1.1278385558911805E-3</v>
      </c>
      <c r="C168" s="10">
        <v>28</v>
      </c>
    </row>
    <row r="169" spans="1:3">
      <c r="A169" s="10" t="s">
        <v>190</v>
      </c>
      <c r="B169" s="21">
        <v>9.3975429933507485E-4</v>
      </c>
      <c r="C169" s="10">
        <v>22</v>
      </c>
    </row>
    <row r="170" spans="1:3">
      <c r="A170" s="10" t="s">
        <v>191</v>
      </c>
      <c r="B170" s="21">
        <v>1.6138737946756101E-3</v>
      </c>
      <c r="C170" s="10">
        <v>36</v>
      </c>
    </row>
    <row r="171" spans="1:3">
      <c r="A171" s="10" t="s">
        <v>192</v>
      </c>
      <c r="B171" s="21">
        <v>1.0737157765157684E-3</v>
      </c>
      <c r="C171" s="10">
        <v>25</v>
      </c>
    </row>
    <row r="172" spans="1:3">
      <c r="A172" s="10" t="s">
        <v>193</v>
      </c>
      <c r="B172" s="21">
        <v>7.5788330905871525E-4</v>
      </c>
      <c r="C172" s="10">
        <v>17</v>
      </c>
    </row>
    <row r="173" spans="1:3">
      <c r="A173" s="10" t="s">
        <v>194</v>
      </c>
      <c r="B173" s="21">
        <v>3.1557662680345793E-3</v>
      </c>
      <c r="C173" s="10">
        <v>27</v>
      </c>
    </row>
    <row r="174" spans="1:3">
      <c r="A174" s="10" t="s">
        <v>195</v>
      </c>
      <c r="B174" s="21">
        <v>1.5499482857005424E-3</v>
      </c>
      <c r="C174" s="10">
        <v>31</v>
      </c>
    </row>
    <row r="175" spans="1:3">
      <c r="A175" s="10" t="s">
        <v>196</v>
      </c>
      <c r="B175" s="21">
        <v>1.2884322588682128E-3</v>
      </c>
      <c r="C175" s="10">
        <v>28</v>
      </c>
    </row>
    <row r="176" spans="1:3">
      <c r="A176" s="10" t="s">
        <v>197</v>
      </c>
      <c r="B176" s="21">
        <v>2.083003798488782E-3</v>
      </c>
      <c r="C176" s="10">
        <v>41</v>
      </c>
    </row>
    <row r="177" spans="1:3">
      <c r="A177" s="10" t="s">
        <v>198</v>
      </c>
      <c r="B177" s="21">
        <v>1.9448441041120492E-4</v>
      </c>
      <c r="C177" s="10">
        <v>18</v>
      </c>
    </row>
    <row r="178" spans="1:3">
      <c r="A178" s="10" t="s">
        <v>199</v>
      </c>
      <c r="B178" s="21">
        <v>1.2004501867415708E-4</v>
      </c>
      <c r="C178" s="10">
        <v>16</v>
      </c>
    </row>
    <row r="179" spans="1:3">
      <c r="A179" s="10" t="s">
        <v>200</v>
      </c>
      <c r="B179" s="21">
        <v>2.0709324868360694E-3</v>
      </c>
      <c r="C179" s="10">
        <v>26</v>
      </c>
    </row>
    <row r="180" spans="1:3">
      <c r="A180" s="10" t="s">
        <v>201</v>
      </c>
      <c r="B180" s="21">
        <v>1.4387964782513198E-3</v>
      </c>
      <c r="C180" s="10">
        <v>14</v>
      </c>
    </row>
    <row r="181" spans="1:3">
      <c r="A181" s="10" t="s">
        <v>202</v>
      </c>
      <c r="B181" s="21">
        <v>4.6450959101216691E-3</v>
      </c>
      <c r="C181" s="10">
        <v>43</v>
      </c>
    </row>
    <row r="182" spans="1:3">
      <c r="A182" s="10" t="s">
        <v>203</v>
      </c>
      <c r="B182" s="21">
        <v>1.7580627766745987E-3</v>
      </c>
      <c r="C182" s="10">
        <v>23</v>
      </c>
    </row>
    <row r="183" spans="1:3">
      <c r="A183" s="10" t="s">
        <v>204</v>
      </c>
      <c r="B183" s="21">
        <v>1.0790156139933635E-3</v>
      </c>
      <c r="C183" s="10">
        <v>20</v>
      </c>
    </row>
    <row r="184" spans="1:3">
      <c r="A184" s="10" t="s">
        <v>205</v>
      </c>
      <c r="B184" s="21">
        <v>1.8832833535923081E-3</v>
      </c>
      <c r="C184" s="10">
        <v>31</v>
      </c>
    </row>
    <row r="185" spans="1:3">
      <c r="A185" s="10" t="s">
        <v>206</v>
      </c>
      <c r="B185" s="21">
        <v>2.4508734929749873E-3</v>
      </c>
      <c r="C185" s="10">
        <v>38</v>
      </c>
    </row>
    <row r="186" spans="1:3">
      <c r="A186" s="10" t="s">
        <v>207</v>
      </c>
      <c r="B186" s="21">
        <v>1.852410654735677E-3</v>
      </c>
      <c r="C186" s="10">
        <v>33</v>
      </c>
    </row>
    <row r="187" spans="1:3">
      <c r="A187" s="10" t="s">
        <v>208</v>
      </c>
      <c r="B187" s="21">
        <v>1.5641647108579348E-3</v>
      </c>
      <c r="C187" s="10">
        <v>27</v>
      </c>
    </row>
    <row r="188" spans="1:3">
      <c r="A188" s="10" t="s">
        <v>209</v>
      </c>
      <c r="B188" s="21">
        <v>1.5594884259148849E-3</v>
      </c>
      <c r="C188" s="10">
        <v>24</v>
      </c>
    </row>
    <row r="189" spans="1:3">
      <c r="A189" s="10" t="s">
        <v>210</v>
      </c>
      <c r="B189" s="21">
        <v>2.1838970382424597E-3</v>
      </c>
      <c r="C189" s="10">
        <v>38</v>
      </c>
    </row>
    <row r="190" spans="1:3">
      <c r="A190" s="10" t="s">
        <v>211</v>
      </c>
      <c r="B190" s="21">
        <v>2.25019564038593E-3</v>
      </c>
      <c r="C190" s="10">
        <v>47</v>
      </c>
    </row>
    <row r="191" spans="1:3">
      <c r="A191" s="10" t="s">
        <v>212</v>
      </c>
      <c r="B191" s="21">
        <v>2.2118839965426097E-3</v>
      </c>
      <c r="C191" s="10">
        <v>31</v>
      </c>
    </row>
    <row r="192" spans="1:3">
      <c r="A192" s="10" t="s">
        <v>213</v>
      </c>
      <c r="B192" s="21">
        <v>9.5150174980528676E-4</v>
      </c>
      <c r="C192" s="10">
        <v>20</v>
      </c>
    </row>
    <row r="193" spans="1:3">
      <c r="A193" s="10" t="s">
        <v>214</v>
      </c>
      <c r="B193" s="21">
        <v>1.7516389250097819E-3</v>
      </c>
      <c r="C193" s="10">
        <v>19</v>
      </c>
    </row>
    <row r="194" spans="1:3">
      <c r="A194" s="10" t="s">
        <v>215</v>
      </c>
      <c r="B194" s="21">
        <v>2.067497539937548E-3</v>
      </c>
      <c r="C194" s="10">
        <v>45</v>
      </c>
    </row>
    <row r="195" spans="1:3">
      <c r="A195" s="10" t="s">
        <v>216</v>
      </c>
      <c r="B195" s="21">
        <v>6.8243865316366774E-4</v>
      </c>
      <c r="C195" s="10">
        <v>38</v>
      </c>
    </row>
    <row r="196" spans="1:3">
      <c r="A196" s="10" t="s">
        <v>217</v>
      </c>
      <c r="B196" s="21">
        <v>1.5242691465290717E-4</v>
      </c>
      <c r="C196" s="10">
        <v>18</v>
      </c>
    </row>
    <row r="197" spans="1:3">
      <c r="A197" s="10" t="s">
        <v>218</v>
      </c>
      <c r="B197" s="21">
        <v>7.2164448242339823E-4</v>
      </c>
      <c r="C197" s="10">
        <v>14</v>
      </c>
    </row>
    <row r="198" spans="1:3">
      <c r="A198" s="10" t="s">
        <v>219</v>
      </c>
      <c r="B198" s="21">
        <v>6.2297718886552937E-4</v>
      </c>
      <c r="C198" s="10">
        <v>42</v>
      </c>
    </row>
    <row r="199" spans="1:3">
      <c r="A199" s="10" t="s">
        <v>220</v>
      </c>
      <c r="B199" s="21">
        <v>1.7844965475914329E-3</v>
      </c>
      <c r="C199" s="10">
        <v>33</v>
      </c>
    </row>
    <row r="200" spans="1:3">
      <c r="A200" s="10" t="s">
        <v>221</v>
      </c>
      <c r="B200" s="21">
        <v>1.9776348056350711E-3</v>
      </c>
      <c r="C200" s="10">
        <v>34</v>
      </c>
    </row>
    <row r="201" spans="1:3">
      <c r="A201" s="10" t="s">
        <v>222</v>
      </c>
      <c r="B201" s="21">
        <v>1.8665161937309822E-4</v>
      </c>
      <c r="C201" s="10">
        <v>15</v>
      </c>
    </row>
    <row r="202" spans="1:3">
      <c r="A202" s="10" t="s">
        <v>223</v>
      </c>
      <c r="B202" s="21">
        <v>2.561622483062664E-3</v>
      </c>
      <c r="C202" s="10">
        <v>22</v>
      </c>
    </row>
    <row r="203" spans="1:3">
      <c r="A203" s="10" t="s">
        <v>224</v>
      </c>
      <c r="B203" s="21">
        <v>1.6138737946756101E-3</v>
      </c>
      <c r="C203" s="10">
        <v>30</v>
      </c>
    </row>
    <row r="204" spans="1:3">
      <c r="A204" s="10" t="s">
        <v>225</v>
      </c>
      <c r="B204" s="21">
        <v>2.1632499454531679E-3</v>
      </c>
      <c r="C204" s="10">
        <v>25</v>
      </c>
    </row>
    <row r="205" spans="1:3">
      <c r="A205" s="10" t="s">
        <v>226</v>
      </c>
      <c r="B205" s="21">
        <v>2.0197360023128095E-3</v>
      </c>
      <c r="C205" s="10">
        <v>26</v>
      </c>
    </row>
    <row r="206" spans="1:3">
      <c r="A206" s="10" t="s">
        <v>227</v>
      </c>
      <c r="B206" s="21">
        <v>4.5952355367580842E-4</v>
      </c>
      <c r="C206" s="10">
        <v>11</v>
      </c>
    </row>
    <row r="207" spans="1:3">
      <c r="A207" s="10" t="s">
        <v>228</v>
      </c>
      <c r="B207" s="21">
        <v>7.2638925262109258E-4</v>
      </c>
      <c r="C207" s="10">
        <v>28</v>
      </c>
    </row>
    <row r="208" spans="1:3">
      <c r="A208" s="10" t="s">
        <v>229</v>
      </c>
      <c r="B208" s="21">
        <v>8.216832532706381E-4</v>
      </c>
      <c r="C208" s="10">
        <v>22</v>
      </c>
    </row>
    <row r="209" spans="1:3">
      <c r="A209" s="10" t="s">
        <v>230</v>
      </c>
      <c r="B209" s="21">
        <v>1.999354783838433E-3</v>
      </c>
      <c r="C209" s="10">
        <v>37</v>
      </c>
    </row>
    <row r="210" spans="1:3">
      <c r="A210" s="10" t="s">
        <v>231</v>
      </c>
      <c r="B210" s="21">
        <v>1.4522715281592958E-3</v>
      </c>
      <c r="C210" s="10">
        <v>31</v>
      </c>
    </row>
    <row r="211" spans="1:3">
      <c r="A211" s="10" t="s">
        <v>232</v>
      </c>
      <c r="B211" s="21">
        <v>9.0274492797195744E-4</v>
      </c>
      <c r="C211" s="10">
        <v>19</v>
      </c>
    </row>
    <row r="212" spans="1:3">
      <c r="A212" s="10" t="s">
        <v>233</v>
      </c>
      <c r="B212" s="21">
        <v>1.8836654335521678E-3</v>
      </c>
      <c r="C212" s="10">
        <v>32</v>
      </c>
    </row>
    <row r="213" spans="1:3">
      <c r="A213" s="10" t="s">
        <v>234</v>
      </c>
      <c r="B213" s="21">
        <v>1.818269875903051E-3</v>
      </c>
      <c r="C213" s="10">
        <v>27</v>
      </c>
    </row>
    <row r="214" spans="1:3">
      <c r="A214" s="10" t="s">
        <v>235</v>
      </c>
      <c r="B214" s="21">
        <v>1.5921973486305173E-3</v>
      </c>
      <c r="C214" s="10">
        <v>13</v>
      </c>
    </row>
    <row r="215" spans="1:3">
      <c r="A215" s="10" t="s">
        <v>236</v>
      </c>
      <c r="B215" s="21">
        <v>1.4836846830432572E-3</v>
      </c>
      <c r="C215" s="10">
        <v>31</v>
      </c>
    </row>
    <row r="216" spans="1:3">
      <c r="A216" s="10" t="s">
        <v>237</v>
      </c>
      <c r="B216" s="21">
        <v>6.9229145159335542E-4</v>
      </c>
      <c r="C216" s="10">
        <v>20</v>
      </c>
    </row>
    <row r="217" spans="1:3">
      <c r="A217" s="10" t="s">
        <v>238</v>
      </c>
      <c r="B217" s="21">
        <v>1.0673773326953555E-4</v>
      </c>
      <c r="C217" s="10">
        <v>26</v>
      </c>
    </row>
    <row r="218" spans="1:3">
      <c r="A218" s="10" t="s">
        <v>239</v>
      </c>
      <c r="B218" s="21">
        <v>2.7040098084492796E-3</v>
      </c>
      <c r="C218" s="10">
        <v>42</v>
      </c>
    </row>
    <row r="219" spans="1:3">
      <c r="A219" s="10" t="s">
        <v>240</v>
      </c>
      <c r="B219" s="21">
        <v>1.2344613319645191E-3</v>
      </c>
      <c r="C219" s="10">
        <v>24</v>
      </c>
    </row>
    <row r="220" spans="1:3">
      <c r="A220" s="10" t="s">
        <v>241</v>
      </c>
      <c r="B220" s="21">
        <v>2.5557299484320469E-3</v>
      </c>
      <c r="C220" s="10">
        <v>50</v>
      </c>
    </row>
    <row r="221" spans="1:3">
      <c r="A221" s="10" t="s">
        <v>242</v>
      </c>
      <c r="B221" s="21">
        <v>3.3589306225470998E-3</v>
      </c>
      <c r="C221" s="10">
        <v>41</v>
      </c>
    </row>
    <row r="222" spans="1:3">
      <c r="A222" s="10" t="s">
        <v>243</v>
      </c>
      <c r="B222" s="21">
        <v>1.1835074494287807E-3</v>
      </c>
      <c r="C222" s="10">
        <v>22</v>
      </c>
    </row>
    <row r="223" spans="1:3">
      <c r="A223" s="10" t="s">
        <v>244</v>
      </c>
      <c r="B223" s="21">
        <v>1.3919422450956913E-3</v>
      </c>
      <c r="C223" s="10">
        <v>29</v>
      </c>
    </row>
    <row r="224" spans="1:3">
      <c r="A224" s="10" t="s">
        <v>245</v>
      </c>
      <c r="B224" s="21">
        <v>1.2393269112990798E-3</v>
      </c>
      <c r="C224" s="10">
        <v>23</v>
      </c>
    </row>
    <row r="225" spans="1:3">
      <c r="A225" s="10" t="s">
        <v>246</v>
      </c>
      <c r="B225" s="21">
        <v>7.9729091459112254E-4</v>
      </c>
      <c r="C225" s="10">
        <v>13</v>
      </c>
    </row>
    <row r="226" spans="1:3">
      <c r="A226" s="10" t="s">
        <v>247</v>
      </c>
      <c r="B226" s="21">
        <v>1.3895015189099135E-3</v>
      </c>
      <c r="C226" s="10">
        <v>32</v>
      </c>
    </row>
    <row r="227" spans="1:3">
      <c r="A227" s="10" t="s">
        <v>248</v>
      </c>
      <c r="B227" s="21">
        <v>9.9986080460104593E-4</v>
      </c>
      <c r="C227" s="10">
        <v>24</v>
      </c>
    </row>
    <row r="228" spans="1:3">
      <c r="A228" s="10" t="s">
        <v>249</v>
      </c>
      <c r="B228" s="21">
        <v>2.1936594703552189E-3</v>
      </c>
      <c r="C228" s="10">
        <v>33</v>
      </c>
    </row>
    <row r="229" spans="1:3">
      <c r="A229" s="10" t="s">
        <v>250</v>
      </c>
      <c r="B229" s="21">
        <v>1.6708719754918925E-3</v>
      </c>
      <c r="C229" s="10">
        <v>29</v>
      </c>
    </row>
    <row r="230" spans="1:3">
      <c r="A230" s="10" t="s">
        <v>251</v>
      </c>
      <c r="B230" s="21">
        <v>1.1874019206731575E-3</v>
      </c>
      <c r="C230" s="10">
        <v>24</v>
      </c>
    </row>
    <row r="231" spans="1:3">
      <c r="A231" s="10" t="s">
        <v>252</v>
      </c>
      <c r="B231" s="21">
        <v>1.8319020993178242E-3</v>
      </c>
      <c r="C231" s="10">
        <v>40</v>
      </c>
    </row>
    <row r="232" spans="1:3">
      <c r="A232" s="10" t="s">
        <v>253</v>
      </c>
      <c r="B232" s="21">
        <v>1.2281218789836712E-3</v>
      </c>
      <c r="C232" s="10">
        <v>16</v>
      </c>
    </row>
    <row r="233" spans="1:3">
      <c r="A233" s="10" t="s">
        <v>254</v>
      </c>
      <c r="B233" s="21">
        <v>6.2834236679307307E-4</v>
      </c>
      <c r="C233" s="10">
        <v>11</v>
      </c>
    </row>
    <row r="234" spans="1:3">
      <c r="A234" s="10" t="s">
        <v>255</v>
      </c>
      <c r="B234" s="21">
        <v>1.0221200699612198E-3</v>
      </c>
      <c r="C234" s="10">
        <v>19</v>
      </c>
    </row>
    <row r="235" spans="1:3">
      <c r="A235" s="10" t="s">
        <v>256</v>
      </c>
      <c r="B235" s="21">
        <v>3.099075172735272E-3</v>
      </c>
      <c r="C235" s="10">
        <v>42</v>
      </c>
    </row>
    <row r="236" spans="1:3">
      <c r="A236" s="10" t="s">
        <v>257</v>
      </c>
      <c r="B236" s="21">
        <v>1.3817803685745589E-3</v>
      </c>
      <c r="C236" s="10">
        <v>27</v>
      </c>
    </row>
    <row r="237" spans="1:3">
      <c r="A237" s="10" t="s">
        <v>258</v>
      </c>
      <c r="B237" s="21">
        <v>1.037236917298537E-3</v>
      </c>
      <c r="C237" s="10">
        <v>24</v>
      </c>
    </row>
    <row r="238" spans="1:3">
      <c r="A238" s="10" t="s">
        <v>259</v>
      </c>
      <c r="B238" s="21">
        <v>8.6326496900001844E-5</v>
      </c>
      <c r="C238" s="10">
        <v>27</v>
      </c>
    </row>
    <row r="239" spans="1:3">
      <c r="A239" s="10" t="s">
        <v>260</v>
      </c>
      <c r="B239" s="21">
        <v>5.1781137687210033E-6</v>
      </c>
      <c r="C239" s="10">
        <v>14</v>
      </c>
    </row>
    <row r="240" spans="1:3">
      <c r="A240" s="10" t="s">
        <v>261</v>
      </c>
      <c r="B240" s="21">
        <v>7.5311222231446557E-4</v>
      </c>
      <c r="C240" s="10">
        <v>12</v>
      </c>
    </row>
    <row r="241" spans="1:3">
      <c r="A241" s="10" t="s">
        <v>262</v>
      </c>
      <c r="B241" s="21">
        <v>6.7710850279055794E-4</v>
      </c>
      <c r="C241" s="10">
        <v>23</v>
      </c>
    </row>
    <row r="242" spans="1:3">
      <c r="A242" s="10" t="s">
        <v>263</v>
      </c>
      <c r="B242" s="21">
        <v>1.4691691810269805E-3</v>
      </c>
      <c r="C242" s="10">
        <v>40</v>
      </c>
    </row>
    <row r="243" spans="1:3">
      <c r="A243" s="10" t="s">
        <v>264</v>
      </c>
      <c r="B243" s="21">
        <v>1.3835602758528623E-3</v>
      </c>
      <c r="C243" s="10">
        <v>33</v>
      </c>
    </row>
    <row r="244" spans="1:3">
      <c r="A244" s="10" t="s">
        <v>265</v>
      </c>
      <c r="B244" s="21">
        <v>1.0043013511214544E-3</v>
      </c>
      <c r="C244" s="10">
        <v>33</v>
      </c>
    </row>
    <row r="245" spans="1:3">
      <c r="A245" s="10" t="s">
        <v>266</v>
      </c>
      <c r="B245" s="21">
        <v>2.6381788332383916E-3</v>
      </c>
      <c r="C245" s="10">
        <v>30</v>
      </c>
    </row>
    <row r="246" spans="1:3">
      <c r="A246" s="10" t="s">
        <v>267</v>
      </c>
      <c r="B246" s="21">
        <v>9.8098446884274204E-4</v>
      </c>
      <c r="C246" s="10">
        <v>35</v>
      </c>
    </row>
    <row r="247" spans="1:3">
      <c r="A247" s="10" t="s">
        <v>268</v>
      </c>
      <c r="B247" s="21">
        <v>1.5980863920487184E-3</v>
      </c>
      <c r="C247" s="10">
        <v>26</v>
      </c>
    </row>
    <row r="248" spans="1:3">
      <c r="A248" s="10" t="s">
        <v>269</v>
      </c>
      <c r="B248" s="21">
        <v>2.522712679662735E-4</v>
      </c>
      <c r="C248" s="10">
        <v>6</v>
      </c>
    </row>
    <row r="249" spans="1:3">
      <c r="A249" s="10" t="s">
        <v>270</v>
      </c>
      <c r="B249" s="21">
        <v>9.9420984426932049E-4</v>
      </c>
      <c r="C249" s="10">
        <v>17</v>
      </c>
    </row>
    <row r="250" spans="1:3">
      <c r="A250" s="10" t="s">
        <v>271</v>
      </c>
      <c r="B250" s="21">
        <v>2.2738871905572632E-3</v>
      </c>
      <c r="C250" s="10">
        <v>41</v>
      </c>
    </row>
    <row r="251" spans="1:3">
      <c r="A251" s="10" t="s">
        <v>272</v>
      </c>
      <c r="B251" s="21">
        <v>1.8944575676726352E-3</v>
      </c>
      <c r="C251" s="10">
        <v>33</v>
      </c>
    </row>
    <row r="252" spans="1:3">
      <c r="A252" s="10" t="s">
        <v>273</v>
      </c>
      <c r="B252" s="21">
        <v>1.4953040118157396E-3</v>
      </c>
      <c r="C252" s="10">
        <v>39</v>
      </c>
    </row>
    <row r="253" spans="1:3">
      <c r="A253" s="10" t="s">
        <v>274</v>
      </c>
      <c r="B253" s="21">
        <v>2.0625154636130167E-4</v>
      </c>
      <c r="C253" s="10">
        <v>17</v>
      </c>
    </row>
    <row r="254" spans="1:3">
      <c r="A254" s="10" t="s">
        <v>275</v>
      </c>
      <c r="B254" s="21">
        <v>1.3546862604011361E-3</v>
      </c>
      <c r="C254" s="10">
        <v>24</v>
      </c>
    </row>
    <row r="255" spans="1:3">
      <c r="A255" s="10" t="s">
        <v>276</v>
      </c>
      <c r="B255" s="21">
        <v>1.9587091492391769E-3</v>
      </c>
      <c r="C255" s="10">
        <v>35</v>
      </c>
    </row>
    <row r="256" spans="1:3">
      <c r="A256" s="10" t="s">
        <v>277</v>
      </c>
      <c r="B256" s="21">
        <v>9.6832427680536607E-4</v>
      </c>
      <c r="C256" s="10">
        <v>18</v>
      </c>
    </row>
    <row r="257" spans="1:3">
      <c r="A257" s="10" t="s">
        <v>278</v>
      </c>
      <c r="B257" s="21">
        <v>2.0970703073550034E-3</v>
      </c>
      <c r="C257" s="10">
        <v>20</v>
      </c>
    </row>
    <row r="258" spans="1:3">
      <c r="A258" s="10" t="s">
        <v>279</v>
      </c>
      <c r="B258" s="21">
        <v>1.2500511828245273E-3</v>
      </c>
      <c r="C258" s="10">
        <v>24</v>
      </c>
    </row>
    <row r="259" spans="1:3">
      <c r="A259" s="10" t="s">
        <v>280</v>
      </c>
      <c r="B259" s="21">
        <v>1.9772567614680004E-3</v>
      </c>
      <c r="C259" s="10">
        <v>40</v>
      </c>
    </row>
    <row r="260" spans="1:3">
      <c r="A260" s="10" t="s">
        <v>281</v>
      </c>
      <c r="B260" s="21">
        <v>6.9934531102609776E-4</v>
      </c>
      <c r="C260" s="10">
        <v>13</v>
      </c>
    </row>
    <row r="261" spans="1:3">
      <c r="A261" s="10" t="s">
        <v>282</v>
      </c>
      <c r="B261" s="21">
        <v>1.1859692359259403E-3</v>
      </c>
      <c r="C261" s="10">
        <v>32</v>
      </c>
    </row>
    <row r="262" spans="1:3">
      <c r="A262" s="10" t="s">
        <v>283</v>
      </c>
      <c r="B262" s="21">
        <v>1.8472262326121522E-3</v>
      </c>
      <c r="C262" s="10">
        <v>34</v>
      </c>
    </row>
    <row r="263" spans="1:3">
      <c r="A263" s="10" t="s">
        <v>284</v>
      </c>
      <c r="B263" s="21">
        <v>6.8848066609009074E-4</v>
      </c>
      <c r="C263" s="10">
        <v>34</v>
      </c>
    </row>
    <row r="264" spans="1:3">
      <c r="A264" s="10" t="s">
        <v>285</v>
      </c>
      <c r="B264" s="21">
        <v>6.3968859784196855E-4</v>
      </c>
      <c r="C264" s="10">
        <v>31</v>
      </c>
    </row>
    <row r="265" spans="1:3">
      <c r="A265" s="10" t="s">
        <v>286</v>
      </c>
      <c r="B265" s="21">
        <v>2.4591274243240041E-3</v>
      </c>
      <c r="C265" s="10">
        <v>47</v>
      </c>
    </row>
    <row r="266" spans="1:3">
      <c r="A266" s="10" t="s">
        <v>287</v>
      </c>
      <c r="B266" s="21">
        <v>1.4828961197880604E-3</v>
      </c>
      <c r="C266" s="10">
        <v>43</v>
      </c>
    </row>
    <row r="267" spans="1:3">
      <c r="A267" s="10" t="s">
        <v>288</v>
      </c>
      <c r="B267" s="21">
        <v>1.7918565468494436E-3</v>
      </c>
      <c r="C267" s="10">
        <v>27</v>
      </c>
    </row>
    <row r="268" spans="1:3">
      <c r="A268" s="10" t="s">
        <v>289</v>
      </c>
      <c r="B268" s="21">
        <v>1.1159814969785564E-3</v>
      </c>
      <c r="C268" s="10">
        <v>11</v>
      </c>
    </row>
    <row r="269" spans="1:3">
      <c r="A269" s="10" t="s">
        <v>290</v>
      </c>
      <c r="B269" s="21">
        <v>1.8290569672990249E-3</v>
      </c>
      <c r="C269" s="10">
        <v>37</v>
      </c>
    </row>
    <row r="270" spans="1:3">
      <c r="A270" s="10" t="s">
        <v>291</v>
      </c>
      <c r="B270" s="21">
        <v>9.663967705406041E-4</v>
      </c>
      <c r="C270" s="10">
        <v>26</v>
      </c>
    </row>
    <row r="271" spans="1:3">
      <c r="A271" s="10" t="s">
        <v>292</v>
      </c>
      <c r="B271" s="21">
        <v>1.3088980216537384E-3</v>
      </c>
      <c r="C271" s="10">
        <v>27</v>
      </c>
    </row>
    <row r="272" spans="1:3">
      <c r="A272" s="10" t="s">
        <v>293</v>
      </c>
      <c r="B272" s="21">
        <v>1.4166054929246996E-3</v>
      </c>
      <c r="C272" s="10">
        <v>21</v>
      </c>
    </row>
    <row r="273" spans="1:3">
      <c r="A273" s="10" t="s">
        <v>294</v>
      </c>
      <c r="B273" s="21">
        <v>2.6710847021442366E-3</v>
      </c>
      <c r="C273" s="10">
        <v>35</v>
      </c>
    </row>
    <row r="274" spans="1:3">
      <c r="A274" s="10" t="s">
        <v>295</v>
      </c>
      <c r="B274" s="21">
        <v>3.7601343725443412E-4</v>
      </c>
      <c r="C274" s="10">
        <v>25</v>
      </c>
    </row>
    <row r="275" spans="1:3">
      <c r="A275" s="10" t="s">
        <v>296</v>
      </c>
      <c r="B275" s="21">
        <v>9.9372360858146058E-4</v>
      </c>
      <c r="C275" s="10">
        <v>28</v>
      </c>
    </row>
    <row r="276" spans="1:3">
      <c r="A276" s="10" t="s">
        <v>297</v>
      </c>
      <c r="B276" s="21">
        <v>1.1440204612378434E-3</v>
      </c>
      <c r="C276" s="10">
        <v>21</v>
      </c>
    </row>
    <row r="277" spans="1:3">
      <c r="A277" s="10" t="s">
        <v>298</v>
      </c>
      <c r="B277" s="21">
        <v>1.5792880447673995E-3</v>
      </c>
      <c r="C277" s="10">
        <v>24</v>
      </c>
    </row>
    <row r="278" spans="1:3">
      <c r="A278" s="10" t="s">
        <v>299</v>
      </c>
      <c r="B278" s="21">
        <v>9.2204490047231803E-4</v>
      </c>
      <c r="C278" s="10">
        <v>19</v>
      </c>
    </row>
    <row r="279" spans="1:3">
      <c r="A279" s="10" t="s">
        <v>300</v>
      </c>
      <c r="B279" s="21">
        <v>9.7997539028166431E-4</v>
      </c>
      <c r="C279" s="10">
        <v>25</v>
      </c>
    </row>
    <row r="280" spans="1:3">
      <c r="A280" s="10" t="s">
        <v>302</v>
      </c>
      <c r="B280" s="21">
        <v>1.0880984919179959E-3</v>
      </c>
      <c r="C280" s="10">
        <v>33</v>
      </c>
    </row>
    <row r="281" spans="1:3">
      <c r="A281" s="10" t="s">
        <v>303</v>
      </c>
      <c r="B281" s="21">
        <v>1.5141865360317015E-3</v>
      </c>
      <c r="C281" s="10">
        <v>26</v>
      </c>
    </row>
    <row r="282" spans="1:3">
      <c r="A282" s="10" t="s">
        <v>304</v>
      </c>
      <c r="B282" s="21">
        <v>9.8530286636117612E-4</v>
      </c>
      <c r="C282" s="10">
        <v>31</v>
      </c>
    </row>
    <row r="283" spans="1:3">
      <c r="A283" s="10" t="s">
        <v>305</v>
      </c>
      <c r="B283" s="21">
        <v>2.6069082269779306E-3</v>
      </c>
      <c r="C283" s="10">
        <v>33</v>
      </c>
    </row>
    <row r="284" spans="1:3">
      <c r="A284" s="10" t="s">
        <v>306</v>
      </c>
      <c r="B284" s="21">
        <v>1.0763681993544162E-4</v>
      </c>
      <c r="C284" s="10">
        <v>30</v>
      </c>
    </row>
    <row r="285" spans="1:3">
      <c r="A285" s="10" t="s">
        <v>307</v>
      </c>
      <c r="B285" s="21">
        <v>1.266811493691208E-3</v>
      </c>
      <c r="C285" s="10">
        <v>26</v>
      </c>
    </row>
    <row r="286" spans="1:3">
      <c r="A286" s="10" t="s">
        <v>308</v>
      </c>
      <c r="B286" s="21">
        <v>7.6265252519299473E-4</v>
      </c>
      <c r="C286" s="10">
        <v>23</v>
      </c>
    </row>
    <row r="287" spans="1:3">
      <c r="A287" s="10" t="s">
        <v>309</v>
      </c>
      <c r="B287" s="21">
        <v>1.1526767208558941E-3</v>
      </c>
      <c r="C287" s="10">
        <v>28</v>
      </c>
    </row>
    <row r="288" spans="1:3">
      <c r="A288" s="10" t="s">
        <v>310</v>
      </c>
      <c r="B288" s="21">
        <v>1.0627838653481333E-3</v>
      </c>
      <c r="C288" s="10">
        <v>18</v>
      </c>
    </row>
    <row r="289" spans="1:3">
      <c r="A289" s="10" t="s">
        <v>311</v>
      </c>
      <c r="B289" s="21">
        <v>2.3315391031799031E-3</v>
      </c>
      <c r="C289" s="10">
        <v>39</v>
      </c>
    </row>
    <row r="290" spans="1:3">
      <c r="A290" s="10" t="s">
        <v>312</v>
      </c>
      <c r="B290" s="21">
        <v>2.0831387916006735E-3</v>
      </c>
      <c r="C290" s="10">
        <v>28</v>
      </c>
    </row>
    <row r="291" spans="1:3">
      <c r="A291" s="10" t="s">
        <v>313</v>
      </c>
      <c r="B291" s="21">
        <v>1.9907764745034527E-3</v>
      </c>
      <c r="C291" s="10">
        <v>47</v>
      </c>
    </row>
    <row r="292" spans="1:3">
      <c r="A292" s="10" t="s">
        <v>314</v>
      </c>
      <c r="B292" s="21">
        <v>2.2924989115060486E-3</v>
      </c>
      <c r="C292" s="10">
        <v>41</v>
      </c>
    </row>
    <row r="293" spans="1:3">
      <c r="A293" s="10" t="s">
        <v>315</v>
      </c>
      <c r="B293" s="21">
        <v>1.2321540393020746E-4</v>
      </c>
      <c r="C293" s="10">
        <v>11</v>
      </c>
    </row>
    <row r="294" spans="1:3">
      <c r="A294" s="10" t="s">
        <v>316</v>
      </c>
      <c r="B294" s="21">
        <v>3.1347548894547217E-3</v>
      </c>
      <c r="C294" s="10">
        <v>26</v>
      </c>
    </row>
    <row r="295" spans="1:3">
      <c r="A295" s="10" t="s">
        <v>317</v>
      </c>
      <c r="B295" s="21">
        <v>9.3057977745856937E-4</v>
      </c>
      <c r="C295" s="10">
        <v>24</v>
      </c>
    </row>
    <row r="296" spans="1:3">
      <c r="A296" s="10" t="s">
        <v>318</v>
      </c>
      <c r="B296" s="21">
        <v>5.1834398942490962E-4</v>
      </c>
      <c r="C296" s="10">
        <v>14</v>
      </c>
    </row>
    <row r="297" spans="1:3">
      <c r="A297" s="10" t="s">
        <v>319</v>
      </c>
      <c r="B297" s="21">
        <v>1.9489402081661188E-3</v>
      </c>
      <c r="C297" s="10">
        <v>34</v>
      </c>
    </row>
    <row r="298" spans="1:3">
      <c r="A298" s="10" t="s">
        <v>320</v>
      </c>
      <c r="B298" s="21">
        <v>2.4800906936066516E-3</v>
      </c>
      <c r="C298" s="10">
        <v>46</v>
      </c>
    </row>
    <row r="299" spans="1:3">
      <c r="A299" s="10" t="s">
        <v>321</v>
      </c>
      <c r="B299" s="21">
        <v>4.1269937566282408E-3</v>
      </c>
      <c r="C299" s="10">
        <v>24</v>
      </c>
    </row>
    <row r="300" spans="1:3">
      <c r="A300" s="10" t="s">
        <v>322</v>
      </c>
      <c r="B300" s="21">
        <v>1.2503056261122085E-3</v>
      </c>
      <c r="C300" s="10">
        <v>22</v>
      </c>
    </row>
    <row r="301" spans="1:3">
      <c r="A301" s="10" t="s">
        <v>323</v>
      </c>
      <c r="B301" s="21">
        <v>2.5281662179402991E-3</v>
      </c>
      <c r="C301" s="10">
        <v>41</v>
      </c>
    </row>
    <row r="302" spans="1:3">
      <c r="A302" s="10" t="s">
        <v>324</v>
      </c>
      <c r="B302" s="21">
        <v>4.531345768970785E-4</v>
      </c>
      <c r="C302" s="10">
        <v>3</v>
      </c>
    </row>
    <row r="303" spans="1:3">
      <c r="A303" s="10" t="s">
        <v>325</v>
      </c>
      <c r="B303" s="21">
        <v>7.8068902985388075E-4</v>
      </c>
      <c r="C303" s="10">
        <v>24</v>
      </c>
    </row>
    <row r="304" spans="1:3">
      <c r="A304" s="10" t="s">
        <v>326</v>
      </c>
      <c r="B304" s="21">
        <v>2.9716577767143696E-4</v>
      </c>
      <c r="C304" s="10">
        <v>19</v>
      </c>
    </row>
    <row r="305" spans="1:3">
      <c r="A305" s="10" t="s">
        <v>327</v>
      </c>
      <c r="B305" s="21">
        <v>1.9363681728729537E-3</v>
      </c>
      <c r="C305" s="10">
        <v>39</v>
      </c>
    </row>
    <row r="306" spans="1:3">
      <c r="A306" s="10" t="s">
        <v>328</v>
      </c>
      <c r="B306" s="21">
        <v>1.5672836166011484E-3</v>
      </c>
      <c r="C306" s="10">
        <v>28</v>
      </c>
    </row>
    <row r="307" spans="1:3">
      <c r="A307" s="10" t="s">
        <v>329</v>
      </c>
      <c r="B307" s="21">
        <v>5.0910932630460872E-3</v>
      </c>
      <c r="C307" s="10">
        <v>32</v>
      </c>
    </row>
    <row r="308" spans="1:3">
      <c r="A308" s="10" t="s">
        <v>330</v>
      </c>
      <c r="B308" s="21">
        <v>1.6226056133674877E-3</v>
      </c>
      <c r="C308" s="10">
        <v>25</v>
      </c>
    </row>
    <row r="309" spans="1:3">
      <c r="A309" s="10" t="s">
        <v>331</v>
      </c>
      <c r="B309" s="21">
        <v>1.6031839732063165E-3</v>
      </c>
      <c r="C309" s="10">
        <v>29</v>
      </c>
    </row>
    <row r="310" spans="1:3">
      <c r="A310" s="10" t="s">
        <v>332</v>
      </c>
      <c r="B310" s="21">
        <v>8.4260991376833446E-4</v>
      </c>
      <c r="C310" s="10">
        <v>25</v>
      </c>
    </row>
    <row r="311" spans="1:3">
      <c r="A311" s="10" t="s">
        <v>333</v>
      </c>
      <c r="B311" s="21">
        <v>6.2344505507785409E-4</v>
      </c>
      <c r="C311" s="10">
        <v>21</v>
      </c>
    </row>
    <row r="312" spans="1:3">
      <c r="A312" s="10" t="s">
        <v>334</v>
      </c>
      <c r="B312" s="21">
        <v>2.3906956462812099E-3</v>
      </c>
      <c r="C312" s="10">
        <v>31</v>
      </c>
    </row>
    <row r="313" spans="1:3">
      <c r="A313" s="10" t="s">
        <v>335</v>
      </c>
      <c r="B313" s="21">
        <v>1.1287042926698646E-3</v>
      </c>
      <c r="C313" s="10">
        <v>25</v>
      </c>
    </row>
    <row r="314" spans="1:3">
      <c r="A314" s="10" t="s">
        <v>336</v>
      </c>
      <c r="B314" s="21">
        <v>1.6497064703795675E-3</v>
      </c>
      <c r="C314" s="10">
        <v>14</v>
      </c>
    </row>
    <row r="315" spans="1:3">
      <c r="A315" s="10" t="s">
        <v>337</v>
      </c>
      <c r="B315" s="21">
        <v>6.8130075569470877E-4</v>
      </c>
      <c r="C315" s="10">
        <v>21</v>
      </c>
    </row>
    <row r="316" spans="1:3">
      <c r="A316" s="10" t="s">
        <v>338</v>
      </c>
      <c r="B316" s="21">
        <v>1.4503102324051253E-3</v>
      </c>
      <c r="C316" s="10">
        <v>24</v>
      </c>
    </row>
    <row r="317" spans="1:3">
      <c r="A317" s="10" t="s">
        <v>339</v>
      </c>
      <c r="B317" s="21">
        <v>8.2231251289834582E-4</v>
      </c>
      <c r="C317" s="10">
        <v>25</v>
      </c>
    </row>
    <row r="318" spans="1:3">
      <c r="A318" s="10" t="s">
        <v>340</v>
      </c>
      <c r="B318" s="21">
        <v>1.8095931850302084E-3</v>
      </c>
      <c r="C318" s="10">
        <v>42</v>
      </c>
    </row>
    <row r="319" spans="1:3">
      <c r="A319" s="10" t="s">
        <v>341</v>
      </c>
      <c r="B319" s="21">
        <v>8.6676333050504119E-4</v>
      </c>
      <c r="C319" s="10">
        <v>20</v>
      </c>
    </row>
    <row r="320" spans="1:3">
      <c r="A320" s="10" t="s">
        <v>342</v>
      </c>
      <c r="B320" s="21">
        <v>1.7860386637608969E-3</v>
      </c>
      <c r="C320" s="10">
        <v>22</v>
      </c>
    </row>
    <row r="321" spans="1:3">
      <c r="A321" s="10" t="s">
        <v>343</v>
      </c>
      <c r="B321" s="21">
        <v>3.3142651151229553E-3</v>
      </c>
      <c r="C321" s="10">
        <v>36</v>
      </c>
    </row>
    <row r="322" spans="1:3">
      <c r="A322" s="10" t="s">
        <v>344</v>
      </c>
      <c r="B322" s="21">
        <v>1.8367512133188894E-3</v>
      </c>
      <c r="C322" s="10">
        <v>38</v>
      </c>
    </row>
    <row r="323" spans="1:3">
      <c r="A323" s="10" t="s">
        <v>345</v>
      </c>
      <c r="B323" s="21">
        <v>6.9934531102609776E-4</v>
      </c>
      <c r="C323" s="10">
        <v>18</v>
      </c>
    </row>
    <row r="324" spans="1:3">
      <c r="A324" s="10" t="s">
        <v>346</v>
      </c>
      <c r="B324" s="21">
        <v>1.4548092577724421E-3</v>
      </c>
      <c r="C324" s="10">
        <v>16</v>
      </c>
    </row>
    <row r="325" spans="1:3">
      <c r="A325" s="10" t="s">
        <v>347</v>
      </c>
      <c r="B325" s="21">
        <v>1.4308007204383308E-3</v>
      </c>
      <c r="C325" s="10">
        <v>31</v>
      </c>
    </row>
    <row r="326" spans="1:3">
      <c r="A326" s="10" t="s">
        <v>348</v>
      </c>
      <c r="B326" s="21">
        <v>3.066401753745441E-4</v>
      </c>
      <c r="C326" s="10">
        <v>28</v>
      </c>
    </row>
    <row r="327" spans="1:3">
      <c r="A327" s="10" t="s">
        <v>349</v>
      </c>
      <c r="B327" s="21">
        <v>1.8108346330725741E-3</v>
      </c>
      <c r="C327" s="10">
        <v>34</v>
      </c>
    </row>
    <row r="328" spans="1:3">
      <c r="A328" s="10" t="s">
        <v>350</v>
      </c>
      <c r="B328" s="21">
        <v>1.8453189822675356E-3</v>
      </c>
      <c r="C328" s="10">
        <v>48</v>
      </c>
    </row>
    <row r="329" spans="1:3">
      <c r="A329" s="10" t="s">
        <v>351</v>
      </c>
      <c r="B329" s="21">
        <v>2.0274706889447411E-3</v>
      </c>
      <c r="C329" s="10">
        <v>35</v>
      </c>
    </row>
    <row r="330" spans="1:3">
      <c r="A330" s="10" t="s">
        <v>352</v>
      </c>
      <c r="B330" s="21">
        <v>5.6022475756117884E-4</v>
      </c>
      <c r="C330" s="10">
        <v>24</v>
      </c>
    </row>
    <row r="331" spans="1:3">
      <c r="A331" s="10" t="s">
        <v>353</v>
      </c>
      <c r="B331" s="21">
        <v>1.4493063893046265E-3</v>
      </c>
      <c r="C331" s="10">
        <v>25</v>
      </c>
    </row>
    <row r="332" spans="1:3">
      <c r="A332" s="10" t="s">
        <v>354</v>
      </c>
      <c r="B332" s="21">
        <v>4.32431687531054E-4</v>
      </c>
      <c r="C332" s="10">
        <v>32</v>
      </c>
    </row>
    <row r="333" spans="1:3">
      <c r="A333" s="10" t="s">
        <v>355</v>
      </c>
      <c r="B333" s="21">
        <v>2.3805731127188143E-3</v>
      </c>
      <c r="C333" s="10">
        <v>33</v>
      </c>
    </row>
    <row r="334" spans="1:3">
      <c r="A334" s="10" t="s">
        <v>356</v>
      </c>
      <c r="B334" s="21">
        <v>8.00922142835682E-4</v>
      </c>
      <c r="C334" s="10">
        <v>19</v>
      </c>
    </row>
    <row r="335" spans="1:3">
      <c r="A335" s="10" t="s">
        <v>357</v>
      </c>
      <c r="B335" s="21">
        <v>7.0566107695104417E-4</v>
      </c>
      <c r="C335" s="10">
        <v>7</v>
      </c>
    </row>
    <row r="336" spans="1:3">
      <c r="A336" s="10" t="s">
        <v>358</v>
      </c>
      <c r="B336" s="21">
        <v>1.7032488247577689E-3</v>
      </c>
      <c r="C336" s="10">
        <v>36</v>
      </c>
    </row>
    <row r="337" spans="1:3">
      <c r="A337" s="10" t="s">
        <v>359</v>
      </c>
      <c r="B337" s="21">
        <v>2.0896862746392643E-3</v>
      </c>
      <c r="C337" s="10">
        <v>44</v>
      </c>
    </row>
    <row r="338" spans="1:3">
      <c r="A338" s="10" t="s">
        <v>360</v>
      </c>
      <c r="B338" s="21">
        <v>1.266246876788878E-3</v>
      </c>
      <c r="C338" s="10">
        <v>35</v>
      </c>
    </row>
    <row r="339" spans="1:3">
      <c r="A339" s="10" t="s">
        <v>361</v>
      </c>
      <c r="B339" s="21">
        <v>1.0765561108893112E-3</v>
      </c>
      <c r="C339" s="10">
        <v>11</v>
      </c>
    </row>
    <row r="340" spans="1:3">
      <c r="A340" s="10" t="s">
        <v>362</v>
      </c>
      <c r="B340" s="21">
        <v>2.456361491204804E-3</v>
      </c>
      <c r="C340" s="10">
        <v>43</v>
      </c>
    </row>
    <row r="341" spans="1:3">
      <c r="A341" s="10" t="s">
        <v>363</v>
      </c>
      <c r="B341" s="21">
        <v>1.2330406826546484E-3</v>
      </c>
      <c r="C341" s="10">
        <v>22</v>
      </c>
    </row>
    <row r="342" spans="1:3">
      <c r="A342" s="10" t="s">
        <v>364</v>
      </c>
      <c r="B342" s="21">
        <v>2.5833272860504553E-3</v>
      </c>
      <c r="C342" s="10">
        <v>49</v>
      </c>
    </row>
    <row r="343" spans="1:3">
      <c r="A343" s="10" t="s">
        <v>365</v>
      </c>
      <c r="B343" s="21">
        <v>2.0586567072589414E-3</v>
      </c>
      <c r="C343" s="10">
        <v>37</v>
      </c>
    </row>
    <row r="344" spans="1:3">
      <c r="A344" s="10" t="s">
        <v>366</v>
      </c>
      <c r="B344" s="21">
        <v>1.0221561867521261E-3</v>
      </c>
      <c r="C344" s="10">
        <v>26</v>
      </c>
    </row>
    <row r="345" spans="1:3">
      <c r="A345" s="10" t="s">
        <v>367</v>
      </c>
      <c r="B345" s="21">
        <v>1.4307805427420687E-3</v>
      </c>
      <c r="C345" s="10">
        <v>19</v>
      </c>
    </row>
    <row r="346" spans="1:3">
      <c r="A346" s="10" t="s">
        <v>368</v>
      </c>
      <c r="B346" s="21">
        <v>9.2728194721971603E-4</v>
      </c>
      <c r="C346" s="10">
        <v>20</v>
      </c>
    </row>
    <row r="347" spans="1:3">
      <c r="A347" s="10" t="s">
        <v>369</v>
      </c>
      <c r="B347" s="21">
        <v>2.4556763634013233E-3</v>
      </c>
      <c r="C347" s="10">
        <v>36</v>
      </c>
    </row>
    <row r="348" spans="1:3">
      <c r="A348" s="10" t="s">
        <v>370</v>
      </c>
      <c r="B348" s="21">
        <v>2.4150486219842488E-3</v>
      </c>
      <c r="C348" s="10">
        <v>39</v>
      </c>
    </row>
    <row r="349" spans="1:3">
      <c r="A349" s="10" t="s">
        <v>371</v>
      </c>
      <c r="B349" s="21">
        <v>7.1693505712553264E-4</v>
      </c>
      <c r="C349" s="10">
        <v>10</v>
      </c>
    </row>
    <row r="350" spans="1:3">
      <c r="A350" s="10" t="s">
        <v>372</v>
      </c>
      <c r="B350" s="21">
        <v>1.4877412654913289E-3</v>
      </c>
      <c r="C350" s="10">
        <v>24</v>
      </c>
    </row>
    <row r="351" spans="1:3">
      <c r="A351" s="10" t="s">
        <v>373</v>
      </c>
      <c r="B351" s="21">
        <v>1.6676695878314639E-3</v>
      </c>
      <c r="C351" s="10">
        <v>35</v>
      </c>
    </row>
    <row r="352" spans="1:3">
      <c r="A352" s="10" t="s">
        <v>374</v>
      </c>
      <c r="B352" s="21">
        <v>1.4882092433911344E-3</v>
      </c>
      <c r="C352" s="10">
        <v>32</v>
      </c>
    </row>
    <row r="353" spans="1:3">
      <c r="A353" s="10" t="s">
        <v>375</v>
      </c>
      <c r="B353" s="21">
        <v>1.1929652163971622E-3</v>
      </c>
      <c r="C353" s="10">
        <v>20</v>
      </c>
    </row>
    <row r="354" spans="1:3">
      <c r="A354" s="10" t="s">
        <v>376</v>
      </c>
      <c r="B354" s="21">
        <v>1.4466001543210645E-3</v>
      </c>
      <c r="C354" s="10">
        <v>34</v>
      </c>
    </row>
    <row r="355" spans="1:3">
      <c r="A355" s="10" t="s">
        <v>377</v>
      </c>
      <c r="B355" s="21">
        <v>1.7133549928059822E-3</v>
      </c>
      <c r="C355" s="10">
        <v>29</v>
      </c>
    </row>
    <row r="356" spans="1:3">
      <c r="A356" s="10" t="s">
        <v>378</v>
      </c>
      <c r="B356" s="21">
        <v>2.5553148510806872E-3</v>
      </c>
      <c r="C356" s="10">
        <v>26</v>
      </c>
    </row>
    <row r="357" spans="1:3">
      <c r="A357" s="10" t="s">
        <v>379</v>
      </c>
      <c r="B357" s="21">
        <v>1.2056736275955547E-3</v>
      </c>
      <c r="C357" s="10">
        <v>25</v>
      </c>
    </row>
    <row r="358" spans="1:3">
      <c r="A358" s="10" t="s">
        <v>380</v>
      </c>
      <c r="B358" s="21">
        <v>3.1565835153885358E-3</v>
      </c>
      <c r="C358" s="10">
        <v>44</v>
      </c>
    </row>
    <row r="359" spans="1:3">
      <c r="A359" s="10" t="s">
        <v>381</v>
      </c>
      <c r="B359" s="21">
        <v>1.1676669897209132E-3</v>
      </c>
      <c r="C359" s="10">
        <v>28</v>
      </c>
    </row>
    <row r="360" spans="1:3">
      <c r="A360" s="10" t="s">
        <v>382</v>
      </c>
      <c r="B360" s="21">
        <v>1.8828527604548785E-3</v>
      </c>
      <c r="C360" s="10">
        <v>35</v>
      </c>
    </row>
    <row r="361" spans="1:3">
      <c r="A361" s="10" t="s">
        <v>383</v>
      </c>
      <c r="B361" s="21">
        <v>7.4760124070403524E-4</v>
      </c>
      <c r="C361" s="10">
        <v>30</v>
      </c>
    </row>
    <row r="362" spans="1:3">
      <c r="A362" s="10" t="s">
        <v>384</v>
      </c>
      <c r="B362" s="21">
        <v>9.4919217394983063E-4</v>
      </c>
      <c r="C362" s="10">
        <v>24</v>
      </c>
    </row>
    <row r="363" spans="1:3">
      <c r="A363" s="10" t="s">
        <v>385</v>
      </c>
      <c r="B363" s="21">
        <v>1.178711330848125E-3</v>
      </c>
      <c r="C363" s="10">
        <v>18</v>
      </c>
    </row>
    <row r="364" spans="1:3">
      <c r="A364" s="10" t="s">
        <v>386</v>
      </c>
      <c r="B364" s="21">
        <v>1.9209084415026329E-3</v>
      </c>
      <c r="C364" s="10">
        <v>34</v>
      </c>
    </row>
    <row r="365" spans="1:3">
      <c r="A365" s="10" t="s">
        <v>387</v>
      </c>
      <c r="B365" s="21">
        <v>3.5098568623427961E-3</v>
      </c>
      <c r="C365" s="10">
        <v>20</v>
      </c>
    </row>
    <row r="366" spans="1:3">
      <c r="A366" s="10" t="s">
        <v>388</v>
      </c>
      <c r="B366" s="21">
        <v>1.0344733382422944E-3</v>
      </c>
      <c r="C366" s="10">
        <v>24</v>
      </c>
    </row>
    <row r="367" spans="1:3">
      <c r="A367" s="10" t="s">
        <v>389</v>
      </c>
      <c r="B367" s="21">
        <v>4.3014904886000266E-3</v>
      </c>
      <c r="C367" s="10">
        <v>41</v>
      </c>
    </row>
    <row r="368" spans="1:3">
      <c r="A368" s="10" t="s">
        <v>390</v>
      </c>
      <c r="B368" s="21">
        <v>6.5832418461601741E-4</v>
      </c>
      <c r="C368" s="10">
        <v>26</v>
      </c>
    </row>
    <row r="369" spans="1:3">
      <c r="A369" s="10" t="s">
        <v>391</v>
      </c>
      <c r="B369" s="21">
        <v>2.3623244039936934E-3</v>
      </c>
      <c r="C369" s="10">
        <v>53</v>
      </c>
    </row>
    <row r="370" spans="1:3">
      <c r="A370" s="10" t="s">
        <v>392</v>
      </c>
      <c r="B370" s="21">
        <v>3.5361966837615483E-4</v>
      </c>
      <c r="C370" s="10">
        <v>35</v>
      </c>
    </row>
    <row r="371" spans="1:3">
      <c r="A371" s="10" t="s">
        <v>393</v>
      </c>
      <c r="B371" s="21">
        <v>3.4172823831332779E-3</v>
      </c>
      <c r="C371" s="10">
        <v>5</v>
      </c>
    </row>
    <row r="372" spans="1:3">
      <c r="A372" s="10" t="s">
        <v>394</v>
      </c>
      <c r="B372" s="21">
        <v>5.0450977828482568E-4</v>
      </c>
      <c r="C372" s="10">
        <v>23</v>
      </c>
    </row>
    <row r="373" spans="1:3">
      <c r="A373" s="10" t="s">
        <v>395</v>
      </c>
      <c r="B373" s="21">
        <v>1.0490183493181279E-3</v>
      </c>
      <c r="C373" s="10">
        <v>21</v>
      </c>
    </row>
    <row r="374" spans="1:3">
      <c r="A374" s="10" t="s">
        <v>396</v>
      </c>
      <c r="B374" s="21">
        <v>1.1408915706667862E-3</v>
      </c>
      <c r="C374" s="10">
        <v>27</v>
      </c>
    </row>
    <row r="375" spans="1:3">
      <c r="A375" s="10" t="s">
        <v>397</v>
      </c>
      <c r="B375" s="21">
        <v>2.4576076790735124E-3</v>
      </c>
      <c r="C375" s="10">
        <v>44</v>
      </c>
    </row>
    <row r="376" spans="1:3">
      <c r="A376" s="10" t="s">
        <v>398</v>
      </c>
      <c r="B376" s="21">
        <v>1.364345053434598E-3</v>
      </c>
      <c r="C376" s="10">
        <v>28</v>
      </c>
    </row>
    <row r="377" spans="1:3">
      <c r="A377" s="10" t="s">
        <v>399</v>
      </c>
      <c r="B377" s="21">
        <v>2.2129294682610616E-3</v>
      </c>
      <c r="C377" s="10">
        <v>34</v>
      </c>
    </row>
    <row r="378" spans="1:3">
      <c r="A378" s="10" t="s">
        <v>400</v>
      </c>
      <c r="B378" s="21">
        <v>7.5032292628956858E-4</v>
      </c>
      <c r="C378" s="10">
        <v>11</v>
      </c>
    </row>
    <row r="379" spans="1:3">
      <c r="A379" s="10" t="s">
        <v>401</v>
      </c>
      <c r="B379" s="21">
        <v>9.1452848364951243E-4</v>
      </c>
      <c r="C379" s="10">
        <v>22</v>
      </c>
    </row>
    <row r="380" spans="1:3">
      <c r="A380" s="10" t="s">
        <v>402</v>
      </c>
      <c r="B380" s="21">
        <v>2.7867945591535199E-3</v>
      </c>
      <c r="C380" s="10">
        <v>29</v>
      </c>
    </row>
    <row r="381" spans="1:3">
      <c r="A381" s="10" t="s">
        <v>403</v>
      </c>
      <c r="B381" s="21">
        <v>2.7256218319409828E-3</v>
      </c>
      <c r="C381" s="10">
        <v>31</v>
      </c>
    </row>
    <row r="382" spans="1:3">
      <c r="A382" s="10" t="s">
        <v>404</v>
      </c>
      <c r="B382" s="21">
        <v>8.0038092415786488E-4</v>
      </c>
      <c r="C382" s="10">
        <v>25</v>
      </c>
    </row>
    <row r="383" spans="1:3">
      <c r="A383" s="10" t="s">
        <v>405</v>
      </c>
      <c r="B383" s="21">
        <v>1.3663664453849498E-3</v>
      </c>
      <c r="C383" s="10">
        <v>46</v>
      </c>
    </row>
    <row r="384" spans="1:3">
      <c r="A384" s="10" t="s">
        <v>406</v>
      </c>
      <c r="B384" s="21">
        <v>8.441008478131171E-4</v>
      </c>
      <c r="C384" s="10">
        <v>27</v>
      </c>
    </row>
    <row r="385" spans="1:3">
      <c r="A385" s="10" t="s">
        <v>407</v>
      </c>
      <c r="B385" s="21">
        <v>1.5040704162111041E-6</v>
      </c>
      <c r="C385" s="10">
        <v>36</v>
      </c>
    </row>
    <row r="386" spans="1:3">
      <c r="A386" s="10" t="s">
        <v>408</v>
      </c>
      <c r="B386" s="21">
        <v>7.8773821771288533E-4</v>
      </c>
      <c r="C386" s="10">
        <v>36</v>
      </c>
    </row>
    <row r="387" spans="1:3">
      <c r="A387" s="10" t="s">
        <v>409</v>
      </c>
      <c r="B387" s="21">
        <v>3.7896251863727678E-4</v>
      </c>
      <c r="C387" s="10">
        <v>12</v>
      </c>
    </row>
    <row r="388" spans="1:3">
      <c r="A388" s="10" t="s">
        <v>410</v>
      </c>
      <c r="B388" s="21">
        <v>1.7593402879669722E-3</v>
      </c>
      <c r="C388" s="10">
        <v>33</v>
      </c>
    </row>
    <row r="389" spans="1:3">
      <c r="A389" s="10" t="s">
        <v>411</v>
      </c>
      <c r="B389" s="21">
        <v>1.5600780015197564E-3</v>
      </c>
      <c r="C389" s="10">
        <v>29</v>
      </c>
    </row>
    <row r="390" spans="1:3">
      <c r="A390" s="10" t="s">
        <v>412</v>
      </c>
      <c r="B390" s="21">
        <v>4.5769892181829223E-3</v>
      </c>
      <c r="C390" s="10">
        <v>24</v>
      </c>
    </row>
    <row r="391" spans="1:3">
      <c r="A391" s="10" t="s">
        <v>413</v>
      </c>
      <c r="B391" s="21">
        <v>1.3512162074714377E-3</v>
      </c>
      <c r="C391" s="10">
        <v>17</v>
      </c>
    </row>
    <row r="392" spans="1:3">
      <c r="A392" s="10" t="s">
        <v>414</v>
      </c>
      <c r="B392" s="21">
        <v>2.0045140528866101E-4</v>
      </c>
      <c r="C392" s="10">
        <v>18</v>
      </c>
    </row>
    <row r="393" spans="1:3">
      <c r="A393" s="10" t="s">
        <v>415</v>
      </c>
      <c r="B393" s="21">
        <v>1.5172864742822904E-3</v>
      </c>
      <c r="C393" s="10">
        <v>37</v>
      </c>
    </row>
    <row r="394" spans="1:3">
      <c r="A394" s="10" t="s">
        <v>416</v>
      </c>
      <c r="B394" s="21">
        <v>5.7392662011016612E-4</v>
      </c>
      <c r="C394" s="10">
        <v>32</v>
      </c>
    </row>
    <row r="395" spans="1:3">
      <c r="A395" s="10" t="s">
        <v>417</v>
      </c>
      <c r="B395" s="21">
        <v>1.9366485536107321E-3</v>
      </c>
      <c r="C395" s="10">
        <v>36</v>
      </c>
    </row>
    <row r="396" spans="1:3">
      <c r="A396" s="10" t="s">
        <v>418</v>
      </c>
      <c r="B396" s="21">
        <v>2.8451240220922274E-3</v>
      </c>
      <c r="C396" s="10">
        <v>31</v>
      </c>
    </row>
    <row r="397" spans="1:3">
      <c r="A397" s="10" t="s">
        <v>419</v>
      </c>
      <c r="B397" s="21">
        <v>2.9878169044149669E-3</v>
      </c>
      <c r="C397" s="10">
        <v>35</v>
      </c>
    </row>
    <row r="398" spans="1:3">
      <c r="A398" s="10" t="s">
        <v>420</v>
      </c>
      <c r="B398" s="21">
        <v>1.0371880030629517E-3</v>
      </c>
      <c r="C398" s="10">
        <v>23</v>
      </c>
    </row>
    <row r="399" spans="1:3">
      <c r="A399" s="10" t="s">
        <v>421</v>
      </c>
      <c r="B399" s="21">
        <v>8.4163114564572933E-4</v>
      </c>
      <c r="C399" s="10">
        <v>14</v>
      </c>
    </row>
    <row r="400" spans="1:3">
      <c r="A400" s="10" t="s">
        <v>422</v>
      </c>
      <c r="B400" s="21">
        <v>2.2223082751876852E-3</v>
      </c>
      <c r="C400" s="10">
        <v>30</v>
      </c>
    </row>
    <row r="401" spans="1:3">
      <c r="A401" s="10" t="s">
        <v>423</v>
      </c>
      <c r="B401" s="21">
        <v>1.6758914147299972E-3</v>
      </c>
      <c r="C401" s="10">
        <v>43</v>
      </c>
    </row>
    <row r="402" spans="1:3">
      <c r="A402" s="10" t="s">
        <v>424</v>
      </c>
      <c r="B402" s="21">
        <v>2.2289394978461095E-3</v>
      </c>
      <c r="C402" s="10">
        <v>39</v>
      </c>
    </row>
    <row r="403" spans="1:3">
      <c r="A403" s="10" t="s">
        <v>425</v>
      </c>
      <c r="B403" s="21">
        <v>1.7467039445429548E-3</v>
      </c>
      <c r="C403" s="10">
        <v>16</v>
      </c>
    </row>
    <row r="404" spans="1:3">
      <c r="A404" s="10" t="s">
        <v>426</v>
      </c>
      <c r="B404" s="21">
        <v>1.6997121108903279E-3</v>
      </c>
      <c r="C404" s="10">
        <v>34</v>
      </c>
    </row>
    <row r="405" spans="1:3">
      <c r="A405" s="10" t="s">
        <v>427</v>
      </c>
      <c r="B405" s="21">
        <v>7.4420717741803316E-4</v>
      </c>
      <c r="C405" s="10">
        <v>16</v>
      </c>
    </row>
    <row r="406" spans="1:3">
      <c r="A406" s="10" t="s">
        <v>428</v>
      </c>
      <c r="B406" s="21">
        <v>1.6453190302720502E-3</v>
      </c>
      <c r="C406" s="10">
        <v>27</v>
      </c>
    </row>
    <row r="407" spans="1:3">
      <c r="A407" s="10" t="s">
        <v>429</v>
      </c>
      <c r="B407" s="21">
        <v>1.2330011428138235E-3</v>
      </c>
      <c r="C407" s="10">
        <v>37</v>
      </c>
    </row>
    <row r="408" spans="1:3">
      <c r="A408" s="10" t="s">
        <v>430</v>
      </c>
      <c r="B408" s="21">
        <v>1.1297116562729271E-3</v>
      </c>
      <c r="C408" s="10">
        <v>21</v>
      </c>
    </row>
    <row r="409" spans="1:3">
      <c r="A409" s="10" t="s">
        <v>431</v>
      </c>
      <c r="B409" s="21">
        <v>1.5448430437995774E-3</v>
      </c>
      <c r="C409" s="10">
        <v>29</v>
      </c>
    </row>
    <row r="410" spans="1:3">
      <c r="A410" s="10" t="s">
        <v>432</v>
      </c>
      <c r="B410" s="21">
        <v>1.8104583050983728E-3</v>
      </c>
      <c r="C410" s="10">
        <v>34</v>
      </c>
    </row>
    <row r="411" spans="1:3">
      <c r="A411" s="10" t="s">
        <v>433</v>
      </c>
      <c r="B411" s="21">
        <v>2.6494252838710061E-3</v>
      </c>
      <c r="C411" s="10">
        <v>28</v>
      </c>
    </row>
    <row r="412" spans="1:3">
      <c r="A412" s="10" t="s">
        <v>434</v>
      </c>
      <c r="B412" s="21">
        <v>2.0375283062955551E-3</v>
      </c>
      <c r="C412" s="10">
        <v>24</v>
      </c>
    </row>
    <row r="413" spans="1:3">
      <c r="A413" s="10" t="s">
        <v>435</v>
      </c>
      <c r="B413" s="21">
        <v>1.0413940648475442E-3</v>
      </c>
      <c r="C413" s="10">
        <v>20</v>
      </c>
    </row>
    <row r="414" spans="1:3">
      <c r="A414" s="10" t="s">
        <v>436</v>
      </c>
      <c r="B414" s="21">
        <v>7.9769503253432925E-4</v>
      </c>
      <c r="C414" s="10">
        <v>17</v>
      </c>
    </row>
    <row r="415" spans="1:3">
      <c r="A415" s="10" t="s">
        <v>437</v>
      </c>
      <c r="B415" s="21">
        <v>1.4620791265190648E-3</v>
      </c>
      <c r="C415" s="10">
        <v>28</v>
      </c>
    </row>
    <row r="416" spans="1:3">
      <c r="A416" s="10" t="s">
        <v>438</v>
      </c>
      <c r="B416" s="21">
        <v>4.3520774532817522E-4</v>
      </c>
      <c r="C416" s="10">
        <v>20</v>
      </c>
    </row>
    <row r="417" spans="1:3">
      <c r="A417" s="10" t="s">
        <v>439</v>
      </c>
      <c r="B417" s="21">
        <v>1.33787639415248E-3</v>
      </c>
      <c r="C417" s="10">
        <v>38</v>
      </c>
    </row>
    <row r="418" spans="1:3">
      <c r="A418" s="10" t="s">
        <v>440</v>
      </c>
      <c r="B418" s="21">
        <v>8.8712029306550961E-4</v>
      </c>
      <c r="C418" s="10">
        <v>18</v>
      </c>
    </row>
    <row r="419" spans="1:3">
      <c r="A419" s="10" t="s">
        <v>441</v>
      </c>
      <c r="B419" s="21">
        <v>1.5372152911969432E-4</v>
      </c>
      <c r="C419" s="10">
        <v>22</v>
      </c>
    </row>
    <row r="420" spans="1:3">
      <c r="A420" s="10" t="s">
        <v>442</v>
      </c>
      <c r="B420" s="21">
        <v>1.6557376276132246E-3</v>
      </c>
      <c r="C420" s="10">
        <v>21</v>
      </c>
    </row>
    <row r="421" spans="1:3">
      <c r="A421" s="10" t="s">
        <v>443</v>
      </c>
      <c r="B421" s="21">
        <v>5.1743853124063661E-4</v>
      </c>
      <c r="C421" s="10">
        <v>25</v>
      </c>
    </row>
    <row r="422" spans="1:3">
      <c r="A422" s="10" t="s">
        <v>444</v>
      </c>
      <c r="B422" s="21">
        <v>2.057800133678029E-3</v>
      </c>
      <c r="C422" s="10">
        <v>31</v>
      </c>
    </row>
    <row r="423" spans="1:3">
      <c r="A423" s="10" t="s">
        <v>445</v>
      </c>
      <c r="B423" s="21">
        <v>1.3986906220521955E-3</v>
      </c>
      <c r="C423" s="10">
        <v>32</v>
      </c>
    </row>
    <row r="424" spans="1:3">
      <c r="A424" s="10" t="s">
        <v>446</v>
      </c>
      <c r="B424" s="21">
        <v>1.08609967048553E-3</v>
      </c>
      <c r="C424" s="10">
        <v>33</v>
      </c>
    </row>
    <row r="425" spans="1:3">
      <c r="A425" s="10" t="s">
        <v>447</v>
      </c>
      <c r="B425" s="21">
        <v>1.2627240376432175E-4</v>
      </c>
      <c r="C425" s="10">
        <v>8</v>
      </c>
    </row>
    <row r="426" spans="1:3">
      <c r="A426" s="10" t="s">
        <v>448</v>
      </c>
      <c r="B426" s="21">
        <v>1.534375510860249E-3</v>
      </c>
      <c r="C426" s="10">
        <v>15</v>
      </c>
    </row>
    <row r="427" spans="1:3">
      <c r="A427" s="10" t="s">
        <v>449</v>
      </c>
      <c r="B427" s="21">
        <v>1.6267525668120964E-3</v>
      </c>
      <c r="C427" s="10">
        <v>26</v>
      </c>
    </row>
    <row r="428" spans="1:3">
      <c r="A428" s="10" t="s">
        <v>450</v>
      </c>
      <c r="B428" s="21">
        <v>1.5520491345140186E-3</v>
      </c>
      <c r="C428" s="10">
        <v>20</v>
      </c>
    </row>
    <row r="429" spans="1:3">
      <c r="A429" s="10" t="s">
        <v>451</v>
      </c>
      <c r="B429" s="21">
        <v>9.1794531304502478E-4</v>
      </c>
      <c r="C429" s="10">
        <v>26</v>
      </c>
    </row>
    <row r="430" spans="1:3">
      <c r="A430" s="10" t="s">
        <v>452</v>
      </c>
      <c r="B430" s="21">
        <v>1.6055971486838862E-3</v>
      </c>
      <c r="C430" s="10">
        <v>33</v>
      </c>
    </row>
    <row r="431" spans="1:3">
      <c r="A431" s="10" t="s">
        <v>453</v>
      </c>
      <c r="B431" s="21">
        <v>1.2631941101209183E-3</v>
      </c>
      <c r="C431" s="10">
        <v>23</v>
      </c>
    </row>
    <row r="432" spans="1:3">
      <c r="A432" s="10" t="s">
        <v>454</v>
      </c>
      <c r="B432" s="21">
        <v>1.5816097122218504E-3</v>
      </c>
      <c r="C432" s="10">
        <v>21</v>
      </c>
    </row>
    <row r="433" spans="1:3">
      <c r="A433" s="10" t="s">
        <v>455</v>
      </c>
      <c r="B433" s="21">
        <v>2.6291486538712553E-3</v>
      </c>
      <c r="C433" s="10">
        <v>43</v>
      </c>
    </row>
    <row r="434" spans="1:3">
      <c r="A434" s="10" t="s">
        <v>456</v>
      </c>
      <c r="B434" s="21">
        <v>3.1336712002945966E-3</v>
      </c>
      <c r="C434" s="10">
        <v>36</v>
      </c>
    </row>
    <row r="435" spans="1:3">
      <c r="A435" s="10" t="s">
        <v>457</v>
      </c>
      <c r="B435" s="21">
        <v>1.3453046986003688E-3</v>
      </c>
      <c r="C435" s="10">
        <v>34</v>
      </c>
    </row>
    <row r="436" spans="1:3">
      <c r="A436" s="10" t="s">
        <v>458</v>
      </c>
      <c r="B436" s="21">
        <v>9.4712567010745525E-4</v>
      </c>
      <c r="C436" s="10">
        <v>25</v>
      </c>
    </row>
    <row r="437" spans="1:3">
      <c r="A437" s="10" t="s">
        <v>459</v>
      </c>
      <c r="B437" s="21">
        <v>7.7014042980161151E-4</v>
      </c>
      <c r="C437" s="10">
        <v>14</v>
      </c>
    </row>
    <row r="438" spans="1:3">
      <c r="A438" s="10" t="s">
        <v>460</v>
      </c>
      <c r="B438" s="21">
        <v>1.2982790044099659E-3</v>
      </c>
      <c r="C438" s="10">
        <v>24</v>
      </c>
    </row>
    <row r="439" spans="1:3">
      <c r="A439" s="10" t="s">
        <v>461</v>
      </c>
      <c r="B439" s="21">
        <v>1.6236902315022244E-3</v>
      </c>
      <c r="C439" s="10">
        <v>38</v>
      </c>
    </row>
    <row r="440" spans="1:3">
      <c r="A440" s="10" t="s">
        <v>462</v>
      </c>
      <c r="B440" s="21">
        <v>1.7989339493120126E-3</v>
      </c>
      <c r="C440" s="10">
        <v>61</v>
      </c>
    </row>
    <row r="441" spans="1:3">
      <c r="A441" s="10" t="s">
        <v>463</v>
      </c>
      <c r="B441" s="21">
        <v>2.9460793245449858E-3</v>
      </c>
      <c r="C441" s="10">
        <v>30</v>
      </c>
    </row>
    <row r="442" spans="1:3">
      <c r="A442" s="10" t="s">
        <v>464</v>
      </c>
      <c r="B442" s="21">
        <v>1.2861779444426711E-3</v>
      </c>
      <c r="C442" s="10">
        <v>41</v>
      </c>
    </row>
    <row r="443" spans="1:3">
      <c r="A443" s="10" t="s">
        <v>465</v>
      </c>
      <c r="B443" s="21">
        <v>1.5453752914323584E-3</v>
      </c>
      <c r="C443" s="10">
        <v>28</v>
      </c>
    </row>
    <row r="444" spans="1:3">
      <c r="A444" s="10" t="s">
        <v>466</v>
      </c>
      <c r="B444" s="21">
        <v>1.0940291466712414E-3</v>
      </c>
      <c r="C444" s="10">
        <v>27</v>
      </c>
    </row>
    <row r="445" spans="1:3">
      <c r="A445" s="10" t="s">
        <v>467</v>
      </c>
      <c r="B445" s="21">
        <v>2.6552074914936189E-3</v>
      </c>
      <c r="C445" s="10">
        <v>28</v>
      </c>
    </row>
    <row r="446" spans="1:3">
      <c r="A446" s="10" t="s">
        <v>468</v>
      </c>
      <c r="B446" s="21">
        <v>6.0165222139853508E-4</v>
      </c>
      <c r="C446" s="10">
        <v>14</v>
      </c>
    </row>
    <row r="447" spans="1:3">
      <c r="A447" s="10" t="s">
        <v>469</v>
      </c>
      <c r="B447" s="21">
        <v>1.3770818956090299E-3</v>
      </c>
      <c r="C447" s="10">
        <v>30</v>
      </c>
    </row>
    <row r="448" spans="1:3">
      <c r="A448" s="10" t="s">
        <v>470</v>
      </c>
      <c r="B448" s="21">
        <v>1.2629078204108425E-3</v>
      </c>
      <c r="C448" s="10">
        <v>13</v>
      </c>
    </row>
    <row r="449" spans="1:3">
      <c r="A449" s="10" t="s">
        <v>471</v>
      </c>
      <c r="B449" s="21">
        <v>7.2679011003973096E-4</v>
      </c>
      <c r="C449" s="10">
        <v>45</v>
      </c>
    </row>
    <row r="450" spans="1:3">
      <c r="A450" s="10" t="s">
        <v>472</v>
      </c>
      <c r="B450" s="21">
        <v>1.2716322659779139E-3</v>
      </c>
      <c r="C450" s="10">
        <v>11</v>
      </c>
    </row>
    <row r="451" spans="1:3">
      <c r="A451" s="10" t="s">
        <v>473</v>
      </c>
      <c r="B451" s="21">
        <v>2.1130992759316796E-3</v>
      </c>
      <c r="C451" s="10">
        <v>36</v>
      </c>
    </row>
    <row r="452" spans="1:3">
      <c r="A452" s="10" t="s">
        <v>474</v>
      </c>
      <c r="B452" s="21">
        <v>5.0526754631870315E-5</v>
      </c>
      <c r="C452" s="10">
        <v>27</v>
      </c>
    </row>
    <row r="453" spans="1:3">
      <c r="A453" s="10" t="s">
        <v>475</v>
      </c>
      <c r="B453" s="21">
        <v>2.452452891464708E-3</v>
      </c>
      <c r="C453" s="10">
        <v>41</v>
      </c>
    </row>
    <row r="454" spans="1:3">
      <c r="A454" s="10" t="s">
        <v>476</v>
      </c>
      <c r="B454" s="21">
        <v>4.8180072219132752E-4</v>
      </c>
      <c r="C454" s="10">
        <v>34</v>
      </c>
    </row>
    <row r="455" spans="1:3">
      <c r="A455" s="10" t="s">
        <v>477</v>
      </c>
      <c r="B455" s="21">
        <v>2.9303987591541222E-3</v>
      </c>
      <c r="C455" s="10">
        <v>51</v>
      </c>
    </row>
    <row r="456" spans="1:3">
      <c r="A456" s="10" t="s">
        <v>478</v>
      </c>
      <c r="B456" s="21">
        <v>1.5158102827036669E-3</v>
      </c>
      <c r="C456" s="10">
        <v>38</v>
      </c>
    </row>
    <row r="457" spans="1:3">
      <c r="A457" s="10" t="s">
        <v>479</v>
      </c>
      <c r="B457" s="21">
        <v>1.0975336164482739E-3</v>
      </c>
      <c r="C457" s="10">
        <v>19</v>
      </c>
    </row>
    <row r="458" spans="1:3">
      <c r="A458" s="10" t="s">
        <v>480</v>
      </c>
      <c r="B458" s="21">
        <v>1.1665421647025977E-3</v>
      </c>
      <c r="C458" s="10">
        <v>9</v>
      </c>
    </row>
    <row r="459" spans="1:3">
      <c r="A459" s="10" t="s">
        <v>481</v>
      </c>
      <c r="B459" s="21">
        <v>3.9222864888453562E-4</v>
      </c>
      <c r="C459" s="10">
        <v>19</v>
      </c>
    </row>
    <row r="460" spans="1:3">
      <c r="A460" s="10" t="s">
        <v>482</v>
      </c>
      <c r="B460" s="21">
        <v>7.2253342293772469E-4</v>
      </c>
      <c r="C460" s="10">
        <v>24</v>
      </c>
    </row>
    <row r="461" spans="1:3">
      <c r="A461" s="10" t="s">
        <v>483</v>
      </c>
      <c r="B461" s="21">
        <v>1.2417317094581084E-3</v>
      </c>
      <c r="C461" s="10">
        <v>29</v>
      </c>
    </row>
    <row r="462" spans="1:3">
      <c r="A462" s="10" t="s">
        <v>484</v>
      </c>
      <c r="B462" s="21">
        <v>3.4658317582169604E-4</v>
      </c>
      <c r="C462" s="10">
        <v>30</v>
      </c>
    </row>
    <row r="463" spans="1:3">
      <c r="A463" s="10" t="s">
        <v>485</v>
      </c>
      <c r="B463" s="21">
        <v>8.2548058192567363E-4</v>
      </c>
      <c r="C463" s="10">
        <v>25</v>
      </c>
    </row>
    <row r="464" spans="1:3">
      <c r="A464" s="10" t="s">
        <v>486</v>
      </c>
      <c r="B464" s="21">
        <v>4.1370908715067487E-4</v>
      </c>
      <c r="C464" s="10">
        <v>10</v>
      </c>
    </row>
    <row r="465" spans="1:3">
      <c r="A465" s="10" t="s">
        <v>487</v>
      </c>
      <c r="B465" s="21">
        <v>1.4566385932371128E-3</v>
      </c>
      <c r="C465" s="10">
        <v>35</v>
      </c>
    </row>
    <row r="466" spans="1:3">
      <c r="A466" s="10" t="s">
        <v>488</v>
      </c>
      <c r="B466" s="21">
        <v>2.3132191057017078E-3</v>
      </c>
      <c r="C466" s="10">
        <v>43</v>
      </c>
    </row>
    <row r="467" spans="1:3">
      <c r="A467" s="10" t="s">
        <v>489</v>
      </c>
      <c r="B467" s="21">
        <v>1.4317558513957497E-4</v>
      </c>
      <c r="C467" s="10">
        <v>30</v>
      </c>
    </row>
    <row r="468" spans="1:3">
      <c r="A468" s="10" t="s">
        <v>490</v>
      </c>
      <c r="B468" s="21">
        <v>6.7915136875968296E-4</v>
      </c>
      <c r="C468" s="10">
        <v>13</v>
      </c>
    </row>
    <row r="469" spans="1:3">
      <c r="A469" s="10" t="s">
        <v>491</v>
      </c>
      <c r="B469" s="21">
        <v>1.366898609417252E-3</v>
      </c>
      <c r="C469" s="10">
        <v>34</v>
      </c>
    </row>
    <row r="470" spans="1:3">
      <c r="A470" s="10" t="s">
        <v>492</v>
      </c>
      <c r="B470" s="21">
        <v>2.2594233125458542E-3</v>
      </c>
      <c r="C470" s="10">
        <v>42</v>
      </c>
    </row>
    <row r="471" spans="1:3">
      <c r="A471" s="10" t="s">
        <v>493</v>
      </c>
      <c r="B471" s="21">
        <v>1.0366360920322549E-3</v>
      </c>
      <c r="C471" s="10">
        <v>18</v>
      </c>
    </row>
    <row r="472" spans="1:3">
      <c r="A472" s="10" t="s">
        <v>494</v>
      </c>
      <c r="B472" s="21">
        <v>5.9731351653085653E-4</v>
      </c>
      <c r="C472" s="10">
        <v>18</v>
      </c>
    </row>
    <row r="473" spans="1:3">
      <c r="A473" s="10" t="s">
        <v>495</v>
      </c>
      <c r="B473" s="21">
        <v>4.409629758166273E-4</v>
      </c>
      <c r="C473" s="10">
        <v>18</v>
      </c>
    </row>
    <row r="474" spans="1:3">
      <c r="A474" s="10" t="s">
        <v>496</v>
      </c>
      <c r="B474" s="21">
        <v>1.0183700202399161E-3</v>
      </c>
      <c r="C474" s="10">
        <v>28</v>
      </c>
    </row>
    <row r="475" spans="1:3">
      <c r="A475" s="10" t="s">
        <v>497</v>
      </c>
      <c r="B475" s="21">
        <v>4.9697144120999174E-4</v>
      </c>
      <c r="C475" s="10">
        <v>17</v>
      </c>
    </row>
    <row r="476" spans="1:3">
      <c r="A476" s="10" t="s">
        <v>498</v>
      </c>
      <c r="B476" s="21">
        <v>1.5676548917442853E-3</v>
      </c>
      <c r="C476" s="10">
        <v>36</v>
      </c>
    </row>
    <row r="477" spans="1:3">
      <c r="A477" s="10" t="s">
        <v>499</v>
      </c>
      <c r="B477" s="21">
        <v>1.7613632518899513E-3</v>
      </c>
      <c r="C477" s="10">
        <v>24</v>
      </c>
    </row>
    <row r="478" spans="1:3">
      <c r="A478" s="10" t="s">
        <v>500</v>
      </c>
      <c r="B478" s="21">
        <v>2.2019660152202917E-3</v>
      </c>
      <c r="C478" s="10">
        <v>21</v>
      </c>
    </row>
    <row r="479" spans="1:3">
      <c r="A479" s="10" t="s">
        <v>501</v>
      </c>
      <c r="B479" s="21">
        <v>1.7736518381051745E-3</v>
      </c>
      <c r="C479" s="10">
        <v>24</v>
      </c>
    </row>
    <row r="480" spans="1:3">
      <c r="A480" s="10" t="s">
        <v>502</v>
      </c>
      <c r="B480" s="21">
        <v>1.2066367727129957E-3</v>
      </c>
      <c r="C480" s="10">
        <v>25</v>
      </c>
    </row>
    <row r="481" spans="1:3">
      <c r="A481" s="10" t="s">
        <v>503</v>
      </c>
      <c r="B481" s="21">
        <v>2.6097036362009232E-3</v>
      </c>
      <c r="C481" s="10">
        <v>43</v>
      </c>
    </row>
    <row r="482" spans="1:3">
      <c r="A482" s="10" t="s">
        <v>504</v>
      </c>
      <c r="B482" s="21">
        <v>1.5924123813612402E-3</v>
      </c>
      <c r="C482" s="10">
        <v>32</v>
      </c>
    </row>
    <row r="483" spans="1:3">
      <c r="A483" s="10" t="s">
        <v>505</v>
      </c>
      <c r="B483" s="21">
        <v>1.412290843103558E-3</v>
      </c>
      <c r="C483" s="10">
        <v>29</v>
      </c>
    </row>
    <row r="484" spans="1:3">
      <c r="A484" s="10" t="s">
        <v>506</v>
      </c>
      <c r="B484" s="21">
        <v>4.99844529871639E-5</v>
      </c>
      <c r="C484" s="10">
        <v>36</v>
      </c>
    </row>
    <row r="485" spans="1:3">
      <c r="A485" s="10" t="s">
        <v>507</v>
      </c>
      <c r="B485" s="21">
        <v>1.9391484435501453E-5</v>
      </c>
      <c r="C485" s="10">
        <v>19</v>
      </c>
    </row>
    <row r="486" spans="1:3">
      <c r="A486" s="10" t="s">
        <v>508</v>
      </c>
      <c r="B486" s="21">
        <v>2.0151855483134017E-3</v>
      </c>
      <c r="C486" s="10">
        <v>46</v>
      </c>
    </row>
    <row r="487" spans="1:3">
      <c r="A487" s="10" t="s">
        <v>509</v>
      </c>
      <c r="B487" s="21">
        <v>1.0584939568117808E-3</v>
      </c>
      <c r="C487" s="10">
        <v>27</v>
      </c>
    </row>
    <row r="488" spans="1:3">
      <c r="A488" s="10" t="s">
        <v>510</v>
      </c>
      <c r="B488" s="21">
        <v>1.9125741147187072E-3</v>
      </c>
      <c r="C488" s="10">
        <v>32</v>
      </c>
    </row>
    <row r="489" spans="1:3">
      <c r="A489" s="10" t="s">
        <v>511</v>
      </c>
      <c r="B489" s="21">
        <v>1.143114642126142E-3</v>
      </c>
      <c r="C489" s="10">
        <v>27</v>
      </c>
    </row>
    <row r="490" spans="1:3">
      <c r="A490" s="10" t="s">
        <v>512</v>
      </c>
      <c r="B490" s="21">
        <v>6.4250769911445996E-4</v>
      </c>
      <c r="C490" s="10">
        <v>13</v>
      </c>
    </row>
    <row r="491" spans="1:3">
      <c r="A491" s="10" t="s">
        <v>513</v>
      </c>
      <c r="B491" s="21">
        <v>2.1517265188980609E-3</v>
      </c>
      <c r="C491" s="10">
        <v>45</v>
      </c>
    </row>
    <row r="492" spans="1:3">
      <c r="A492" s="10" t="s">
        <v>514</v>
      </c>
      <c r="B492" s="21">
        <v>2.1928257200041117E-3</v>
      </c>
      <c r="C492" s="10">
        <v>14</v>
      </c>
    </row>
    <row r="493" spans="1:3">
      <c r="A493" s="10" t="s">
        <v>515</v>
      </c>
      <c r="B493" s="21">
        <v>1.1954786555576191E-3</v>
      </c>
      <c r="C493" s="10">
        <v>24</v>
      </c>
    </row>
    <row r="494" spans="1:3">
      <c r="A494" s="10" t="s">
        <v>516</v>
      </c>
      <c r="B494" s="21">
        <v>2.2594233125458542E-3</v>
      </c>
      <c r="C494" s="10">
        <v>42</v>
      </c>
    </row>
    <row r="495" spans="1:3">
      <c r="A495" s="10" t="s">
        <v>517</v>
      </c>
      <c r="B495" s="21">
        <v>8.6254428308314492E-5</v>
      </c>
      <c r="C495" s="10">
        <v>22</v>
      </c>
    </row>
    <row r="496" spans="1:3">
      <c r="A496" s="10" t="s">
        <v>518</v>
      </c>
      <c r="B496" s="21">
        <v>1.1124533664373468E-3</v>
      </c>
      <c r="C496" s="10">
        <v>17</v>
      </c>
    </row>
    <row r="497" spans="1:3">
      <c r="A497" s="10" t="s">
        <v>519</v>
      </c>
      <c r="B497" s="21">
        <v>1.2787492045871955E-3</v>
      </c>
      <c r="C497" s="10">
        <v>33</v>
      </c>
    </row>
    <row r="498" spans="1:3">
      <c r="A498" s="10" t="s">
        <v>520</v>
      </c>
      <c r="B498" s="21">
        <v>1.4350045645014373E-4</v>
      </c>
      <c r="C498" s="10">
        <v>18</v>
      </c>
    </row>
    <row r="499" spans="1:3">
      <c r="A499" s="10" t="s">
        <v>521</v>
      </c>
      <c r="B499" s="21">
        <v>2.6759780983936585E-3</v>
      </c>
      <c r="C499" s="10">
        <v>47</v>
      </c>
    </row>
    <row r="500" spans="1:3">
      <c r="A500" s="10" t="s">
        <v>522</v>
      </c>
      <c r="B500" s="21">
        <v>6.3980452260375725E-4</v>
      </c>
      <c r="C500" s="10">
        <v>22</v>
      </c>
    </row>
    <row r="501" spans="1:3">
      <c r="A501" s="10" t="s">
        <v>523</v>
      </c>
      <c r="B501" s="21">
        <v>1.9801372720380192E-3</v>
      </c>
      <c r="C501" s="10">
        <v>42</v>
      </c>
    </row>
    <row r="502" spans="1:3">
      <c r="A502" s="10" t="s">
        <v>524</v>
      </c>
      <c r="B502" s="21">
        <v>1.7798186393856534E-3</v>
      </c>
      <c r="C502" s="10">
        <v>40</v>
      </c>
    </row>
    <row r="503" spans="1:3">
      <c r="A503" s="10" t="s">
        <v>525</v>
      </c>
      <c r="B503" s="21">
        <v>1.0940003444260455E-3</v>
      </c>
      <c r="C503" s="10">
        <v>19</v>
      </c>
    </row>
    <row r="504" spans="1:3">
      <c r="A504" s="10" t="s">
        <v>526</v>
      </c>
      <c r="B504" s="21">
        <v>1.11603491676765E-3</v>
      </c>
      <c r="C504" s="10">
        <v>25</v>
      </c>
    </row>
    <row r="505" spans="1:3">
      <c r="A505" s="10" t="s">
        <v>527</v>
      </c>
      <c r="B505" s="21">
        <v>1.1629921571647622E-3</v>
      </c>
      <c r="C505" s="10">
        <v>33</v>
      </c>
    </row>
    <row r="506" spans="1:3">
      <c r="A506" s="10" t="s">
        <v>528</v>
      </c>
      <c r="B506" s="21">
        <v>8.0454520793031103E-4</v>
      </c>
      <c r="C506" s="10">
        <v>16</v>
      </c>
    </row>
    <row r="507" spans="1:3">
      <c r="A507" s="10" t="s">
        <v>529</v>
      </c>
      <c r="B507" s="21">
        <v>5.1430246113888739E-4</v>
      </c>
      <c r="C507" s="10">
        <v>7</v>
      </c>
    </row>
    <row r="508" spans="1:3">
      <c r="A508" s="10" t="s">
        <v>530</v>
      </c>
      <c r="B508" s="21">
        <v>3.4176233496554008E-3</v>
      </c>
      <c r="C508" s="10">
        <v>9</v>
      </c>
    </row>
    <row r="509" spans="1:3">
      <c r="A509" s="10" t="s">
        <v>531</v>
      </c>
      <c r="B509" s="21">
        <v>3.0083082587812507E-3</v>
      </c>
      <c r="C509" s="10">
        <v>30</v>
      </c>
    </row>
    <row r="510" spans="1:3">
      <c r="A510" s="10" t="s">
        <v>532</v>
      </c>
      <c r="B510" s="21">
        <v>8.9301258450014587E-4</v>
      </c>
      <c r="C510" s="10">
        <v>19</v>
      </c>
    </row>
    <row r="511" spans="1:3">
      <c r="A511" s="10" t="s">
        <v>533</v>
      </c>
      <c r="B511" s="21">
        <v>1.9049248596662834E-3</v>
      </c>
      <c r="C511" s="10">
        <v>37</v>
      </c>
    </row>
    <row r="512" spans="1:3">
      <c r="A512" s="10" t="s">
        <v>534</v>
      </c>
      <c r="B512" s="21">
        <v>2.0408050604642626E-3</v>
      </c>
      <c r="C512" s="10">
        <v>21</v>
      </c>
    </row>
    <row r="513" spans="1:3">
      <c r="A513" s="10" t="s">
        <v>535</v>
      </c>
      <c r="B513" s="21">
        <v>7.8418707025182605E-4</v>
      </c>
      <c r="C513" s="10">
        <v>24</v>
      </c>
    </row>
    <row r="514" spans="1:3">
      <c r="A514" s="10" t="s">
        <v>536</v>
      </c>
      <c r="B514" s="21">
        <v>1.3960415944455349E-3</v>
      </c>
      <c r="C514" s="10">
        <v>26</v>
      </c>
    </row>
    <row r="515" spans="1:3">
      <c r="A515" s="10" t="s">
        <v>537</v>
      </c>
      <c r="B515" s="21">
        <v>1.5158744201015459E-4</v>
      </c>
      <c r="C515" s="10">
        <v>15</v>
      </c>
    </row>
    <row r="516" spans="1:3">
      <c r="A516" s="10" t="s">
        <v>538</v>
      </c>
      <c r="B516" s="21">
        <v>1.758389878806019E-3</v>
      </c>
      <c r="C516" s="10">
        <v>22</v>
      </c>
    </row>
    <row r="517" spans="1:3">
      <c r="A517" s="10" t="s">
        <v>539</v>
      </c>
      <c r="B517" s="21">
        <v>1.1995693568212047E-3</v>
      </c>
      <c r="C517" s="10">
        <v>31</v>
      </c>
    </row>
    <row r="518" spans="1:3">
      <c r="A518" s="10" t="s">
        <v>540</v>
      </c>
      <c r="B518" s="21">
        <v>1.1336917901301133E-3</v>
      </c>
      <c r="C518" s="10">
        <v>24</v>
      </c>
    </row>
    <row r="519" spans="1:3">
      <c r="A519" s="10" t="s">
        <v>541</v>
      </c>
      <c r="B519" s="21">
        <v>1.2898041113461347E-3</v>
      </c>
      <c r="C519" s="10">
        <v>22</v>
      </c>
    </row>
    <row r="520" spans="1:3">
      <c r="A520" s="10" t="s">
        <v>542</v>
      </c>
      <c r="B520" s="21">
        <v>1.6737136217756358E-3</v>
      </c>
      <c r="C520" s="10">
        <v>39</v>
      </c>
    </row>
    <row r="521" spans="1:3">
      <c r="A521" s="10" t="s">
        <v>543</v>
      </c>
      <c r="B521" s="21">
        <v>7.0495734871097663E-4</v>
      </c>
      <c r="C521" s="10">
        <v>17</v>
      </c>
    </row>
    <row r="522" spans="1:3">
      <c r="A522" s="10" t="s">
        <v>544</v>
      </c>
      <c r="B522" s="21">
        <v>9.0506449139425983E-4</v>
      </c>
      <c r="C522" s="10">
        <v>17</v>
      </c>
    </row>
    <row r="523" spans="1:3">
      <c r="A523" s="10" t="s">
        <v>545</v>
      </c>
      <c r="B523" s="21">
        <v>1.7147361984993701E-4</v>
      </c>
      <c r="C523" s="10">
        <v>17</v>
      </c>
    </row>
    <row r="524" spans="1:3">
      <c r="A524" s="10" t="s">
        <v>546</v>
      </c>
      <c r="B524" s="21">
        <v>1.1986091678556185E-3</v>
      </c>
      <c r="C524" s="10">
        <v>24</v>
      </c>
    </row>
    <row r="525" spans="1:3">
      <c r="A525" s="10" t="s">
        <v>547</v>
      </c>
      <c r="B525" s="21">
        <v>1.5881418004151265E-3</v>
      </c>
      <c r="C525" s="10">
        <v>33</v>
      </c>
    </row>
    <row r="526" spans="1:3">
      <c r="A526" s="10" t="s">
        <v>548</v>
      </c>
      <c r="B526" s="21">
        <v>2.2263032287186577E-4</v>
      </c>
      <c r="C526" s="10">
        <v>16</v>
      </c>
    </row>
    <row r="527" spans="1:3">
      <c r="A527" s="10" t="s">
        <v>549</v>
      </c>
      <c r="B527" s="21">
        <v>1.8988229763858549E-3</v>
      </c>
      <c r="C527" s="10">
        <v>32</v>
      </c>
    </row>
    <row r="528" spans="1:3">
      <c r="A528" s="10" t="s">
        <v>550</v>
      </c>
      <c r="B528" s="21">
        <v>1.1207255226062369E-3</v>
      </c>
      <c r="C528" s="10">
        <v>4</v>
      </c>
    </row>
    <row r="529" spans="1:3">
      <c r="A529" s="10" t="s">
        <v>551</v>
      </c>
      <c r="B529" s="21">
        <v>2.0431225745847618E-3</v>
      </c>
      <c r="C529" s="10">
        <v>30</v>
      </c>
    </row>
    <row r="530" spans="1:3">
      <c r="A530" s="10" t="s">
        <v>552</v>
      </c>
      <c r="B530" s="21">
        <v>1.8417522753570383E-3</v>
      </c>
      <c r="C530" s="10">
        <v>24</v>
      </c>
    </row>
    <row r="531" spans="1:3">
      <c r="A531" s="10" t="s">
        <v>553</v>
      </c>
      <c r="B531" s="21">
        <v>2.543452193132126E-3</v>
      </c>
      <c r="C531" s="10">
        <v>17</v>
      </c>
    </row>
    <row r="532" spans="1:3">
      <c r="A532" s="10" t="s">
        <v>554</v>
      </c>
      <c r="B532" s="21">
        <v>8.0337430708301454E-4</v>
      </c>
      <c r="C532" s="10">
        <v>22</v>
      </c>
    </row>
    <row r="533" spans="1:3">
      <c r="A533" s="10" t="s">
        <v>555</v>
      </c>
      <c r="B533" s="21">
        <v>1.6676695878314639E-3</v>
      </c>
      <c r="C533" s="10">
        <v>31</v>
      </c>
    </row>
    <row r="534" spans="1:3">
      <c r="A534" s="10" t="s">
        <v>556</v>
      </c>
      <c r="B534" s="21">
        <v>1.187953628111285E-3</v>
      </c>
      <c r="C534" s="10">
        <v>23</v>
      </c>
    </row>
    <row r="535" spans="1:3">
      <c r="A535" s="10" t="s">
        <v>557</v>
      </c>
      <c r="B535" s="21">
        <v>4.3294353184578482E-3</v>
      </c>
      <c r="C535" s="10">
        <v>35</v>
      </c>
    </row>
    <row r="536" spans="1:3">
      <c r="A536" s="10" t="s">
        <v>558</v>
      </c>
      <c r="B536" s="21">
        <v>3.8982871030393447E-3</v>
      </c>
      <c r="C536" s="10">
        <v>39</v>
      </c>
    </row>
    <row r="537" spans="1:3">
      <c r="A537" s="10" t="s">
        <v>559</v>
      </c>
      <c r="B537" s="21">
        <v>3.140714044512547E-3</v>
      </c>
      <c r="C537" s="10">
        <v>50</v>
      </c>
    </row>
    <row r="538" spans="1:3">
      <c r="A538" s="10" t="s">
        <v>560</v>
      </c>
      <c r="B538" s="21">
        <v>1.4729551543504562E-3</v>
      </c>
      <c r="C538" s="10">
        <v>26</v>
      </c>
    </row>
    <row r="539" spans="1:3">
      <c r="A539" s="10" t="s">
        <v>561</v>
      </c>
      <c r="B539" s="21">
        <v>9.2901974948471073E-4</v>
      </c>
      <c r="C539" s="10">
        <v>23</v>
      </c>
    </row>
    <row r="540" spans="1:3">
      <c r="A540" s="10" t="s">
        <v>562</v>
      </c>
      <c r="B540" s="21">
        <v>1.5553272924701848E-3</v>
      </c>
      <c r="C540" s="10">
        <v>37</v>
      </c>
    </row>
    <row r="541" spans="1:3">
      <c r="A541" s="10" t="s">
        <v>563</v>
      </c>
      <c r="B541" s="21">
        <v>2.0817306126104727E-3</v>
      </c>
      <c r="C541" s="10">
        <v>50</v>
      </c>
    </row>
    <row r="542" spans="1:3">
      <c r="A542" s="10" t="s">
        <v>564</v>
      </c>
      <c r="B542" s="21">
        <v>1.9838516806935454E-3</v>
      </c>
      <c r="C542" s="10">
        <v>31</v>
      </c>
    </row>
    <row r="543" spans="1:3">
      <c r="A543" s="10" t="s">
        <v>565</v>
      </c>
      <c r="B543" s="21">
        <v>3.0581307819163867E-3</v>
      </c>
      <c r="C543" s="10">
        <v>23</v>
      </c>
    </row>
    <row r="544" spans="1:3">
      <c r="A544" s="10" t="s">
        <v>566</v>
      </c>
      <c r="B544" s="21">
        <v>2.2833161990234519E-3</v>
      </c>
      <c r="C544" s="10">
        <v>34</v>
      </c>
    </row>
    <row r="545" spans="1:3">
      <c r="A545" s="10" t="s">
        <v>567</v>
      </c>
      <c r="B545" s="21">
        <v>1.2149982201569074E-3</v>
      </c>
      <c r="C545" s="10">
        <v>34</v>
      </c>
    </row>
    <row r="546" spans="1:3">
      <c r="A546" s="10" t="s">
        <v>568</v>
      </c>
      <c r="B546" s="21">
        <v>1.8173104510061744E-3</v>
      </c>
      <c r="C546" s="10">
        <v>33</v>
      </c>
    </row>
    <row r="547" spans="1:3">
      <c r="A547" s="10" t="s">
        <v>569</v>
      </c>
      <c r="B547" s="21">
        <v>2.3729319839809718E-3</v>
      </c>
      <c r="C547" s="10">
        <v>48</v>
      </c>
    </row>
    <row r="548" spans="1:3">
      <c r="A548" s="10" t="s">
        <v>570</v>
      </c>
      <c r="B548" s="21">
        <v>1.0468887201323933E-3</v>
      </c>
      <c r="C548" s="10">
        <v>29</v>
      </c>
    </row>
    <row r="549" spans="1:3">
      <c r="A549" s="10" t="s">
        <v>571</v>
      </c>
      <c r="B549" s="21">
        <v>4.947163182912785E-4</v>
      </c>
      <c r="C549" s="10">
        <v>35</v>
      </c>
    </row>
    <row r="550" spans="1:3">
      <c r="A550" s="10" t="s">
        <v>572</v>
      </c>
      <c r="B550" s="21">
        <v>9.3014183735731424E-4</v>
      </c>
      <c r="C550" s="10">
        <v>28</v>
      </c>
    </row>
    <row r="551" spans="1:3">
      <c r="A551" s="10" t="s">
        <v>573</v>
      </c>
      <c r="B551" s="21">
        <v>1.8414856295507832E-3</v>
      </c>
      <c r="C551" s="10">
        <v>28</v>
      </c>
    </row>
    <row r="552" spans="1:3">
      <c r="A552" s="10" t="s">
        <v>574</v>
      </c>
      <c r="B552" s="21">
        <v>1.0221200699612198E-3</v>
      </c>
      <c r="C552" s="10">
        <v>19</v>
      </c>
    </row>
    <row r="553" spans="1:3">
      <c r="A553" s="10" t="s">
        <v>575</v>
      </c>
      <c r="B553" s="21">
        <v>9.7659907042466857E-4</v>
      </c>
      <c r="C553" s="10">
        <v>22</v>
      </c>
    </row>
    <row r="554" spans="1:3">
      <c r="A554" s="10" t="s">
        <v>576</v>
      </c>
      <c r="B554" s="21">
        <v>1.0075541514560228E-3</v>
      </c>
      <c r="C554" s="10">
        <v>26</v>
      </c>
    </row>
    <row r="555" spans="1:3">
      <c r="A555" s="10" t="s">
        <v>577</v>
      </c>
      <c r="B555" s="21">
        <v>1.5789745625351145E-3</v>
      </c>
      <c r="C555" s="10">
        <v>29</v>
      </c>
    </row>
    <row r="556" spans="1:3">
      <c r="A556" s="10" t="s">
        <v>578</v>
      </c>
      <c r="B556" s="21">
        <v>2.3856496052785106E-3</v>
      </c>
      <c r="C556" s="10">
        <v>35</v>
      </c>
    </row>
    <row r="557" spans="1:3">
      <c r="A557" s="10" t="s">
        <v>579</v>
      </c>
      <c r="B557" s="21">
        <v>3.0746699872019156E-3</v>
      </c>
      <c r="C557" s="10">
        <v>32</v>
      </c>
    </row>
    <row r="558" spans="1:3">
      <c r="A558" s="10" t="s">
        <v>580</v>
      </c>
      <c r="B558" s="21">
        <v>2.7688064798372957E-3</v>
      </c>
      <c r="C558" s="10">
        <v>44</v>
      </c>
    </row>
    <row r="559" spans="1:3">
      <c r="A559" s="10" t="s">
        <v>581</v>
      </c>
      <c r="B559" s="21">
        <v>1.6720620844230827E-3</v>
      </c>
      <c r="C559" s="10">
        <v>32</v>
      </c>
    </row>
    <row r="560" spans="1:3">
      <c r="A560" s="10" t="s">
        <v>582</v>
      </c>
      <c r="B560" s="21">
        <v>6.2525235177803441E-4</v>
      </c>
      <c r="C560" s="10">
        <v>8</v>
      </c>
    </row>
    <row r="561" spans="1:3">
      <c r="A561" s="10" t="s">
        <v>583</v>
      </c>
      <c r="B561" s="21">
        <v>1.920359226579823E-3</v>
      </c>
      <c r="C561" s="10">
        <v>30</v>
      </c>
    </row>
    <row r="562" spans="1:3">
      <c r="A562" s="10" t="s">
        <v>584</v>
      </c>
      <c r="B562" s="21">
        <v>2.5711306692622173E-3</v>
      </c>
      <c r="C562" s="10">
        <v>42</v>
      </c>
    </row>
    <row r="563" spans="1:3">
      <c r="A563" s="10" t="s">
        <v>585</v>
      </c>
      <c r="B563" s="21">
        <v>1.9072651390531555E-3</v>
      </c>
      <c r="C563" s="10">
        <v>44</v>
      </c>
    </row>
    <row r="564" spans="1:3">
      <c r="A564" s="10" t="s">
        <v>586</v>
      </c>
      <c r="B564" s="21">
        <v>2.6272966663581135E-3</v>
      </c>
      <c r="C564" s="10">
        <v>41</v>
      </c>
    </row>
    <row r="565" spans="1:3">
      <c r="A565" s="10" t="s">
        <v>587</v>
      </c>
      <c r="B565" s="21">
        <v>8.4414757447350333E-4</v>
      </c>
      <c r="C565" s="10">
        <v>19</v>
      </c>
    </row>
    <row r="566" spans="1:3">
      <c r="A566" s="10" t="s">
        <v>588</v>
      </c>
      <c r="B566" s="21">
        <v>2.2594233125458542E-3</v>
      </c>
      <c r="C566" s="10">
        <v>42</v>
      </c>
    </row>
    <row r="567" spans="1:3">
      <c r="A567" s="10" t="s">
        <v>589</v>
      </c>
      <c r="B567" s="21">
        <v>8.961612504037067E-4</v>
      </c>
      <c r="C567" s="10">
        <v>30</v>
      </c>
    </row>
    <row r="568" spans="1:3">
      <c r="A568" s="10" t="s">
        <v>590</v>
      </c>
      <c r="B568" s="21">
        <v>2.263224003553536E-4</v>
      </c>
      <c r="C568" s="10">
        <v>13</v>
      </c>
    </row>
    <row r="569" spans="1:3">
      <c r="A569" s="10" t="s">
        <v>591</v>
      </c>
      <c r="B569" s="21">
        <v>1.188792614600634E-3</v>
      </c>
      <c r="C569" s="10">
        <v>34</v>
      </c>
    </row>
    <row r="570" spans="1:3">
      <c r="A570" s="10" t="s">
        <v>592</v>
      </c>
      <c r="B570" s="21">
        <v>3.052730371448412E-3</v>
      </c>
      <c r="C570" s="10">
        <v>38</v>
      </c>
    </row>
    <row r="571" spans="1:3">
      <c r="A571" s="10" t="s">
        <v>593</v>
      </c>
      <c r="B571" s="21">
        <v>1.0850048989338502E-3</v>
      </c>
      <c r="C571" s="10">
        <v>17</v>
      </c>
    </row>
    <row r="572" spans="1:3">
      <c r="A572" s="10" t="s">
        <v>594</v>
      </c>
      <c r="B572" s="21">
        <v>2.917371841535159E-3</v>
      </c>
      <c r="C572" s="10">
        <v>37</v>
      </c>
    </row>
    <row r="573" spans="1:3">
      <c r="A573" s="10" t="s">
        <v>595</v>
      </c>
      <c r="B573" s="21">
        <v>1.6698627894121754E-3</v>
      </c>
      <c r="C573" s="10">
        <v>27</v>
      </c>
    </row>
    <row r="574" spans="1:3">
      <c r="A574" s="10" t="s">
        <v>596</v>
      </c>
      <c r="B574" s="21">
        <v>1.9366485536107321E-3</v>
      </c>
      <c r="C574" s="10">
        <v>36</v>
      </c>
    </row>
    <row r="575" spans="1:3">
      <c r="A575" s="10" t="s">
        <v>597</v>
      </c>
      <c r="B575" s="21">
        <v>1.9640303746596881E-3</v>
      </c>
      <c r="C575" s="10">
        <v>22</v>
      </c>
    </row>
    <row r="576" spans="1:3">
      <c r="A576" s="10" t="s">
        <v>598</v>
      </c>
      <c r="B576" s="21">
        <v>1.6397802860435196E-3</v>
      </c>
      <c r="C576" s="10">
        <v>30</v>
      </c>
    </row>
    <row r="577" spans="1:3">
      <c r="A577" s="10" t="s">
        <v>599</v>
      </c>
      <c r="B577" s="21">
        <v>3.7968061123726719E-5</v>
      </c>
      <c r="C577" s="10">
        <v>10</v>
      </c>
    </row>
    <row r="578" spans="1:3">
      <c r="A578" s="10" t="s">
        <v>600</v>
      </c>
      <c r="B578" s="21">
        <v>1.5062822083639028E-3</v>
      </c>
      <c r="C578" s="10">
        <v>28</v>
      </c>
    </row>
    <row r="579" spans="1:3">
      <c r="A579" s="10" t="s">
        <v>601</v>
      </c>
      <c r="B579" s="21">
        <v>7.8656153387764768E-4</v>
      </c>
      <c r="C579" s="10">
        <v>15</v>
      </c>
    </row>
    <row r="580" spans="1:3">
      <c r="A580" s="10" t="s">
        <v>602</v>
      </c>
      <c r="B580" s="21">
        <v>2.3754834705071652E-3</v>
      </c>
      <c r="C580" s="10">
        <v>35</v>
      </c>
    </row>
    <row r="581" spans="1:3">
      <c r="A581" s="10" t="s">
        <v>603</v>
      </c>
      <c r="B581" s="21">
        <v>2.8476924892382135E-3</v>
      </c>
      <c r="C581" s="10">
        <v>32</v>
      </c>
    </row>
    <row r="582" spans="1:3">
      <c r="A582" s="10" t="s">
        <v>604</v>
      </c>
      <c r="B582" s="21">
        <v>9.9849734149906741E-4</v>
      </c>
      <c r="C582" s="10">
        <v>23</v>
      </c>
    </row>
    <row r="583" spans="1:3">
      <c r="A583" s="10" t="s">
        <v>605</v>
      </c>
      <c r="B583" s="21">
        <v>9.3881852935500949E-4</v>
      </c>
      <c r="C583" s="10">
        <v>24</v>
      </c>
    </row>
    <row r="584" spans="1:3">
      <c r="A584" s="10" t="s">
        <v>606</v>
      </c>
      <c r="B584" s="21">
        <v>1.0691862806893044E-3</v>
      </c>
      <c r="C584" s="10">
        <v>27</v>
      </c>
    </row>
    <row r="585" spans="1:3">
      <c r="A585" s="10" t="s">
        <v>607</v>
      </c>
      <c r="B585" s="21">
        <v>2.4208106920134151E-3</v>
      </c>
      <c r="C585" s="10">
        <v>45</v>
      </c>
    </row>
    <row r="586" spans="1:3">
      <c r="A586" s="10" t="s">
        <v>608</v>
      </c>
      <c r="B586" s="21">
        <v>1.7115216846821995E-3</v>
      </c>
      <c r="C586" s="10">
        <v>25</v>
      </c>
    </row>
    <row r="587" spans="1:3">
      <c r="A587" s="10" t="s">
        <v>609</v>
      </c>
      <c r="B587" s="21">
        <v>1.1406515128995181E-3</v>
      </c>
      <c r="C587" s="10">
        <v>25</v>
      </c>
    </row>
    <row r="588" spans="1:3">
      <c r="A588" s="10" t="s">
        <v>610</v>
      </c>
      <c r="B588" s="21">
        <v>1.3547201511424263E-3</v>
      </c>
      <c r="C588" s="10">
        <v>33</v>
      </c>
    </row>
    <row r="589" spans="1:3">
      <c r="A589" s="10" t="s">
        <v>611</v>
      </c>
      <c r="B589" s="21">
        <v>2.607579695086861E-3</v>
      </c>
      <c r="C589" s="10">
        <v>30</v>
      </c>
    </row>
    <row r="590" spans="1:3">
      <c r="A590" s="10" t="s">
        <v>612</v>
      </c>
      <c r="B590" s="21">
        <v>1.5147723799035721E-3</v>
      </c>
      <c r="C590" s="10">
        <v>30</v>
      </c>
    </row>
    <row r="591" spans="1:3">
      <c r="A591" s="10" t="s">
        <v>613</v>
      </c>
      <c r="B591" s="21">
        <v>8.3489867134745792E-4</v>
      </c>
      <c r="C591" s="10">
        <v>32</v>
      </c>
    </row>
    <row r="592" spans="1:3">
      <c r="A592" s="10" t="s">
        <v>614</v>
      </c>
      <c r="B592" s="21">
        <v>1.5511539697444223E-3</v>
      </c>
      <c r="C592" s="10">
        <v>30</v>
      </c>
    </row>
    <row r="593" spans="1:3">
      <c r="A593" s="10" t="s">
        <v>615</v>
      </c>
      <c r="B593" s="21">
        <v>1.1536629123639378E-3</v>
      </c>
      <c r="C593" s="10">
        <v>22</v>
      </c>
    </row>
    <row r="594" spans="1:3">
      <c r="A594" s="10" t="s">
        <v>616</v>
      </c>
      <c r="B594" s="21">
        <v>1.4416965798596075E-3</v>
      </c>
      <c r="C594" s="10">
        <v>29</v>
      </c>
    </row>
    <row r="595" spans="1:3">
      <c r="A595" s="10" t="s">
        <v>617</v>
      </c>
      <c r="B595" s="21">
        <v>9.2288028607156027E-4</v>
      </c>
      <c r="C595" s="10">
        <v>14</v>
      </c>
    </row>
    <row r="596" spans="1:3">
      <c r="A596" s="10" t="s">
        <v>618</v>
      </c>
      <c r="B596" s="21">
        <v>5.6180428397912771E-4</v>
      </c>
      <c r="C596" s="10">
        <v>18</v>
      </c>
    </row>
    <row r="597" spans="1:3">
      <c r="A597" s="10" t="s">
        <v>619</v>
      </c>
      <c r="B597" s="21">
        <v>1.9643054755370047E-3</v>
      </c>
      <c r="C597" s="10">
        <v>34</v>
      </c>
    </row>
    <row r="598" spans="1:3">
      <c r="A598" s="10" t="s">
        <v>620</v>
      </c>
      <c r="B598" s="21">
        <v>1.7793120119596656E-3</v>
      </c>
      <c r="C598" s="10">
        <v>24</v>
      </c>
    </row>
    <row r="599" spans="1:3">
      <c r="A599" s="10" t="s">
        <v>621</v>
      </c>
      <c r="B599" s="21">
        <v>1.7214653809873176E-3</v>
      </c>
      <c r="C599" s="10">
        <v>32</v>
      </c>
    </row>
    <row r="600" spans="1:3">
      <c r="A600" s="10" t="s">
        <v>622</v>
      </c>
      <c r="B600" s="21">
        <v>1.0583445581276349E-3</v>
      </c>
      <c r="C600" s="10">
        <v>22</v>
      </c>
    </row>
    <row r="601" spans="1:3">
      <c r="A601" s="10" t="s">
        <v>623</v>
      </c>
      <c r="B601" s="21">
        <v>1.9244327709396342E-3</v>
      </c>
      <c r="C601" s="10">
        <v>38</v>
      </c>
    </row>
    <row r="602" spans="1:3">
      <c r="A602" s="10" t="s">
        <v>624</v>
      </c>
      <c r="B602" s="21">
        <v>1.8839650646760204E-3</v>
      </c>
      <c r="C602" s="10">
        <v>28</v>
      </c>
    </row>
    <row r="603" spans="1:3">
      <c r="A603" s="10" t="s">
        <v>625</v>
      </c>
      <c r="B603" s="21">
        <v>1.2568173220802073E-3</v>
      </c>
      <c r="C603" s="10">
        <v>19</v>
      </c>
    </row>
    <row r="604" spans="1:3">
      <c r="A604" s="10" t="s">
        <v>626</v>
      </c>
      <c r="B604" s="21">
        <v>1.3496970485346832E-3</v>
      </c>
      <c r="C604" s="10">
        <v>29</v>
      </c>
    </row>
    <row r="605" spans="1:3">
      <c r="A605" s="10" t="s">
        <v>627</v>
      </c>
      <c r="B605" s="21">
        <v>1.7835145898871738E-3</v>
      </c>
      <c r="C605" s="10">
        <v>29</v>
      </c>
    </row>
    <row r="606" spans="1:3">
      <c r="A606" s="10" t="s">
        <v>629</v>
      </c>
      <c r="B606" s="21">
        <v>5.1070402355257892E-3</v>
      </c>
      <c r="C606" s="10">
        <v>37</v>
      </c>
    </row>
    <row r="607" spans="1:3">
      <c r="A607" s="10" t="s">
        <v>630</v>
      </c>
      <c r="B607" s="21">
        <v>1.3777217048856824E-5</v>
      </c>
      <c r="C607" s="10">
        <v>2</v>
      </c>
    </row>
    <row r="608" spans="1:3">
      <c r="A608" s="10" t="s">
        <v>631</v>
      </c>
      <c r="B608" s="21">
        <v>1.3913311901432436E-3</v>
      </c>
      <c r="C608" s="10">
        <v>26</v>
      </c>
    </row>
    <row r="609" spans="1:3">
      <c r="A609" s="10" t="s">
        <v>632</v>
      </c>
      <c r="B609" s="21">
        <v>1.9233226179038593E-3</v>
      </c>
      <c r="C609" s="10">
        <v>32</v>
      </c>
    </row>
    <row r="610" spans="1:3">
      <c r="A610" s="10" t="s">
        <v>633</v>
      </c>
      <c r="B610" s="21">
        <v>1.3013304101209665E-3</v>
      </c>
      <c r="C610" s="10">
        <v>21</v>
      </c>
    </row>
    <row r="611" spans="1:3">
      <c r="A611" s="10" t="s">
        <v>634</v>
      </c>
      <c r="B611" s="21">
        <v>8.0693689733780504E-4</v>
      </c>
      <c r="C611" s="10">
        <v>15</v>
      </c>
    </row>
    <row r="612" spans="1:3">
      <c r="A612" s="10" t="s">
        <v>635</v>
      </c>
      <c r="B612" s="21">
        <v>1.7188008872500893E-3</v>
      </c>
      <c r="C612" s="10">
        <v>33</v>
      </c>
    </row>
    <row r="613" spans="1:3">
      <c r="A613" s="10" t="s">
        <v>636</v>
      </c>
      <c r="B613" s="21">
        <v>2.0133549035410529E-3</v>
      </c>
      <c r="C613" s="10">
        <v>27</v>
      </c>
    </row>
    <row r="614" spans="1:3">
      <c r="A614" s="10" t="s">
        <v>637</v>
      </c>
      <c r="B614" s="21">
        <v>1.5600780015197564E-3</v>
      </c>
      <c r="C614" s="10">
        <v>29</v>
      </c>
    </row>
    <row r="615" spans="1:3">
      <c r="A615" s="10" t="s">
        <v>638</v>
      </c>
      <c r="B615" s="21">
        <v>3.0169166803655279E-3</v>
      </c>
      <c r="C615" s="10">
        <v>47</v>
      </c>
    </row>
    <row r="616" spans="1:3">
      <c r="A616" s="10" t="s">
        <v>639</v>
      </c>
      <c r="B616" s="21">
        <v>1.3339493144649858E-3</v>
      </c>
      <c r="C616" s="10">
        <v>19</v>
      </c>
    </row>
    <row r="617" spans="1:3">
      <c r="A617" s="10" t="s">
        <v>640</v>
      </c>
      <c r="B617" s="21">
        <v>6.7168223840495371E-4</v>
      </c>
      <c r="C617" s="10">
        <v>23</v>
      </c>
    </row>
    <row r="618" spans="1:3">
      <c r="A618" s="10" t="s">
        <v>641</v>
      </c>
      <c r="B618" s="21">
        <v>1.4214120544219862E-3</v>
      </c>
      <c r="C618" s="10">
        <v>26</v>
      </c>
    </row>
    <row r="619" spans="1:3">
      <c r="A619" s="10" t="s">
        <v>642</v>
      </c>
      <c r="B619" s="21">
        <v>1.543723827899442E-3</v>
      </c>
      <c r="C619" s="10">
        <v>29</v>
      </c>
    </row>
    <row r="620" spans="1:3">
      <c r="A620" s="10" t="s">
        <v>643</v>
      </c>
      <c r="B620" s="21">
        <v>8.8765317915685262E-4</v>
      </c>
      <c r="C620" s="10">
        <v>17</v>
      </c>
    </row>
    <row r="621" spans="1:3">
      <c r="A621" s="10" t="s">
        <v>644</v>
      </c>
      <c r="B621" s="21">
        <v>1.3569854922031235E-3</v>
      </c>
      <c r="C621" s="10">
        <v>13</v>
      </c>
    </row>
    <row r="622" spans="1:3">
      <c r="A622" s="10" t="s">
        <v>645</v>
      </c>
      <c r="B622" s="21">
        <v>2.4943552268314796E-3</v>
      </c>
      <c r="C622" s="10">
        <v>45</v>
      </c>
    </row>
    <row r="623" spans="1:3">
      <c r="A623" s="10" t="s">
        <v>646</v>
      </c>
      <c r="B623" s="21">
        <v>2.6897896577926838E-3</v>
      </c>
      <c r="C623" s="10">
        <v>50</v>
      </c>
    </row>
    <row r="624" spans="1:3">
      <c r="A624" s="10" t="s">
        <v>647</v>
      </c>
      <c r="B624" s="21">
        <v>5.0810894198339196E-4</v>
      </c>
      <c r="C624" s="10">
        <v>12</v>
      </c>
    </row>
    <row r="625" spans="1:3">
      <c r="A625" s="10" t="s">
        <v>648</v>
      </c>
      <c r="B625" s="21">
        <v>7.2092874289690439E-4</v>
      </c>
      <c r="C625" s="10">
        <v>27</v>
      </c>
    </row>
    <row r="626" spans="1:3">
      <c r="A626" s="10" t="s">
        <v>649</v>
      </c>
      <c r="B626" s="21">
        <v>1.9661390309548854E-3</v>
      </c>
      <c r="C626" s="10">
        <v>50</v>
      </c>
    </row>
    <row r="627" spans="1:3">
      <c r="A627" s="10" t="s">
        <v>651</v>
      </c>
      <c r="B627" s="21">
        <v>2.373009776526019E-3</v>
      </c>
      <c r="C627" s="10">
        <v>34</v>
      </c>
    </row>
    <row r="628" spans="1:3">
      <c r="A628" s="10" t="s">
        <v>652</v>
      </c>
      <c r="B628" s="21">
        <v>5.1965596296481581E-5</v>
      </c>
      <c r="C628" s="10">
        <v>7</v>
      </c>
    </row>
    <row r="629" spans="1:3">
      <c r="A629" s="10" t="s">
        <v>653</v>
      </c>
      <c r="B629" s="21">
        <v>2.7221242926362388E-3</v>
      </c>
      <c r="C629" s="10">
        <v>50</v>
      </c>
    </row>
    <row r="630" spans="1:3">
      <c r="A630" s="10" t="s">
        <v>654</v>
      </c>
      <c r="B630" s="21">
        <v>2.0142103799001732E-3</v>
      </c>
      <c r="C630" s="10">
        <v>35</v>
      </c>
    </row>
    <row r="631" spans="1:3">
      <c r="A631" s="10" t="s">
        <v>655</v>
      </c>
      <c r="B631" s="21">
        <v>2.2587317923246147E-3</v>
      </c>
      <c r="C631" s="10">
        <v>33</v>
      </c>
    </row>
    <row r="632" spans="1:3">
      <c r="A632" s="10" t="s">
        <v>656</v>
      </c>
      <c r="B632" s="21">
        <v>1.3084648166145425E-3</v>
      </c>
      <c r="C632" s="10">
        <v>24</v>
      </c>
    </row>
    <row r="633" spans="1:3">
      <c r="A633" s="10" t="s">
        <v>657</v>
      </c>
      <c r="B633" s="21">
        <v>6.8158685435039173E-4</v>
      </c>
      <c r="C633" s="10">
        <v>24</v>
      </c>
    </row>
    <row r="634" spans="1:3">
      <c r="A634" s="10" t="s">
        <v>658</v>
      </c>
      <c r="B634" s="21">
        <v>1.3716215018994343E-3</v>
      </c>
      <c r="C634" s="10">
        <v>24</v>
      </c>
    </row>
    <row r="635" spans="1:3">
      <c r="A635" s="10" t="s">
        <v>659</v>
      </c>
      <c r="B635" s="21">
        <v>1.0180375759588193E-3</v>
      </c>
      <c r="C635" s="10">
        <v>21</v>
      </c>
    </row>
    <row r="636" spans="1:3">
      <c r="A636" s="10" t="s">
        <v>660</v>
      </c>
      <c r="B636" s="21">
        <v>2.7257415691996079E-4</v>
      </c>
      <c r="C636" s="10">
        <v>14</v>
      </c>
    </row>
    <row r="637" spans="1:3">
      <c r="A637" s="10" t="s">
        <v>661</v>
      </c>
      <c r="B637" s="21">
        <v>2.9019112780128958E-3</v>
      </c>
      <c r="C637" s="10">
        <v>21</v>
      </c>
    </row>
    <row r="638" spans="1:3">
      <c r="A638" s="10" t="s">
        <v>662</v>
      </c>
      <c r="B638" s="21">
        <v>1.9123614890860761E-3</v>
      </c>
      <c r="C638" s="10">
        <v>57</v>
      </c>
    </row>
    <row r="639" spans="1:3">
      <c r="A639" s="10" t="s">
        <v>663</v>
      </c>
      <c r="B639" s="21">
        <v>1.4198806480747598E-3</v>
      </c>
      <c r="C639" s="10">
        <v>25</v>
      </c>
    </row>
    <row r="640" spans="1:3">
      <c r="A640" s="10" t="s">
        <v>664</v>
      </c>
      <c r="B640" s="21">
        <v>1.4235788888124525E-3</v>
      </c>
      <c r="C640" s="10">
        <v>32</v>
      </c>
    </row>
    <row r="641" spans="1:3">
      <c r="A641" s="10" t="s">
        <v>665</v>
      </c>
      <c r="B641" s="21">
        <v>1.2373032425846344E-3</v>
      </c>
      <c r="C641" s="10">
        <v>23</v>
      </c>
    </row>
    <row r="642" spans="1:3">
      <c r="A642" s="10" t="s">
        <v>666</v>
      </c>
      <c r="B642" s="21">
        <v>1.1426898254894753E-3</v>
      </c>
      <c r="C642" s="10">
        <v>28</v>
      </c>
    </row>
    <row r="643" spans="1:3">
      <c r="A643" s="10" t="s">
        <v>667</v>
      </c>
      <c r="B643" s="21">
        <v>1.1297116562729271E-3</v>
      </c>
      <c r="C643" s="10">
        <v>21</v>
      </c>
    </row>
    <row r="644" spans="1:3">
      <c r="A644" s="10" t="s">
        <v>668</v>
      </c>
      <c r="B644" s="21">
        <v>1.6629633433017975E-3</v>
      </c>
      <c r="C644" s="10">
        <v>26</v>
      </c>
    </row>
    <row r="645" spans="1:3">
      <c r="A645" s="10" t="s">
        <v>669</v>
      </c>
      <c r="B645" s="21">
        <v>1.6849419614151314E-3</v>
      </c>
      <c r="C645" s="10">
        <v>28</v>
      </c>
    </row>
    <row r="646" spans="1:3">
      <c r="A646" s="10" t="s">
        <v>670</v>
      </c>
      <c r="B646" s="21">
        <v>5.8927935206429954E-4</v>
      </c>
      <c r="C646" s="10">
        <v>10</v>
      </c>
    </row>
    <row r="647" spans="1:3">
      <c r="A647" s="10" t="s">
        <v>671</v>
      </c>
      <c r="B647" s="21">
        <v>1.5102163140849971E-3</v>
      </c>
      <c r="C647" s="10">
        <v>21</v>
      </c>
    </row>
    <row r="648" spans="1:3">
      <c r="A648" s="10" t="s">
        <v>672</v>
      </c>
      <c r="B648" s="21">
        <v>2.003214586291113E-3</v>
      </c>
      <c r="C648" s="10">
        <v>56</v>
      </c>
    </row>
    <row r="649" spans="1:3">
      <c r="A649" s="10" t="s">
        <v>673</v>
      </c>
      <c r="B649" s="21">
        <v>1.8699847393746805E-3</v>
      </c>
      <c r="C649" s="10">
        <v>35</v>
      </c>
    </row>
    <row r="650" spans="1:3">
      <c r="A650" s="10" t="s">
        <v>674</v>
      </c>
      <c r="B650" s="21">
        <v>1.1140493975313795E-3</v>
      </c>
      <c r="C650" s="10">
        <v>23</v>
      </c>
    </row>
    <row r="651" spans="1:3">
      <c r="A651" s="10" t="s">
        <v>675</v>
      </c>
      <c r="B651" s="21">
        <v>9.235927332861178E-4</v>
      </c>
      <c r="C651" s="10">
        <v>14</v>
      </c>
    </row>
    <row r="652" spans="1:3">
      <c r="A652" s="10" t="s">
        <v>676</v>
      </c>
      <c r="B652" s="21">
        <v>9.1452848364951243E-4</v>
      </c>
      <c r="C652" s="10">
        <v>29</v>
      </c>
    </row>
    <row r="653" spans="1:3">
      <c r="A653" s="10" t="s">
        <v>677</v>
      </c>
      <c r="B653" s="21">
        <v>7.9524527268505236E-4</v>
      </c>
      <c r="C653" s="10">
        <v>22</v>
      </c>
    </row>
    <row r="654" spans="1:3">
      <c r="A654" s="10" t="s">
        <v>678</v>
      </c>
      <c r="B654" s="21">
        <v>6.1338297487642263E-4</v>
      </c>
      <c r="C654" s="10">
        <v>25</v>
      </c>
    </row>
    <row r="655" spans="1:3">
      <c r="A655" s="10" t="s">
        <v>679</v>
      </c>
      <c r="B655" s="21">
        <v>1.8941122618604588E-3</v>
      </c>
      <c r="C655" s="10">
        <v>44</v>
      </c>
    </row>
    <row r="656" spans="1:3">
      <c r="A656" s="10" t="s">
        <v>680</v>
      </c>
      <c r="B656" s="21">
        <v>1.3986906220521955E-3</v>
      </c>
      <c r="C656" s="10">
        <v>32</v>
      </c>
    </row>
    <row r="657" spans="1:3">
      <c r="A657" s="10" t="s">
        <v>681</v>
      </c>
      <c r="B657" s="21">
        <v>1.7651255227039862E-3</v>
      </c>
      <c r="C657" s="10">
        <v>28</v>
      </c>
    </row>
    <row r="658" spans="1:3">
      <c r="A658" s="10" t="s">
        <v>682</v>
      </c>
      <c r="B658" s="21">
        <v>9.5327513530995739E-5</v>
      </c>
      <c r="C658" s="10">
        <v>17</v>
      </c>
    </row>
    <row r="659" spans="1:3">
      <c r="A659" s="10" t="s">
        <v>683</v>
      </c>
      <c r="B659" s="21">
        <v>4.8145100249820258E-4</v>
      </c>
      <c r="C659" s="10">
        <v>22</v>
      </c>
    </row>
    <row r="660" spans="1:3">
      <c r="A660" s="10" t="s">
        <v>684</v>
      </c>
      <c r="B660" s="21">
        <v>7.6744666331988337E-4</v>
      </c>
      <c r="C660" s="10">
        <v>32</v>
      </c>
    </row>
    <row r="661" spans="1:3">
      <c r="A661" s="10" t="s">
        <v>685</v>
      </c>
      <c r="B661" s="21">
        <v>1.9668115049834758E-3</v>
      </c>
      <c r="C661" s="10">
        <v>33</v>
      </c>
    </row>
    <row r="662" spans="1:3">
      <c r="A662" s="10" t="s">
        <v>686</v>
      </c>
      <c r="B662" s="21">
        <v>2.3092915220357139E-3</v>
      </c>
      <c r="C662" s="10">
        <v>18</v>
      </c>
    </row>
    <row r="663" spans="1:3">
      <c r="A663" s="10" t="s">
        <v>687</v>
      </c>
      <c r="B663" s="21">
        <v>1.4454814719909673E-3</v>
      </c>
      <c r="C663" s="10">
        <v>33</v>
      </c>
    </row>
    <row r="664" spans="1:3">
      <c r="A664" s="10" t="s">
        <v>688</v>
      </c>
      <c r="B664" s="21">
        <v>8.3860147491108964E-4</v>
      </c>
      <c r="C664" s="10">
        <v>29</v>
      </c>
    </row>
    <row r="665" spans="1:3">
      <c r="A665" s="10" t="s">
        <v>689</v>
      </c>
      <c r="B665" s="21">
        <v>1.0111311626965444E-3</v>
      </c>
      <c r="C665" s="10">
        <v>36</v>
      </c>
    </row>
    <row r="666" spans="1:3">
      <c r="A666" s="10" t="s">
        <v>690</v>
      </c>
      <c r="B666" s="21">
        <v>1.0690427444627483E-3</v>
      </c>
      <c r="C666" s="10">
        <v>33</v>
      </c>
    </row>
    <row r="667" spans="1:3">
      <c r="A667" s="10" t="s">
        <v>691</v>
      </c>
      <c r="B667" s="21">
        <v>9.4381244674807564E-4</v>
      </c>
      <c r="C667" s="10">
        <v>35</v>
      </c>
    </row>
    <row r="668" spans="1:3">
      <c r="A668" s="10" t="s">
        <v>692</v>
      </c>
      <c r="B668" s="21">
        <v>2.6786639616444654E-3</v>
      </c>
      <c r="C668" s="10">
        <v>27</v>
      </c>
    </row>
    <row r="669" spans="1:3">
      <c r="A669" s="10" t="s">
        <v>693</v>
      </c>
      <c r="B669" s="21">
        <v>4.5165284057089244E-5</v>
      </c>
      <c r="C669" s="10">
        <v>14</v>
      </c>
    </row>
    <row r="670" spans="1:3">
      <c r="A670" s="10" t="s">
        <v>694</v>
      </c>
      <c r="B670" s="21">
        <v>1.9366485536107321E-3</v>
      </c>
      <c r="C670" s="10">
        <v>43</v>
      </c>
    </row>
    <row r="671" spans="1:3">
      <c r="A671" s="10" t="s">
        <v>695</v>
      </c>
      <c r="B671" s="21">
        <v>8.7796873972812686E-4</v>
      </c>
      <c r="C671" s="10">
        <v>42</v>
      </c>
    </row>
    <row r="672" spans="1:3">
      <c r="A672" s="10" t="s">
        <v>696</v>
      </c>
      <c r="B672" s="21">
        <v>1.4252914288792992E-3</v>
      </c>
      <c r="C672" s="10">
        <v>34</v>
      </c>
    </row>
    <row r="673" spans="1:3">
      <c r="A673" s="10" t="s">
        <v>697</v>
      </c>
      <c r="B673" s="21">
        <v>1.2479773904986093E-3</v>
      </c>
      <c r="C673" s="10">
        <v>21</v>
      </c>
    </row>
    <row r="674" spans="1:3">
      <c r="A674" s="10" t="s">
        <v>698</v>
      </c>
      <c r="B674" s="21">
        <v>2.5893057931747712E-3</v>
      </c>
      <c r="C674" s="10">
        <v>14</v>
      </c>
    </row>
    <row r="675" spans="1:3">
      <c r="A675" s="10" t="s">
        <v>699</v>
      </c>
      <c r="B675" s="21">
        <v>1.056842027736018E-3</v>
      </c>
      <c r="C675" s="10">
        <v>30</v>
      </c>
    </row>
    <row r="676" spans="1:3">
      <c r="A676" s="10" t="s">
        <v>700</v>
      </c>
      <c r="B676" s="21">
        <v>1.8186504109473851E-3</v>
      </c>
      <c r="C676" s="10">
        <v>27</v>
      </c>
    </row>
    <row r="677" spans="1:3">
      <c r="A677" s="10" t="s">
        <v>701</v>
      </c>
      <c r="B677" s="21">
        <v>8.833030129086789E-4</v>
      </c>
      <c r="C677" s="10">
        <v>25</v>
      </c>
    </row>
    <row r="678" spans="1:3">
      <c r="A678" s="10" t="s">
        <v>702</v>
      </c>
      <c r="B678" s="21">
        <v>1.2269376151985776E-3</v>
      </c>
      <c r="C678" s="10">
        <v>34</v>
      </c>
    </row>
    <row r="679" spans="1:3">
      <c r="A679" s="10" t="s">
        <v>703</v>
      </c>
      <c r="B679" s="21">
        <v>2.5233127493796823E-4</v>
      </c>
      <c r="C679" s="10">
        <v>34</v>
      </c>
    </row>
    <row r="680" spans="1:3">
      <c r="A680" s="10" t="s">
        <v>704</v>
      </c>
      <c r="B680" s="21">
        <v>3.8625191213990571E-3</v>
      </c>
      <c r="C680" s="10">
        <v>55</v>
      </c>
    </row>
    <row r="681" spans="1:3">
      <c r="A681" s="10" t="s">
        <v>705</v>
      </c>
      <c r="B681" s="21">
        <v>4.9504093667417733E-4</v>
      </c>
      <c r="C681" s="10">
        <v>18</v>
      </c>
    </row>
    <row r="682" spans="1:3">
      <c r="A682" s="10" t="s">
        <v>706</v>
      </c>
      <c r="B682" s="21">
        <v>8.3996249918305175E-4</v>
      </c>
      <c r="C682" s="10">
        <v>16</v>
      </c>
    </row>
    <row r="683" spans="1:3">
      <c r="A683" s="10" t="s">
        <v>707</v>
      </c>
      <c r="B683" s="21">
        <v>1.0221200699612198E-3</v>
      </c>
      <c r="C683" s="10">
        <v>19</v>
      </c>
    </row>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FD46-B295-4B46-B4B9-C9404ACD0E39}">
  <dimension ref="A1:M683"/>
  <sheetViews>
    <sheetView topLeftCell="A3" workbookViewId="0">
      <selection activeCell="J3" sqref="J3"/>
    </sheetView>
  </sheetViews>
  <sheetFormatPr defaultColWidth="12.25" defaultRowHeight="18.75"/>
  <cols>
    <col min="1" max="1" width="10.125" style="10" bestFit="1" customWidth="1"/>
    <col min="2" max="2" width="8.125" style="10" bestFit="1" customWidth="1"/>
    <col min="3" max="3" width="14.625" style="21" bestFit="1" customWidth="1"/>
    <col min="4" max="16384" width="12.25" style="10"/>
  </cols>
  <sheetData>
    <row r="1" spans="1:13">
      <c r="A1" s="10" t="s">
        <v>3</v>
      </c>
      <c r="B1" s="10" t="s">
        <v>6</v>
      </c>
      <c r="C1" s="21" t="s">
        <v>7</v>
      </c>
      <c r="D1" s="10" t="s">
        <v>8</v>
      </c>
      <c r="E1" s="10" t="s">
        <v>9</v>
      </c>
      <c r="F1" s="10" t="s">
        <v>10</v>
      </c>
    </row>
    <row r="2" spans="1:13">
      <c r="A2" s="10" t="s">
        <v>11</v>
      </c>
      <c r="B2" s="10">
        <v>75</v>
      </c>
      <c r="C2" s="21">
        <v>4.2692590691069485E-4</v>
      </c>
      <c r="D2" s="10">
        <v>65</v>
      </c>
      <c r="E2" s="10">
        <v>120</v>
      </c>
      <c r="F2" s="10">
        <v>22</v>
      </c>
      <c r="H2" s="10" t="s">
        <v>769</v>
      </c>
    </row>
    <row r="3" spans="1:13">
      <c r="A3" s="10" t="s">
        <v>14</v>
      </c>
      <c r="B3" s="10">
        <v>73</v>
      </c>
      <c r="C3" s="21">
        <v>2.9505530959696036E-3</v>
      </c>
      <c r="D3" s="10">
        <v>1000</v>
      </c>
      <c r="E3" s="10">
        <v>1520</v>
      </c>
      <c r="F3" s="10">
        <v>49</v>
      </c>
      <c r="H3" s="10" t="s">
        <v>770</v>
      </c>
      <c r="I3" s="10">
        <f>CORREL(C2:C683,F2:F683)</f>
        <v>0.52907231214780082</v>
      </c>
    </row>
    <row r="4" spans="1:13">
      <c r="A4" s="10" t="s">
        <v>15</v>
      </c>
      <c r="B4" s="10">
        <v>101</v>
      </c>
      <c r="C4" s="21">
        <v>4.2201445360469389E-3</v>
      </c>
      <c r="D4" s="10">
        <v>139</v>
      </c>
      <c r="E4" s="10">
        <v>208</v>
      </c>
      <c r="F4" s="10">
        <v>19</v>
      </c>
    </row>
    <row r="5" spans="1:13">
      <c r="A5" s="10" t="s">
        <v>17</v>
      </c>
      <c r="B5" s="10">
        <v>74</v>
      </c>
      <c r="C5" s="21">
        <v>3.5404367313607386E-4</v>
      </c>
      <c r="D5" s="10">
        <v>41</v>
      </c>
      <c r="E5" s="10">
        <v>142</v>
      </c>
      <c r="F5" s="10">
        <v>14</v>
      </c>
    </row>
    <row r="6" spans="1:13">
      <c r="A6" s="10" t="s">
        <v>18</v>
      </c>
      <c r="B6" s="10">
        <v>127</v>
      </c>
      <c r="C6" s="21">
        <v>1.3707360375521227E-3</v>
      </c>
      <c r="D6" s="10">
        <v>66</v>
      </c>
      <c r="E6" s="10">
        <v>127</v>
      </c>
      <c r="F6" s="10">
        <v>19</v>
      </c>
      <c r="H6" s="10" t="s">
        <v>771</v>
      </c>
    </row>
    <row r="7" spans="1:13">
      <c r="A7" s="10" t="s">
        <v>19</v>
      </c>
      <c r="B7" s="10">
        <v>88</v>
      </c>
      <c r="C7" s="21">
        <v>2.3751749290849417E-3</v>
      </c>
      <c r="D7" s="10">
        <v>82</v>
      </c>
      <c r="E7" s="10">
        <v>157</v>
      </c>
      <c r="F7" s="10">
        <v>25</v>
      </c>
      <c r="H7" s="22"/>
      <c r="I7" s="22"/>
      <c r="J7" s="22"/>
      <c r="K7" s="22"/>
      <c r="L7" s="22"/>
      <c r="M7" s="22"/>
    </row>
    <row r="8" spans="1:13">
      <c r="A8" s="10" t="s">
        <v>21</v>
      </c>
      <c r="B8" s="10">
        <v>86</v>
      </c>
      <c r="C8" s="21">
        <v>1.1394207070318301E-3</v>
      </c>
      <c r="D8" s="10">
        <v>69</v>
      </c>
      <c r="E8" s="10">
        <v>129</v>
      </c>
      <c r="F8" s="10">
        <v>27</v>
      </c>
    </row>
    <row r="9" spans="1:13">
      <c r="A9" s="10" t="s">
        <v>22</v>
      </c>
      <c r="B9" s="10">
        <v>102</v>
      </c>
      <c r="C9" s="21">
        <v>2.4748315353126807E-3</v>
      </c>
      <c r="D9" s="10">
        <v>2000</v>
      </c>
      <c r="E9" s="10">
        <v>2680</v>
      </c>
      <c r="F9" s="10">
        <v>51</v>
      </c>
    </row>
    <row r="10" spans="1:13">
      <c r="A10" s="10" t="s">
        <v>23</v>
      </c>
      <c r="B10" s="10">
        <v>120</v>
      </c>
      <c r="C10" s="21">
        <v>2.0862080444302299E-3</v>
      </c>
      <c r="D10" s="10">
        <v>61</v>
      </c>
      <c r="E10" s="10">
        <v>149</v>
      </c>
      <c r="F10" s="10">
        <v>33</v>
      </c>
    </row>
    <row r="11" spans="1:13">
      <c r="A11" s="10" t="s">
        <v>24</v>
      </c>
      <c r="B11" s="10">
        <v>79</v>
      </c>
      <c r="C11" s="21">
        <v>1.0456175653593323E-3</v>
      </c>
      <c r="D11" s="10">
        <v>100</v>
      </c>
      <c r="E11" s="10">
        <v>195</v>
      </c>
      <c r="F11" s="10">
        <v>14</v>
      </c>
    </row>
    <row r="12" spans="1:13">
      <c r="A12" s="10" t="s">
        <v>25</v>
      </c>
      <c r="B12" s="10">
        <v>94</v>
      </c>
      <c r="C12" s="21">
        <v>1.2934086414905417E-3</v>
      </c>
      <c r="D12" s="10">
        <v>41</v>
      </c>
      <c r="E12" s="10">
        <v>150</v>
      </c>
      <c r="F12" s="10">
        <v>25</v>
      </c>
    </row>
    <row r="13" spans="1:13">
      <c r="A13" s="10" t="s">
        <v>26</v>
      </c>
      <c r="B13" s="10">
        <v>96</v>
      </c>
      <c r="C13" s="21">
        <v>2.2437389010099575E-3</v>
      </c>
      <c r="D13" s="10">
        <v>41</v>
      </c>
      <c r="E13" s="10">
        <v>108</v>
      </c>
      <c r="F13" s="10">
        <v>34</v>
      </c>
    </row>
    <row r="14" spans="1:13">
      <c r="A14" s="10" t="s">
        <v>27</v>
      </c>
      <c r="B14" s="10">
        <v>78</v>
      </c>
      <c r="C14" s="21">
        <v>1.65056134154929E-3</v>
      </c>
      <c r="D14" s="10">
        <v>59</v>
      </c>
      <c r="E14" s="10">
        <v>150</v>
      </c>
      <c r="F14" s="10">
        <v>21</v>
      </c>
    </row>
    <row r="15" spans="1:13">
      <c r="A15" s="10" t="s">
        <v>28</v>
      </c>
      <c r="B15" s="10">
        <v>86</v>
      </c>
      <c r="C15" s="21">
        <v>1.268554239632496E-3</v>
      </c>
      <c r="D15" s="10">
        <v>43</v>
      </c>
      <c r="E15" s="10">
        <v>130</v>
      </c>
      <c r="F15" s="10">
        <v>26</v>
      </c>
    </row>
    <row r="16" spans="1:13">
      <c r="A16" s="10" t="s">
        <v>29</v>
      </c>
      <c r="B16" s="10">
        <v>123</v>
      </c>
      <c r="C16" s="21">
        <v>1.6889598223240776E-3</v>
      </c>
      <c r="D16" s="10">
        <v>101</v>
      </c>
      <c r="E16" s="10">
        <v>163</v>
      </c>
      <c r="F16" s="10">
        <v>15</v>
      </c>
    </row>
    <row r="17" spans="1:6">
      <c r="A17" s="10" t="s">
        <v>30</v>
      </c>
      <c r="B17" s="10">
        <v>61</v>
      </c>
      <c r="C17" s="21">
        <v>1.0730189986418192E-3</v>
      </c>
      <c r="D17" s="10">
        <v>63</v>
      </c>
      <c r="E17" s="10">
        <v>137</v>
      </c>
      <c r="F17" s="10">
        <v>18</v>
      </c>
    </row>
    <row r="18" spans="1:6">
      <c r="A18" s="10" t="s">
        <v>33</v>
      </c>
      <c r="B18" s="10">
        <v>248</v>
      </c>
      <c r="C18" s="21">
        <v>1.4299549953371517E-3</v>
      </c>
      <c r="D18" s="10">
        <v>70</v>
      </c>
      <c r="E18" s="10">
        <v>155</v>
      </c>
      <c r="F18" s="10">
        <v>26</v>
      </c>
    </row>
    <row r="19" spans="1:6">
      <c r="A19" s="10" t="s">
        <v>35</v>
      </c>
      <c r="B19" s="10">
        <v>247</v>
      </c>
      <c r="C19" s="21">
        <v>1.695018637021452E-3</v>
      </c>
      <c r="D19" s="10">
        <v>77</v>
      </c>
      <c r="E19" s="10">
        <v>162</v>
      </c>
      <c r="F19" s="10">
        <v>23</v>
      </c>
    </row>
    <row r="20" spans="1:6">
      <c r="A20" s="10" t="s">
        <v>36</v>
      </c>
      <c r="B20" s="10">
        <v>97</v>
      </c>
      <c r="C20" s="21">
        <v>5.000370927470835E-4</v>
      </c>
      <c r="D20" s="10">
        <v>114</v>
      </c>
      <c r="E20" s="10">
        <v>211</v>
      </c>
      <c r="F20" s="10">
        <v>21</v>
      </c>
    </row>
    <row r="21" spans="1:6">
      <c r="A21" s="10" t="s">
        <v>38</v>
      </c>
      <c r="B21" s="10">
        <v>386</v>
      </c>
      <c r="C21" s="21">
        <v>1.75568843201344E-3</v>
      </c>
      <c r="D21" s="10">
        <v>85</v>
      </c>
      <c r="E21" s="10">
        <v>126</v>
      </c>
      <c r="F21" s="10">
        <v>36</v>
      </c>
    </row>
    <row r="22" spans="1:6">
      <c r="A22" s="10" t="s">
        <v>40</v>
      </c>
      <c r="B22" s="10">
        <v>595</v>
      </c>
      <c r="C22" s="21">
        <v>1.080098476381605E-3</v>
      </c>
      <c r="D22" s="10">
        <v>86</v>
      </c>
      <c r="E22" s="10">
        <v>167</v>
      </c>
      <c r="F22" s="10">
        <v>24</v>
      </c>
    </row>
    <row r="23" spans="1:6">
      <c r="A23" s="10" t="s">
        <v>41</v>
      </c>
      <c r="B23" s="10">
        <v>120</v>
      </c>
      <c r="C23" s="21">
        <v>7.7436330778253939E-4</v>
      </c>
      <c r="D23" s="10">
        <v>44</v>
      </c>
      <c r="E23" s="10">
        <v>142</v>
      </c>
      <c r="F23" s="10">
        <v>35</v>
      </c>
    </row>
    <row r="24" spans="1:6">
      <c r="A24" s="10" t="s">
        <v>43</v>
      </c>
      <c r="B24" s="10">
        <v>44</v>
      </c>
      <c r="C24" s="21">
        <v>3.6543728024486489E-4</v>
      </c>
      <c r="D24" s="10">
        <v>62</v>
      </c>
      <c r="E24" s="10">
        <v>129</v>
      </c>
      <c r="F24" s="10">
        <v>18</v>
      </c>
    </row>
    <row r="25" spans="1:6">
      <c r="A25" s="10" t="s">
        <v>44</v>
      </c>
      <c r="B25" s="10">
        <v>153</v>
      </c>
      <c r="C25" s="21">
        <v>1.139370416200489E-3</v>
      </c>
      <c r="D25" s="10">
        <v>102</v>
      </c>
      <c r="E25" s="10">
        <v>199</v>
      </c>
      <c r="F25" s="10">
        <v>25</v>
      </c>
    </row>
    <row r="26" spans="1:6">
      <c r="A26" s="10" t="s">
        <v>45</v>
      </c>
      <c r="B26" s="10">
        <v>88</v>
      </c>
      <c r="C26" s="21">
        <v>1.90589103227635E-3</v>
      </c>
      <c r="D26" s="10">
        <v>54</v>
      </c>
      <c r="E26" s="10">
        <v>176</v>
      </c>
      <c r="F26" s="10">
        <v>31</v>
      </c>
    </row>
    <row r="27" spans="1:6">
      <c r="A27" s="10" t="s">
        <v>46</v>
      </c>
      <c r="B27" s="10">
        <v>364</v>
      </c>
      <c r="C27" s="21">
        <v>2.4503253327124806E-3</v>
      </c>
      <c r="D27" s="10">
        <v>86</v>
      </c>
      <c r="E27" s="10">
        <v>158</v>
      </c>
      <c r="F27" s="10">
        <v>33</v>
      </c>
    </row>
    <row r="28" spans="1:6">
      <c r="A28" s="10" t="s">
        <v>47</v>
      </c>
      <c r="B28" s="10">
        <v>191</v>
      </c>
      <c r="C28" s="21">
        <v>5.061177044290774E-4</v>
      </c>
      <c r="D28" s="10">
        <v>105</v>
      </c>
      <c r="E28" s="10">
        <v>206</v>
      </c>
      <c r="F28" s="10">
        <v>15</v>
      </c>
    </row>
    <row r="29" spans="1:6">
      <c r="A29" s="10" t="s">
        <v>48</v>
      </c>
      <c r="B29" s="10">
        <v>97</v>
      </c>
      <c r="C29" s="21">
        <v>5.896401655375239E-4</v>
      </c>
      <c r="D29" s="10">
        <v>55</v>
      </c>
      <c r="E29" s="10">
        <v>152</v>
      </c>
      <c r="F29" s="10">
        <v>24</v>
      </c>
    </row>
    <row r="30" spans="1:6">
      <c r="A30" s="10" t="s">
        <v>49</v>
      </c>
      <c r="B30" s="10">
        <v>219</v>
      </c>
      <c r="C30" s="21">
        <v>1.4506981799446105E-3</v>
      </c>
      <c r="D30" s="10">
        <v>69</v>
      </c>
      <c r="E30" s="10">
        <v>112</v>
      </c>
      <c r="F30" s="10">
        <v>26</v>
      </c>
    </row>
    <row r="31" spans="1:6">
      <c r="A31" s="10" t="s">
        <v>51</v>
      </c>
      <c r="B31" s="10">
        <v>450</v>
      </c>
      <c r="C31" s="21">
        <v>1.9150063838989024E-3</v>
      </c>
      <c r="D31" s="10">
        <v>84</v>
      </c>
      <c r="E31" s="10">
        <v>177</v>
      </c>
      <c r="F31" s="10">
        <v>25</v>
      </c>
    </row>
    <row r="32" spans="1:6">
      <c r="A32" s="10" t="s">
        <v>52</v>
      </c>
      <c r="B32" s="10">
        <v>673</v>
      </c>
      <c r="C32" s="21">
        <v>2.3475377967311201E-3</v>
      </c>
      <c r="D32" s="10">
        <v>82</v>
      </c>
      <c r="E32" s="10">
        <v>112</v>
      </c>
      <c r="F32" s="10">
        <v>30</v>
      </c>
    </row>
    <row r="33" spans="1:6">
      <c r="A33" s="10" t="s">
        <v>53</v>
      </c>
      <c r="B33" s="10">
        <v>134</v>
      </c>
      <c r="C33" s="21">
        <v>6.0939843889785148E-4</v>
      </c>
      <c r="D33" s="10">
        <v>70</v>
      </c>
      <c r="E33" s="10">
        <v>160</v>
      </c>
      <c r="F33" s="10">
        <v>37</v>
      </c>
    </row>
    <row r="34" spans="1:6">
      <c r="A34" s="10" t="s">
        <v>54</v>
      </c>
      <c r="B34" s="10">
        <v>105</v>
      </c>
      <c r="C34" s="21">
        <v>2.0265383765274815E-3</v>
      </c>
      <c r="D34" s="10">
        <v>55</v>
      </c>
      <c r="E34" s="10">
        <v>168</v>
      </c>
      <c r="F34" s="10">
        <v>38</v>
      </c>
    </row>
    <row r="35" spans="1:6">
      <c r="A35" s="10" t="s">
        <v>55</v>
      </c>
      <c r="B35" s="10">
        <v>53</v>
      </c>
      <c r="C35" s="21">
        <v>1.471275994124218E-3</v>
      </c>
      <c r="D35" s="10">
        <v>43</v>
      </c>
      <c r="E35" s="10">
        <v>134</v>
      </c>
      <c r="F35" s="10">
        <v>25</v>
      </c>
    </row>
    <row r="36" spans="1:6">
      <c r="A36" s="10" t="s">
        <v>56</v>
      </c>
      <c r="B36" s="10">
        <v>171</v>
      </c>
      <c r="C36" s="21">
        <v>1.5046305561373834E-3</v>
      </c>
      <c r="D36" s="10">
        <v>52</v>
      </c>
      <c r="E36" s="10">
        <v>155</v>
      </c>
      <c r="F36" s="10">
        <v>17</v>
      </c>
    </row>
    <row r="37" spans="1:6">
      <c r="A37" s="10" t="s">
        <v>57</v>
      </c>
      <c r="B37" s="10">
        <v>138</v>
      </c>
      <c r="C37" s="21">
        <v>4.2651296564895601E-3</v>
      </c>
      <c r="D37" s="10">
        <v>76</v>
      </c>
      <c r="E37" s="10">
        <v>135</v>
      </c>
      <c r="F37" s="10">
        <v>30</v>
      </c>
    </row>
    <row r="38" spans="1:6">
      <c r="A38" s="10" t="s">
        <v>58</v>
      </c>
      <c r="B38" s="10">
        <v>101</v>
      </c>
      <c r="C38" s="21">
        <v>6.4309585632189945E-4</v>
      </c>
      <c r="D38" s="10">
        <v>88</v>
      </c>
      <c r="E38" s="10">
        <v>170</v>
      </c>
      <c r="F38" s="10">
        <v>25</v>
      </c>
    </row>
    <row r="39" spans="1:6">
      <c r="A39" s="10" t="s">
        <v>59</v>
      </c>
      <c r="B39" s="10">
        <v>581</v>
      </c>
      <c r="C39" s="21">
        <v>2.1115205364997647E-3</v>
      </c>
      <c r="D39" s="10">
        <v>109</v>
      </c>
      <c r="E39" s="10">
        <v>191</v>
      </c>
      <c r="F39" s="10">
        <v>24</v>
      </c>
    </row>
    <row r="40" spans="1:6">
      <c r="A40" s="10" t="s">
        <v>60</v>
      </c>
      <c r="B40" s="10">
        <v>649</v>
      </c>
      <c r="C40" s="21">
        <v>1.8760993935935653E-3</v>
      </c>
      <c r="D40" s="10">
        <v>48</v>
      </c>
      <c r="E40" s="10">
        <v>127</v>
      </c>
      <c r="F40" s="10">
        <v>36</v>
      </c>
    </row>
    <row r="41" spans="1:6">
      <c r="A41" s="10" t="s">
        <v>61</v>
      </c>
      <c r="B41" s="10">
        <v>57</v>
      </c>
      <c r="C41" s="21">
        <v>1.8907215483519439E-3</v>
      </c>
      <c r="D41" s="10">
        <v>44</v>
      </c>
      <c r="E41" s="10">
        <v>97</v>
      </c>
      <c r="F41" s="10">
        <v>40</v>
      </c>
    </row>
    <row r="42" spans="1:6">
      <c r="A42" s="10" t="s">
        <v>62</v>
      </c>
      <c r="B42" s="10">
        <v>39</v>
      </c>
      <c r="C42" s="21">
        <v>2.1217121063032327E-3</v>
      </c>
      <c r="D42" s="10">
        <v>90</v>
      </c>
      <c r="E42" s="10">
        <v>146</v>
      </c>
      <c r="F42" s="10">
        <v>37</v>
      </c>
    </row>
    <row r="43" spans="1:6">
      <c r="A43" s="10" t="s">
        <v>63</v>
      </c>
      <c r="B43" s="10">
        <v>208</v>
      </c>
      <c r="C43" s="21">
        <v>2.8521345769411295E-3</v>
      </c>
      <c r="D43" s="10">
        <v>60</v>
      </c>
      <c r="E43" s="10">
        <v>107</v>
      </c>
      <c r="F43" s="10">
        <v>39</v>
      </c>
    </row>
    <row r="44" spans="1:6">
      <c r="A44" s="10" t="s">
        <v>64</v>
      </c>
      <c r="B44" s="10">
        <v>77</v>
      </c>
      <c r="C44" s="21">
        <v>1.1009773674835353E-3</v>
      </c>
      <c r="D44" s="10">
        <v>96</v>
      </c>
      <c r="E44" s="10">
        <v>210</v>
      </c>
      <c r="F44" s="10">
        <v>19</v>
      </c>
    </row>
    <row r="45" spans="1:6">
      <c r="A45" s="10" t="s">
        <v>65</v>
      </c>
      <c r="B45" s="10">
        <v>233</v>
      </c>
      <c r="C45" s="21">
        <v>1.6483681236811897E-3</v>
      </c>
      <c r="D45" s="10">
        <v>93</v>
      </c>
      <c r="E45" s="10">
        <v>176</v>
      </c>
      <c r="F45" s="10">
        <v>19</v>
      </c>
    </row>
    <row r="46" spans="1:6">
      <c r="A46" s="10" t="s">
        <v>66</v>
      </c>
      <c r="B46" s="10">
        <v>42</v>
      </c>
      <c r="C46" s="21">
        <v>1.884697102983731E-3</v>
      </c>
      <c r="D46" s="10">
        <v>29</v>
      </c>
      <c r="E46" s="10">
        <v>120</v>
      </c>
      <c r="F46" s="10">
        <v>33</v>
      </c>
    </row>
    <row r="47" spans="1:6">
      <c r="A47" s="10" t="s">
        <v>67</v>
      </c>
      <c r="B47" s="10">
        <v>105</v>
      </c>
      <c r="C47" s="21">
        <v>2.1782385037017651E-3</v>
      </c>
      <c r="D47" s="10">
        <v>37</v>
      </c>
      <c r="E47" s="10">
        <v>155</v>
      </c>
      <c r="F47" s="10">
        <v>33</v>
      </c>
    </row>
    <row r="48" spans="1:6">
      <c r="A48" s="10" t="s">
        <v>68</v>
      </c>
      <c r="B48" s="10">
        <v>522</v>
      </c>
      <c r="C48" s="21">
        <v>1.4524864152080492E-3</v>
      </c>
      <c r="D48" s="10">
        <v>95</v>
      </c>
      <c r="E48" s="10">
        <v>192</v>
      </c>
      <c r="F48" s="10">
        <v>27</v>
      </c>
    </row>
    <row r="49" spans="1:6">
      <c r="A49" s="10" t="s">
        <v>69</v>
      </c>
      <c r="B49" s="10">
        <v>82</v>
      </c>
      <c r="C49" s="21">
        <v>3.4610937137621541E-4</v>
      </c>
      <c r="D49" s="10">
        <v>101</v>
      </c>
      <c r="E49" s="10">
        <v>178</v>
      </c>
      <c r="F49" s="10">
        <v>23</v>
      </c>
    </row>
    <row r="50" spans="1:6">
      <c r="A50" s="10" t="s">
        <v>70</v>
      </c>
      <c r="B50" s="10">
        <v>62</v>
      </c>
      <c r="C50" s="21">
        <v>8.9222664097469637E-4</v>
      </c>
      <c r="D50" s="10">
        <v>42</v>
      </c>
      <c r="E50" s="10">
        <v>118</v>
      </c>
      <c r="F50" s="10">
        <v>27</v>
      </c>
    </row>
    <row r="51" spans="1:6">
      <c r="A51" s="10" t="s">
        <v>71</v>
      </c>
      <c r="B51" s="10">
        <v>210</v>
      </c>
      <c r="C51" s="21">
        <v>1.8152784945139448E-3</v>
      </c>
      <c r="D51" s="10">
        <v>77</v>
      </c>
      <c r="E51" s="10">
        <v>168</v>
      </c>
      <c r="F51" s="10">
        <v>30</v>
      </c>
    </row>
    <row r="52" spans="1:6">
      <c r="A52" s="10" t="s">
        <v>72</v>
      </c>
      <c r="B52" s="10">
        <v>461</v>
      </c>
      <c r="C52" s="21">
        <v>2.2563940247787742E-3</v>
      </c>
      <c r="D52" s="10">
        <v>42</v>
      </c>
      <c r="E52" s="10">
        <v>103</v>
      </c>
      <c r="F52" s="10">
        <v>42</v>
      </c>
    </row>
    <row r="53" spans="1:6">
      <c r="A53" s="10" t="s">
        <v>73</v>
      </c>
      <c r="B53" s="10">
        <v>116</v>
      </c>
      <c r="C53" s="21">
        <v>1.0598640824486158E-3</v>
      </c>
      <c r="D53" s="10">
        <v>57</v>
      </c>
      <c r="E53" s="10">
        <v>136</v>
      </c>
      <c r="F53" s="10">
        <v>28</v>
      </c>
    </row>
    <row r="54" spans="1:6">
      <c r="A54" s="10" t="s">
        <v>74</v>
      </c>
      <c r="B54" s="10">
        <v>45</v>
      </c>
      <c r="C54" s="21">
        <v>1.4219316729648444E-3</v>
      </c>
      <c r="D54" s="10">
        <v>89</v>
      </c>
      <c r="E54" s="10">
        <v>169</v>
      </c>
      <c r="F54" s="10">
        <v>22</v>
      </c>
    </row>
    <row r="55" spans="1:6">
      <c r="A55" s="10" t="s">
        <v>75</v>
      </c>
      <c r="B55" s="10">
        <v>198</v>
      </c>
      <c r="C55" s="21">
        <v>1.6459847324278068E-3</v>
      </c>
      <c r="D55" s="10">
        <v>89</v>
      </c>
      <c r="E55" s="10">
        <v>150</v>
      </c>
      <c r="F55" s="10">
        <v>29</v>
      </c>
    </row>
    <row r="56" spans="1:6">
      <c r="A56" s="10" t="s">
        <v>76</v>
      </c>
      <c r="C56" s="21">
        <v>1.8075703049277509E-3</v>
      </c>
      <c r="D56" s="10">
        <v>79</v>
      </c>
      <c r="E56" s="10">
        <v>168</v>
      </c>
      <c r="F56" s="10">
        <v>33</v>
      </c>
    </row>
    <row r="57" spans="1:6">
      <c r="A57" s="10" t="s">
        <v>77</v>
      </c>
      <c r="B57" s="10">
        <v>184</v>
      </c>
      <c r="C57" s="21">
        <v>6.2278300003531118E-4</v>
      </c>
      <c r="D57" s="10">
        <v>109</v>
      </c>
      <c r="E57" s="10">
        <v>220</v>
      </c>
      <c r="F57" s="10">
        <v>16</v>
      </c>
    </row>
    <row r="58" spans="1:6">
      <c r="A58" s="10" t="s">
        <v>78</v>
      </c>
      <c r="B58" s="10">
        <v>110</v>
      </c>
      <c r="C58" s="21">
        <v>2.9855096039994302E-3</v>
      </c>
      <c r="D58" s="10">
        <v>74</v>
      </c>
      <c r="E58" s="10">
        <v>138</v>
      </c>
      <c r="F58" s="10">
        <v>35</v>
      </c>
    </row>
    <row r="59" spans="1:6">
      <c r="A59" s="10" t="s">
        <v>79</v>
      </c>
      <c r="B59" s="10">
        <v>493</v>
      </c>
      <c r="C59" s="21">
        <v>1.2910990357404882E-3</v>
      </c>
      <c r="D59" s="10">
        <v>72</v>
      </c>
      <c r="E59" s="10">
        <v>177</v>
      </c>
      <c r="F59" s="10">
        <v>24</v>
      </c>
    </row>
    <row r="60" spans="1:6">
      <c r="A60" s="10" t="s">
        <v>80</v>
      </c>
      <c r="B60" s="10">
        <v>427</v>
      </c>
      <c r="C60" s="21">
        <v>1.8401442762877706E-3</v>
      </c>
      <c r="D60" s="10">
        <v>86</v>
      </c>
      <c r="E60" s="10">
        <v>177</v>
      </c>
      <c r="F60" s="10">
        <v>31</v>
      </c>
    </row>
    <row r="61" spans="1:6">
      <c r="A61" s="10" t="s">
        <v>81</v>
      </c>
      <c r="B61" s="10">
        <v>88</v>
      </c>
      <c r="C61" s="21">
        <v>1.9427476304190968E-3</v>
      </c>
      <c r="D61" s="10">
        <v>58</v>
      </c>
      <c r="E61" s="10">
        <v>141</v>
      </c>
      <c r="F61" s="10">
        <v>38</v>
      </c>
    </row>
    <row r="62" spans="1:6">
      <c r="A62" s="10" t="s">
        <v>82</v>
      </c>
      <c r="B62" s="10">
        <v>108</v>
      </c>
      <c r="C62" s="21">
        <v>1.1709065184826036E-3</v>
      </c>
      <c r="D62" s="10">
        <v>51</v>
      </c>
      <c r="E62" s="10">
        <v>186</v>
      </c>
      <c r="F62" s="10">
        <v>26</v>
      </c>
    </row>
    <row r="63" spans="1:6">
      <c r="A63" s="10" t="s">
        <v>83</v>
      </c>
      <c r="B63" s="10">
        <v>57</v>
      </c>
      <c r="C63" s="21">
        <v>9.8859371177487977E-4</v>
      </c>
      <c r="D63" s="10">
        <v>98</v>
      </c>
      <c r="E63" s="10">
        <v>221</v>
      </c>
      <c r="F63" s="10">
        <v>16</v>
      </c>
    </row>
    <row r="64" spans="1:6">
      <c r="A64" s="10" t="s">
        <v>84</v>
      </c>
      <c r="B64" s="10">
        <v>215</v>
      </c>
      <c r="C64" s="21">
        <v>1.0349331516544486E-3</v>
      </c>
      <c r="D64" s="10">
        <v>114</v>
      </c>
      <c r="E64" s="10">
        <v>210</v>
      </c>
      <c r="F64" s="10">
        <v>18</v>
      </c>
    </row>
    <row r="65" spans="1:6">
      <c r="A65" s="10" t="s">
        <v>85</v>
      </c>
      <c r="B65" s="10">
        <v>623</v>
      </c>
      <c r="C65" s="21">
        <v>1.9346922064213145E-3</v>
      </c>
      <c r="D65" s="10">
        <v>119</v>
      </c>
      <c r="E65" s="10">
        <v>198</v>
      </c>
      <c r="F65" s="10">
        <v>21</v>
      </c>
    </row>
    <row r="66" spans="1:6">
      <c r="A66" s="10" t="s">
        <v>86</v>
      </c>
      <c r="B66" s="10">
        <v>110</v>
      </c>
      <c r="C66" s="21">
        <v>1.4234438063633569E-3</v>
      </c>
      <c r="D66" s="10">
        <v>93</v>
      </c>
      <c r="E66" s="10">
        <v>170</v>
      </c>
      <c r="F66" s="10">
        <v>19</v>
      </c>
    </row>
    <row r="67" spans="1:6">
      <c r="A67" s="10" t="s">
        <v>87</v>
      </c>
      <c r="B67" s="10">
        <v>39</v>
      </c>
      <c r="C67" s="21">
        <v>9.3981656517807459E-4</v>
      </c>
      <c r="D67" s="10">
        <v>15</v>
      </c>
      <c r="E67" s="10">
        <v>102</v>
      </c>
      <c r="F67" s="10">
        <v>32</v>
      </c>
    </row>
    <row r="68" spans="1:6">
      <c r="A68" s="10" t="s">
        <v>88</v>
      </c>
      <c r="B68" s="10">
        <v>131</v>
      </c>
      <c r="C68" s="21">
        <v>1.4557219738284097E-3</v>
      </c>
      <c r="D68" s="10">
        <v>46</v>
      </c>
      <c r="E68" s="10">
        <v>129</v>
      </c>
      <c r="F68" s="10">
        <v>28</v>
      </c>
    </row>
    <row r="69" spans="1:6">
      <c r="A69" s="10" t="s">
        <v>89</v>
      </c>
      <c r="B69" s="10">
        <v>66</v>
      </c>
      <c r="C69" s="21">
        <v>2.6993255337543496E-3</v>
      </c>
      <c r="D69" s="10">
        <v>76</v>
      </c>
      <c r="E69" s="10">
        <v>141</v>
      </c>
      <c r="F69" s="10">
        <v>46</v>
      </c>
    </row>
    <row r="70" spans="1:6">
      <c r="A70" s="10" t="s">
        <v>90</v>
      </c>
      <c r="B70" s="10">
        <v>103</v>
      </c>
      <c r="C70" s="21">
        <v>1.151243488960453E-3</v>
      </c>
      <c r="D70" s="10">
        <v>30</v>
      </c>
      <c r="E70" s="10">
        <v>148</v>
      </c>
      <c r="F70" s="10">
        <v>22</v>
      </c>
    </row>
    <row r="71" spans="1:6">
      <c r="A71" s="10" t="s">
        <v>91</v>
      </c>
      <c r="B71" s="10">
        <v>75</v>
      </c>
      <c r="C71" s="21">
        <v>3.5951551190253049E-4</v>
      </c>
      <c r="D71" s="10">
        <v>61</v>
      </c>
      <c r="E71" s="10">
        <v>162</v>
      </c>
      <c r="F71" s="10">
        <v>16</v>
      </c>
    </row>
    <row r="72" spans="1:6">
      <c r="A72" s="10" t="s">
        <v>92</v>
      </c>
      <c r="B72" s="10">
        <v>523</v>
      </c>
      <c r="C72" s="21">
        <v>2.2414281809721306E-4</v>
      </c>
      <c r="D72" s="10">
        <v>48</v>
      </c>
      <c r="E72" s="10">
        <v>134</v>
      </c>
      <c r="F72" s="10">
        <v>26</v>
      </c>
    </row>
    <row r="73" spans="1:6">
      <c r="A73" s="10" t="s">
        <v>93</v>
      </c>
      <c r="B73" s="10">
        <v>353</v>
      </c>
      <c r="C73" s="21">
        <v>1.8884167134048657E-3</v>
      </c>
      <c r="D73" s="10">
        <v>63</v>
      </c>
      <c r="E73" s="10">
        <v>154</v>
      </c>
      <c r="F73" s="10">
        <v>37</v>
      </c>
    </row>
    <row r="74" spans="1:6">
      <c r="A74" s="10" t="s">
        <v>94</v>
      </c>
      <c r="B74" s="10">
        <v>106</v>
      </c>
      <c r="C74" s="21">
        <v>1.1284479740524009E-3</v>
      </c>
      <c r="D74" s="10">
        <v>47</v>
      </c>
      <c r="E74" s="10">
        <v>116</v>
      </c>
      <c r="F74" s="10">
        <v>32</v>
      </c>
    </row>
    <row r="75" spans="1:6">
      <c r="A75" s="10" t="s">
        <v>95</v>
      </c>
      <c r="B75" s="10">
        <v>564</v>
      </c>
      <c r="C75" s="21">
        <v>1.7132106167596364E-3</v>
      </c>
      <c r="D75" s="10">
        <v>60</v>
      </c>
      <c r="E75" s="10">
        <v>104</v>
      </c>
      <c r="F75" s="10">
        <v>46</v>
      </c>
    </row>
    <row r="76" spans="1:6">
      <c r="A76" s="10" t="s">
        <v>96</v>
      </c>
      <c r="B76" s="10">
        <v>428</v>
      </c>
      <c r="C76" s="21">
        <v>2.9265900039130127E-4</v>
      </c>
      <c r="D76" s="10">
        <v>60</v>
      </c>
      <c r="E76" s="10">
        <v>178</v>
      </c>
      <c r="F76" s="10">
        <v>20</v>
      </c>
    </row>
    <row r="77" spans="1:6">
      <c r="A77" s="10" t="s">
        <v>97</v>
      </c>
      <c r="B77" s="10">
        <v>114</v>
      </c>
      <c r="C77" s="21">
        <v>1.4607629280686642E-3</v>
      </c>
      <c r="D77" s="10">
        <v>82</v>
      </c>
      <c r="E77" s="10">
        <v>145</v>
      </c>
      <c r="F77" s="10">
        <v>45</v>
      </c>
    </row>
    <row r="78" spans="1:6">
      <c r="A78" s="10" t="s">
        <v>98</v>
      </c>
      <c r="B78" s="10">
        <v>41</v>
      </c>
      <c r="C78" s="21">
        <v>1.9317007556083406E-4</v>
      </c>
      <c r="D78" s="10">
        <v>44</v>
      </c>
      <c r="E78" s="10">
        <v>119</v>
      </c>
      <c r="F78" s="10">
        <v>34</v>
      </c>
    </row>
    <row r="79" spans="1:6">
      <c r="A79" s="10" t="s">
        <v>99</v>
      </c>
      <c r="B79" s="10">
        <v>115</v>
      </c>
      <c r="C79" s="21">
        <v>1.6017775407853412E-3</v>
      </c>
      <c r="D79" s="10">
        <v>15</v>
      </c>
      <c r="E79" s="10">
        <v>128</v>
      </c>
      <c r="F79" s="10">
        <v>30</v>
      </c>
    </row>
    <row r="80" spans="1:6">
      <c r="A80" s="10" t="s">
        <v>100</v>
      </c>
      <c r="B80" s="10">
        <v>120</v>
      </c>
      <c r="C80" s="21">
        <v>6.9934531102609776E-4</v>
      </c>
      <c r="D80" s="10">
        <v>85</v>
      </c>
      <c r="E80" s="10">
        <v>142</v>
      </c>
      <c r="F80" s="10">
        <v>19</v>
      </c>
    </row>
    <row r="81" spans="1:6">
      <c r="A81" s="10" t="s">
        <v>101</v>
      </c>
      <c r="B81" s="10">
        <v>121</v>
      </c>
      <c r="C81" s="21">
        <v>9.6469355869245371E-4</v>
      </c>
      <c r="D81" s="10">
        <v>105</v>
      </c>
      <c r="E81" s="10">
        <v>150</v>
      </c>
      <c r="F81" s="10">
        <v>24</v>
      </c>
    </row>
    <row r="82" spans="1:6">
      <c r="A82" s="10" t="s">
        <v>102</v>
      </c>
      <c r="B82" s="10">
        <v>613</v>
      </c>
      <c r="C82" s="21">
        <v>3.4990045853267401E-4</v>
      </c>
      <c r="D82" s="10">
        <v>51</v>
      </c>
      <c r="E82" s="10">
        <v>142</v>
      </c>
      <c r="F82" s="10">
        <v>11</v>
      </c>
    </row>
    <row r="83" spans="1:6">
      <c r="A83" s="10" t="s">
        <v>103</v>
      </c>
      <c r="B83" s="10">
        <v>457</v>
      </c>
      <c r="C83" s="21">
        <v>2.1805598363222509E-3</v>
      </c>
      <c r="D83" s="10">
        <v>79</v>
      </c>
      <c r="E83" s="10">
        <v>156</v>
      </c>
      <c r="F83" s="10">
        <v>33</v>
      </c>
    </row>
    <row r="84" spans="1:6">
      <c r="A84" s="10" t="s">
        <v>104</v>
      </c>
      <c r="B84" s="10">
        <v>121</v>
      </c>
      <c r="C84" s="21">
        <v>3.1637849816631645E-5</v>
      </c>
      <c r="D84" s="10">
        <v>105</v>
      </c>
      <c r="E84" s="10">
        <v>191</v>
      </c>
      <c r="F84" s="10">
        <v>21</v>
      </c>
    </row>
    <row r="85" spans="1:6">
      <c r="A85" s="10" t="s">
        <v>105</v>
      </c>
      <c r="B85" s="10">
        <v>534</v>
      </c>
      <c r="C85" s="21">
        <v>2.1554105081547318E-3</v>
      </c>
      <c r="D85" s="10">
        <v>47</v>
      </c>
      <c r="E85" s="10">
        <v>116</v>
      </c>
      <c r="F85" s="10">
        <v>42</v>
      </c>
    </row>
    <row r="86" spans="1:6">
      <c r="A86" s="10" t="s">
        <v>106</v>
      </c>
      <c r="B86" s="10">
        <v>69</v>
      </c>
      <c r="C86" s="21">
        <v>1.1360561773400694E-3</v>
      </c>
      <c r="D86" s="10">
        <v>98</v>
      </c>
      <c r="E86" s="10">
        <v>170</v>
      </c>
      <c r="F86" s="10">
        <v>27</v>
      </c>
    </row>
    <row r="87" spans="1:6">
      <c r="A87" s="10" t="s">
        <v>107</v>
      </c>
      <c r="B87" s="10">
        <v>106</v>
      </c>
      <c r="C87" s="21">
        <v>1.7974422909534718E-3</v>
      </c>
      <c r="D87" s="10">
        <v>44</v>
      </c>
      <c r="E87" s="10">
        <v>119</v>
      </c>
      <c r="F87" s="10">
        <v>27</v>
      </c>
    </row>
    <row r="88" spans="1:6">
      <c r="A88" s="10" t="s">
        <v>108</v>
      </c>
      <c r="B88" s="10">
        <v>118</v>
      </c>
      <c r="C88" s="21">
        <v>1.2817722431836917E-3</v>
      </c>
      <c r="D88" s="10">
        <v>122</v>
      </c>
      <c r="E88" s="10">
        <v>216</v>
      </c>
      <c r="F88" s="10">
        <v>18</v>
      </c>
    </row>
    <row r="89" spans="1:6">
      <c r="A89" s="10" t="s">
        <v>109</v>
      </c>
      <c r="B89" s="10">
        <v>344</v>
      </c>
      <c r="C89" s="21">
        <v>1.6138737946756101E-3</v>
      </c>
      <c r="D89" s="10">
        <v>106</v>
      </c>
      <c r="E89" s="10">
        <v>182</v>
      </c>
      <c r="F89" s="10">
        <v>30</v>
      </c>
    </row>
    <row r="90" spans="1:6">
      <c r="A90" s="10" t="s">
        <v>110</v>
      </c>
      <c r="B90" s="10">
        <v>59</v>
      </c>
      <c r="C90" s="21">
        <v>9.6832427680536607E-4</v>
      </c>
      <c r="D90" s="10">
        <v>52</v>
      </c>
      <c r="E90" s="10">
        <v>154</v>
      </c>
      <c r="F90" s="10">
        <v>18</v>
      </c>
    </row>
    <row r="91" spans="1:6">
      <c r="A91" s="10" t="s">
        <v>111</v>
      </c>
      <c r="B91" s="10">
        <v>232</v>
      </c>
      <c r="C91" s="21">
        <v>2.4246517841870229E-3</v>
      </c>
      <c r="D91" s="10">
        <v>55</v>
      </c>
      <c r="E91" s="10">
        <v>195</v>
      </c>
      <c r="F91" s="10">
        <v>20</v>
      </c>
    </row>
    <row r="92" spans="1:6">
      <c r="A92" s="10" t="s">
        <v>112</v>
      </c>
      <c r="B92" s="10">
        <v>206</v>
      </c>
      <c r="C92" s="21">
        <v>8.5151540160047787E-4</v>
      </c>
      <c r="D92" s="10">
        <v>92</v>
      </c>
      <c r="E92" s="10">
        <v>175</v>
      </c>
      <c r="F92" s="10">
        <v>26</v>
      </c>
    </row>
    <row r="93" spans="1:6">
      <c r="A93" s="10" t="s">
        <v>113</v>
      </c>
      <c r="B93" s="10">
        <v>114</v>
      </c>
      <c r="C93" s="21">
        <v>2.0700476752190679E-3</v>
      </c>
      <c r="D93" s="10">
        <v>82</v>
      </c>
      <c r="E93" s="10">
        <v>154</v>
      </c>
      <c r="F93" s="10">
        <v>19</v>
      </c>
    </row>
    <row r="94" spans="1:6">
      <c r="A94" s="10" t="s">
        <v>114</v>
      </c>
      <c r="B94" s="10">
        <v>99</v>
      </c>
      <c r="C94" s="21">
        <v>8.9976056235005345E-4</v>
      </c>
      <c r="D94" s="10">
        <v>103</v>
      </c>
      <c r="E94" s="10">
        <v>169</v>
      </c>
      <c r="F94" s="10">
        <v>26</v>
      </c>
    </row>
    <row r="95" spans="1:6">
      <c r="A95" s="10" t="s">
        <v>115</v>
      </c>
      <c r="B95" s="10">
        <v>40</v>
      </c>
      <c r="C95" s="21">
        <v>7.3044533476093434E-5</v>
      </c>
      <c r="D95" s="10">
        <v>98</v>
      </c>
      <c r="E95" s="10">
        <v>170</v>
      </c>
      <c r="F95" s="10">
        <v>23</v>
      </c>
    </row>
    <row r="96" spans="1:6">
      <c r="A96" s="10" t="s">
        <v>116</v>
      </c>
      <c r="B96" s="10">
        <v>223</v>
      </c>
      <c r="C96" s="21">
        <v>4.1827968917177854E-4</v>
      </c>
      <c r="D96" s="10">
        <v>82</v>
      </c>
      <c r="E96" s="10">
        <v>128</v>
      </c>
      <c r="F96" s="10">
        <v>20</v>
      </c>
    </row>
    <row r="97" spans="1:6">
      <c r="A97" s="10" t="s">
        <v>117</v>
      </c>
      <c r="B97" s="10">
        <v>161</v>
      </c>
      <c r="C97" s="21">
        <v>1.2168857172278607E-3</v>
      </c>
      <c r="D97" s="10">
        <v>58</v>
      </c>
      <c r="E97" s="10">
        <v>159</v>
      </c>
      <c r="F97" s="10">
        <v>17</v>
      </c>
    </row>
    <row r="98" spans="1:6">
      <c r="A98" s="10" t="s">
        <v>118</v>
      </c>
      <c r="B98" s="10">
        <v>87</v>
      </c>
      <c r="C98" s="21">
        <v>6.0195177066665797E-4</v>
      </c>
      <c r="D98" s="10">
        <v>92</v>
      </c>
      <c r="E98" s="10">
        <v>137</v>
      </c>
      <c r="F98" s="10">
        <v>15</v>
      </c>
    </row>
    <row r="99" spans="1:6">
      <c r="A99" s="10" t="s">
        <v>119</v>
      </c>
      <c r="B99" s="10">
        <v>549</v>
      </c>
      <c r="C99" s="21">
        <v>1.7956007324524416E-3</v>
      </c>
      <c r="D99" s="10">
        <v>58</v>
      </c>
      <c r="E99" s="10">
        <v>109</v>
      </c>
      <c r="F99" s="10">
        <v>39</v>
      </c>
    </row>
    <row r="100" spans="1:6">
      <c r="A100" s="10" t="s">
        <v>120</v>
      </c>
      <c r="B100" s="10">
        <v>45</v>
      </c>
      <c r="C100" s="21">
        <v>1.6508306826683776E-3</v>
      </c>
      <c r="D100" s="10">
        <v>38</v>
      </c>
      <c r="E100" s="10">
        <v>128</v>
      </c>
      <c r="F100" s="10">
        <v>30</v>
      </c>
    </row>
    <row r="101" spans="1:6">
      <c r="A101" s="10" t="s">
        <v>121</v>
      </c>
      <c r="B101" s="10">
        <v>101</v>
      </c>
      <c r="C101" s="21">
        <v>2.0822461568619837E-3</v>
      </c>
      <c r="D101" s="10">
        <v>77</v>
      </c>
      <c r="E101" s="10">
        <v>133</v>
      </c>
      <c r="F101" s="10">
        <v>37</v>
      </c>
    </row>
    <row r="102" spans="1:6">
      <c r="A102" s="10" t="s">
        <v>122</v>
      </c>
      <c r="B102" s="10">
        <v>635</v>
      </c>
      <c r="C102" s="21">
        <v>1.9397613293176807E-3</v>
      </c>
      <c r="D102" s="10">
        <v>79</v>
      </c>
      <c r="E102" s="10">
        <v>146</v>
      </c>
      <c r="F102" s="10">
        <v>31</v>
      </c>
    </row>
    <row r="103" spans="1:6">
      <c r="A103" s="10" t="s">
        <v>123</v>
      </c>
      <c r="B103" s="10">
        <v>404</v>
      </c>
      <c r="C103" s="21">
        <v>1.0288350759240404E-3</v>
      </c>
      <c r="D103" s="10">
        <v>88</v>
      </c>
      <c r="E103" s="10">
        <v>164</v>
      </c>
      <c r="F103" s="10">
        <v>15</v>
      </c>
    </row>
    <row r="104" spans="1:6">
      <c r="A104" s="10" t="s">
        <v>124</v>
      </c>
      <c r="B104" s="10">
        <v>130</v>
      </c>
      <c r="C104" s="21">
        <v>6.0359803963039521E-4</v>
      </c>
      <c r="D104" s="10">
        <v>74</v>
      </c>
      <c r="E104" s="10">
        <v>149</v>
      </c>
      <c r="F104" s="10">
        <v>33</v>
      </c>
    </row>
    <row r="105" spans="1:6">
      <c r="A105" s="10" t="s">
        <v>125</v>
      </c>
      <c r="B105" s="10">
        <v>135</v>
      </c>
      <c r="C105" s="21">
        <v>1.3058085694423688E-3</v>
      </c>
      <c r="D105" s="10">
        <v>106</v>
      </c>
      <c r="E105" s="10">
        <v>168</v>
      </c>
      <c r="F105" s="10">
        <v>32</v>
      </c>
    </row>
    <row r="106" spans="1:6">
      <c r="A106" s="10" t="s">
        <v>126</v>
      </c>
      <c r="B106" s="10">
        <v>509</v>
      </c>
      <c r="C106" s="21">
        <v>1.7752611741431712E-3</v>
      </c>
      <c r="D106" s="10">
        <v>51</v>
      </c>
      <c r="E106" s="10">
        <v>130</v>
      </c>
      <c r="F106" s="10">
        <v>33</v>
      </c>
    </row>
    <row r="107" spans="1:6">
      <c r="A107" s="10" t="s">
        <v>127</v>
      </c>
      <c r="B107" s="10">
        <v>77</v>
      </c>
      <c r="C107" s="21">
        <v>1.726233175473687E-5</v>
      </c>
      <c r="D107" s="10">
        <v>39</v>
      </c>
      <c r="E107" s="10">
        <v>126</v>
      </c>
      <c r="F107" s="10">
        <v>24</v>
      </c>
    </row>
    <row r="108" spans="1:6">
      <c r="A108" s="10" t="s">
        <v>128</v>
      </c>
      <c r="B108" s="10">
        <v>439</v>
      </c>
      <c r="C108" s="21">
        <v>1.2149359774641778E-3</v>
      </c>
      <c r="D108" s="10">
        <v>36</v>
      </c>
      <c r="E108" s="10">
        <v>115</v>
      </c>
      <c r="F108" s="10">
        <v>25</v>
      </c>
    </row>
    <row r="109" spans="1:6">
      <c r="A109" s="10" t="s">
        <v>129</v>
      </c>
      <c r="B109" s="10">
        <v>457</v>
      </c>
      <c r="C109" s="21">
        <v>1.3752687591461925E-3</v>
      </c>
      <c r="D109" s="10">
        <v>72</v>
      </c>
      <c r="E109" s="10">
        <v>136</v>
      </c>
      <c r="F109" s="10">
        <v>23</v>
      </c>
    </row>
    <row r="110" spans="1:6">
      <c r="A110" s="10" t="s">
        <v>130</v>
      </c>
      <c r="B110" s="10">
        <v>45</v>
      </c>
      <c r="C110" s="21">
        <v>1.5384416578740198E-3</v>
      </c>
      <c r="D110" s="10">
        <v>106</v>
      </c>
      <c r="E110" s="10">
        <v>161</v>
      </c>
      <c r="F110" s="10">
        <v>27</v>
      </c>
    </row>
    <row r="111" spans="1:6">
      <c r="A111" s="10" t="s">
        <v>131</v>
      </c>
      <c r="B111" s="10">
        <v>263</v>
      </c>
      <c r="C111" s="21">
        <v>3.5043090281708131E-3</v>
      </c>
      <c r="D111" s="10">
        <v>43</v>
      </c>
      <c r="E111" s="10">
        <v>108</v>
      </c>
      <c r="F111" s="10">
        <v>33</v>
      </c>
    </row>
    <row r="112" spans="1:6">
      <c r="A112" s="10" t="s">
        <v>132</v>
      </c>
      <c r="B112" s="10">
        <v>96</v>
      </c>
      <c r="C112" s="21">
        <v>5.5939919082352194E-4</v>
      </c>
      <c r="D112" s="10">
        <v>105</v>
      </c>
      <c r="E112" s="10">
        <v>198</v>
      </c>
      <c r="F112" s="10">
        <v>11</v>
      </c>
    </row>
    <row r="113" spans="1:6">
      <c r="A113" s="10" t="s">
        <v>133</v>
      </c>
      <c r="B113" s="10">
        <v>36</v>
      </c>
      <c r="C113" s="21">
        <v>5.6056227225888917E-4</v>
      </c>
      <c r="D113" s="10">
        <v>90</v>
      </c>
      <c r="E113" s="10">
        <v>203</v>
      </c>
      <c r="F113" s="10">
        <v>11</v>
      </c>
    </row>
    <row r="114" spans="1:6">
      <c r="A114" s="10" t="s">
        <v>134</v>
      </c>
      <c r="B114" s="10">
        <v>160</v>
      </c>
      <c r="C114" s="21">
        <v>1.1738697741306139E-3</v>
      </c>
      <c r="D114" s="10">
        <v>70</v>
      </c>
      <c r="E114" s="10">
        <v>109</v>
      </c>
      <c r="F114" s="10">
        <v>29</v>
      </c>
    </row>
    <row r="115" spans="1:6">
      <c r="A115" s="10" t="s">
        <v>135</v>
      </c>
      <c r="B115" s="10">
        <v>46</v>
      </c>
      <c r="C115" s="21">
        <v>1.4199989795998236E-3</v>
      </c>
      <c r="D115" s="10">
        <v>15</v>
      </c>
      <c r="E115" s="10">
        <v>109</v>
      </c>
      <c r="F115" s="10">
        <v>38</v>
      </c>
    </row>
    <row r="116" spans="1:6">
      <c r="A116" s="10" t="s">
        <v>136</v>
      </c>
      <c r="B116" s="10">
        <v>90</v>
      </c>
      <c r="C116" s="21">
        <v>1.3980157387597099E-3</v>
      </c>
      <c r="D116" s="10">
        <v>93</v>
      </c>
      <c r="E116" s="10">
        <v>140</v>
      </c>
      <c r="F116" s="10">
        <v>26</v>
      </c>
    </row>
    <row r="117" spans="1:6">
      <c r="A117" s="10" t="s">
        <v>137</v>
      </c>
      <c r="B117" s="10">
        <v>538</v>
      </c>
      <c r="C117" s="21">
        <v>1.3843186111607169E-3</v>
      </c>
      <c r="D117" s="10">
        <v>60</v>
      </c>
      <c r="E117" s="10">
        <v>102</v>
      </c>
      <c r="F117" s="10">
        <v>36</v>
      </c>
    </row>
    <row r="118" spans="1:6">
      <c r="A118" s="10" t="s">
        <v>138</v>
      </c>
      <c r="B118" s="10">
        <v>568</v>
      </c>
      <c r="C118" s="21">
        <v>2.4408145598149031E-3</v>
      </c>
      <c r="D118" s="10">
        <v>90</v>
      </c>
      <c r="E118" s="10">
        <v>142</v>
      </c>
      <c r="F118" s="10">
        <v>32</v>
      </c>
    </row>
    <row r="119" spans="1:6">
      <c r="A119" s="10" t="s">
        <v>139</v>
      </c>
      <c r="B119" s="10">
        <v>101</v>
      </c>
      <c r="C119" s="21">
        <v>6.9934531102609776E-4</v>
      </c>
      <c r="D119" s="10">
        <v>39</v>
      </c>
      <c r="E119" s="10">
        <v>171</v>
      </c>
      <c r="F119" s="10">
        <v>18</v>
      </c>
    </row>
    <row r="120" spans="1:6">
      <c r="A120" s="10" t="s">
        <v>140</v>
      </c>
      <c r="C120" s="21">
        <v>1.0694937802934181E-3</v>
      </c>
      <c r="D120" s="10">
        <v>113</v>
      </c>
      <c r="E120" s="10">
        <v>212</v>
      </c>
      <c r="F120" s="10">
        <v>21</v>
      </c>
    </row>
    <row r="121" spans="1:6">
      <c r="A121" s="10" t="s">
        <v>141</v>
      </c>
      <c r="B121" s="10">
        <v>728</v>
      </c>
      <c r="C121" s="21">
        <v>7.8202804054170339E-4</v>
      </c>
      <c r="D121" s="10">
        <v>78</v>
      </c>
      <c r="E121" s="10">
        <v>141</v>
      </c>
      <c r="F121" s="10">
        <v>12</v>
      </c>
    </row>
    <row r="122" spans="1:6">
      <c r="A122" s="10" t="s">
        <v>142</v>
      </c>
      <c r="B122" s="10">
        <v>82</v>
      </c>
      <c r="C122" s="21">
        <v>1.1111139440227377E-3</v>
      </c>
      <c r="D122" s="10">
        <v>127</v>
      </c>
      <c r="E122" s="10">
        <v>184</v>
      </c>
      <c r="F122" s="10">
        <v>12</v>
      </c>
    </row>
    <row r="123" spans="1:6">
      <c r="A123" s="10" t="s">
        <v>143</v>
      </c>
      <c r="B123" s="10">
        <v>312</v>
      </c>
      <c r="C123" s="21">
        <v>2.3271164127271911E-3</v>
      </c>
      <c r="D123" s="10">
        <v>90</v>
      </c>
      <c r="E123" s="10">
        <v>164</v>
      </c>
      <c r="F123" s="10">
        <v>32</v>
      </c>
    </row>
    <row r="124" spans="1:6">
      <c r="A124" s="10" t="s">
        <v>144</v>
      </c>
      <c r="B124" s="10">
        <v>438</v>
      </c>
      <c r="C124" s="21">
        <v>6.6468292393004401E-4</v>
      </c>
      <c r="D124" s="10">
        <v>105</v>
      </c>
      <c r="E124" s="10">
        <v>179</v>
      </c>
      <c r="F124" s="10">
        <v>23</v>
      </c>
    </row>
    <row r="125" spans="1:6">
      <c r="A125" s="10" t="s">
        <v>145</v>
      </c>
      <c r="B125" s="10">
        <v>62</v>
      </c>
      <c r="C125" s="21">
        <v>1.3049739770765653E-3</v>
      </c>
      <c r="D125" s="10">
        <v>126</v>
      </c>
      <c r="E125" s="10">
        <v>159</v>
      </c>
      <c r="F125" s="10">
        <v>26</v>
      </c>
    </row>
    <row r="126" spans="1:6">
      <c r="A126" s="10" t="s">
        <v>146</v>
      </c>
      <c r="B126" s="10">
        <v>80</v>
      </c>
      <c r="C126" s="21">
        <v>1.1383366508754384E-3</v>
      </c>
      <c r="D126" s="10">
        <v>45</v>
      </c>
      <c r="E126" s="10">
        <v>140</v>
      </c>
      <c r="F126" s="10">
        <v>30</v>
      </c>
    </row>
    <row r="127" spans="1:6">
      <c r="A127" s="10" t="s">
        <v>147</v>
      </c>
      <c r="B127" s="10">
        <v>109</v>
      </c>
      <c r="C127" s="21">
        <v>4.5431831788881206E-4</v>
      </c>
      <c r="D127" s="10">
        <v>102</v>
      </c>
      <c r="E127" s="10">
        <v>175</v>
      </c>
      <c r="F127" s="10">
        <v>13</v>
      </c>
    </row>
    <row r="128" spans="1:6">
      <c r="A128" s="10" t="s">
        <v>148</v>
      </c>
      <c r="B128" s="10">
        <v>94</v>
      </c>
      <c r="C128" s="21">
        <v>8.6073269049365879E-4</v>
      </c>
      <c r="D128" s="10">
        <v>95</v>
      </c>
      <c r="E128" s="10">
        <v>161</v>
      </c>
      <c r="F128" s="10">
        <v>16</v>
      </c>
    </row>
    <row r="129" spans="1:6">
      <c r="A129" s="10" t="s">
        <v>150</v>
      </c>
      <c r="B129" s="10">
        <v>108</v>
      </c>
      <c r="C129" s="21">
        <v>1.7046086681320625E-3</v>
      </c>
      <c r="D129" s="10">
        <v>63</v>
      </c>
      <c r="E129" s="10">
        <v>173</v>
      </c>
      <c r="F129" s="10">
        <v>34</v>
      </c>
    </row>
    <row r="130" spans="1:6">
      <c r="A130" s="10" t="s">
        <v>151</v>
      </c>
      <c r="B130" s="10">
        <v>112</v>
      </c>
      <c r="C130" s="21">
        <v>1.5280480207957995E-3</v>
      </c>
      <c r="D130" s="10">
        <v>108</v>
      </c>
      <c r="E130" s="10">
        <v>186</v>
      </c>
      <c r="F130" s="10">
        <v>32</v>
      </c>
    </row>
    <row r="131" spans="1:6">
      <c r="A131" s="10" t="s">
        <v>152</v>
      </c>
      <c r="B131" s="10">
        <v>142</v>
      </c>
      <c r="C131" s="21">
        <v>1.2140523811084299E-4</v>
      </c>
      <c r="D131" s="10">
        <v>117</v>
      </c>
      <c r="E131" s="10">
        <v>187</v>
      </c>
      <c r="F131" s="10">
        <v>31</v>
      </c>
    </row>
    <row r="132" spans="1:6">
      <c r="A132" s="10" t="s">
        <v>153</v>
      </c>
      <c r="B132" s="10">
        <v>452</v>
      </c>
      <c r="C132" s="21">
        <v>1.680106095879548E-3</v>
      </c>
      <c r="D132" s="10">
        <v>61</v>
      </c>
      <c r="E132" s="10">
        <v>130</v>
      </c>
      <c r="F132" s="10">
        <v>36</v>
      </c>
    </row>
    <row r="133" spans="1:6">
      <c r="A133" s="10" t="s">
        <v>154</v>
      </c>
      <c r="B133" s="10">
        <v>96</v>
      </c>
      <c r="C133" s="21">
        <v>8.9523597722120725E-4</v>
      </c>
      <c r="D133" s="10">
        <v>72</v>
      </c>
      <c r="E133" s="10">
        <v>112</v>
      </c>
      <c r="F133" s="10">
        <v>48</v>
      </c>
    </row>
    <row r="134" spans="1:6">
      <c r="A134" s="10" t="s">
        <v>155</v>
      </c>
      <c r="B134" s="10">
        <v>53</v>
      </c>
      <c r="C134" s="21">
        <v>1.9887495992869713E-3</v>
      </c>
      <c r="D134" s="10">
        <v>108</v>
      </c>
      <c r="E134" s="10">
        <v>183</v>
      </c>
      <c r="F134" s="10">
        <v>23</v>
      </c>
    </row>
    <row r="135" spans="1:6">
      <c r="A135" s="10" t="s">
        <v>156</v>
      </c>
      <c r="B135" s="10">
        <v>87</v>
      </c>
      <c r="C135" s="21">
        <v>1.7434486106339799E-3</v>
      </c>
      <c r="D135" s="10">
        <v>79</v>
      </c>
      <c r="E135" s="10">
        <v>175</v>
      </c>
      <c r="F135" s="10">
        <v>24</v>
      </c>
    </row>
    <row r="136" spans="1:6">
      <c r="A136" s="10" t="s">
        <v>157</v>
      </c>
      <c r="B136" s="10">
        <v>602</v>
      </c>
      <c r="C136" s="21">
        <v>2.5496038288709672E-3</v>
      </c>
      <c r="D136" s="10">
        <v>68</v>
      </c>
      <c r="E136" s="10">
        <v>140</v>
      </c>
      <c r="F136" s="10">
        <v>41</v>
      </c>
    </row>
    <row r="137" spans="1:6">
      <c r="A137" s="10" t="s">
        <v>158</v>
      </c>
      <c r="B137" s="10">
        <v>446</v>
      </c>
      <c r="C137" s="21">
        <v>9.5030675693243052E-4</v>
      </c>
      <c r="D137" s="10">
        <v>107</v>
      </c>
      <c r="E137" s="10">
        <v>177</v>
      </c>
      <c r="F137" s="10">
        <v>20</v>
      </c>
    </row>
    <row r="138" spans="1:6">
      <c r="A138" s="10" t="s">
        <v>159</v>
      </c>
      <c r="B138" s="10">
        <v>76</v>
      </c>
      <c r="C138" s="21">
        <v>7.9108048010407953E-4</v>
      </c>
      <c r="D138" s="10">
        <v>46</v>
      </c>
      <c r="E138" s="10">
        <v>139</v>
      </c>
      <c r="F138" s="10">
        <v>24</v>
      </c>
    </row>
    <row r="139" spans="1:6">
      <c r="A139" s="10" t="s">
        <v>160</v>
      </c>
      <c r="B139" s="10">
        <v>50</v>
      </c>
      <c r="C139" s="21">
        <v>9.4309990590535733E-4</v>
      </c>
      <c r="D139" s="10">
        <v>138</v>
      </c>
      <c r="E139" s="10">
        <v>186</v>
      </c>
      <c r="F139" s="10">
        <v>20</v>
      </c>
    </row>
    <row r="140" spans="1:6">
      <c r="A140" s="10" t="s">
        <v>161</v>
      </c>
      <c r="B140" s="10">
        <v>90</v>
      </c>
      <c r="C140" s="21">
        <v>6.5718742606757244E-4</v>
      </c>
      <c r="D140" s="10">
        <v>84</v>
      </c>
      <c r="E140" s="10">
        <v>173</v>
      </c>
      <c r="F140" s="10">
        <v>19</v>
      </c>
    </row>
    <row r="141" spans="1:6">
      <c r="A141" s="10" t="s">
        <v>162</v>
      </c>
      <c r="B141" s="10">
        <v>601</v>
      </c>
      <c r="C141" s="21">
        <v>1.1291694187913811E-3</v>
      </c>
      <c r="D141" s="10">
        <v>109</v>
      </c>
      <c r="E141" s="10">
        <v>176</v>
      </c>
      <c r="F141" s="10">
        <v>24</v>
      </c>
    </row>
    <row r="142" spans="1:6">
      <c r="A142" s="10" t="s">
        <v>163</v>
      </c>
      <c r="B142" s="10">
        <v>131</v>
      </c>
      <c r="C142" s="21">
        <v>5.5849895844890861E-4</v>
      </c>
      <c r="D142" s="10">
        <v>74</v>
      </c>
      <c r="E142" s="10">
        <v>144</v>
      </c>
      <c r="F142" s="10">
        <v>20</v>
      </c>
    </row>
    <row r="143" spans="1:6">
      <c r="A143" s="10" t="s">
        <v>164</v>
      </c>
      <c r="B143" s="10">
        <v>55</v>
      </c>
      <c r="C143" s="21">
        <v>1.1131606727540996E-3</v>
      </c>
      <c r="D143" s="10">
        <v>100</v>
      </c>
      <c r="E143" s="10">
        <v>146</v>
      </c>
      <c r="F143" s="10">
        <v>32</v>
      </c>
    </row>
    <row r="144" spans="1:6">
      <c r="A144" s="10" t="s">
        <v>165</v>
      </c>
      <c r="B144" s="10">
        <v>71</v>
      </c>
      <c r="C144" s="21">
        <v>7.7639477694082843E-4</v>
      </c>
      <c r="D144" s="10">
        <v>86</v>
      </c>
      <c r="E144" s="10">
        <v>184</v>
      </c>
      <c r="F144" s="10">
        <v>32</v>
      </c>
    </row>
    <row r="145" spans="1:6">
      <c r="A145" s="10" t="s">
        <v>166</v>
      </c>
      <c r="B145" s="10">
        <v>95</v>
      </c>
      <c r="C145" s="21">
        <v>6.5410322568673206E-4</v>
      </c>
      <c r="D145" s="10">
        <v>121</v>
      </c>
      <c r="E145" s="10">
        <v>185</v>
      </c>
      <c r="F145" s="10">
        <v>12</v>
      </c>
    </row>
    <row r="146" spans="1:6">
      <c r="A146" s="10" t="s">
        <v>167</v>
      </c>
      <c r="B146" s="10">
        <v>65</v>
      </c>
      <c r="C146" s="21">
        <v>1.1094345358432253E-3</v>
      </c>
      <c r="D146" s="10">
        <v>82</v>
      </c>
      <c r="E146" s="10">
        <v>124</v>
      </c>
      <c r="F146" s="10">
        <v>25</v>
      </c>
    </row>
    <row r="147" spans="1:6">
      <c r="A147" s="10" t="s">
        <v>168</v>
      </c>
      <c r="B147" s="10">
        <v>113</v>
      </c>
      <c r="C147" s="21">
        <v>6.029925448822268E-4</v>
      </c>
      <c r="D147" s="10">
        <v>53</v>
      </c>
      <c r="E147" s="10">
        <v>146</v>
      </c>
      <c r="F147" s="10">
        <v>10</v>
      </c>
    </row>
    <row r="148" spans="1:6">
      <c r="A148" s="10" t="s">
        <v>169</v>
      </c>
      <c r="B148" s="10">
        <v>327</v>
      </c>
      <c r="C148" s="21">
        <v>2.6615175942868614E-3</v>
      </c>
      <c r="D148" s="10">
        <v>40</v>
      </c>
      <c r="E148" s="10">
        <v>97</v>
      </c>
      <c r="F148" s="10">
        <v>39</v>
      </c>
    </row>
    <row r="149" spans="1:6">
      <c r="A149" s="10" t="s">
        <v>170</v>
      </c>
      <c r="B149" s="10">
        <v>402</v>
      </c>
      <c r="C149" s="21">
        <v>4.3894216085486179E-3</v>
      </c>
      <c r="D149" s="10">
        <v>92</v>
      </c>
      <c r="E149" s="10">
        <v>152</v>
      </c>
      <c r="F149" s="10">
        <v>43</v>
      </c>
    </row>
    <row r="150" spans="1:6">
      <c r="A150" s="10" t="s">
        <v>171</v>
      </c>
      <c r="B150" s="10">
        <v>133</v>
      </c>
      <c r="C150" s="21">
        <v>1.2100232602440327E-3</v>
      </c>
      <c r="D150" s="10">
        <v>112</v>
      </c>
      <c r="E150" s="10">
        <v>178</v>
      </c>
      <c r="F150" s="10">
        <v>20</v>
      </c>
    </row>
    <row r="151" spans="1:6">
      <c r="A151" s="10" t="s">
        <v>172</v>
      </c>
      <c r="B151" s="10">
        <v>94</v>
      </c>
      <c r="C151" s="21">
        <v>1.0518671806877863E-3</v>
      </c>
      <c r="D151" s="10">
        <v>90</v>
      </c>
      <c r="E151" s="10">
        <v>166</v>
      </c>
      <c r="F151" s="10">
        <v>16</v>
      </c>
    </row>
    <row r="152" spans="1:6">
      <c r="A152" s="10" t="s">
        <v>173</v>
      </c>
      <c r="B152" s="10">
        <v>41</v>
      </c>
      <c r="C152" s="21">
        <v>1.8722030553948823E-3</v>
      </c>
      <c r="D152" s="10">
        <v>35</v>
      </c>
      <c r="E152" s="10">
        <v>101</v>
      </c>
      <c r="F152" s="10">
        <v>41</v>
      </c>
    </row>
    <row r="153" spans="1:6">
      <c r="A153" s="10" t="s">
        <v>174</v>
      </c>
      <c r="B153" s="10">
        <v>94</v>
      </c>
      <c r="C153" s="21">
        <v>1.5687920659409377E-3</v>
      </c>
      <c r="D153" s="10">
        <v>41</v>
      </c>
      <c r="E153" s="10">
        <v>102</v>
      </c>
      <c r="F153" s="10">
        <v>30</v>
      </c>
    </row>
    <row r="154" spans="1:6">
      <c r="A154" s="10" t="s">
        <v>175</v>
      </c>
      <c r="B154" s="10">
        <v>459</v>
      </c>
      <c r="C154" s="21">
        <v>2.6897896577926838E-3</v>
      </c>
      <c r="D154" s="10">
        <v>60</v>
      </c>
      <c r="E154" s="10">
        <v>72</v>
      </c>
      <c r="F154" s="10">
        <v>50</v>
      </c>
    </row>
    <row r="155" spans="1:6">
      <c r="A155" s="10" t="s">
        <v>176</v>
      </c>
      <c r="B155" s="10">
        <v>89</v>
      </c>
      <c r="C155" s="21">
        <v>2.2669060074283556E-3</v>
      </c>
      <c r="D155" s="10">
        <v>24</v>
      </c>
      <c r="E155" s="10">
        <v>100</v>
      </c>
      <c r="F155" s="10">
        <v>53</v>
      </c>
    </row>
    <row r="156" spans="1:6">
      <c r="A156" s="10" t="s">
        <v>177</v>
      </c>
      <c r="B156" s="10">
        <v>99</v>
      </c>
      <c r="C156" s="21">
        <v>1.2613570553457083E-3</v>
      </c>
      <c r="D156" s="10">
        <v>55</v>
      </c>
      <c r="E156" s="10">
        <v>104</v>
      </c>
      <c r="F156" s="10">
        <v>32</v>
      </c>
    </row>
    <row r="157" spans="1:6">
      <c r="A157" s="10" t="s">
        <v>178</v>
      </c>
      <c r="B157" s="10">
        <v>511</v>
      </c>
      <c r="C157" s="21">
        <v>9.1047632360431122E-4</v>
      </c>
      <c r="D157" s="10">
        <v>62</v>
      </c>
      <c r="E157" s="10">
        <v>104</v>
      </c>
      <c r="F157" s="10">
        <v>35</v>
      </c>
    </row>
    <row r="158" spans="1:6">
      <c r="A158" s="10" t="s">
        <v>179</v>
      </c>
      <c r="B158" s="10">
        <v>56</v>
      </c>
      <c r="C158" s="21">
        <v>1.5600780015197564E-3</v>
      </c>
      <c r="D158" s="10">
        <v>45</v>
      </c>
      <c r="E158" s="10">
        <v>128</v>
      </c>
      <c r="F158" s="10">
        <v>29</v>
      </c>
    </row>
    <row r="159" spans="1:6">
      <c r="A159" s="10" t="s">
        <v>180</v>
      </c>
      <c r="B159" s="10">
        <v>135</v>
      </c>
      <c r="C159" s="21">
        <v>1.3573867103870031E-3</v>
      </c>
      <c r="D159" s="10">
        <v>111</v>
      </c>
      <c r="E159" s="10">
        <v>189</v>
      </c>
      <c r="F159" s="10">
        <v>26</v>
      </c>
    </row>
    <row r="160" spans="1:6">
      <c r="A160" s="10" t="s">
        <v>181</v>
      </c>
      <c r="B160" s="10">
        <v>396</v>
      </c>
      <c r="C160" s="21">
        <v>1.2259151222698138E-3</v>
      </c>
      <c r="D160" s="10">
        <v>98</v>
      </c>
      <c r="E160" s="10">
        <v>198</v>
      </c>
      <c r="F160" s="10">
        <v>22</v>
      </c>
    </row>
    <row r="161" spans="1:6">
      <c r="A161" s="10" t="s">
        <v>182</v>
      </c>
      <c r="B161" s="10">
        <v>124</v>
      </c>
      <c r="C161" s="21">
        <v>1.7521691012104188E-3</v>
      </c>
      <c r="D161" s="10">
        <v>18</v>
      </c>
      <c r="E161" s="10">
        <v>124</v>
      </c>
      <c r="F161" s="10">
        <v>23</v>
      </c>
    </row>
    <row r="162" spans="1:6">
      <c r="A162" s="10" t="s">
        <v>183</v>
      </c>
      <c r="B162" s="10">
        <v>85</v>
      </c>
      <c r="C162" s="21">
        <v>2.8098144910986265E-3</v>
      </c>
      <c r="D162" s="10">
        <v>74</v>
      </c>
      <c r="E162" s="10">
        <v>134</v>
      </c>
      <c r="F162" s="10">
        <v>52</v>
      </c>
    </row>
    <row r="163" spans="1:6">
      <c r="A163" s="10" t="s">
        <v>184</v>
      </c>
      <c r="B163" s="10">
        <v>148</v>
      </c>
      <c r="C163" s="21">
        <v>5.7510006836440262E-4</v>
      </c>
      <c r="D163" s="10">
        <v>53</v>
      </c>
      <c r="E163" s="10">
        <v>137</v>
      </c>
      <c r="F163" s="10">
        <v>24</v>
      </c>
    </row>
    <row r="164" spans="1:6">
      <c r="A164" s="10" t="s">
        <v>185</v>
      </c>
      <c r="B164" s="10">
        <v>154</v>
      </c>
      <c r="C164" s="21">
        <v>1.949578872566918E-3</v>
      </c>
      <c r="D164" s="10">
        <v>72</v>
      </c>
      <c r="E164" s="10">
        <v>135</v>
      </c>
      <c r="F164" s="10">
        <v>42</v>
      </c>
    </row>
    <row r="165" spans="1:6">
      <c r="A165" s="10" t="s">
        <v>186</v>
      </c>
      <c r="B165" s="10">
        <v>108</v>
      </c>
      <c r="C165" s="21">
        <v>1.5127848724946942E-3</v>
      </c>
      <c r="D165" s="10">
        <v>83</v>
      </c>
      <c r="E165" s="10">
        <v>140</v>
      </c>
      <c r="F165" s="10">
        <v>36</v>
      </c>
    </row>
    <row r="166" spans="1:6">
      <c r="A166" s="10" t="s">
        <v>187</v>
      </c>
      <c r="B166" s="10">
        <v>41</v>
      </c>
      <c r="C166" s="21">
        <v>9.5366080222933141E-4</v>
      </c>
      <c r="D166" s="10">
        <v>83</v>
      </c>
      <c r="E166" s="10">
        <v>174</v>
      </c>
      <c r="F166" s="10">
        <v>16</v>
      </c>
    </row>
    <row r="167" spans="1:6">
      <c r="A167" s="10" t="s">
        <v>188</v>
      </c>
      <c r="B167" s="10">
        <v>130</v>
      </c>
      <c r="C167" s="21">
        <v>1.3986906220521955E-3</v>
      </c>
      <c r="D167" s="10">
        <v>81</v>
      </c>
      <c r="E167" s="10">
        <v>112</v>
      </c>
      <c r="F167" s="10">
        <v>26</v>
      </c>
    </row>
    <row r="168" spans="1:6">
      <c r="A168" s="10" t="s">
        <v>189</v>
      </c>
      <c r="B168" s="10">
        <v>267</v>
      </c>
      <c r="C168" s="21">
        <v>1.1278385558911805E-3</v>
      </c>
      <c r="D168" s="10">
        <v>67</v>
      </c>
      <c r="E168" s="10">
        <v>133</v>
      </c>
      <c r="F168" s="10">
        <v>28</v>
      </c>
    </row>
    <row r="169" spans="1:6">
      <c r="A169" s="10" t="s">
        <v>190</v>
      </c>
      <c r="B169" s="10">
        <v>367</v>
      </c>
      <c r="C169" s="21">
        <v>9.3975429933507485E-4</v>
      </c>
      <c r="D169" s="10">
        <v>59</v>
      </c>
      <c r="E169" s="10">
        <v>145</v>
      </c>
      <c r="F169" s="10">
        <v>22</v>
      </c>
    </row>
    <row r="170" spans="1:6">
      <c r="A170" s="10" t="s">
        <v>191</v>
      </c>
      <c r="B170" s="10">
        <v>107</v>
      </c>
      <c r="C170" s="21">
        <v>1.6138737946756101E-3</v>
      </c>
      <c r="D170" s="10">
        <v>43</v>
      </c>
      <c r="E170" s="10">
        <v>107</v>
      </c>
      <c r="F170" s="10">
        <v>36</v>
      </c>
    </row>
    <row r="171" spans="1:6">
      <c r="A171" s="10" t="s">
        <v>192</v>
      </c>
      <c r="B171" s="10">
        <v>119</v>
      </c>
      <c r="C171" s="21">
        <v>1.0737157765157684E-3</v>
      </c>
      <c r="D171" s="10">
        <v>67</v>
      </c>
      <c r="E171" s="10">
        <v>186</v>
      </c>
      <c r="F171" s="10">
        <v>25</v>
      </c>
    </row>
    <row r="172" spans="1:6">
      <c r="A172" s="10" t="s">
        <v>193</v>
      </c>
      <c r="B172" s="10">
        <v>76</v>
      </c>
      <c r="C172" s="21">
        <v>7.5788330905871525E-4</v>
      </c>
      <c r="D172" s="10">
        <v>82</v>
      </c>
      <c r="E172" s="10">
        <v>147</v>
      </c>
      <c r="F172" s="10">
        <v>17</v>
      </c>
    </row>
    <row r="173" spans="1:6">
      <c r="A173" s="10" t="s">
        <v>194</v>
      </c>
      <c r="B173" s="10">
        <v>93</v>
      </c>
      <c r="C173" s="21">
        <v>3.1557662680345793E-3</v>
      </c>
      <c r="D173" s="10">
        <v>86</v>
      </c>
      <c r="E173" s="10">
        <v>181</v>
      </c>
      <c r="F173" s="10">
        <v>27</v>
      </c>
    </row>
    <row r="174" spans="1:6">
      <c r="A174" s="10" t="s">
        <v>195</v>
      </c>
      <c r="B174" s="10">
        <v>41</v>
      </c>
      <c r="C174" s="21">
        <v>1.5499482857005424E-3</v>
      </c>
      <c r="D174" s="10">
        <v>79</v>
      </c>
      <c r="E174" s="10">
        <v>162</v>
      </c>
      <c r="F174" s="10">
        <v>31</v>
      </c>
    </row>
    <row r="175" spans="1:6">
      <c r="A175" s="10" t="s">
        <v>196</v>
      </c>
      <c r="B175" s="10">
        <v>110</v>
      </c>
      <c r="C175" s="21">
        <v>1.2884322588682128E-3</v>
      </c>
      <c r="D175" s="10">
        <v>67</v>
      </c>
      <c r="E175" s="10">
        <v>118</v>
      </c>
      <c r="F175" s="10">
        <v>28</v>
      </c>
    </row>
    <row r="176" spans="1:6">
      <c r="A176" s="10" t="s">
        <v>197</v>
      </c>
      <c r="B176" s="10">
        <v>574</v>
      </c>
      <c r="C176" s="21">
        <v>2.083003798488782E-3</v>
      </c>
      <c r="D176" s="10">
        <v>74</v>
      </c>
      <c r="E176" s="10">
        <v>120</v>
      </c>
      <c r="F176" s="10">
        <v>41</v>
      </c>
    </row>
    <row r="177" spans="1:6">
      <c r="A177" s="10" t="s">
        <v>198</v>
      </c>
      <c r="B177" s="10">
        <v>110</v>
      </c>
      <c r="C177" s="21">
        <v>1.9448441041120492E-4</v>
      </c>
      <c r="D177" s="10">
        <v>121</v>
      </c>
      <c r="E177" s="10">
        <v>193</v>
      </c>
      <c r="F177" s="10">
        <v>18</v>
      </c>
    </row>
    <row r="178" spans="1:6">
      <c r="A178" s="10" t="s">
        <v>199</v>
      </c>
      <c r="B178" s="10">
        <v>253</v>
      </c>
      <c r="C178" s="21">
        <v>1.2004501867415708E-4</v>
      </c>
      <c r="D178" s="10">
        <v>86</v>
      </c>
      <c r="E178" s="10">
        <v>196</v>
      </c>
      <c r="F178" s="10">
        <v>16</v>
      </c>
    </row>
    <row r="179" spans="1:6">
      <c r="A179" s="10" t="s">
        <v>200</v>
      </c>
      <c r="B179" s="10">
        <v>84</v>
      </c>
      <c r="C179" s="21">
        <v>2.0709324868360694E-3</v>
      </c>
      <c r="D179" s="10">
        <v>67</v>
      </c>
      <c r="E179" s="10">
        <v>178</v>
      </c>
      <c r="F179" s="10">
        <v>26</v>
      </c>
    </row>
    <row r="180" spans="1:6">
      <c r="A180" s="10" t="s">
        <v>201</v>
      </c>
      <c r="B180" s="10">
        <v>41</v>
      </c>
      <c r="C180" s="21">
        <v>1.4387964782513198E-3</v>
      </c>
      <c r="D180" s="10">
        <v>87</v>
      </c>
      <c r="E180" s="10">
        <v>177</v>
      </c>
      <c r="F180" s="10">
        <v>14</v>
      </c>
    </row>
    <row r="181" spans="1:6">
      <c r="A181" s="10" t="s">
        <v>202</v>
      </c>
      <c r="B181" s="10">
        <v>96</v>
      </c>
      <c r="C181" s="21">
        <v>4.6450959101216691E-3</v>
      </c>
      <c r="D181" s="10">
        <v>50</v>
      </c>
      <c r="E181" s="10">
        <v>84</v>
      </c>
      <c r="F181" s="10">
        <v>43</v>
      </c>
    </row>
    <row r="182" spans="1:6">
      <c r="A182" s="10" t="s">
        <v>203</v>
      </c>
      <c r="B182" s="10">
        <v>45</v>
      </c>
      <c r="C182" s="21">
        <v>1.7580627766745987E-3</v>
      </c>
      <c r="D182" s="10">
        <v>72</v>
      </c>
      <c r="E182" s="10">
        <v>200</v>
      </c>
      <c r="F182" s="10">
        <v>23</v>
      </c>
    </row>
    <row r="183" spans="1:6">
      <c r="A183" s="10" t="s">
        <v>204</v>
      </c>
      <c r="B183" s="10">
        <v>341</v>
      </c>
      <c r="C183" s="21">
        <v>1.0790156139933635E-3</v>
      </c>
      <c r="D183" s="10">
        <v>89</v>
      </c>
      <c r="E183" s="10">
        <v>194</v>
      </c>
      <c r="F183" s="10">
        <v>20</v>
      </c>
    </row>
    <row r="184" spans="1:6">
      <c r="A184" s="10" t="s">
        <v>205</v>
      </c>
      <c r="B184" s="10">
        <v>89</v>
      </c>
      <c r="C184" s="21">
        <v>1.8832833535923081E-3</v>
      </c>
      <c r="D184" s="10">
        <v>40</v>
      </c>
      <c r="E184" s="10">
        <v>125</v>
      </c>
      <c r="F184" s="10">
        <v>31</v>
      </c>
    </row>
    <row r="185" spans="1:6">
      <c r="A185" s="10" t="s">
        <v>206</v>
      </c>
      <c r="B185" s="10">
        <v>98</v>
      </c>
      <c r="C185" s="21">
        <v>2.4508734929749873E-3</v>
      </c>
      <c r="D185" s="10">
        <v>99</v>
      </c>
      <c r="E185" s="10">
        <v>163</v>
      </c>
      <c r="F185" s="10">
        <v>38</v>
      </c>
    </row>
    <row r="186" spans="1:6">
      <c r="A186" s="10" t="s">
        <v>207</v>
      </c>
      <c r="B186" s="10">
        <v>69</v>
      </c>
      <c r="C186" s="21">
        <v>1.852410654735677E-3</v>
      </c>
      <c r="D186" s="10">
        <v>68</v>
      </c>
      <c r="E186" s="10">
        <v>155</v>
      </c>
      <c r="F186" s="10">
        <v>33</v>
      </c>
    </row>
    <row r="187" spans="1:6">
      <c r="A187" s="10" t="s">
        <v>208</v>
      </c>
      <c r="B187" s="10">
        <v>122</v>
      </c>
      <c r="C187" s="21">
        <v>1.5641647108579348E-3</v>
      </c>
      <c r="D187" s="10">
        <v>60</v>
      </c>
      <c r="E187" s="10">
        <v>113</v>
      </c>
      <c r="F187" s="10">
        <v>27</v>
      </c>
    </row>
    <row r="188" spans="1:6">
      <c r="A188" s="10" t="s">
        <v>209</v>
      </c>
      <c r="B188" s="10">
        <v>83</v>
      </c>
      <c r="C188" s="21">
        <v>1.5594884259148849E-3</v>
      </c>
      <c r="D188" s="10">
        <v>55</v>
      </c>
      <c r="E188" s="10">
        <v>133</v>
      </c>
      <c r="F188" s="10">
        <v>24</v>
      </c>
    </row>
    <row r="189" spans="1:6">
      <c r="A189" s="10" t="s">
        <v>210</v>
      </c>
      <c r="B189" s="10">
        <v>348</v>
      </c>
      <c r="C189" s="21">
        <v>2.1838970382424597E-3</v>
      </c>
      <c r="D189" s="10">
        <v>62</v>
      </c>
      <c r="E189" s="10">
        <v>119</v>
      </c>
      <c r="F189" s="10">
        <v>38</v>
      </c>
    </row>
    <row r="190" spans="1:6">
      <c r="A190" s="10" t="s">
        <v>211</v>
      </c>
      <c r="B190" s="10">
        <v>108</v>
      </c>
      <c r="C190" s="21">
        <v>2.25019564038593E-3</v>
      </c>
      <c r="D190" s="10">
        <v>53</v>
      </c>
      <c r="E190" s="10">
        <v>106</v>
      </c>
      <c r="F190" s="10">
        <v>47</v>
      </c>
    </row>
    <row r="191" spans="1:6">
      <c r="A191" s="10" t="s">
        <v>212</v>
      </c>
      <c r="B191" s="10">
        <v>112</v>
      </c>
      <c r="C191" s="21">
        <v>2.2118839965426097E-3</v>
      </c>
      <c r="D191" s="10">
        <v>51</v>
      </c>
      <c r="E191" s="10">
        <v>146</v>
      </c>
      <c r="F191" s="10">
        <v>31</v>
      </c>
    </row>
    <row r="192" spans="1:6">
      <c r="A192" s="10" t="s">
        <v>213</v>
      </c>
      <c r="B192" s="10">
        <v>518</v>
      </c>
      <c r="C192" s="21">
        <v>9.5150174980528676E-4</v>
      </c>
      <c r="D192" s="10">
        <v>58</v>
      </c>
      <c r="E192" s="10">
        <v>140</v>
      </c>
      <c r="F192" s="10">
        <v>20</v>
      </c>
    </row>
    <row r="193" spans="1:6">
      <c r="A193" s="10" t="s">
        <v>214</v>
      </c>
      <c r="B193" s="10">
        <v>72</v>
      </c>
      <c r="C193" s="21">
        <v>1.7516389250097819E-3</v>
      </c>
      <c r="D193" s="10">
        <v>130</v>
      </c>
      <c r="E193" s="10">
        <v>226</v>
      </c>
      <c r="F193" s="10">
        <v>19</v>
      </c>
    </row>
    <row r="194" spans="1:6">
      <c r="A194" s="10" t="s">
        <v>215</v>
      </c>
      <c r="B194" s="10">
        <v>36</v>
      </c>
      <c r="C194" s="21">
        <v>2.067497539937548E-3</v>
      </c>
      <c r="D194" s="10">
        <v>71</v>
      </c>
      <c r="E194" s="10">
        <v>151</v>
      </c>
      <c r="F194" s="10">
        <v>45</v>
      </c>
    </row>
    <row r="195" spans="1:6">
      <c r="A195" s="10" t="s">
        <v>216</v>
      </c>
      <c r="B195" s="10">
        <v>620</v>
      </c>
      <c r="C195" s="21">
        <v>6.8243865316366774E-4</v>
      </c>
      <c r="D195" s="10">
        <v>71</v>
      </c>
      <c r="E195" s="10">
        <v>110</v>
      </c>
      <c r="F195" s="10">
        <v>38</v>
      </c>
    </row>
    <row r="196" spans="1:6">
      <c r="A196" s="10" t="s">
        <v>217</v>
      </c>
      <c r="B196" s="10">
        <v>69</v>
      </c>
      <c r="C196" s="21">
        <v>1.5242691465290717E-4</v>
      </c>
      <c r="D196" s="10">
        <v>105</v>
      </c>
      <c r="E196" s="10">
        <v>192</v>
      </c>
      <c r="F196" s="10">
        <v>18</v>
      </c>
    </row>
    <row r="197" spans="1:6">
      <c r="A197" s="10" t="s">
        <v>218</v>
      </c>
      <c r="B197" s="10">
        <v>284</v>
      </c>
      <c r="C197" s="21">
        <v>7.2164448242339823E-4</v>
      </c>
      <c r="D197" s="10">
        <v>117</v>
      </c>
      <c r="E197" s="10">
        <v>168</v>
      </c>
      <c r="F197" s="10">
        <v>14</v>
      </c>
    </row>
    <row r="198" spans="1:6">
      <c r="A198" s="10" t="s">
        <v>219</v>
      </c>
      <c r="B198" s="10">
        <v>118</v>
      </c>
      <c r="C198" s="21">
        <v>6.2297718886552937E-4</v>
      </c>
      <c r="D198" s="10">
        <v>39</v>
      </c>
      <c r="E198" s="10">
        <v>135</v>
      </c>
      <c r="F198" s="10">
        <v>42</v>
      </c>
    </row>
    <row r="199" spans="1:6">
      <c r="A199" s="10" t="s">
        <v>220</v>
      </c>
      <c r="B199" s="10">
        <v>192</v>
      </c>
      <c r="C199" s="21">
        <v>1.7844965475914329E-3</v>
      </c>
      <c r="D199" s="10">
        <v>60</v>
      </c>
      <c r="E199" s="10">
        <v>157</v>
      </c>
      <c r="F199" s="10">
        <v>33</v>
      </c>
    </row>
    <row r="200" spans="1:6">
      <c r="A200" s="10" t="s">
        <v>221</v>
      </c>
      <c r="B200" s="10">
        <v>103</v>
      </c>
      <c r="C200" s="21">
        <v>1.9776348056350711E-3</v>
      </c>
      <c r="D200" s="10">
        <v>63</v>
      </c>
      <c r="E200" s="10">
        <v>152</v>
      </c>
      <c r="F200" s="10">
        <v>34</v>
      </c>
    </row>
    <row r="201" spans="1:6">
      <c r="A201" s="10" t="s">
        <v>222</v>
      </c>
      <c r="B201" s="10">
        <v>111</v>
      </c>
      <c r="C201" s="21">
        <v>1.8665161937309822E-4</v>
      </c>
      <c r="D201" s="10">
        <v>97</v>
      </c>
      <c r="E201" s="10">
        <v>206</v>
      </c>
      <c r="F201" s="10">
        <v>15</v>
      </c>
    </row>
    <row r="202" spans="1:6">
      <c r="A202" s="10" t="s">
        <v>223</v>
      </c>
      <c r="B202" s="10">
        <v>52</v>
      </c>
      <c r="C202" s="21">
        <v>2.561622483062664E-3</v>
      </c>
      <c r="D202" s="10">
        <v>127</v>
      </c>
      <c r="E202" s="10">
        <v>192</v>
      </c>
      <c r="F202" s="10">
        <v>22</v>
      </c>
    </row>
    <row r="203" spans="1:6">
      <c r="A203" s="10" t="s">
        <v>224</v>
      </c>
      <c r="B203" s="10">
        <v>112</v>
      </c>
      <c r="C203" s="21">
        <v>1.6138737946756101E-3</v>
      </c>
      <c r="D203" s="10">
        <v>92</v>
      </c>
      <c r="E203" s="10">
        <v>166</v>
      </c>
      <c r="F203" s="10">
        <v>30</v>
      </c>
    </row>
    <row r="204" spans="1:6">
      <c r="A204" s="10" t="s">
        <v>225</v>
      </c>
      <c r="B204" s="10">
        <v>431</v>
      </c>
      <c r="C204" s="21">
        <v>2.1632499454531679E-3</v>
      </c>
      <c r="D204" s="10">
        <v>71</v>
      </c>
      <c r="E204" s="10">
        <v>124</v>
      </c>
      <c r="F204" s="10">
        <v>25</v>
      </c>
    </row>
    <row r="205" spans="1:6">
      <c r="A205" s="10" t="s">
        <v>226</v>
      </c>
      <c r="B205" s="10">
        <v>79</v>
      </c>
      <c r="C205" s="21">
        <v>2.0197360023128095E-3</v>
      </c>
      <c r="D205" s="10">
        <v>57</v>
      </c>
      <c r="E205" s="10">
        <v>156</v>
      </c>
      <c r="F205" s="10">
        <v>26</v>
      </c>
    </row>
    <row r="206" spans="1:6">
      <c r="A206" s="10" t="s">
        <v>227</v>
      </c>
      <c r="B206" s="10">
        <v>107</v>
      </c>
      <c r="C206" s="21">
        <v>4.5952355367580842E-4</v>
      </c>
      <c r="D206" s="10">
        <v>84</v>
      </c>
      <c r="E206" s="10">
        <v>186</v>
      </c>
      <c r="F206" s="10">
        <v>11</v>
      </c>
    </row>
    <row r="207" spans="1:6">
      <c r="A207" s="10" t="s">
        <v>228</v>
      </c>
      <c r="B207" s="10">
        <v>92</v>
      </c>
      <c r="C207" s="21">
        <v>7.2638925262109258E-4</v>
      </c>
      <c r="D207" s="10">
        <v>82</v>
      </c>
      <c r="E207" s="10">
        <v>137</v>
      </c>
      <c r="F207" s="10">
        <v>28</v>
      </c>
    </row>
    <row r="208" spans="1:6">
      <c r="A208" s="10" t="s">
        <v>229</v>
      </c>
      <c r="B208" s="10">
        <v>430</v>
      </c>
      <c r="C208" s="21">
        <v>8.216832532706381E-4</v>
      </c>
      <c r="D208" s="10">
        <v>98</v>
      </c>
      <c r="E208" s="10">
        <v>176</v>
      </c>
      <c r="F208" s="10">
        <v>22</v>
      </c>
    </row>
    <row r="209" spans="1:6">
      <c r="A209" s="10" t="s">
        <v>230</v>
      </c>
      <c r="B209" s="10">
        <v>96</v>
      </c>
      <c r="C209" s="21">
        <v>1.999354783838433E-3</v>
      </c>
      <c r="D209" s="10">
        <v>33</v>
      </c>
      <c r="E209" s="10">
        <v>89</v>
      </c>
      <c r="F209" s="10">
        <v>37</v>
      </c>
    </row>
    <row r="210" spans="1:6">
      <c r="A210" s="10" t="s">
        <v>231</v>
      </c>
      <c r="B210" s="10">
        <v>85</v>
      </c>
      <c r="C210" s="21">
        <v>1.4522715281592958E-3</v>
      </c>
      <c r="D210" s="10">
        <v>109</v>
      </c>
      <c r="E210" s="10">
        <v>169</v>
      </c>
      <c r="F210" s="10">
        <v>31</v>
      </c>
    </row>
    <row r="211" spans="1:6">
      <c r="A211" s="10" t="s">
        <v>232</v>
      </c>
      <c r="B211" s="10">
        <v>98</v>
      </c>
      <c r="C211" s="21">
        <v>9.0274492797195744E-4</v>
      </c>
      <c r="D211" s="10">
        <v>112</v>
      </c>
      <c r="E211" s="10">
        <v>160</v>
      </c>
      <c r="F211" s="10">
        <v>19</v>
      </c>
    </row>
    <row r="212" spans="1:6">
      <c r="A212" s="10" t="s">
        <v>233</v>
      </c>
      <c r="B212" s="10">
        <v>375</v>
      </c>
      <c r="C212" s="21">
        <v>1.8836654335521678E-3</v>
      </c>
      <c r="D212" s="10">
        <v>93</v>
      </c>
      <c r="E212" s="10">
        <v>175</v>
      </c>
      <c r="F212" s="10">
        <v>32</v>
      </c>
    </row>
    <row r="213" spans="1:6">
      <c r="A213" s="10" t="s">
        <v>234</v>
      </c>
      <c r="B213" s="10">
        <v>616</v>
      </c>
      <c r="C213" s="21">
        <v>1.818269875903051E-3</v>
      </c>
      <c r="D213" s="10">
        <v>64</v>
      </c>
      <c r="E213" s="10">
        <v>135</v>
      </c>
      <c r="F213" s="10">
        <v>27</v>
      </c>
    </row>
    <row r="214" spans="1:6">
      <c r="A214" s="10" t="s">
        <v>235</v>
      </c>
      <c r="B214" s="10">
        <v>86</v>
      </c>
      <c r="C214" s="21">
        <v>1.5921973486305173E-3</v>
      </c>
      <c r="D214" s="10">
        <v>93</v>
      </c>
      <c r="E214" s="10">
        <v>202</v>
      </c>
      <c r="F214" s="10">
        <v>13</v>
      </c>
    </row>
    <row r="215" spans="1:6">
      <c r="A215" s="10" t="s">
        <v>236</v>
      </c>
      <c r="B215" s="10">
        <v>207</v>
      </c>
      <c r="C215" s="21">
        <v>1.4836846830432572E-3</v>
      </c>
      <c r="D215" s="10">
        <v>62</v>
      </c>
      <c r="E215" s="10">
        <v>189</v>
      </c>
      <c r="F215" s="10">
        <v>31</v>
      </c>
    </row>
    <row r="216" spans="1:6">
      <c r="A216" s="10" t="s">
        <v>237</v>
      </c>
      <c r="B216" s="10">
        <v>112</v>
      </c>
      <c r="C216" s="21">
        <v>6.9229145159335542E-4</v>
      </c>
      <c r="D216" s="10">
        <v>71</v>
      </c>
      <c r="E216" s="10">
        <v>132</v>
      </c>
      <c r="F216" s="10">
        <v>20</v>
      </c>
    </row>
    <row r="217" spans="1:6">
      <c r="A217" s="10" t="s">
        <v>238</v>
      </c>
      <c r="B217" s="10">
        <v>615</v>
      </c>
      <c r="C217" s="21">
        <v>1.0673773326953555E-4</v>
      </c>
      <c r="D217" s="10">
        <v>51</v>
      </c>
      <c r="E217" s="10">
        <v>138</v>
      </c>
      <c r="F217" s="10">
        <v>26</v>
      </c>
    </row>
    <row r="218" spans="1:6">
      <c r="A218" s="10" t="s">
        <v>239</v>
      </c>
      <c r="B218" s="10">
        <v>113</v>
      </c>
      <c r="C218" s="21">
        <v>2.7040098084492796E-3</v>
      </c>
      <c r="D218" s="10">
        <v>83</v>
      </c>
      <c r="E218" s="10">
        <v>170</v>
      </c>
      <c r="F218" s="10">
        <v>42</v>
      </c>
    </row>
    <row r="219" spans="1:6">
      <c r="A219" s="10" t="s">
        <v>240</v>
      </c>
      <c r="B219" s="10">
        <v>125</v>
      </c>
      <c r="C219" s="21">
        <v>1.2344613319645191E-3</v>
      </c>
      <c r="D219" s="10">
        <v>81</v>
      </c>
      <c r="E219" s="10">
        <v>186</v>
      </c>
      <c r="F219" s="10">
        <v>24</v>
      </c>
    </row>
    <row r="220" spans="1:6">
      <c r="A220" s="10" t="s">
        <v>241</v>
      </c>
      <c r="B220" s="10">
        <v>441</v>
      </c>
      <c r="C220" s="21">
        <v>2.5557299484320469E-3</v>
      </c>
      <c r="D220" s="10">
        <v>52</v>
      </c>
      <c r="E220" s="10">
        <v>89</v>
      </c>
      <c r="F220" s="10">
        <v>50</v>
      </c>
    </row>
    <row r="221" spans="1:6">
      <c r="A221" s="10" t="s">
        <v>242</v>
      </c>
      <c r="B221" s="10">
        <v>108</v>
      </c>
      <c r="C221" s="21">
        <v>3.3589306225470998E-3</v>
      </c>
      <c r="D221" s="10">
        <v>45</v>
      </c>
      <c r="E221" s="10">
        <v>105</v>
      </c>
      <c r="F221" s="10">
        <v>41</v>
      </c>
    </row>
    <row r="222" spans="1:6">
      <c r="A222" s="10" t="s">
        <v>243</v>
      </c>
      <c r="B222" s="10">
        <v>529</v>
      </c>
      <c r="C222" s="21">
        <v>1.1835074494287807E-3</v>
      </c>
      <c r="D222" s="10">
        <v>54</v>
      </c>
      <c r="E222" s="10">
        <v>0</v>
      </c>
      <c r="F222" s="10">
        <v>22</v>
      </c>
    </row>
    <row r="223" spans="1:6">
      <c r="A223" s="10" t="s">
        <v>244</v>
      </c>
      <c r="B223" s="10">
        <v>99</v>
      </c>
      <c r="C223" s="21">
        <v>1.3919422450956913E-3</v>
      </c>
      <c r="D223" s="10">
        <v>116</v>
      </c>
      <c r="E223" s="10">
        <v>189</v>
      </c>
      <c r="F223" s="10">
        <v>29</v>
      </c>
    </row>
    <row r="224" spans="1:6">
      <c r="A224" s="10" t="s">
        <v>245</v>
      </c>
      <c r="B224" s="10">
        <v>497</v>
      </c>
      <c r="C224" s="21">
        <v>1.2393269112990798E-3</v>
      </c>
      <c r="D224" s="10">
        <v>72</v>
      </c>
      <c r="E224" s="10">
        <v>152</v>
      </c>
      <c r="F224" s="10">
        <v>23</v>
      </c>
    </row>
    <row r="225" spans="1:6">
      <c r="A225" s="10" t="s">
        <v>246</v>
      </c>
      <c r="B225" s="10">
        <v>103</v>
      </c>
      <c r="C225" s="21">
        <v>7.9729091459112254E-4</v>
      </c>
      <c r="D225" s="10">
        <v>103</v>
      </c>
      <c r="E225" s="10">
        <v>226</v>
      </c>
      <c r="F225" s="10">
        <v>13</v>
      </c>
    </row>
    <row r="226" spans="1:6">
      <c r="A226" s="10" t="s">
        <v>247</v>
      </c>
      <c r="B226" s="10">
        <v>443</v>
      </c>
      <c r="C226" s="21">
        <v>1.3895015189099135E-3</v>
      </c>
      <c r="D226" s="10">
        <v>76</v>
      </c>
      <c r="E226" s="10">
        <v>146</v>
      </c>
      <c r="F226" s="10">
        <v>32</v>
      </c>
    </row>
    <row r="227" spans="1:6">
      <c r="A227" s="10" t="s">
        <v>248</v>
      </c>
      <c r="B227" s="10">
        <v>81</v>
      </c>
      <c r="C227" s="21">
        <v>9.9986080460104593E-4</v>
      </c>
      <c r="D227" s="10">
        <v>66</v>
      </c>
      <c r="E227" s="10">
        <v>197</v>
      </c>
      <c r="F227" s="10">
        <v>24</v>
      </c>
    </row>
    <row r="228" spans="1:6">
      <c r="A228" s="10" t="s">
        <v>249</v>
      </c>
      <c r="B228" s="10">
        <v>105</v>
      </c>
      <c r="C228" s="21">
        <v>2.1936594703552189E-3</v>
      </c>
      <c r="D228" s="10">
        <v>87</v>
      </c>
      <c r="E228" s="10">
        <v>188</v>
      </c>
      <c r="F228" s="10">
        <v>33</v>
      </c>
    </row>
    <row r="229" spans="1:6">
      <c r="A229" s="10" t="s">
        <v>250</v>
      </c>
      <c r="B229" s="10">
        <v>65</v>
      </c>
      <c r="C229" s="21">
        <v>1.6708719754918925E-3</v>
      </c>
      <c r="D229" s="10">
        <v>109</v>
      </c>
      <c r="E229" s="10">
        <v>151</v>
      </c>
      <c r="F229" s="10">
        <v>29</v>
      </c>
    </row>
    <row r="230" spans="1:6">
      <c r="A230" s="10" t="s">
        <v>251</v>
      </c>
      <c r="B230" s="10">
        <v>136</v>
      </c>
      <c r="C230" s="21">
        <v>1.1874019206731575E-3</v>
      </c>
      <c r="D230" s="10">
        <v>128</v>
      </c>
      <c r="E230" s="10">
        <v>207</v>
      </c>
      <c r="F230" s="10">
        <v>24</v>
      </c>
    </row>
    <row r="231" spans="1:6">
      <c r="A231" s="10" t="s">
        <v>252</v>
      </c>
      <c r="B231" s="10">
        <v>89</v>
      </c>
      <c r="C231" s="21">
        <v>1.8319020993178242E-3</v>
      </c>
      <c r="D231" s="10">
        <v>73</v>
      </c>
      <c r="E231" s="10">
        <v>104</v>
      </c>
      <c r="F231" s="10">
        <v>40</v>
      </c>
    </row>
    <row r="232" spans="1:6">
      <c r="A232" s="10" t="s">
        <v>253</v>
      </c>
      <c r="B232" s="10">
        <v>437</v>
      </c>
      <c r="C232" s="21">
        <v>1.2281218789836712E-3</v>
      </c>
      <c r="D232" s="10">
        <v>78</v>
      </c>
      <c r="E232" s="10">
        <v>188</v>
      </c>
      <c r="F232" s="10">
        <v>16</v>
      </c>
    </row>
    <row r="233" spans="1:6">
      <c r="A233" s="10" t="s">
        <v>254</v>
      </c>
      <c r="B233" s="10">
        <v>111</v>
      </c>
      <c r="C233" s="21">
        <v>6.2834236679307307E-4</v>
      </c>
      <c r="D233" s="10">
        <v>151</v>
      </c>
      <c r="E233" s="10">
        <v>234</v>
      </c>
      <c r="F233" s="10">
        <v>11</v>
      </c>
    </row>
    <row r="234" spans="1:6">
      <c r="A234" s="10" t="s">
        <v>255</v>
      </c>
      <c r="B234" s="10">
        <v>78</v>
      </c>
      <c r="C234" s="21">
        <v>1.0221200699612198E-3</v>
      </c>
      <c r="D234" s="10">
        <v>114</v>
      </c>
      <c r="E234" s="10">
        <v>202</v>
      </c>
      <c r="F234" s="10">
        <v>19</v>
      </c>
    </row>
    <row r="235" spans="1:6">
      <c r="A235" s="10" t="s">
        <v>256</v>
      </c>
      <c r="B235" s="10">
        <v>64</v>
      </c>
      <c r="C235" s="21">
        <v>3.099075172735272E-3</v>
      </c>
      <c r="D235" s="10">
        <v>60</v>
      </c>
      <c r="E235" s="10">
        <v>126</v>
      </c>
      <c r="F235" s="10">
        <v>42</v>
      </c>
    </row>
    <row r="236" spans="1:6">
      <c r="A236" s="10" t="s">
        <v>257</v>
      </c>
      <c r="B236" s="10">
        <v>113</v>
      </c>
      <c r="C236" s="21">
        <v>1.3817803685745589E-3</v>
      </c>
      <c r="D236" s="10">
        <v>69</v>
      </c>
      <c r="E236" s="10">
        <v>144</v>
      </c>
      <c r="F236" s="10">
        <v>27</v>
      </c>
    </row>
    <row r="237" spans="1:6">
      <c r="A237" s="10" t="s">
        <v>258</v>
      </c>
      <c r="B237" s="10">
        <v>275</v>
      </c>
      <c r="C237" s="21">
        <v>1.037236917298537E-3</v>
      </c>
      <c r="D237" s="10">
        <v>88</v>
      </c>
      <c r="E237" s="10">
        <v>180</v>
      </c>
      <c r="F237" s="10">
        <v>24</v>
      </c>
    </row>
    <row r="238" spans="1:6">
      <c r="A238" s="10" t="s">
        <v>259</v>
      </c>
      <c r="B238" s="10">
        <v>120</v>
      </c>
      <c r="C238" s="21">
        <v>8.6326496900001844E-5</v>
      </c>
      <c r="D238" s="10">
        <v>58</v>
      </c>
      <c r="E238" s="10">
        <v>138</v>
      </c>
      <c r="F238" s="10">
        <v>27</v>
      </c>
    </row>
    <row r="239" spans="1:6">
      <c r="A239" s="10" t="s">
        <v>260</v>
      </c>
      <c r="B239" s="10">
        <v>532</v>
      </c>
      <c r="C239" s="21">
        <v>5.1781137687210033E-6</v>
      </c>
      <c r="D239" s="10">
        <v>103</v>
      </c>
      <c r="E239" s="10">
        <v>220</v>
      </c>
      <c r="F239" s="10">
        <v>14</v>
      </c>
    </row>
    <row r="240" spans="1:6">
      <c r="A240" s="10" t="s">
        <v>261</v>
      </c>
      <c r="B240" s="10">
        <v>119</v>
      </c>
      <c r="C240" s="21">
        <v>7.5311222231446557E-4</v>
      </c>
      <c r="D240" s="10">
        <v>87</v>
      </c>
      <c r="E240" s="10">
        <v>204</v>
      </c>
      <c r="F240" s="10">
        <v>12</v>
      </c>
    </row>
    <row r="241" spans="1:6">
      <c r="A241" s="10" t="s">
        <v>262</v>
      </c>
      <c r="B241" s="10">
        <v>99</v>
      </c>
      <c r="C241" s="21">
        <v>6.7710850279055794E-4</v>
      </c>
      <c r="D241" s="10">
        <v>105</v>
      </c>
      <c r="E241" s="10">
        <v>153</v>
      </c>
      <c r="F241" s="10">
        <v>23</v>
      </c>
    </row>
    <row r="242" spans="1:6">
      <c r="A242" s="10" t="s">
        <v>263</v>
      </c>
      <c r="B242" s="10">
        <v>630</v>
      </c>
      <c r="C242" s="21">
        <v>1.4691691810269805E-3</v>
      </c>
      <c r="D242" s="10">
        <v>53</v>
      </c>
      <c r="E242" s="10">
        <v>114</v>
      </c>
      <c r="F242" s="10">
        <v>40</v>
      </c>
    </row>
    <row r="243" spans="1:6">
      <c r="A243" s="10" t="s">
        <v>264</v>
      </c>
      <c r="B243" s="10">
        <v>80</v>
      </c>
      <c r="C243" s="21">
        <v>1.3835602758528623E-3</v>
      </c>
      <c r="D243" s="10">
        <v>72</v>
      </c>
      <c r="E243" s="10">
        <v>130</v>
      </c>
      <c r="F243" s="10">
        <v>33</v>
      </c>
    </row>
    <row r="244" spans="1:6">
      <c r="A244" s="10" t="s">
        <v>265</v>
      </c>
      <c r="B244" s="10">
        <v>34</v>
      </c>
      <c r="C244" s="21">
        <v>1.0043013511214544E-3</v>
      </c>
      <c r="D244" s="10">
        <v>62</v>
      </c>
      <c r="E244" s="10">
        <v>146</v>
      </c>
      <c r="F244" s="10">
        <v>33</v>
      </c>
    </row>
    <row r="245" spans="1:6">
      <c r="A245" s="10" t="s">
        <v>266</v>
      </c>
      <c r="B245" s="10">
        <v>119</v>
      </c>
      <c r="C245" s="21">
        <v>2.6381788332383916E-3</v>
      </c>
      <c r="D245" s="10">
        <v>66</v>
      </c>
      <c r="E245" s="10">
        <v>179</v>
      </c>
      <c r="F245" s="10">
        <v>30</v>
      </c>
    </row>
    <row r="246" spans="1:6">
      <c r="A246" s="10" t="s">
        <v>267</v>
      </c>
      <c r="B246" s="10">
        <v>67</v>
      </c>
      <c r="C246" s="21">
        <v>9.8098446884274204E-4</v>
      </c>
      <c r="D246" s="10">
        <v>74</v>
      </c>
      <c r="E246" s="10">
        <v>148</v>
      </c>
      <c r="F246" s="10">
        <v>35</v>
      </c>
    </row>
    <row r="247" spans="1:6">
      <c r="A247" s="10" t="s">
        <v>268</v>
      </c>
      <c r="B247" s="10">
        <v>50</v>
      </c>
      <c r="C247" s="21">
        <v>1.5980863920487184E-3</v>
      </c>
      <c r="D247" s="10">
        <v>73</v>
      </c>
      <c r="E247" s="10">
        <v>133</v>
      </c>
      <c r="F247" s="10">
        <v>26</v>
      </c>
    </row>
    <row r="248" spans="1:6">
      <c r="A248" s="10" t="s">
        <v>269</v>
      </c>
      <c r="B248" s="10">
        <v>219</v>
      </c>
      <c r="C248" s="21">
        <v>2.522712679662735E-4</v>
      </c>
      <c r="D248" s="10">
        <v>150</v>
      </c>
      <c r="E248" s="10">
        <v>210</v>
      </c>
      <c r="F248" s="10">
        <v>6</v>
      </c>
    </row>
    <row r="249" spans="1:6">
      <c r="A249" s="10" t="s">
        <v>270</v>
      </c>
      <c r="B249" s="10">
        <v>106</v>
      </c>
      <c r="C249" s="21">
        <v>9.9420984426932049E-4</v>
      </c>
      <c r="D249" s="10">
        <v>86</v>
      </c>
      <c r="E249" s="10">
        <v>153</v>
      </c>
      <c r="F249" s="10">
        <v>17</v>
      </c>
    </row>
    <row r="250" spans="1:6">
      <c r="A250" s="10" t="s">
        <v>271</v>
      </c>
      <c r="B250" s="10">
        <v>200</v>
      </c>
      <c r="C250" s="21">
        <v>2.2738871905572632E-3</v>
      </c>
      <c r="D250" s="10">
        <v>79</v>
      </c>
      <c r="E250" s="10">
        <v>99</v>
      </c>
      <c r="F250" s="10">
        <v>41</v>
      </c>
    </row>
    <row r="251" spans="1:6">
      <c r="A251" s="10" t="s">
        <v>272</v>
      </c>
      <c r="B251" s="10">
        <v>594</v>
      </c>
      <c r="C251" s="21">
        <v>1.8944575676726352E-3</v>
      </c>
      <c r="D251" s="10">
        <v>80</v>
      </c>
      <c r="E251" s="10">
        <v>148</v>
      </c>
      <c r="F251" s="10">
        <v>33</v>
      </c>
    </row>
    <row r="252" spans="1:6">
      <c r="A252" s="10" t="s">
        <v>273</v>
      </c>
      <c r="B252" s="10">
        <v>131</v>
      </c>
      <c r="C252" s="21">
        <v>1.4953040118157396E-3</v>
      </c>
      <c r="D252" s="10">
        <v>30</v>
      </c>
      <c r="E252" s="10">
        <v>134</v>
      </c>
      <c r="F252" s="10">
        <v>39</v>
      </c>
    </row>
    <row r="253" spans="1:6">
      <c r="A253" s="10" t="s">
        <v>274</v>
      </c>
      <c r="B253" s="10">
        <v>109</v>
      </c>
      <c r="C253" s="21">
        <v>2.0625154636130167E-4</v>
      </c>
      <c r="D253" s="10">
        <v>69</v>
      </c>
      <c r="E253" s="10">
        <v>172</v>
      </c>
      <c r="F253" s="10">
        <v>17</v>
      </c>
    </row>
    <row r="254" spans="1:6">
      <c r="A254" s="10" t="s">
        <v>275</v>
      </c>
      <c r="B254" s="10">
        <v>125</v>
      </c>
      <c r="C254" s="21">
        <v>1.3546862604011361E-3</v>
      </c>
      <c r="D254" s="10">
        <v>73</v>
      </c>
      <c r="E254" s="10">
        <v>116</v>
      </c>
      <c r="F254" s="10">
        <v>24</v>
      </c>
    </row>
    <row r="255" spans="1:6">
      <c r="A255" s="10" t="s">
        <v>276</v>
      </c>
      <c r="B255" s="10">
        <v>568</v>
      </c>
      <c r="C255" s="21">
        <v>1.9587091492391769E-3</v>
      </c>
      <c r="D255" s="10">
        <v>44</v>
      </c>
      <c r="E255" s="10">
        <v>115</v>
      </c>
      <c r="F255" s="10">
        <v>35</v>
      </c>
    </row>
    <row r="256" spans="1:6">
      <c r="A256" s="10" t="s">
        <v>277</v>
      </c>
      <c r="B256" s="10">
        <v>288</v>
      </c>
      <c r="C256" s="21">
        <v>9.6832427680536607E-4</v>
      </c>
      <c r="D256" s="10">
        <v>76</v>
      </c>
      <c r="E256" s="10">
        <v>157</v>
      </c>
      <c r="F256" s="10">
        <v>18</v>
      </c>
    </row>
    <row r="257" spans="1:6">
      <c r="A257" s="10" t="s">
        <v>278</v>
      </c>
      <c r="B257" s="10">
        <v>112</v>
      </c>
      <c r="C257" s="21">
        <v>2.0970703073550034E-3</v>
      </c>
      <c r="D257" s="10">
        <v>97</v>
      </c>
      <c r="E257" s="10">
        <v>208</v>
      </c>
      <c r="F257" s="10">
        <v>20</v>
      </c>
    </row>
    <row r="258" spans="1:6">
      <c r="A258" s="10" t="s">
        <v>279</v>
      </c>
      <c r="B258" s="10">
        <v>50</v>
      </c>
      <c r="C258" s="21">
        <v>1.2500511828245273E-3</v>
      </c>
      <c r="D258" s="10">
        <v>81</v>
      </c>
      <c r="E258" s="10">
        <v>145</v>
      </c>
      <c r="F258" s="10">
        <v>24</v>
      </c>
    </row>
    <row r="259" spans="1:6">
      <c r="A259" s="10" t="s">
        <v>280</v>
      </c>
      <c r="B259" s="10">
        <v>234</v>
      </c>
      <c r="C259" s="21">
        <v>1.9772567614680004E-3</v>
      </c>
      <c r="D259" s="10">
        <v>84</v>
      </c>
      <c r="E259" s="10">
        <v>130</v>
      </c>
      <c r="F259" s="10">
        <v>40</v>
      </c>
    </row>
    <row r="260" spans="1:6">
      <c r="A260" s="10" t="s">
        <v>281</v>
      </c>
      <c r="B260" s="10">
        <v>640</v>
      </c>
      <c r="C260" s="21">
        <v>6.9934531102609776E-4</v>
      </c>
      <c r="D260" s="10">
        <v>106</v>
      </c>
      <c r="E260" s="10">
        <v>222</v>
      </c>
      <c r="F260" s="10">
        <v>13</v>
      </c>
    </row>
    <row r="261" spans="1:6">
      <c r="A261" s="10" t="s">
        <v>282</v>
      </c>
      <c r="B261" s="10">
        <v>89</v>
      </c>
      <c r="C261" s="21">
        <v>1.1859692359259403E-3</v>
      </c>
      <c r="D261" s="10">
        <v>104</v>
      </c>
      <c r="E261" s="10">
        <v>194</v>
      </c>
      <c r="F261" s="10">
        <v>32</v>
      </c>
    </row>
    <row r="262" spans="1:6">
      <c r="A262" s="10" t="s">
        <v>283</v>
      </c>
      <c r="B262" s="10">
        <v>83</v>
      </c>
      <c r="C262" s="21">
        <v>1.8472262326121522E-3</v>
      </c>
      <c r="D262" s="10">
        <v>67</v>
      </c>
      <c r="E262" s="10">
        <v>113</v>
      </c>
      <c r="F262" s="10">
        <v>34</v>
      </c>
    </row>
    <row r="263" spans="1:6">
      <c r="A263" s="10" t="s">
        <v>284</v>
      </c>
      <c r="B263" s="10">
        <v>488</v>
      </c>
      <c r="C263" s="21">
        <v>6.8848066609009074E-4</v>
      </c>
      <c r="D263" s="10">
        <v>63</v>
      </c>
      <c r="E263" s="10">
        <v>145</v>
      </c>
      <c r="F263" s="10">
        <v>34</v>
      </c>
    </row>
    <row r="264" spans="1:6">
      <c r="A264" s="10" t="s">
        <v>285</v>
      </c>
      <c r="B264" s="10">
        <v>90</v>
      </c>
      <c r="C264" s="21">
        <v>6.3968859784196855E-4</v>
      </c>
      <c r="D264" s="10">
        <v>90</v>
      </c>
      <c r="E264" s="10">
        <v>154</v>
      </c>
      <c r="F264" s="10">
        <v>31</v>
      </c>
    </row>
    <row r="265" spans="1:6">
      <c r="A265" s="10" t="s">
        <v>286</v>
      </c>
      <c r="B265" s="10">
        <v>201</v>
      </c>
      <c r="C265" s="21">
        <v>2.4591274243240041E-3</v>
      </c>
      <c r="D265" s="10">
        <v>63</v>
      </c>
      <c r="E265" s="10">
        <v>126</v>
      </c>
      <c r="F265" s="10">
        <v>47</v>
      </c>
    </row>
    <row r="266" spans="1:6">
      <c r="A266" s="10" t="s">
        <v>287</v>
      </c>
      <c r="B266" s="10">
        <v>109</v>
      </c>
      <c r="C266" s="21">
        <v>1.4828961197880604E-3</v>
      </c>
      <c r="D266" s="10">
        <v>46</v>
      </c>
      <c r="E266" s="10">
        <v>108</v>
      </c>
      <c r="F266" s="10">
        <v>43</v>
      </c>
    </row>
    <row r="267" spans="1:6">
      <c r="A267" s="10" t="s">
        <v>288</v>
      </c>
      <c r="B267" s="10">
        <v>46</v>
      </c>
      <c r="C267" s="21">
        <v>1.7918565468494436E-3</v>
      </c>
      <c r="D267" s="10">
        <v>56</v>
      </c>
      <c r="E267" s="10">
        <v>120</v>
      </c>
      <c r="F267" s="10">
        <v>27</v>
      </c>
    </row>
    <row r="268" spans="1:6">
      <c r="A268" s="10" t="s">
        <v>289</v>
      </c>
      <c r="B268" s="10">
        <v>593</v>
      </c>
      <c r="C268" s="21">
        <v>1.1159814969785564E-3</v>
      </c>
      <c r="D268" s="10">
        <v>75</v>
      </c>
      <c r="E268" s="10">
        <v>172</v>
      </c>
      <c r="F268" s="10">
        <v>11</v>
      </c>
    </row>
    <row r="269" spans="1:6">
      <c r="A269" s="10" t="s">
        <v>290</v>
      </c>
      <c r="B269" s="10">
        <v>93</v>
      </c>
      <c r="C269" s="21">
        <v>1.8290569672990249E-3</v>
      </c>
      <c r="D269" s="10">
        <v>82</v>
      </c>
      <c r="E269" s="10">
        <v>126</v>
      </c>
      <c r="F269" s="10">
        <v>37</v>
      </c>
    </row>
    <row r="270" spans="1:6">
      <c r="A270" s="10" t="s">
        <v>291</v>
      </c>
      <c r="B270" s="10">
        <v>59</v>
      </c>
      <c r="C270" s="21">
        <v>9.663967705406041E-4</v>
      </c>
      <c r="D270" s="10">
        <v>78</v>
      </c>
      <c r="E270" s="10">
        <v>180</v>
      </c>
      <c r="F270" s="10">
        <v>26</v>
      </c>
    </row>
    <row r="271" spans="1:6">
      <c r="A271" s="10" t="s">
        <v>292</v>
      </c>
      <c r="B271" s="10">
        <v>369</v>
      </c>
      <c r="C271" s="21">
        <v>1.3088980216537384E-3</v>
      </c>
      <c r="D271" s="10">
        <v>101</v>
      </c>
      <c r="E271" s="10">
        <v>195</v>
      </c>
      <c r="F271" s="10">
        <v>27</v>
      </c>
    </row>
    <row r="272" spans="1:6">
      <c r="A272" s="10" t="s">
        <v>293</v>
      </c>
      <c r="B272" s="10">
        <v>106</v>
      </c>
      <c r="C272" s="21">
        <v>1.4166054929246996E-3</v>
      </c>
      <c r="D272" s="10">
        <v>79</v>
      </c>
      <c r="E272" s="10">
        <v>179</v>
      </c>
      <c r="F272" s="10">
        <v>21</v>
      </c>
    </row>
    <row r="273" spans="1:6">
      <c r="A273" s="10" t="s">
        <v>294</v>
      </c>
      <c r="B273" s="10">
        <v>476</v>
      </c>
      <c r="C273" s="21">
        <v>2.6710847021442366E-3</v>
      </c>
      <c r="D273" s="10">
        <v>67</v>
      </c>
      <c r="E273" s="10">
        <v>126</v>
      </c>
      <c r="F273" s="10">
        <v>35</v>
      </c>
    </row>
    <row r="274" spans="1:6">
      <c r="A274" s="10" t="s">
        <v>295</v>
      </c>
      <c r="B274" s="10">
        <v>88</v>
      </c>
      <c r="C274" s="21">
        <v>3.7601343725443412E-4</v>
      </c>
      <c r="D274" s="10">
        <v>92</v>
      </c>
      <c r="E274" s="10">
        <v>206</v>
      </c>
      <c r="F274" s="10">
        <v>25</v>
      </c>
    </row>
    <row r="275" spans="1:6">
      <c r="A275" s="10" t="s">
        <v>296</v>
      </c>
      <c r="B275" s="10">
        <v>68</v>
      </c>
      <c r="C275" s="21">
        <v>9.9372360858146058E-4</v>
      </c>
      <c r="D275" s="10">
        <v>73</v>
      </c>
      <c r="E275" s="10">
        <v>151</v>
      </c>
      <c r="F275" s="10">
        <v>28</v>
      </c>
    </row>
    <row r="276" spans="1:6">
      <c r="A276" s="10" t="s">
        <v>297</v>
      </c>
      <c r="B276" s="10">
        <v>196</v>
      </c>
      <c r="C276" s="21">
        <v>1.1440204612378434E-3</v>
      </c>
      <c r="D276" s="10">
        <v>73</v>
      </c>
      <c r="E276" s="10">
        <v>163</v>
      </c>
      <c r="F276" s="10">
        <v>21</v>
      </c>
    </row>
    <row r="277" spans="1:6">
      <c r="A277" s="10" t="s">
        <v>298</v>
      </c>
      <c r="B277" s="10">
        <v>521</v>
      </c>
      <c r="C277" s="21">
        <v>1.5792880447673995E-3</v>
      </c>
      <c r="D277" s="10">
        <v>79</v>
      </c>
      <c r="E277" s="10">
        <v>169</v>
      </c>
      <c r="F277" s="10">
        <v>24</v>
      </c>
    </row>
    <row r="278" spans="1:6">
      <c r="A278" s="10" t="s">
        <v>299</v>
      </c>
      <c r="B278" s="10">
        <v>113</v>
      </c>
      <c r="C278" s="21">
        <v>9.2204490047231803E-4</v>
      </c>
      <c r="D278" s="10">
        <v>89</v>
      </c>
      <c r="E278" s="10">
        <v>187</v>
      </c>
      <c r="F278" s="10">
        <v>19</v>
      </c>
    </row>
    <row r="279" spans="1:6">
      <c r="A279" s="10" t="s">
        <v>300</v>
      </c>
      <c r="B279" s="10">
        <v>80</v>
      </c>
      <c r="C279" s="21">
        <v>9.7997539028166431E-4</v>
      </c>
      <c r="D279" s="10">
        <v>93</v>
      </c>
      <c r="E279" s="10">
        <v>158</v>
      </c>
      <c r="F279" s="10">
        <v>25</v>
      </c>
    </row>
    <row r="280" spans="1:6">
      <c r="A280" s="10" t="s">
        <v>302</v>
      </c>
      <c r="B280" s="10">
        <v>174</v>
      </c>
      <c r="C280" s="21">
        <v>1.0880984919179959E-3</v>
      </c>
      <c r="D280" s="10">
        <v>55</v>
      </c>
      <c r="E280" s="10">
        <v>130</v>
      </c>
      <c r="F280" s="10">
        <v>33</v>
      </c>
    </row>
    <row r="281" spans="1:6">
      <c r="A281" s="10" t="s">
        <v>303</v>
      </c>
      <c r="B281" s="10">
        <v>451</v>
      </c>
      <c r="C281" s="21">
        <v>1.5141865360317015E-3</v>
      </c>
      <c r="D281" s="10">
        <v>73</v>
      </c>
      <c r="E281" s="10">
        <v>172</v>
      </c>
      <c r="F281" s="10">
        <v>26</v>
      </c>
    </row>
    <row r="282" spans="1:6">
      <c r="A282" s="10" t="s">
        <v>304</v>
      </c>
      <c r="B282" s="10">
        <v>105</v>
      </c>
      <c r="C282" s="21">
        <v>9.8530286636117612E-4</v>
      </c>
      <c r="D282" s="10">
        <v>67</v>
      </c>
      <c r="E282" s="10">
        <v>137</v>
      </c>
      <c r="F282" s="10">
        <v>31</v>
      </c>
    </row>
    <row r="283" spans="1:6">
      <c r="A283" s="10" t="s">
        <v>305</v>
      </c>
      <c r="B283" s="10">
        <v>96</v>
      </c>
      <c r="C283" s="21">
        <v>2.6069082269779306E-3</v>
      </c>
      <c r="D283" s="10">
        <v>61</v>
      </c>
      <c r="E283" s="10">
        <v>162</v>
      </c>
      <c r="F283" s="10">
        <v>33</v>
      </c>
    </row>
    <row r="284" spans="1:6">
      <c r="A284" s="10" t="s">
        <v>306</v>
      </c>
      <c r="B284" s="10">
        <v>187</v>
      </c>
      <c r="C284" s="21">
        <v>1.0763681993544162E-4</v>
      </c>
      <c r="D284" s="10">
        <v>81</v>
      </c>
      <c r="E284" s="10">
        <v>0</v>
      </c>
      <c r="F284" s="10">
        <v>30</v>
      </c>
    </row>
    <row r="285" spans="1:6">
      <c r="A285" s="10" t="s">
        <v>307</v>
      </c>
      <c r="B285" s="10">
        <v>424</v>
      </c>
      <c r="C285" s="21">
        <v>1.266811493691208E-3</v>
      </c>
      <c r="D285" s="10">
        <v>85</v>
      </c>
      <c r="E285" s="10">
        <v>162</v>
      </c>
      <c r="F285" s="10">
        <v>26</v>
      </c>
    </row>
    <row r="286" spans="1:6">
      <c r="A286" s="10" t="s">
        <v>308</v>
      </c>
      <c r="B286" s="10">
        <v>103</v>
      </c>
      <c r="C286" s="21">
        <v>7.6265252519299473E-4</v>
      </c>
      <c r="D286" s="10">
        <v>84</v>
      </c>
      <c r="E286" s="10">
        <v>202</v>
      </c>
      <c r="F286" s="10">
        <v>23</v>
      </c>
    </row>
    <row r="287" spans="1:6">
      <c r="A287" s="10" t="s">
        <v>309</v>
      </c>
      <c r="B287" s="10">
        <v>44</v>
      </c>
      <c r="C287" s="21">
        <v>1.1526767208558941E-3</v>
      </c>
      <c r="D287" s="10">
        <v>67</v>
      </c>
      <c r="E287" s="10">
        <v>130</v>
      </c>
      <c r="F287" s="10">
        <v>28</v>
      </c>
    </row>
    <row r="288" spans="1:6">
      <c r="A288" s="10" t="s">
        <v>310</v>
      </c>
      <c r="B288" s="10">
        <v>111</v>
      </c>
      <c r="C288" s="21">
        <v>1.0627838653481333E-3</v>
      </c>
      <c r="D288" s="10">
        <v>92</v>
      </c>
      <c r="E288" s="10">
        <v>148</v>
      </c>
      <c r="F288" s="10">
        <v>18</v>
      </c>
    </row>
    <row r="289" spans="1:6">
      <c r="A289" s="10" t="s">
        <v>311</v>
      </c>
      <c r="B289" s="10">
        <v>458</v>
      </c>
      <c r="C289" s="21">
        <v>2.3315391031799031E-3</v>
      </c>
      <c r="D289" s="10">
        <v>44</v>
      </c>
      <c r="E289" s="10">
        <v>130</v>
      </c>
      <c r="F289" s="10">
        <v>39</v>
      </c>
    </row>
    <row r="290" spans="1:6">
      <c r="A290" s="10" t="s">
        <v>312</v>
      </c>
      <c r="B290" s="10">
        <v>100</v>
      </c>
      <c r="C290" s="21">
        <v>2.0831387916006735E-3</v>
      </c>
      <c r="D290" s="10">
        <v>67</v>
      </c>
      <c r="E290" s="10">
        <v>162</v>
      </c>
      <c r="F290" s="10">
        <v>28</v>
      </c>
    </row>
    <row r="291" spans="1:6">
      <c r="A291" s="10" t="s">
        <v>313</v>
      </c>
      <c r="C291" s="21">
        <v>1.9907764745034527E-3</v>
      </c>
      <c r="D291" s="10">
        <v>77</v>
      </c>
      <c r="E291" s="10">
        <v>162</v>
      </c>
      <c r="F291" s="10">
        <v>47</v>
      </c>
    </row>
    <row r="292" spans="1:6">
      <c r="A292" s="10" t="s">
        <v>314</v>
      </c>
      <c r="B292" s="10">
        <v>435</v>
      </c>
      <c r="C292" s="21">
        <v>2.2924989115060486E-3</v>
      </c>
      <c r="D292" s="10">
        <v>90</v>
      </c>
      <c r="E292" s="10">
        <v>159</v>
      </c>
      <c r="F292" s="10">
        <v>41</v>
      </c>
    </row>
    <row r="293" spans="1:6">
      <c r="A293" s="10" t="s">
        <v>315</v>
      </c>
      <c r="B293" s="10">
        <v>54</v>
      </c>
      <c r="C293" s="21">
        <v>1.2321540393020746E-4</v>
      </c>
      <c r="D293" s="10">
        <v>76</v>
      </c>
      <c r="E293" s="10">
        <v>149</v>
      </c>
      <c r="F293" s="10">
        <v>11</v>
      </c>
    </row>
    <row r="294" spans="1:6">
      <c r="A294" s="10" t="s">
        <v>316</v>
      </c>
      <c r="B294" s="10">
        <v>83</v>
      </c>
      <c r="C294" s="21">
        <v>3.1347548894547217E-3</v>
      </c>
      <c r="D294" s="10">
        <v>91</v>
      </c>
      <c r="E294" s="10">
        <v>212</v>
      </c>
      <c r="F294" s="10">
        <v>26</v>
      </c>
    </row>
    <row r="295" spans="1:6">
      <c r="A295" s="10" t="s">
        <v>317</v>
      </c>
      <c r="B295" s="10">
        <v>108</v>
      </c>
      <c r="C295" s="21">
        <v>9.3057977745856937E-4</v>
      </c>
      <c r="D295" s="10">
        <v>75</v>
      </c>
      <c r="E295" s="10">
        <v>138</v>
      </c>
      <c r="F295" s="10">
        <v>24</v>
      </c>
    </row>
    <row r="296" spans="1:6">
      <c r="A296" s="10" t="s">
        <v>318</v>
      </c>
      <c r="B296" s="10">
        <v>80</v>
      </c>
      <c r="C296" s="21">
        <v>5.1834398942490962E-4</v>
      </c>
      <c r="D296" s="10">
        <v>159</v>
      </c>
      <c r="E296" s="10">
        <v>221</v>
      </c>
      <c r="F296" s="10">
        <v>14</v>
      </c>
    </row>
    <row r="297" spans="1:6">
      <c r="A297" s="10" t="s">
        <v>319</v>
      </c>
      <c r="B297" s="10">
        <v>340</v>
      </c>
      <c r="C297" s="21">
        <v>1.9489402081661188E-3</v>
      </c>
      <c r="D297" s="10">
        <v>74</v>
      </c>
      <c r="E297" s="10">
        <v>110</v>
      </c>
      <c r="F297" s="10">
        <v>34</v>
      </c>
    </row>
    <row r="298" spans="1:6">
      <c r="A298" s="10" t="s">
        <v>320</v>
      </c>
      <c r="B298" s="10">
        <v>545</v>
      </c>
      <c r="C298" s="21">
        <v>2.4800906936066516E-3</v>
      </c>
      <c r="D298" s="10">
        <v>39</v>
      </c>
      <c r="E298" s="10">
        <v>76</v>
      </c>
      <c r="F298" s="10">
        <v>46</v>
      </c>
    </row>
    <row r="299" spans="1:6">
      <c r="A299" s="10" t="s">
        <v>321</v>
      </c>
      <c r="B299" s="10">
        <v>107</v>
      </c>
      <c r="C299" s="21">
        <v>4.1269937566282408E-3</v>
      </c>
      <c r="D299" s="10">
        <v>38</v>
      </c>
      <c r="E299" s="10">
        <v>139</v>
      </c>
      <c r="F299" s="10">
        <v>24</v>
      </c>
    </row>
    <row r="300" spans="1:6">
      <c r="A300" s="10" t="s">
        <v>322</v>
      </c>
      <c r="B300" s="10">
        <v>29</v>
      </c>
      <c r="C300" s="21">
        <v>1.2503056261122085E-3</v>
      </c>
      <c r="D300" s="10">
        <v>68</v>
      </c>
      <c r="E300" s="10">
        <v>189</v>
      </c>
      <c r="F300" s="10">
        <v>22</v>
      </c>
    </row>
    <row r="301" spans="1:6">
      <c r="A301" s="10" t="s">
        <v>323</v>
      </c>
      <c r="B301" s="10">
        <v>329</v>
      </c>
      <c r="C301" s="21">
        <v>2.5281662179402991E-3</v>
      </c>
      <c r="D301" s="10">
        <v>62</v>
      </c>
      <c r="E301" s="10">
        <v>106</v>
      </c>
      <c r="F301" s="10">
        <v>41</v>
      </c>
    </row>
    <row r="302" spans="1:6">
      <c r="A302" s="10" t="s">
        <v>324</v>
      </c>
      <c r="B302" s="10">
        <v>98</v>
      </c>
      <c r="C302" s="21">
        <v>4.531345768970785E-4</v>
      </c>
      <c r="D302" s="10">
        <v>78</v>
      </c>
      <c r="E302" s="10">
        <v>192</v>
      </c>
      <c r="F302" s="10">
        <v>3</v>
      </c>
    </row>
    <row r="303" spans="1:6">
      <c r="A303" s="10" t="s">
        <v>325</v>
      </c>
      <c r="B303" s="10">
        <v>394</v>
      </c>
      <c r="C303" s="21">
        <v>7.8068902985388075E-4</v>
      </c>
      <c r="D303" s="10">
        <v>67</v>
      </c>
      <c r="E303" s="10">
        <v>134</v>
      </c>
      <c r="F303" s="10">
        <v>24</v>
      </c>
    </row>
    <row r="304" spans="1:6">
      <c r="A304" s="10" t="s">
        <v>326</v>
      </c>
      <c r="B304" s="10">
        <v>520</v>
      </c>
      <c r="C304" s="21">
        <v>2.9716577767143696E-4</v>
      </c>
      <c r="D304" s="10">
        <v>56</v>
      </c>
      <c r="E304" s="10">
        <v>130</v>
      </c>
      <c r="F304" s="10">
        <v>19</v>
      </c>
    </row>
    <row r="305" spans="1:6">
      <c r="A305" s="10" t="s">
        <v>327</v>
      </c>
      <c r="B305" s="10">
        <v>83</v>
      </c>
      <c r="C305" s="21">
        <v>1.9363681728729537E-3</v>
      </c>
      <c r="D305" s="10">
        <v>35</v>
      </c>
      <c r="E305" s="10">
        <v>148</v>
      </c>
      <c r="F305" s="10">
        <v>39</v>
      </c>
    </row>
    <row r="306" spans="1:6">
      <c r="A306" s="10" t="s">
        <v>328</v>
      </c>
      <c r="B306" s="10">
        <v>57</v>
      </c>
      <c r="C306" s="21">
        <v>1.5672836166011484E-3</v>
      </c>
      <c r="D306" s="10">
        <v>95</v>
      </c>
      <c r="E306" s="10">
        <v>125</v>
      </c>
      <c r="F306" s="10">
        <v>28</v>
      </c>
    </row>
    <row r="307" spans="1:6">
      <c r="A307" s="10" t="s">
        <v>329</v>
      </c>
      <c r="B307" s="10">
        <v>354</v>
      </c>
      <c r="C307" s="21">
        <v>5.0910932630460872E-3</v>
      </c>
      <c r="D307" s="10">
        <v>46</v>
      </c>
      <c r="E307" s="10">
        <v>158</v>
      </c>
      <c r="F307" s="10">
        <v>32</v>
      </c>
    </row>
    <row r="308" spans="1:6">
      <c r="A308" s="10" t="s">
        <v>330</v>
      </c>
      <c r="B308" s="10">
        <v>126</v>
      </c>
      <c r="C308" s="21">
        <v>1.6226056133674877E-3</v>
      </c>
      <c r="D308" s="10">
        <v>78</v>
      </c>
      <c r="E308" s="10">
        <v>159</v>
      </c>
      <c r="F308" s="10">
        <v>25</v>
      </c>
    </row>
    <row r="309" spans="1:6">
      <c r="A309" s="10" t="s">
        <v>331</v>
      </c>
      <c r="B309" s="10">
        <v>514</v>
      </c>
      <c r="C309" s="21">
        <v>1.6031839732063165E-3</v>
      </c>
      <c r="D309" s="10">
        <v>40</v>
      </c>
      <c r="E309" s="10">
        <v>135</v>
      </c>
      <c r="F309" s="10">
        <v>29</v>
      </c>
    </row>
    <row r="310" spans="1:6">
      <c r="A310" s="10" t="s">
        <v>332</v>
      </c>
      <c r="B310" s="10">
        <v>108</v>
      </c>
      <c r="C310" s="21">
        <v>8.4260991376833446E-4</v>
      </c>
      <c r="D310" s="10">
        <v>86</v>
      </c>
      <c r="E310" s="10">
        <v>145</v>
      </c>
      <c r="F310" s="10">
        <v>25</v>
      </c>
    </row>
    <row r="311" spans="1:6">
      <c r="A311" s="10" t="s">
        <v>333</v>
      </c>
      <c r="B311" s="10">
        <v>100</v>
      </c>
      <c r="C311" s="21">
        <v>6.2344505507785409E-4</v>
      </c>
      <c r="D311" s="10">
        <v>112</v>
      </c>
      <c r="E311" s="10">
        <v>194</v>
      </c>
      <c r="F311" s="10">
        <v>21</v>
      </c>
    </row>
    <row r="312" spans="1:6">
      <c r="A312" s="10" t="s">
        <v>334</v>
      </c>
      <c r="B312" s="10">
        <v>41</v>
      </c>
      <c r="C312" s="21">
        <v>2.3906956462812099E-3</v>
      </c>
      <c r="D312" s="10">
        <v>64</v>
      </c>
      <c r="E312" s="10">
        <v>125</v>
      </c>
      <c r="F312" s="10">
        <v>31</v>
      </c>
    </row>
    <row r="313" spans="1:6">
      <c r="A313" s="10" t="s">
        <v>335</v>
      </c>
      <c r="B313" s="10">
        <v>314</v>
      </c>
      <c r="C313" s="21">
        <v>1.1287042926698646E-3</v>
      </c>
      <c r="D313" s="10">
        <v>74</v>
      </c>
      <c r="E313" s="10">
        <v>117</v>
      </c>
      <c r="F313" s="10">
        <v>25</v>
      </c>
    </row>
    <row r="314" spans="1:6">
      <c r="A314" s="10" t="s">
        <v>336</v>
      </c>
      <c r="B314" s="10">
        <v>107</v>
      </c>
      <c r="C314" s="21">
        <v>1.6497064703795675E-3</v>
      </c>
      <c r="D314" s="10">
        <v>102</v>
      </c>
      <c r="E314" s="10">
        <v>190</v>
      </c>
      <c r="F314" s="10">
        <v>14</v>
      </c>
    </row>
    <row r="315" spans="1:6">
      <c r="A315" s="10" t="s">
        <v>337</v>
      </c>
      <c r="B315" s="10">
        <v>86</v>
      </c>
      <c r="C315" s="21">
        <v>6.8130075569470877E-4</v>
      </c>
      <c r="D315" s="10">
        <v>125</v>
      </c>
      <c r="E315" s="10">
        <v>185</v>
      </c>
      <c r="F315" s="10">
        <v>21</v>
      </c>
    </row>
    <row r="316" spans="1:6">
      <c r="A316" s="10" t="s">
        <v>338</v>
      </c>
      <c r="B316" s="10">
        <v>106</v>
      </c>
      <c r="C316" s="21">
        <v>1.4503102324051253E-3</v>
      </c>
      <c r="D316" s="10">
        <v>69</v>
      </c>
      <c r="E316" s="10">
        <v>126</v>
      </c>
      <c r="F316" s="10">
        <v>24</v>
      </c>
    </row>
    <row r="317" spans="1:6">
      <c r="A317" s="10" t="s">
        <v>339</v>
      </c>
      <c r="B317" s="10">
        <v>121</v>
      </c>
      <c r="C317" s="21">
        <v>8.2231251289834582E-4</v>
      </c>
      <c r="D317" s="10">
        <v>107</v>
      </c>
      <c r="E317" s="10">
        <v>194</v>
      </c>
      <c r="F317" s="10">
        <v>25</v>
      </c>
    </row>
    <row r="318" spans="1:6">
      <c r="A318" s="10" t="s">
        <v>340</v>
      </c>
      <c r="B318" s="10">
        <v>148</v>
      </c>
      <c r="C318" s="21">
        <v>1.8095931850302084E-3</v>
      </c>
      <c r="D318" s="10">
        <v>48</v>
      </c>
      <c r="E318" s="10">
        <v>118</v>
      </c>
      <c r="F318" s="10">
        <v>42</v>
      </c>
    </row>
    <row r="319" spans="1:6">
      <c r="A319" s="10" t="s">
        <v>341</v>
      </c>
      <c r="B319" s="10">
        <v>101</v>
      </c>
      <c r="C319" s="21">
        <v>8.6676333050504119E-4</v>
      </c>
      <c r="D319" s="10">
        <v>96</v>
      </c>
      <c r="E319" s="10">
        <v>196</v>
      </c>
      <c r="F319" s="10">
        <v>20</v>
      </c>
    </row>
    <row r="320" spans="1:6">
      <c r="A320" s="10" t="s">
        <v>342</v>
      </c>
      <c r="B320" s="10">
        <v>42</v>
      </c>
      <c r="C320" s="21">
        <v>1.7860386637608969E-3</v>
      </c>
      <c r="D320" s="10">
        <v>66</v>
      </c>
      <c r="E320" s="10">
        <v>122</v>
      </c>
      <c r="F320" s="10">
        <v>22</v>
      </c>
    </row>
    <row r="321" spans="1:6">
      <c r="A321" s="10" t="s">
        <v>343</v>
      </c>
      <c r="B321" s="10">
        <v>229</v>
      </c>
      <c r="C321" s="21">
        <v>3.3142651151229553E-3</v>
      </c>
      <c r="D321" s="10">
        <v>105</v>
      </c>
      <c r="E321" s="10">
        <v>180</v>
      </c>
      <c r="F321" s="10">
        <v>36</v>
      </c>
    </row>
    <row r="322" spans="1:6">
      <c r="A322" s="10" t="s">
        <v>344</v>
      </c>
      <c r="B322" s="10">
        <v>98</v>
      </c>
      <c r="C322" s="21">
        <v>1.8367512133188894E-3</v>
      </c>
      <c r="D322" s="10">
        <v>58</v>
      </c>
      <c r="E322" s="10">
        <v>159</v>
      </c>
      <c r="F322" s="10">
        <v>38</v>
      </c>
    </row>
    <row r="323" spans="1:6">
      <c r="A323" s="10" t="s">
        <v>345</v>
      </c>
      <c r="B323" s="10">
        <v>115</v>
      </c>
      <c r="C323" s="21">
        <v>6.9934531102609776E-4</v>
      </c>
      <c r="D323" s="10">
        <v>59</v>
      </c>
      <c r="E323" s="10">
        <v>144</v>
      </c>
      <c r="F323" s="10">
        <v>18</v>
      </c>
    </row>
    <row r="324" spans="1:6">
      <c r="A324" s="10" t="s">
        <v>346</v>
      </c>
      <c r="B324" s="10">
        <v>82</v>
      </c>
      <c r="C324" s="21">
        <v>1.4548092577724421E-3</v>
      </c>
      <c r="D324" s="10">
        <v>106</v>
      </c>
      <c r="E324" s="10">
        <v>205</v>
      </c>
      <c r="F324" s="10">
        <v>16</v>
      </c>
    </row>
    <row r="325" spans="1:6">
      <c r="A325" s="10" t="s">
        <v>347</v>
      </c>
      <c r="B325" s="10">
        <v>38</v>
      </c>
      <c r="C325" s="21">
        <v>1.4308007204383308E-3</v>
      </c>
      <c r="D325" s="10">
        <v>107</v>
      </c>
      <c r="E325" s="10">
        <v>174</v>
      </c>
      <c r="F325" s="10">
        <v>31</v>
      </c>
    </row>
    <row r="326" spans="1:6">
      <c r="A326" s="10" t="s">
        <v>348</v>
      </c>
      <c r="B326" s="10">
        <v>447</v>
      </c>
      <c r="C326" s="21">
        <v>3.066401753745441E-4</v>
      </c>
      <c r="D326" s="10">
        <v>85</v>
      </c>
      <c r="E326" s="10">
        <v>169</v>
      </c>
      <c r="F326" s="10">
        <v>28</v>
      </c>
    </row>
    <row r="327" spans="1:6">
      <c r="A327" s="10" t="s">
        <v>349</v>
      </c>
      <c r="B327" s="10">
        <v>503</v>
      </c>
      <c r="C327" s="21">
        <v>1.8108346330725741E-3</v>
      </c>
      <c r="D327" s="10">
        <v>39</v>
      </c>
      <c r="E327" s="10">
        <v>108</v>
      </c>
      <c r="F327" s="10">
        <v>34</v>
      </c>
    </row>
    <row r="328" spans="1:6">
      <c r="A328" s="10" t="s">
        <v>350</v>
      </c>
      <c r="B328" s="10">
        <v>115</v>
      </c>
      <c r="C328" s="21">
        <v>1.8453189822675356E-3</v>
      </c>
      <c r="D328" s="10">
        <v>74</v>
      </c>
      <c r="E328" s="10">
        <v>165</v>
      </c>
      <c r="F328" s="10">
        <v>48</v>
      </c>
    </row>
    <row r="329" spans="1:6">
      <c r="A329" s="10" t="s">
        <v>351</v>
      </c>
      <c r="B329" s="10">
        <v>47</v>
      </c>
      <c r="C329" s="21">
        <v>2.0274706889447411E-3</v>
      </c>
      <c r="D329" s="10">
        <v>18</v>
      </c>
      <c r="E329" s="10">
        <v>100</v>
      </c>
      <c r="F329" s="10">
        <v>35</v>
      </c>
    </row>
    <row r="330" spans="1:6">
      <c r="A330" s="10" t="s">
        <v>352</v>
      </c>
      <c r="B330" s="10">
        <v>450</v>
      </c>
      <c r="C330" s="21">
        <v>5.6022475756117884E-4</v>
      </c>
      <c r="D330" s="10">
        <v>90</v>
      </c>
      <c r="E330" s="10">
        <v>122</v>
      </c>
      <c r="F330" s="10">
        <v>24</v>
      </c>
    </row>
    <row r="331" spans="1:6">
      <c r="A331" s="10" t="s">
        <v>353</v>
      </c>
      <c r="B331" s="10">
        <v>94</v>
      </c>
      <c r="C331" s="21">
        <v>1.4493063893046265E-3</v>
      </c>
      <c r="D331" s="10">
        <v>126</v>
      </c>
      <c r="E331" s="10">
        <v>212</v>
      </c>
      <c r="F331" s="10">
        <v>25</v>
      </c>
    </row>
    <row r="332" spans="1:6">
      <c r="A332" s="10" t="s">
        <v>354</v>
      </c>
      <c r="B332" s="10">
        <v>87</v>
      </c>
      <c r="C332" s="21">
        <v>4.32431687531054E-4</v>
      </c>
      <c r="D332" s="10">
        <v>77</v>
      </c>
      <c r="E332" s="10">
        <v>177</v>
      </c>
      <c r="F332" s="10">
        <v>32</v>
      </c>
    </row>
    <row r="333" spans="1:6">
      <c r="A333" s="10" t="s">
        <v>355</v>
      </c>
      <c r="B333" s="10">
        <v>528</v>
      </c>
      <c r="C333" s="21">
        <v>2.3805731127188143E-3</v>
      </c>
      <c r="D333" s="10">
        <v>23</v>
      </c>
      <c r="E333" s="10">
        <v>102</v>
      </c>
      <c r="F333" s="10">
        <v>33</v>
      </c>
    </row>
    <row r="334" spans="1:6">
      <c r="A334" s="10" t="s">
        <v>356</v>
      </c>
      <c r="B334" s="10">
        <v>92</v>
      </c>
      <c r="C334" s="21">
        <v>8.00922142835682E-4</v>
      </c>
      <c r="D334" s="10">
        <v>97</v>
      </c>
      <c r="E334" s="10">
        <v>153</v>
      </c>
      <c r="F334" s="10">
        <v>19</v>
      </c>
    </row>
    <row r="335" spans="1:6">
      <c r="A335" s="10" t="s">
        <v>357</v>
      </c>
      <c r="B335" s="10">
        <v>518</v>
      </c>
      <c r="C335" s="21">
        <v>7.0566107695104417E-4</v>
      </c>
      <c r="D335" s="10">
        <v>101</v>
      </c>
      <c r="E335" s="10">
        <v>223</v>
      </c>
      <c r="F335" s="10">
        <v>7</v>
      </c>
    </row>
    <row r="336" spans="1:6">
      <c r="A336" s="10" t="s">
        <v>358</v>
      </c>
      <c r="B336" s="10">
        <v>413</v>
      </c>
      <c r="C336" s="21">
        <v>1.7032488247577689E-3</v>
      </c>
      <c r="D336" s="10">
        <v>29</v>
      </c>
      <c r="E336" s="10">
        <v>102</v>
      </c>
      <c r="F336" s="10">
        <v>36</v>
      </c>
    </row>
    <row r="337" spans="1:6">
      <c r="A337" s="10" t="s">
        <v>359</v>
      </c>
      <c r="B337" s="10">
        <v>94</v>
      </c>
      <c r="C337" s="21">
        <v>2.0896862746392643E-3</v>
      </c>
      <c r="D337" s="10">
        <v>39</v>
      </c>
      <c r="E337" s="10">
        <v>119</v>
      </c>
      <c r="F337" s="10">
        <v>44</v>
      </c>
    </row>
    <row r="338" spans="1:6">
      <c r="A338" s="10" t="s">
        <v>360</v>
      </c>
      <c r="B338" s="10">
        <v>83</v>
      </c>
      <c r="C338" s="21">
        <v>1.266246876788878E-3</v>
      </c>
      <c r="D338" s="10">
        <v>91</v>
      </c>
      <c r="E338" s="10">
        <v>160</v>
      </c>
      <c r="F338" s="10">
        <v>35</v>
      </c>
    </row>
    <row r="339" spans="1:6">
      <c r="A339" s="10" t="s">
        <v>361</v>
      </c>
      <c r="B339" s="10">
        <v>132</v>
      </c>
      <c r="C339" s="21">
        <v>1.0765561108893112E-3</v>
      </c>
      <c r="D339" s="10">
        <v>82</v>
      </c>
      <c r="E339" s="10">
        <v>231</v>
      </c>
      <c r="F339" s="10">
        <v>11</v>
      </c>
    </row>
    <row r="340" spans="1:6">
      <c r="A340" s="10" t="s">
        <v>362</v>
      </c>
      <c r="B340" s="10">
        <v>37</v>
      </c>
      <c r="C340" s="21">
        <v>2.456361491204804E-3</v>
      </c>
      <c r="D340" s="10">
        <v>56</v>
      </c>
      <c r="E340" s="10">
        <v>97</v>
      </c>
      <c r="F340" s="10">
        <v>43</v>
      </c>
    </row>
    <row r="341" spans="1:6">
      <c r="A341" s="10" t="s">
        <v>363</v>
      </c>
      <c r="B341" s="10">
        <v>328</v>
      </c>
      <c r="C341" s="21">
        <v>1.2330406826546484E-3</v>
      </c>
      <c r="D341" s="10">
        <v>102</v>
      </c>
      <c r="E341" s="10">
        <v>139</v>
      </c>
      <c r="F341" s="10">
        <v>22</v>
      </c>
    </row>
    <row r="342" spans="1:6">
      <c r="A342" s="10" t="s">
        <v>364</v>
      </c>
      <c r="B342" s="10">
        <v>664</v>
      </c>
      <c r="C342" s="21">
        <v>2.5833272860504553E-3</v>
      </c>
      <c r="D342" s="10">
        <v>82</v>
      </c>
      <c r="E342" s="10">
        <v>148</v>
      </c>
      <c r="F342" s="10">
        <v>49</v>
      </c>
    </row>
    <row r="343" spans="1:6">
      <c r="A343" s="10" t="s">
        <v>365</v>
      </c>
      <c r="B343" s="10">
        <v>534</v>
      </c>
      <c r="C343" s="21">
        <v>2.0586567072589414E-3</v>
      </c>
      <c r="D343" s="10">
        <v>42</v>
      </c>
      <c r="E343" s="10">
        <v>92</v>
      </c>
      <c r="F343" s="10">
        <v>37</v>
      </c>
    </row>
    <row r="344" spans="1:6">
      <c r="A344" s="10" t="s">
        <v>366</v>
      </c>
      <c r="B344" s="10">
        <v>102</v>
      </c>
      <c r="C344" s="21">
        <v>1.0221561867521261E-3</v>
      </c>
      <c r="D344" s="10">
        <v>57</v>
      </c>
      <c r="E344" s="10">
        <v>124</v>
      </c>
      <c r="F344" s="10">
        <v>26</v>
      </c>
    </row>
    <row r="345" spans="1:6">
      <c r="A345" s="10" t="s">
        <v>367</v>
      </c>
      <c r="B345" s="10">
        <v>78</v>
      </c>
      <c r="C345" s="21">
        <v>1.4307805427420687E-3</v>
      </c>
      <c r="D345" s="10">
        <v>88</v>
      </c>
      <c r="E345" s="10">
        <v>152</v>
      </c>
      <c r="F345" s="10">
        <v>19</v>
      </c>
    </row>
    <row r="346" spans="1:6">
      <c r="A346" s="10" t="s">
        <v>368</v>
      </c>
      <c r="B346" s="10">
        <v>37</v>
      </c>
      <c r="C346" s="21">
        <v>9.2728194721971603E-4</v>
      </c>
      <c r="D346" s="10">
        <v>50</v>
      </c>
      <c r="E346" s="10">
        <v>179</v>
      </c>
      <c r="F346" s="10">
        <v>20</v>
      </c>
    </row>
    <row r="347" spans="1:6">
      <c r="A347" s="10" t="s">
        <v>369</v>
      </c>
      <c r="B347" s="10">
        <v>187</v>
      </c>
      <c r="C347" s="21">
        <v>2.4556763634013233E-3</v>
      </c>
      <c r="D347" s="10">
        <v>50</v>
      </c>
      <c r="E347" s="10">
        <v>100</v>
      </c>
      <c r="F347" s="10">
        <v>36</v>
      </c>
    </row>
    <row r="348" spans="1:6">
      <c r="A348" s="10" t="s">
        <v>370</v>
      </c>
      <c r="B348" s="10">
        <v>110</v>
      </c>
      <c r="C348" s="21">
        <v>2.4150486219842488E-3</v>
      </c>
      <c r="D348" s="10">
        <v>83</v>
      </c>
      <c r="E348" s="10">
        <v>133</v>
      </c>
      <c r="F348" s="10">
        <v>39</v>
      </c>
    </row>
    <row r="349" spans="1:6">
      <c r="A349" s="10" t="s">
        <v>371</v>
      </c>
      <c r="B349" s="10">
        <v>571</v>
      </c>
      <c r="C349" s="21">
        <v>7.1693505712553264E-4</v>
      </c>
      <c r="D349" s="10">
        <v>59</v>
      </c>
      <c r="E349" s="10">
        <v>165</v>
      </c>
      <c r="F349" s="10">
        <v>10</v>
      </c>
    </row>
    <row r="350" spans="1:6">
      <c r="A350" s="10" t="s">
        <v>372</v>
      </c>
      <c r="B350" s="10">
        <v>529</v>
      </c>
      <c r="C350" s="21">
        <v>1.4877412654913289E-3</v>
      </c>
      <c r="D350" s="10">
        <v>78</v>
      </c>
      <c r="E350" s="10">
        <v>150</v>
      </c>
      <c r="F350" s="10">
        <v>24</v>
      </c>
    </row>
    <row r="351" spans="1:6">
      <c r="A351" s="10" t="s">
        <v>373</v>
      </c>
      <c r="B351" s="10">
        <v>88</v>
      </c>
      <c r="C351" s="21">
        <v>1.6676695878314639E-3</v>
      </c>
      <c r="D351" s="10">
        <v>76</v>
      </c>
      <c r="E351" s="10">
        <v>148</v>
      </c>
      <c r="F351" s="10">
        <v>35</v>
      </c>
    </row>
    <row r="352" spans="1:6">
      <c r="A352" s="10" t="s">
        <v>374</v>
      </c>
      <c r="B352" s="10">
        <v>310</v>
      </c>
      <c r="C352" s="21">
        <v>1.4882092433911344E-3</v>
      </c>
      <c r="D352" s="10">
        <v>86</v>
      </c>
      <c r="E352" s="10">
        <v>161</v>
      </c>
      <c r="F352" s="10">
        <v>32</v>
      </c>
    </row>
    <row r="353" spans="1:6">
      <c r="A353" s="10" t="s">
        <v>375</v>
      </c>
      <c r="B353" s="10">
        <v>100</v>
      </c>
      <c r="C353" s="21">
        <v>1.1929652163971622E-3</v>
      </c>
      <c r="D353" s="10">
        <v>70</v>
      </c>
      <c r="E353" s="10">
        <v>180</v>
      </c>
      <c r="F353" s="10">
        <v>20</v>
      </c>
    </row>
    <row r="354" spans="1:6">
      <c r="A354" s="10" t="s">
        <v>376</v>
      </c>
      <c r="B354" s="10">
        <v>131</v>
      </c>
      <c r="C354" s="21">
        <v>1.4466001543210645E-3</v>
      </c>
      <c r="D354" s="10">
        <v>68</v>
      </c>
      <c r="E354" s="10">
        <v>168</v>
      </c>
      <c r="F354" s="10">
        <v>34</v>
      </c>
    </row>
    <row r="355" spans="1:6">
      <c r="A355" s="10" t="s">
        <v>377</v>
      </c>
      <c r="B355" s="10">
        <v>262</v>
      </c>
      <c r="C355" s="21">
        <v>1.7133549928059822E-3</v>
      </c>
      <c r="D355" s="10">
        <v>61</v>
      </c>
      <c r="E355" s="10">
        <v>110</v>
      </c>
      <c r="F355" s="10">
        <v>29</v>
      </c>
    </row>
    <row r="356" spans="1:6">
      <c r="A356" s="10" t="s">
        <v>378</v>
      </c>
      <c r="B356" s="10">
        <v>92</v>
      </c>
      <c r="C356" s="21">
        <v>2.5553148510806872E-3</v>
      </c>
      <c r="D356" s="10">
        <v>79</v>
      </c>
      <c r="E356" s="10">
        <v>197</v>
      </c>
      <c r="F356" s="10">
        <v>26</v>
      </c>
    </row>
    <row r="357" spans="1:6">
      <c r="A357" s="10" t="s">
        <v>379</v>
      </c>
      <c r="B357" s="10">
        <v>598</v>
      </c>
      <c r="C357" s="21">
        <v>1.2056736275955547E-3</v>
      </c>
      <c r="D357" s="10">
        <v>83</v>
      </c>
      <c r="E357" s="10">
        <v>146</v>
      </c>
      <c r="F357" s="10">
        <v>25</v>
      </c>
    </row>
    <row r="358" spans="1:6">
      <c r="A358" s="10" t="s">
        <v>380</v>
      </c>
      <c r="B358" s="10">
        <v>438</v>
      </c>
      <c r="C358" s="21">
        <v>3.1565835153885358E-3</v>
      </c>
      <c r="D358" s="10">
        <v>47</v>
      </c>
      <c r="E358" s="10">
        <v>94</v>
      </c>
      <c r="F358" s="10">
        <v>44</v>
      </c>
    </row>
    <row r="359" spans="1:6">
      <c r="A359" s="10" t="s">
        <v>381</v>
      </c>
      <c r="B359" s="10">
        <v>103</v>
      </c>
      <c r="C359" s="21">
        <v>1.1676669897209132E-3</v>
      </c>
      <c r="D359" s="10">
        <v>76</v>
      </c>
      <c r="E359" s="10">
        <v>164</v>
      </c>
      <c r="F359" s="10">
        <v>28</v>
      </c>
    </row>
    <row r="360" spans="1:6">
      <c r="A360" s="10" t="s">
        <v>382</v>
      </c>
      <c r="B360" s="10">
        <v>100</v>
      </c>
      <c r="C360" s="21">
        <v>1.8828527604548785E-3</v>
      </c>
      <c r="D360" s="10">
        <v>49</v>
      </c>
      <c r="E360" s="10">
        <v>113</v>
      </c>
      <c r="F360" s="10">
        <v>35</v>
      </c>
    </row>
    <row r="361" spans="1:6">
      <c r="A361" s="10" t="s">
        <v>383</v>
      </c>
      <c r="B361" s="10">
        <v>40</v>
      </c>
      <c r="C361" s="21">
        <v>7.4760124070403524E-4</v>
      </c>
      <c r="D361" s="10">
        <v>89</v>
      </c>
      <c r="E361" s="10">
        <v>170</v>
      </c>
      <c r="F361" s="10">
        <v>30</v>
      </c>
    </row>
    <row r="362" spans="1:6">
      <c r="A362" s="10" t="s">
        <v>384</v>
      </c>
      <c r="B362" s="10">
        <v>62</v>
      </c>
      <c r="C362" s="21">
        <v>9.4919217394983063E-4</v>
      </c>
      <c r="D362" s="10">
        <v>49</v>
      </c>
      <c r="E362" s="10">
        <v>141</v>
      </c>
      <c r="F362" s="10">
        <v>24</v>
      </c>
    </row>
    <row r="363" spans="1:6">
      <c r="A363" s="10" t="s">
        <v>385</v>
      </c>
      <c r="B363" s="10">
        <v>370</v>
      </c>
      <c r="C363" s="21">
        <v>1.178711330848125E-3</v>
      </c>
      <c r="D363" s="10">
        <v>81</v>
      </c>
      <c r="E363" s="10">
        <v>152</v>
      </c>
      <c r="F363" s="10">
        <v>18</v>
      </c>
    </row>
    <row r="364" spans="1:6">
      <c r="A364" s="10" t="s">
        <v>386</v>
      </c>
      <c r="B364" s="10">
        <v>58</v>
      </c>
      <c r="C364" s="21">
        <v>1.9209084415026329E-3</v>
      </c>
      <c r="D364" s="10">
        <v>112</v>
      </c>
      <c r="E364" s="10">
        <v>193</v>
      </c>
      <c r="F364" s="10">
        <v>34</v>
      </c>
    </row>
    <row r="365" spans="1:6">
      <c r="A365" s="10" t="s">
        <v>387</v>
      </c>
      <c r="B365" s="10">
        <v>188</v>
      </c>
      <c r="C365" s="21">
        <v>3.5098568623427961E-3</v>
      </c>
      <c r="D365" s="10">
        <v>53</v>
      </c>
      <c r="E365" s="10">
        <v>131</v>
      </c>
      <c r="F365" s="10">
        <v>20</v>
      </c>
    </row>
    <row r="366" spans="1:6">
      <c r="A366" s="10" t="s">
        <v>388</v>
      </c>
      <c r="B366" s="10">
        <v>322</v>
      </c>
      <c r="C366" s="21">
        <v>1.0344733382422944E-3</v>
      </c>
      <c r="D366" s="10">
        <v>94</v>
      </c>
      <c r="E366" s="10">
        <v>163</v>
      </c>
      <c r="F366" s="10">
        <v>24</v>
      </c>
    </row>
    <row r="367" spans="1:6">
      <c r="A367" s="10" t="s">
        <v>389</v>
      </c>
      <c r="B367" s="10">
        <v>420</v>
      </c>
      <c r="C367" s="21">
        <v>4.3014904886000266E-3</v>
      </c>
      <c r="D367" s="10">
        <v>25</v>
      </c>
      <c r="E367" s="10">
        <v>126</v>
      </c>
      <c r="F367" s="10">
        <v>41</v>
      </c>
    </row>
    <row r="368" spans="1:6">
      <c r="A368" s="10" t="s">
        <v>390</v>
      </c>
      <c r="B368" s="10">
        <v>79</v>
      </c>
      <c r="C368" s="21">
        <v>6.5832418461601741E-4</v>
      </c>
      <c r="D368" s="10">
        <v>101</v>
      </c>
      <c r="E368" s="10">
        <v>181</v>
      </c>
      <c r="F368" s="10">
        <v>26</v>
      </c>
    </row>
    <row r="369" spans="1:6">
      <c r="A369" s="10" t="s">
        <v>391</v>
      </c>
      <c r="B369" s="10">
        <v>117</v>
      </c>
      <c r="C369" s="21">
        <v>2.3623244039936934E-3</v>
      </c>
      <c r="D369" s="10">
        <v>45</v>
      </c>
      <c r="E369" s="10">
        <v>99</v>
      </c>
      <c r="F369" s="10">
        <v>53</v>
      </c>
    </row>
    <row r="370" spans="1:6">
      <c r="A370" s="10" t="s">
        <v>392</v>
      </c>
      <c r="B370" s="10">
        <v>76</v>
      </c>
      <c r="C370" s="21">
        <v>3.5361966837615483E-4</v>
      </c>
      <c r="D370" s="10">
        <v>45</v>
      </c>
      <c r="E370" s="10">
        <v>150</v>
      </c>
      <c r="F370" s="10">
        <v>35</v>
      </c>
    </row>
    <row r="371" spans="1:6">
      <c r="A371" s="10" t="s">
        <v>393</v>
      </c>
      <c r="B371" s="10">
        <v>42</v>
      </c>
      <c r="C371" s="21">
        <v>3.4172823831332779E-3</v>
      </c>
      <c r="D371" s="10">
        <v>102</v>
      </c>
      <c r="E371" s="10">
        <v>245</v>
      </c>
      <c r="F371" s="10">
        <v>5</v>
      </c>
    </row>
    <row r="372" spans="1:6">
      <c r="A372" s="10" t="s">
        <v>394</v>
      </c>
      <c r="B372" s="10">
        <v>294</v>
      </c>
      <c r="C372" s="21">
        <v>5.0450977828482568E-4</v>
      </c>
      <c r="D372" s="10">
        <v>93</v>
      </c>
      <c r="E372" s="10">
        <v>156</v>
      </c>
      <c r="F372" s="10">
        <v>23</v>
      </c>
    </row>
    <row r="373" spans="1:6">
      <c r="A373" s="10" t="s">
        <v>395</v>
      </c>
      <c r="B373" s="10">
        <v>403</v>
      </c>
      <c r="C373" s="21">
        <v>1.0490183493181279E-3</v>
      </c>
      <c r="D373" s="10">
        <v>65</v>
      </c>
      <c r="E373" s="10">
        <v>166</v>
      </c>
      <c r="F373" s="10">
        <v>21</v>
      </c>
    </row>
    <row r="374" spans="1:6">
      <c r="A374" s="10" t="s">
        <v>396</v>
      </c>
      <c r="B374" s="10">
        <v>440</v>
      </c>
      <c r="C374" s="21">
        <v>1.1408915706667862E-3</v>
      </c>
      <c r="D374" s="10">
        <v>107</v>
      </c>
      <c r="E374" s="10">
        <v>186</v>
      </c>
      <c r="F374" s="10">
        <v>27</v>
      </c>
    </row>
    <row r="375" spans="1:6">
      <c r="A375" s="10" t="s">
        <v>397</v>
      </c>
      <c r="B375" s="10">
        <v>99</v>
      </c>
      <c r="C375" s="21">
        <v>2.4576076790735124E-3</v>
      </c>
      <c r="D375" s="10">
        <v>104</v>
      </c>
      <c r="E375" s="10">
        <v>142</v>
      </c>
      <c r="F375" s="10">
        <v>44</v>
      </c>
    </row>
    <row r="376" spans="1:6">
      <c r="A376" s="10" t="s">
        <v>398</v>
      </c>
      <c r="B376" s="10">
        <v>139</v>
      </c>
      <c r="C376" s="21">
        <v>1.364345053434598E-3</v>
      </c>
      <c r="D376" s="10">
        <v>37</v>
      </c>
      <c r="E376" s="10">
        <v>125</v>
      </c>
      <c r="F376" s="10">
        <v>28</v>
      </c>
    </row>
    <row r="377" spans="1:6">
      <c r="A377" s="10" t="s">
        <v>399</v>
      </c>
      <c r="B377" s="10">
        <v>591</v>
      </c>
      <c r="C377" s="21">
        <v>2.2129294682610616E-3</v>
      </c>
      <c r="D377" s="10">
        <v>48</v>
      </c>
      <c r="E377" s="10">
        <v>97</v>
      </c>
      <c r="F377" s="10">
        <v>34</v>
      </c>
    </row>
    <row r="378" spans="1:6">
      <c r="A378" s="10" t="s">
        <v>400</v>
      </c>
      <c r="B378" s="10">
        <v>400</v>
      </c>
      <c r="C378" s="21">
        <v>7.5032292628956858E-4</v>
      </c>
      <c r="D378" s="10">
        <v>83</v>
      </c>
      <c r="E378" s="10">
        <v>180</v>
      </c>
      <c r="F378" s="10">
        <v>11</v>
      </c>
    </row>
    <row r="379" spans="1:6">
      <c r="A379" s="10" t="s">
        <v>401</v>
      </c>
      <c r="B379" s="10">
        <v>107</v>
      </c>
      <c r="C379" s="21">
        <v>9.1452848364951243E-4</v>
      </c>
      <c r="D379" s="10">
        <v>132</v>
      </c>
      <c r="E379" s="10">
        <v>212</v>
      </c>
      <c r="F379" s="10">
        <v>22</v>
      </c>
    </row>
    <row r="380" spans="1:6">
      <c r="A380" s="10" t="s">
        <v>402</v>
      </c>
      <c r="B380" s="10">
        <v>143</v>
      </c>
      <c r="C380" s="21">
        <v>2.7867945591535199E-3</v>
      </c>
      <c r="D380" s="10">
        <v>60</v>
      </c>
      <c r="E380" s="10">
        <v>164</v>
      </c>
      <c r="F380" s="10">
        <v>29</v>
      </c>
    </row>
    <row r="381" spans="1:6">
      <c r="A381" s="10" t="s">
        <v>403</v>
      </c>
      <c r="B381" s="10">
        <v>84</v>
      </c>
      <c r="C381" s="21">
        <v>2.7256218319409828E-3</v>
      </c>
      <c r="D381" s="10">
        <v>93</v>
      </c>
      <c r="E381" s="10">
        <v>166</v>
      </c>
      <c r="F381" s="10">
        <v>31</v>
      </c>
    </row>
    <row r="382" spans="1:6">
      <c r="A382" s="10" t="s">
        <v>404</v>
      </c>
      <c r="B382" s="10">
        <v>266</v>
      </c>
      <c r="C382" s="21">
        <v>8.0038092415786488E-4</v>
      </c>
      <c r="D382" s="10">
        <v>105</v>
      </c>
      <c r="E382" s="10">
        <v>159</v>
      </c>
      <c r="F382" s="10">
        <v>25</v>
      </c>
    </row>
    <row r="383" spans="1:6">
      <c r="A383" s="10" t="s">
        <v>405</v>
      </c>
      <c r="B383" s="10">
        <v>102</v>
      </c>
      <c r="C383" s="21">
        <v>1.3663664453849498E-3</v>
      </c>
      <c r="D383" s="10">
        <v>71</v>
      </c>
      <c r="E383" s="10">
        <v>134</v>
      </c>
      <c r="F383" s="10">
        <v>46</v>
      </c>
    </row>
    <row r="384" spans="1:6">
      <c r="A384" s="10" t="s">
        <v>406</v>
      </c>
      <c r="B384" s="10">
        <v>486</v>
      </c>
      <c r="C384" s="21">
        <v>8.441008478131171E-4</v>
      </c>
      <c r="D384" s="10">
        <v>91</v>
      </c>
      <c r="E384" s="10">
        <v>171</v>
      </c>
      <c r="F384" s="10">
        <v>27</v>
      </c>
    </row>
    <row r="385" spans="1:6">
      <c r="A385" s="10" t="s">
        <v>407</v>
      </c>
      <c r="B385" s="10">
        <v>644</v>
      </c>
      <c r="C385" s="21">
        <v>1.5040704162111041E-6</v>
      </c>
      <c r="D385" s="10">
        <v>53</v>
      </c>
      <c r="E385" s="10">
        <v>156</v>
      </c>
      <c r="F385" s="10">
        <v>36</v>
      </c>
    </row>
    <row r="386" spans="1:6">
      <c r="A386" s="10" t="s">
        <v>408</v>
      </c>
      <c r="B386" s="10">
        <v>86</v>
      </c>
      <c r="C386" s="21">
        <v>7.8773821771288533E-4</v>
      </c>
      <c r="D386" s="10">
        <v>66</v>
      </c>
      <c r="E386" s="10">
        <v>127</v>
      </c>
      <c r="F386" s="10">
        <v>36</v>
      </c>
    </row>
    <row r="387" spans="1:6">
      <c r="A387" s="10" t="s">
        <v>409</v>
      </c>
      <c r="B387" s="10">
        <v>117</v>
      </c>
      <c r="C387" s="21">
        <v>3.7896251863727678E-4</v>
      </c>
      <c r="D387" s="10">
        <v>78</v>
      </c>
      <c r="E387" s="10">
        <v>231</v>
      </c>
      <c r="F387" s="10">
        <v>12</v>
      </c>
    </row>
    <row r="388" spans="1:6">
      <c r="A388" s="10" t="s">
        <v>410</v>
      </c>
      <c r="B388" s="10">
        <v>52</v>
      </c>
      <c r="C388" s="21">
        <v>1.7593402879669722E-3</v>
      </c>
      <c r="D388" s="10">
        <v>82</v>
      </c>
      <c r="E388" s="10">
        <v>154</v>
      </c>
      <c r="F388" s="10">
        <v>33</v>
      </c>
    </row>
    <row r="389" spans="1:6">
      <c r="A389" s="10" t="s">
        <v>411</v>
      </c>
      <c r="B389" s="10">
        <v>216</v>
      </c>
      <c r="C389" s="21">
        <v>1.5600780015197564E-3</v>
      </c>
      <c r="D389" s="10">
        <v>72</v>
      </c>
      <c r="E389" s="10">
        <v>170</v>
      </c>
      <c r="F389" s="10">
        <v>29</v>
      </c>
    </row>
    <row r="390" spans="1:6">
      <c r="A390" s="10" t="s">
        <v>412</v>
      </c>
      <c r="B390" s="10">
        <v>265</v>
      </c>
      <c r="C390" s="21">
        <v>4.5769892181829223E-3</v>
      </c>
      <c r="D390" s="10">
        <v>82</v>
      </c>
      <c r="E390" s="10">
        <v>128</v>
      </c>
      <c r="F390" s="10">
        <v>24</v>
      </c>
    </row>
    <row r="391" spans="1:6">
      <c r="A391" s="10" t="s">
        <v>413</v>
      </c>
      <c r="B391" s="10">
        <v>608</v>
      </c>
      <c r="C391" s="21">
        <v>1.3512162074714377E-3</v>
      </c>
      <c r="D391" s="10">
        <v>94</v>
      </c>
      <c r="E391" s="10">
        <v>187</v>
      </c>
      <c r="F391" s="10">
        <v>17</v>
      </c>
    </row>
    <row r="392" spans="1:6">
      <c r="A392" s="10" t="s">
        <v>414</v>
      </c>
      <c r="B392" s="10">
        <v>122</v>
      </c>
      <c r="C392" s="21">
        <v>2.0045140528866101E-4</v>
      </c>
      <c r="D392" s="10">
        <v>79</v>
      </c>
      <c r="E392" s="10">
        <v>142</v>
      </c>
      <c r="F392" s="10">
        <v>18</v>
      </c>
    </row>
    <row r="393" spans="1:6">
      <c r="A393" s="10" t="s">
        <v>415</v>
      </c>
      <c r="B393" s="10">
        <v>136</v>
      </c>
      <c r="C393" s="21">
        <v>1.5172864742822904E-3</v>
      </c>
      <c r="D393" s="10">
        <v>53</v>
      </c>
      <c r="E393" s="10">
        <v>158</v>
      </c>
      <c r="F393" s="10">
        <v>37</v>
      </c>
    </row>
    <row r="394" spans="1:6">
      <c r="A394" s="10" t="s">
        <v>416</v>
      </c>
      <c r="B394" s="10">
        <v>118</v>
      </c>
      <c r="C394" s="21">
        <v>5.7392662011016612E-4</v>
      </c>
      <c r="D394" s="10">
        <v>47</v>
      </c>
      <c r="E394" s="10">
        <v>174</v>
      </c>
      <c r="F394" s="10">
        <v>32</v>
      </c>
    </row>
    <row r="395" spans="1:6">
      <c r="A395" s="10" t="s">
        <v>417</v>
      </c>
      <c r="B395" s="10">
        <v>76</v>
      </c>
      <c r="C395" s="21">
        <v>1.9366485536107321E-3</v>
      </c>
      <c r="D395" s="10">
        <v>50</v>
      </c>
      <c r="E395" s="10">
        <v>136</v>
      </c>
      <c r="F395" s="10">
        <v>36</v>
      </c>
    </row>
    <row r="396" spans="1:6">
      <c r="A396" s="10" t="s">
        <v>418</v>
      </c>
      <c r="B396" s="10">
        <v>58</v>
      </c>
      <c r="C396" s="21">
        <v>2.8451240220922274E-3</v>
      </c>
      <c r="D396" s="10">
        <v>95</v>
      </c>
      <c r="E396" s="10">
        <v>131</v>
      </c>
      <c r="F396" s="10">
        <v>31</v>
      </c>
    </row>
    <row r="397" spans="1:6">
      <c r="A397" s="10" t="s">
        <v>419</v>
      </c>
      <c r="B397" s="10">
        <v>167</v>
      </c>
      <c r="C397" s="21">
        <v>2.9878169044149669E-3</v>
      </c>
      <c r="D397" s="10">
        <v>82</v>
      </c>
      <c r="E397" s="10">
        <v>184</v>
      </c>
      <c r="F397" s="10">
        <v>35</v>
      </c>
    </row>
    <row r="398" spans="1:6">
      <c r="A398" s="10" t="s">
        <v>420</v>
      </c>
      <c r="B398" s="10">
        <v>118</v>
      </c>
      <c r="C398" s="21">
        <v>1.0371880030629517E-3</v>
      </c>
      <c r="D398" s="10">
        <v>59</v>
      </c>
      <c r="E398" s="10">
        <v>127</v>
      </c>
      <c r="F398" s="10">
        <v>23</v>
      </c>
    </row>
    <row r="399" spans="1:6">
      <c r="A399" s="10" t="s">
        <v>421</v>
      </c>
      <c r="B399" s="10">
        <v>406</v>
      </c>
      <c r="C399" s="21">
        <v>8.4163114564572933E-4</v>
      </c>
      <c r="D399" s="10">
        <v>86</v>
      </c>
      <c r="E399" s="10">
        <v>193</v>
      </c>
      <c r="F399" s="10">
        <v>14</v>
      </c>
    </row>
    <row r="400" spans="1:6">
      <c r="A400" s="10" t="s">
        <v>422</v>
      </c>
      <c r="B400" s="10">
        <v>408</v>
      </c>
      <c r="C400" s="21">
        <v>2.2223082751876852E-3</v>
      </c>
      <c r="D400" s="10">
        <v>90</v>
      </c>
      <c r="E400" s="10">
        <v>146</v>
      </c>
      <c r="F400" s="10">
        <v>30</v>
      </c>
    </row>
    <row r="401" spans="1:6">
      <c r="A401" s="10" t="s">
        <v>423</v>
      </c>
      <c r="B401" s="10">
        <v>95</v>
      </c>
      <c r="C401" s="21">
        <v>1.6758914147299972E-3</v>
      </c>
      <c r="D401" s="10">
        <v>59</v>
      </c>
      <c r="E401" s="10">
        <v>108</v>
      </c>
      <c r="F401" s="10">
        <v>43</v>
      </c>
    </row>
    <row r="402" spans="1:6">
      <c r="A402" s="10" t="s">
        <v>424</v>
      </c>
      <c r="B402" s="10">
        <v>89</v>
      </c>
      <c r="C402" s="21">
        <v>2.2289394978461095E-3</v>
      </c>
      <c r="D402" s="10">
        <v>66</v>
      </c>
      <c r="E402" s="10">
        <v>126</v>
      </c>
      <c r="F402" s="10">
        <v>39</v>
      </c>
    </row>
    <row r="403" spans="1:6">
      <c r="A403" s="10" t="s">
        <v>425</v>
      </c>
      <c r="B403" s="10">
        <v>94</v>
      </c>
      <c r="C403" s="21">
        <v>1.7467039445429548E-3</v>
      </c>
      <c r="D403" s="10">
        <v>38</v>
      </c>
      <c r="E403" s="10">
        <v>143</v>
      </c>
      <c r="F403" s="10">
        <v>16</v>
      </c>
    </row>
    <row r="404" spans="1:6">
      <c r="A404" s="10" t="s">
        <v>426</v>
      </c>
      <c r="B404" s="10">
        <v>360</v>
      </c>
      <c r="C404" s="21">
        <v>1.6997121108903279E-3</v>
      </c>
      <c r="D404" s="10">
        <v>75</v>
      </c>
      <c r="E404" s="10">
        <v>139</v>
      </c>
      <c r="F404" s="10">
        <v>34</v>
      </c>
    </row>
    <row r="405" spans="1:6">
      <c r="A405" s="10" t="s">
        <v>427</v>
      </c>
      <c r="B405" s="10">
        <v>75</v>
      </c>
      <c r="C405" s="21">
        <v>7.4420717741803316E-4</v>
      </c>
      <c r="D405" s="10">
        <v>76</v>
      </c>
      <c r="E405" s="10">
        <v>132</v>
      </c>
      <c r="F405" s="10">
        <v>16</v>
      </c>
    </row>
    <row r="406" spans="1:6">
      <c r="A406" s="10" t="s">
        <v>428</v>
      </c>
      <c r="B406" s="10">
        <v>525</v>
      </c>
      <c r="C406" s="21">
        <v>1.6453190302720502E-3</v>
      </c>
      <c r="D406" s="10">
        <v>93</v>
      </c>
      <c r="E406" s="10">
        <v>170</v>
      </c>
      <c r="F406" s="10">
        <v>27</v>
      </c>
    </row>
    <row r="407" spans="1:6">
      <c r="A407" s="10" t="s">
        <v>429</v>
      </c>
      <c r="B407" s="10">
        <v>435</v>
      </c>
      <c r="C407" s="21">
        <v>1.2330011428138235E-3</v>
      </c>
      <c r="D407" s="10">
        <v>81</v>
      </c>
      <c r="E407" s="10">
        <v>172</v>
      </c>
      <c r="F407" s="10">
        <v>37</v>
      </c>
    </row>
    <row r="408" spans="1:6">
      <c r="A408" s="10" t="s">
        <v>430</v>
      </c>
      <c r="B408" s="10">
        <v>85</v>
      </c>
      <c r="C408" s="21">
        <v>1.1297116562729271E-3</v>
      </c>
      <c r="D408" s="10">
        <v>71</v>
      </c>
      <c r="E408" s="10">
        <v>142</v>
      </c>
      <c r="F408" s="10">
        <v>21</v>
      </c>
    </row>
    <row r="409" spans="1:6">
      <c r="A409" s="10" t="s">
        <v>431</v>
      </c>
      <c r="B409" s="10">
        <v>445</v>
      </c>
      <c r="C409" s="21">
        <v>1.5448430437995774E-3</v>
      </c>
      <c r="D409" s="10">
        <v>70</v>
      </c>
      <c r="E409" s="10">
        <v>116</v>
      </c>
      <c r="F409" s="10">
        <v>29</v>
      </c>
    </row>
    <row r="410" spans="1:6">
      <c r="A410" s="10" t="s">
        <v>432</v>
      </c>
      <c r="B410" s="10">
        <v>114</v>
      </c>
      <c r="C410" s="21">
        <v>1.8104583050983728E-3</v>
      </c>
      <c r="D410" s="10">
        <v>68</v>
      </c>
      <c r="E410" s="10">
        <v>122</v>
      </c>
      <c r="F410" s="10">
        <v>34</v>
      </c>
    </row>
    <row r="411" spans="1:6">
      <c r="A411" s="10" t="s">
        <v>433</v>
      </c>
      <c r="B411" s="10">
        <v>378</v>
      </c>
      <c r="C411" s="21">
        <v>2.6494252838710061E-3</v>
      </c>
      <c r="D411" s="10">
        <v>66</v>
      </c>
      <c r="E411" s="10">
        <v>152</v>
      </c>
      <c r="F411" s="10">
        <v>28</v>
      </c>
    </row>
    <row r="412" spans="1:6">
      <c r="A412" s="10" t="s">
        <v>434</v>
      </c>
      <c r="B412" s="10">
        <v>112</v>
      </c>
      <c r="C412" s="21">
        <v>2.0375283062955551E-3</v>
      </c>
      <c r="D412" s="10">
        <v>83</v>
      </c>
      <c r="E412" s="10">
        <v>168</v>
      </c>
      <c r="F412" s="10">
        <v>24</v>
      </c>
    </row>
    <row r="413" spans="1:6">
      <c r="A413" s="10" t="s">
        <v>435</v>
      </c>
      <c r="B413" s="10">
        <v>83</v>
      </c>
      <c r="C413" s="21">
        <v>1.0413940648475442E-3</v>
      </c>
      <c r="D413" s="10">
        <v>59</v>
      </c>
      <c r="E413" s="10">
        <v>0</v>
      </c>
      <c r="F413" s="10">
        <v>20</v>
      </c>
    </row>
    <row r="414" spans="1:6">
      <c r="A414" s="10" t="s">
        <v>436</v>
      </c>
      <c r="B414" s="10">
        <v>323</v>
      </c>
      <c r="C414" s="21">
        <v>7.9769503253432925E-4</v>
      </c>
      <c r="D414" s="10">
        <v>102</v>
      </c>
      <c r="E414" s="10">
        <v>190</v>
      </c>
      <c r="F414" s="10">
        <v>17</v>
      </c>
    </row>
    <row r="415" spans="1:6">
      <c r="A415" s="10" t="s">
        <v>437</v>
      </c>
      <c r="B415" s="10">
        <v>480</v>
      </c>
      <c r="C415" s="21">
        <v>1.4620791265190648E-3</v>
      </c>
      <c r="D415" s="10">
        <v>104</v>
      </c>
      <c r="E415" s="10">
        <v>196</v>
      </c>
      <c r="F415" s="10">
        <v>28</v>
      </c>
    </row>
    <row r="416" spans="1:6">
      <c r="A416" s="10" t="s">
        <v>438</v>
      </c>
      <c r="B416" s="10">
        <v>647</v>
      </c>
      <c r="C416" s="21">
        <v>4.3520774532817522E-4</v>
      </c>
      <c r="D416" s="10">
        <v>88</v>
      </c>
      <c r="E416" s="10">
        <v>169</v>
      </c>
      <c r="F416" s="10">
        <v>20</v>
      </c>
    </row>
    <row r="417" spans="1:6">
      <c r="A417" s="10" t="s">
        <v>439</v>
      </c>
      <c r="B417" s="10">
        <v>96</v>
      </c>
      <c r="C417" s="21">
        <v>1.33787639415248E-3</v>
      </c>
      <c r="D417" s="10">
        <v>50</v>
      </c>
      <c r="E417" s="10">
        <v>139</v>
      </c>
      <c r="F417" s="10">
        <v>38</v>
      </c>
    </row>
    <row r="418" spans="1:6">
      <c r="A418" s="10" t="s">
        <v>440</v>
      </c>
      <c r="C418" s="21">
        <v>8.8712029306550961E-4</v>
      </c>
      <c r="D418" s="10">
        <v>79</v>
      </c>
      <c r="E418" s="10">
        <v>189</v>
      </c>
      <c r="F418" s="10">
        <v>18</v>
      </c>
    </row>
    <row r="419" spans="1:6">
      <c r="A419" s="10" t="s">
        <v>441</v>
      </c>
      <c r="B419" s="10">
        <v>245</v>
      </c>
      <c r="C419" s="21">
        <v>1.5372152911969432E-4</v>
      </c>
      <c r="D419" s="10">
        <v>101</v>
      </c>
      <c r="E419" s="10">
        <v>154</v>
      </c>
      <c r="F419" s="10">
        <v>22</v>
      </c>
    </row>
    <row r="420" spans="1:6">
      <c r="A420" s="10" t="s">
        <v>442</v>
      </c>
      <c r="B420" s="10">
        <v>147</v>
      </c>
      <c r="C420" s="21">
        <v>1.6557376276132246E-3</v>
      </c>
      <c r="D420" s="10">
        <v>110</v>
      </c>
      <c r="E420" s="10">
        <v>211</v>
      </c>
      <c r="F420" s="10">
        <v>21</v>
      </c>
    </row>
    <row r="421" spans="1:6">
      <c r="A421" s="10" t="s">
        <v>443</v>
      </c>
      <c r="B421" s="10">
        <v>485</v>
      </c>
      <c r="C421" s="21">
        <v>5.1743853124063661E-4</v>
      </c>
      <c r="D421" s="10">
        <v>45</v>
      </c>
      <c r="E421" s="10">
        <v>168</v>
      </c>
      <c r="F421" s="10">
        <v>25</v>
      </c>
    </row>
    <row r="422" spans="1:6">
      <c r="A422" s="10" t="s">
        <v>444</v>
      </c>
      <c r="B422" s="10">
        <v>554</v>
      </c>
      <c r="C422" s="21">
        <v>2.057800133678029E-3</v>
      </c>
      <c r="D422" s="10">
        <v>42</v>
      </c>
      <c r="E422" s="10">
        <v>103</v>
      </c>
      <c r="F422" s="10">
        <v>31</v>
      </c>
    </row>
    <row r="423" spans="1:6">
      <c r="A423" s="10" t="s">
        <v>445</v>
      </c>
      <c r="B423" s="10">
        <v>92</v>
      </c>
      <c r="C423" s="21">
        <v>1.3986906220521955E-3</v>
      </c>
      <c r="D423" s="10">
        <v>74</v>
      </c>
      <c r="E423" s="10">
        <v>197</v>
      </c>
      <c r="F423" s="10">
        <v>32</v>
      </c>
    </row>
    <row r="424" spans="1:6">
      <c r="A424" s="10" t="s">
        <v>446</v>
      </c>
      <c r="B424" s="10">
        <v>120</v>
      </c>
      <c r="C424" s="21">
        <v>1.08609967048553E-3</v>
      </c>
      <c r="D424" s="10">
        <v>52</v>
      </c>
      <c r="E424" s="10">
        <v>117</v>
      </c>
      <c r="F424" s="10">
        <v>33</v>
      </c>
    </row>
    <row r="425" spans="1:6">
      <c r="A425" s="10" t="s">
        <v>447</v>
      </c>
      <c r="B425" s="10">
        <v>211</v>
      </c>
      <c r="C425" s="21">
        <v>1.2627240376432175E-4</v>
      </c>
      <c r="D425" s="10">
        <v>45</v>
      </c>
      <c r="E425" s="10">
        <v>182</v>
      </c>
      <c r="F425" s="10">
        <v>8</v>
      </c>
    </row>
    <row r="426" spans="1:6">
      <c r="A426" s="10" t="s">
        <v>448</v>
      </c>
      <c r="B426" s="10">
        <v>248</v>
      </c>
      <c r="C426" s="21">
        <v>1.534375510860249E-3</v>
      </c>
      <c r="D426" s="10">
        <v>94</v>
      </c>
      <c r="E426" s="10">
        <v>212</v>
      </c>
      <c r="F426" s="10">
        <v>15</v>
      </c>
    </row>
    <row r="427" spans="1:6">
      <c r="A427" s="10" t="s">
        <v>449</v>
      </c>
      <c r="B427" s="10">
        <v>461</v>
      </c>
      <c r="C427" s="21">
        <v>1.6267525668120964E-3</v>
      </c>
      <c r="D427" s="10">
        <v>128</v>
      </c>
      <c r="E427" s="10">
        <v>173</v>
      </c>
      <c r="F427" s="10">
        <v>26</v>
      </c>
    </row>
    <row r="428" spans="1:6">
      <c r="A428" s="10" t="s">
        <v>450</v>
      </c>
      <c r="B428" s="10">
        <v>69</v>
      </c>
      <c r="C428" s="21">
        <v>1.5520491345140186E-3</v>
      </c>
      <c r="D428" s="10">
        <v>70</v>
      </c>
      <c r="E428" s="10">
        <v>160</v>
      </c>
      <c r="F428" s="10">
        <v>20</v>
      </c>
    </row>
    <row r="429" spans="1:6">
      <c r="A429" s="10" t="s">
        <v>451</v>
      </c>
      <c r="B429" s="10">
        <v>111</v>
      </c>
      <c r="C429" s="21">
        <v>9.1794531304502478E-4</v>
      </c>
      <c r="D429" s="10">
        <v>45</v>
      </c>
      <c r="E429" s="10">
        <v>130</v>
      </c>
      <c r="F429" s="10">
        <v>26</v>
      </c>
    </row>
    <row r="430" spans="1:6">
      <c r="A430" s="10" t="s">
        <v>452</v>
      </c>
      <c r="B430" s="10">
        <v>99</v>
      </c>
      <c r="C430" s="21">
        <v>1.6055971486838862E-3</v>
      </c>
      <c r="D430" s="10">
        <v>46</v>
      </c>
      <c r="E430" s="10">
        <v>122</v>
      </c>
      <c r="F430" s="10">
        <v>33</v>
      </c>
    </row>
    <row r="431" spans="1:6">
      <c r="A431" s="10" t="s">
        <v>453</v>
      </c>
      <c r="B431" s="10">
        <v>62</v>
      </c>
      <c r="C431" s="21">
        <v>1.2631941101209183E-3</v>
      </c>
      <c r="D431" s="10">
        <v>93</v>
      </c>
      <c r="E431" s="10">
        <v>145</v>
      </c>
      <c r="F431" s="10">
        <v>23</v>
      </c>
    </row>
    <row r="432" spans="1:6">
      <c r="A432" s="10" t="s">
        <v>454</v>
      </c>
      <c r="B432" s="10">
        <v>223</v>
      </c>
      <c r="C432" s="21">
        <v>1.5816097122218504E-3</v>
      </c>
      <c r="D432" s="10">
        <v>101</v>
      </c>
      <c r="E432" s="10">
        <v>146</v>
      </c>
      <c r="F432" s="10">
        <v>21</v>
      </c>
    </row>
    <row r="433" spans="1:6">
      <c r="A433" s="10" t="s">
        <v>455</v>
      </c>
      <c r="B433" s="10">
        <v>590</v>
      </c>
      <c r="C433" s="21">
        <v>2.6291486538712553E-3</v>
      </c>
      <c r="D433" s="10">
        <v>75</v>
      </c>
      <c r="E433" s="10">
        <v>127</v>
      </c>
      <c r="F433" s="10">
        <v>43</v>
      </c>
    </row>
    <row r="434" spans="1:6">
      <c r="A434" s="10" t="s">
        <v>456</v>
      </c>
      <c r="B434" s="10">
        <v>613</v>
      </c>
      <c r="C434" s="21">
        <v>3.1336712002945966E-3</v>
      </c>
      <c r="D434" s="10">
        <v>49</v>
      </c>
      <c r="E434" s="10">
        <v>101</v>
      </c>
      <c r="F434" s="10">
        <v>36</v>
      </c>
    </row>
    <row r="435" spans="1:6">
      <c r="A435" s="10" t="s">
        <v>457</v>
      </c>
      <c r="B435" s="10">
        <v>115</v>
      </c>
      <c r="C435" s="21">
        <v>1.3453046986003688E-3</v>
      </c>
      <c r="D435" s="10">
        <v>82</v>
      </c>
      <c r="E435" s="10">
        <v>188</v>
      </c>
      <c r="F435" s="10">
        <v>34</v>
      </c>
    </row>
    <row r="436" spans="1:6">
      <c r="A436" s="10" t="s">
        <v>458</v>
      </c>
      <c r="B436" s="10">
        <v>100</v>
      </c>
      <c r="C436" s="21">
        <v>9.4712567010745525E-4</v>
      </c>
      <c r="D436" s="10">
        <v>59</v>
      </c>
      <c r="E436" s="10">
        <v>177</v>
      </c>
      <c r="F436" s="10">
        <v>25</v>
      </c>
    </row>
    <row r="437" spans="1:6">
      <c r="A437" s="10" t="s">
        <v>459</v>
      </c>
      <c r="B437" s="10">
        <v>98</v>
      </c>
      <c r="C437" s="21">
        <v>7.7014042980161151E-4</v>
      </c>
      <c r="D437" s="10">
        <v>126</v>
      </c>
      <c r="E437" s="10">
        <v>213</v>
      </c>
      <c r="F437" s="10">
        <v>14</v>
      </c>
    </row>
    <row r="438" spans="1:6">
      <c r="A438" s="10" t="s">
        <v>460</v>
      </c>
      <c r="B438" s="10">
        <v>58</v>
      </c>
      <c r="C438" s="21">
        <v>1.2982790044099659E-3</v>
      </c>
      <c r="D438" s="10">
        <v>66</v>
      </c>
      <c r="E438" s="10">
        <v>175</v>
      </c>
      <c r="F438" s="10">
        <v>24</v>
      </c>
    </row>
    <row r="439" spans="1:6">
      <c r="A439" s="10" t="s">
        <v>461</v>
      </c>
      <c r="B439" s="10">
        <v>267</v>
      </c>
      <c r="C439" s="21">
        <v>1.6236902315022244E-3</v>
      </c>
      <c r="D439" s="10">
        <v>74</v>
      </c>
      <c r="E439" s="10">
        <v>113</v>
      </c>
      <c r="F439" s="10">
        <v>38</v>
      </c>
    </row>
    <row r="440" spans="1:6">
      <c r="A440" s="10" t="s">
        <v>462</v>
      </c>
      <c r="B440" s="10">
        <v>113</v>
      </c>
      <c r="C440" s="21">
        <v>1.7989339493120126E-3</v>
      </c>
      <c r="D440" s="10">
        <v>15</v>
      </c>
      <c r="E440" s="10">
        <v>61</v>
      </c>
      <c r="F440" s="10">
        <v>61</v>
      </c>
    </row>
    <row r="441" spans="1:6">
      <c r="A441" s="10" t="s">
        <v>463</v>
      </c>
      <c r="B441" s="10">
        <v>90</v>
      </c>
      <c r="C441" s="21">
        <v>2.9460793245449858E-3</v>
      </c>
      <c r="D441" s="10">
        <v>90</v>
      </c>
      <c r="E441" s="10">
        <v>138</v>
      </c>
      <c r="F441" s="10">
        <v>30</v>
      </c>
    </row>
    <row r="442" spans="1:6">
      <c r="A442" s="10" t="s">
        <v>464</v>
      </c>
      <c r="B442" s="10">
        <v>284</v>
      </c>
      <c r="C442" s="21">
        <v>1.2861779444426711E-3</v>
      </c>
      <c r="D442" s="10">
        <v>115</v>
      </c>
      <c r="E442" s="10">
        <v>167</v>
      </c>
      <c r="F442" s="10">
        <v>41</v>
      </c>
    </row>
    <row r="443" spans="1:6">
      <c r="A443" s="10" t="s">
        <v>465</v>
      </c>
      <c r="B443" s="10">
        <v>472</v>
      </c>
      <c r="C443" s="21">
        <v>1.5453752914323584E-3</v>
      </c>
      <c r="D443" s="10">
        <v>97</v>
      </c>
      <c r="E443" s="10">
        <v>162</v>
      </c>
      <c r="F443" s="10">
        <v>28</v>
      </c>
    </row>
    <row r="444" spans="1:6">
      <c r="A444" s="10" t="s">
        <v>466</v>
      </c>
      <c r="B444" s="10">
        <v>377</v>
      </c>
      <c r="C444" s="21">
        <v>1.0940291466712414E-3</v>
      </c>
      <c r="D444" s="10">
        <v>58</v>
      </c>
      <c r="E444" s="10">
        <v>144</v>
      </c>
      <c r="F444" s="10">
        <v>27</v>
      </c>
    </row>
    <row r="445" spans="1:6">
      <c r="A445" s="10" t="s">
        <v>467</v>
      </c>
      <c r="B445" s="10">
        <v>57</v>
      </c>
      <c r="C445" s="21">
        <v>2.6552074914936189E-3</v>
      </c>
      <c r="D445" s="10">
        <v>75</v>
      </c>
      <c r="E445" s="10">
        <v>120</v>
      </c>
      <c r="F445" s="10">
        <v>28</v>
      </c>
    </row>
    <row r="446" spans="1:6">
      <c r="A446" s="10" t="s">
        <v>468</v>
      </c>
      <c r="B446" s="10">
        <v>79</v>
      </c>
      <c r="C446" s="21">
        <v>6.0165222139853508E-4</v>
      </c>
      <c r="D446" s="10">
        <v>75</v>
      </c>
      <c r="E446" s="10">
        <v>188</v>
      </c>
      <c r="F446" s="10">
        <v>14</v>
      </c>
    </row>
    <row r="447" spans="1:6">
      <c r="A447" s="10" t="s">
        <v>469</v>
      </c>
      <c r="B447" s="10">
        <v>48</v>
      </c>
      <c r="C447" s="21">
        <v>1.3770818956090299E-3</v>
      </c>
      <c r="D447" s="10">
        <v>42</v>
      </c>
      <c r="E447" s="10">
        <v>112</v>
      </c>
      <c r="F447" s="10">
        <v>30</v>
      </c>
    </row>
    <row r="448" spans="1:6">
      <c r="A448" s="10" t="s">
        <v>470</v>
      </c>
      <c r="B448" s="10">
        <v>214</v>
      </c>
      <c r="C448" s="21">
        <v>1.2629078204108425E-3</v>
      </c>
      <c r="D448" s="10">
        <v>68</v>
      </c>
      <c r="E448" s="10">
        <v>171</v>
      </c>
      <c r="F448" s="10">
        <v>13</v>
      </c>
    </row>
    <row r="449" spans="1:6">
      <c r="A449" s="10" t="s">
        <v>471</v>
      </c>
      <c r="B449" s="10">
        <v>315</v>
      </c>
      <c r="C449" s="21">
        <v>7.2679011003973096E-4</v>
      </c>
      <c r="D449" s="10">
        <v>37</v>
      </c>
      <c r="E449" s="10">
        <v>78</v>
      </c>
      <c r="F449" s="10">
        <v>45</v>
      </c>
    </row>
    <row r="450" spans="1:6">
      <c r="A450" s="10" t="s">
        <v>472</v>
      </c>
      <c r="B450" s="10">
        <v>87</v>
      </c>
      <c r="C450" s="21">
        <v>1.2716322659779139E-3</v>
      </c>
      <c r="D450" s="10">
        <v>131</v>
      </c>
      <c r="E450" s="10">
        <v>203</v>
      </c>
      <c r="F450" s="10">
        <v>11</v>
      </c>
    </row>
    <row r="451" spans="1:6">
      <c r="A451" s="10" t="s">
        <v>473</v>
      </c>
      <c r="B451" s="10">
        <v>359</v>
      </c>
      <c r="C451" s="21">
        <v>2.1130992759316796E-3</v>
      </c>
      <c r="D451" s="10">
        <v>78</v>
      </c>
      <c r="E451" s="10">
        <v>126</v>
      </c>
      <c r="F451" s="10">
        <v>36</v>
      </c>
    </row>
    <row r="452" spans="1:6">
      <c r="A452" s="10" t="s">
        <v>474</v>
      </c>
      <c r="B452" s="10">
        <v>91</v>
      </c>
      <c r="C452" s="21">
        <v>5.0526754631870315E-5</v>
      </c>
      <c r="D452" s="10">
        <v>93</v>
      </c>
      <c r="E452" s="10">
        <v>128</v>
      </c>
      <c r="F452" s="10">
        <v>27</v>
      </c>
    </row>
    <row r="453" spans="1:6">
      <c r="A453" s="10" t="s">
        <v>475</v>
      </c>
      <c r="B453" s="10">
        <v>87</v>
      </c>
      <c r="C453" s="21">
        <v>2.452452891464708E-3</v>
      </c>
      <c r="D453" s="10">
        <v>27</v>
      </c>
      <c r="E453" s="10">
        <v>130</v>
      </c>
      <c r="F453" s="10">
        <v>41</v>
      </c>
    </row>
    <row r="454" spans="1:6">
      <c r="A454" s="10" t="s">
        <v>476</v>
      </c>
      <c r="B454" s="10">
        <v>108</v>
      </c>
      <c r="C454" s="21">
        <v>4.8180072219132752E-4</v>
      </c>
      <c r="D454" s="10">
        <v>39</v>
      </c>
      <c r="E454" s="10">
        <v>121</v>
      </c>
      <c r="F454" s="10">
        <v>34</v>
      </c>
    </row>
    <row r="455" spans="1:6">
      <c r="A455" s="10" t="s">
        <v>477</v>
      </c>
      <c r="B455" s="10">
        <v>37</v>
      </c>
      <c r="C455" s="21">
        <v>2.9303987591541222E-3</v>
      </c>
      <c r="D455" s="10">
        <v>15</v>
      </c>
      <c r="E455" s="10">
        <v>79</v>
      </c>
      <c r="F455" s="10">
        <v>51</v>
      </c>
    </row>
    <row r="456" spans="1:6">
      <c r="A456" s="10" t="s">
        <v>478</v>
      </c>
      <c r="B456" s="10">
        <v>168</v>
      </c>
      <c r="C456" s="21">
        <v>1.5158102827036669E-3</v>
      </c>
      <c r="D456" s="10">
        <v>98</v>
      </c>
      <c r="E456" s="10">
        <v>150</v>
      </c>
      <c r="F456" s="10">
        <v>38</v>
      </c>
    </row>
    <row r="457" spans="1:6">
      <c r="A457" s="10" t="s">
        <v>479</v>
      </c>
      <c r="B457" s="10">
        <v>382</v>
      </c>
      <c r="C457" s="21">
        <v>1.0975336164482739E-3</v>
      </c>
      <c r="D457" s="10">
        <v>86</v>
      </c>
      <c r="E457" s="10">
        <v>135</v>
      </c>
      <c r="F457" s="10">
        <v>19</v>
      </c>
    </row>
    <row r="458" spans="1:6">
      <c r="A458" s="10" t="s">
        <v>480</v>
      </c>
      <c r="B458" s="10">
        <v>411</v>
      </c>
      <c r="C458" s="21">
        <v>1.1665421647025977E-3</v>
      </c>
      <c r="D458" s="10">
        <v>112</v>
      </c>
      <c r="E458" s="10">
        <v>226</v>
      </c>
      <c r="F458" s="10">
        <v>9</v>
      </c>
    </row>
    <row r="459" spans="1:6">
      <c r="A459" s="10" t="s">
        <v>481</v>
      </c>
      <c r="B459" s="10">
        <v>558</v>
      </c>
      <c r="C459" s="21">
        <v>3.9222864888453562E-4</v>
      </c>
      <c r="D459" s="10">
        <v>114</v>
      </c>
      <c r="E459" s="10">
        <v>176</v>
      </c>
      <c r="F459" s="10">
        <v>19</v>
      </c>
    </row>
    <row r="460" spans="1:6">
      <c r="A460" s="10" t="s">
        <v>482</v>
      </c>
      <c r="B460" s="10">
        <v>95</v>
      </c>
      <c r="C460" s="21">
        <v>7.2253342293772469E-4</v>
      </c>
      <c r="D460" s="10">
        <v>78</v>
      </c>
      <c r="E460" s="10">
        <v>158</v>
      </c>
      <c r="F460" s="10">
        <v>24</v>
      </c>
    </row>
    <row r="461" spans="1:6">
      <c r="A461" s="10" t="s">
        <v>483</v>
      </c>
      <c r="B461" s="10">
        <v>89</v>
      </c>
      <c r="C461" s="21">
        <v>1.2417317094581084E-3</v>
      </c>
      <c r="D461" s="10">
        <v>68</v>
      </c>
      <c r="E461" s="10">
        <v>136</v>
      </c>
      <c r="F461" s="10">
        <v>29</v>
      </c>
    </row>
    <row r="462" spans="1:6">
      <c r="A462" s="10" t="s">
        <v>484</v>
      </c>
      <c r="B462" s="10">
        <v>172</v>
      </c>
      <c r="C462" s="21">
        <v>3.4658317582169604E-4</v>
      </c>
      <c r="D462" s="10">
        <v>62</v>
      </c>
      <c r="E462" s="10">
        <v>134</v>
      </c>
      <c r="F462" s="10">
        <v>30</v>
      </c>
    </row>
    <row r="463" spans="1:6">
      <c r="A463" s="10" t="s">
        <v>485</v>
      </c>
      <c r="B463" s="10">
        <v>257</v>
      </c>
      <c r="C463" s="21">
        <v>8.2548058192567363E-4</v>
      </c>
      <c r="D463" s="10">
        <v>51</v>
      </c>
      <c r="E463" s="10">
        <v>171</v>
      </c>
      <c r="F463" s="10">
        <v>25</v>
      </c>
    </row>
    <row r="464" spans="1:6">
      <c r="A464" s="10" t="s">
        <v>486</v>
      </c>
      <c r="B464" s="10">
        <v>108</v>
      </c>
      <c r="C464" s="21">
        <v>4.1370908715067487E-4</v>
      </c>
      <c r="D464" s="10">
        <v>85</v>
      </c>
      <c r="E464" s="10">
        <v>192</v>
      </c>
      <c r="F464" s="10">
        <v>10</v>
      </c>
    </row>
    <row r="465" spans="1:6">
      <c r="A465" s="10" t="s">
        <v>487</v>
      </c>
      <c r="B465" s="10">
        <v>484</v>
      </c>
      <c r="C465" s="21">
        <v>1.4566385932371128E-3</v>
      </c>
      <c r="D465" s="10">
        <v>94</v>
      </c>
      <c r="E465" s="10">
        <v>184</v>
      </c>
      <c r="F465" s="10">
        <v>35</v>
      </c>
    </row>
    <row r="466" spans="1:6">
      <c r="A466" s="10" t="s">
        <v>488</v>
      </c>
      <c r="B466" s="10">
        <v>474</v>
      </c>
      <c r="C466" s="21">
        <v>2.3132191057017078E-3</v>
      </c>
      <c r="D466" s="10">
        <v>98</v>
      </c>
      <c r="E466" s="10">
        <v>137</v>
      </c>
      <c r="F466" s="10">
        <v>43</v>
      </c>
    </row>
    <row r="467" spans="1:6">
      <c r="A467" s="10" t="s">
        <v>489</v>
      </c>
      <c r="B467" s="10">
        <v>81</v>
      </c>
      <c r="C467" s="21">
        <v>1.4317558513957497E-4</v>
      </c>
      <c r="D467" s="10">
        <v>69</v>
      </c>
      <c r="E467" s="10">
        <v>161</v>
      </c>
      <c r="F467" s="10">
        <v>30</v>
      </c>
    </row>
    <row r="468" spans="1:6">
      <c r="A468" s="10" t="s">
        <v>490</v>
      </c>
      <c r="B468" s="10">
        <v>79</v>
      </c>
      <c r="C468" s="21">
        <v>6.7915136875968296E-4</v>
      </c>
      <c r="D468" s="10">
        <v>105</v>
      </c>
      <c r="E468" s="10">
        <v>205</v>
      </c>
      <c r="F468" s="10">
        <v>13</v>
      </c>
    </row>
    <row r="469" spans="1:6">
      <c r="A469" s="10" t="s">
        <v>491</v>
      </c>
      <c r="B469" s="10">
        <v>88</v>
      </c>
      <c r="C469" s="21">
        <v>1.366898609417252E-3</v>
      </c>
      <c r="D469" s="10">
        <v>77</v>
      </c>
      <c r="E469" s="10">
        <v>146</v>
      </c>
      <c r="F469" s="10">
        <v>34</v>
      </c>
    </row>
    <row r="470" spans="1:6">
      <c r="A470" s="10" t="s">
        <v>492</v>
      </c>
      <c r="B470" s="10">
        <v>49</v>
      </c>
      <c r="C470" s="21">
        <v>2.2594233125458542E-3</v>
      </c>
      <c r="D470" s="10">
        <v>68</v>
      </c>
      <c r="E470" s="10">
        <v>127</v>
      </c>
      <c r="F470" s="10">
        <v>42</v>
      </c>
    </row>
    <row r="471" spans="1:6">
      <c r="A471" s="10" t="s">
        <v>493</v>
      </c>
      <c r="B471" s="10">
        <v>168</v>
      </c>
      <c r="C471" s="21">
        <v>1.0366360920322549E-3</v>
      </c>
      <c r="D471" s="10">
        <v>59</v>
      </c>
      <c r="E471" s="10">
        <v>182</v>
      </c>
      <c r="F471" s="10">
        <v>18</v>
      </c>
    </row>
    <row r="472" spans="1:6">
      <c r="A472" s="10" t="s">
        <v>494</v>
      </c>
      <c r="B472" s="10">
        <v>424</v>
      </c>
      <c r="C472" s="21">
        <v>5.9731351653085653E-4</v>
      </c>
      <c r="D472" s="10">
        <v>79</v>
      </c>
      <c r="E472" s="10">
        <v>176</v>
      </c>
      <c r="F472" s="10">
        <v>18</v>
      </c>
    </row>
    <row r="473" spans="1:6">
      <c r="A473" s="10" t="s">
        <v>495</v>
      </c>
      <c r="B473" s="10">
        <v>107</v>
      </c>
      <c r="C473" s="21">
        <v>4.409629758166273E-4</v>
      </c>
      <c r="D473" s="10">
        <v>89</v>
      </c>
      <c r="E473" s="10">
        <v>177</v>
      </c>
      <c r="F473" s="10">
        <v>18</v>
      </c>
    </row>
    <row r="474" spans="1:6">
      <c r="A474" s="10" t="s">
        <v>496</v>
      </c>
      <c r="B474" s="10">
        <v>474</v>
      </c>
      <c r="C474" s="21">
        <v>1.0183700202399161E-3</v>
      </c>
      <c r="D474" s="10">
        <v>65</v>
      </c>
      <c r="E474" s="10">
        <v>138</v>
      </c>
      <c r="F474" s="10">
        <v>28</v>
      </c>
    </row>
    <row r="475" spans="1:6">
      <c r="A475" s="10" t="s">
        <v>497</v>
      </c>
      <c r="B475" s="10">
        <v>514</v>
      </c>
      <c r="C475" s="21">
        <v>4.9697144120999174E-4</v>
      </c>
      <c r="D475" s="10">
        <v>67</v>
      </c>
      <c r="E475" s="10">
        <v>133</v>
      </c>
      <c r="F475" s="10">
        <v>17</v>
      </c>
    </row>
    <row r="476" spans="1:6">
      <c r="A476" s="10" t="s">
        <v>498</v>
      </c>
      <c r="B476" s="10">
        <v>39</v>
      </c>
      <c r="C476" s="21">
        <v>1.5676548917442853E-3</v>
      </c>
      <c r="D476" s="10">
        <v>65</v>
      </c>
      <c r="E476" s="10">
        <v>112</v>
      </c>
      <c r="F476" s="10">
        <v>36</v>
      </c>
    </row>
    <row r="477" spans="1:6">
      <c r="A477" s="10" t="s">
        <v>499</v>
      </c>
      <c r="B477" s="10">
        <v>292</v>
      </c>
      <c r="C477" s="21">
        <v>1.7613632518899513E-3</v>
      </c>
      <c r="D477" s="10">
        <v>88</v>
      </c>
      <c r="E477" s="10">
        <v>144</v>
      </c>
      <c r="F477" s="10">
        <v>24</v>
      </c>
    </row>
    <row r="478" spans="1:6">
      <c r="A478" s="10" t="s">
        <v>500</v>
      </c>
      <c r="B478" s="10">
        <v>606</v>
      </c>
      <c r="C478" s="21">
        <v>2.2019660152202917E-3</v>
      </c>
      <c r="D478" s="10">
        <v>88</v>
      </c>
      <c r="E478" s="10">
        <v>159</v>
      </c>
      <c r="F478" s="10">
        <v>21</v>
      </c>
    </row>
    <row r="479" spans="1:6">
      <c r="A479" s="10" t="s">
        <v>501</v>
      </c>
      <c r="B479" s="10">
        <v>106</v>
      </c>
      <c r="C479" s="21">
        <v>1.7736518381051745E-3</v>
      </c>
      <c r="D479" s="10">
        <v>126</v>
      </c>
      <c r="E479" s="10">
        <v>165</v>
      </c>
      <c r="F479" s="10">
        <v>24</v>
      </c>
    </row>
    <row r="480" spans="1:6">
      <c r="A480" s="10" t="s">
        <v>502</v>
      </c>
      <c r="B480" s="10">
        <v>89</v>
      </c>
      <c r="C480" s="21">
        <v>1.2066367727129957E-3</v>
      </c>
      <c r="D480" s="10">
        <v>100</v>
      </c>
      <c r="E480" s="10">
        <v>150</v>
      </c>
      <c r="F480" s="10">
        <v>25</v>
      </c>
    </row>
    <row r="481" spans="1:6">
      <c r="A481" s="10" t="s">
        <v>503</v>
      </c>
      <c r="B481" s="10">
        <v>165</v>
      </c>
      <c r="C481" s="21">
        <v>2.6097036362009232E-3</v>
      </c>
      <c r="D481" s="10">
        <v>72</v>
      </c>
      <c r="E481" s="10">
        <v>141</v>
      </c>
      <c r="F481" s="10">
        <v>43</v>
      </c>
    </row>
    <row r="482" spans="1:6">
      <c r="A482" s="10" t="s">
        <v>504</v>
      </c>
      <c r="B482" s="10">
        <v>103</v>
      </c>
      <c r="C482" s="21">
        <v>1.5924123813612402E-3</v>
      </c>
      <c r="D482" s="10">
        <v>77</v>
      </c>
      <c r="E482" s="10">
        <v>99</v>
      </c>
      <c r="F482" s="10">
        <v>32</v>
      </c>
    </row>
    <row r="483" spans="1:6">
      <c r="A483" s="10" t="s">
        <v>505</v>
      </c>
      <c r="B483" s="10">
        <v>54</v>
      </c>
      <c r="C483" s="21">
        <v>1.412290843103558E-3</v>
      </c>
      <c r="D483" s="10">
        <v>65</v>
      </c>
      <c r="E483" s="10">
        <v>170</v>
      </c>
      <c r="F483" s="10">
        <v>29</v>
      </c>
    </row>
    <row r="484" spans="1:6">
      <c r="A484" s="10" t="s">
        <v>506</v>
      </c>
      <c r="B484" s="10">
        <v>230</v>
      </c>
      <c r="C484" s="21">
        <v>4.99844529871639E-5</v>
      </c>
      <c r="D484" s="10">
        <v>74</v>
      </c>
      <c r="E484" s="10">
        <v>100</v>
      </c>
      <c r="F484" s="10">
        <v>36</v>
      </c>
    </row>
    <row r="485" spans="1:6">
      <c r="A485" s="10" t="s">
        <v>507</v>
      </c>
      <c r="B485" s="10">
        <v>603</v>
      </c>
      <c r="C485" s="21">
        <v>1.9391484435501453E-5</v>
      </c>
      <c r="D485" s="10">
        <v>85</v>
      </c>
      <c r="E485" s="10">
        <v>129</v>
      </c>
      <c r="F485" s="10">
        <v>19</v>
      </c>
    </row>
    <row r="486" spans="1:6">
      <c r="A486" s="10" t="s">
        <v>508</v>
      </c>
      <c r="B486" s="10">
        <v>114</v>
      </c>
      <c r="C486" s="21">
        <v>2.0151855483134017E-3</v>
      </c>
      <c r="D486" s="10">
        <v>76</v>
      </c>
      <c r="E486" s="10">
        <v>144</v>
      </c>
      <c r="F486" s="10">
        <v>46</v>
      </c>
    </row>
    <row r="487" spans="1:6">
      <c r="A487" s="10" t="s">
        <v>509</v>
      </c>
      <c r="B487" s="10">
        <v>41</v>
      </c>
      <c r="C487" s="21">
        <v>1.0584939568117808E-3</v>
      </c>
      <c r="D487" s="10">
        <v>82</v>
      </c>
      <c r="E487" s="10">
        <v>200</v>
      </c>
      <c r="F487" s="10">
        <v>27</v>
      </c>
    </row>
    <row r="488" spans="1:6">
      <c r="A488" s="10" t="s">
        <v>510</v>
      </c>
      <c r="B488" s="10">
        <v>83</v>
      </c>
      <c r="C488" s="21">
        <v>1.9125741147187072E-3</v>
      </c>
      <c r="D488" s="10">
        <v>71</v>
      </c>
      <c r="E488" s="10">
        <v>152</v>
      </c>
      <c r="F488" s="10">
        <v>32</v>
      </c>
    </row>
    <row r="489" spans="1:6">
      <c r="A489" s="10" t="s">
        <v>511</v>
      </c>
      <c r="B489" s="10">
        <v>295</v>
      </c>
      <c r="C489" s="21">
        <v>1.143114642126142E-3</v>
      </c>
      <c r="D489" s="10">
        <v>88</v>
      </c>
      <c r="E489" s="10">
        <v>154</v>
      </c>
      <c r="F489" s="10">
        <v>27</v>
      </c>
    </row>
    <row r="490" spans="1:6">
      <c r="A490" s="10" t="s">
        <v>512</v>
      </c>
      <c r="B490" s="10">
        <v>683</v>
      </c>
      <c r="C490" s="21">
        <v>6.4250769911445996E-4</v>
      </c>
      <c r="D490" s="10">
        <v>80</v>
      </c>
      <c r="E490" s="10">
        <v>166</v>
      </c>
      <c r="F490" s="10">
        <v>13</v>
      </c>
    </row>
    <row r="491" spans="1:6">
      <c r="A491" s="10" t="s">
        <v>513</v>
      </c>
      <c r="B491" s="10">
        <v>85</v>
      </c>
      <c r="C491" s="21">
        <v>2.1517265188980609E-3</v>
      </c>
      <c r="D491" s="10">
        <v>68</v>
      </c>
      <c r="E491" s="10">
        <v>142</v>
      </c>
      <c r="F491" s="10">
        <v>45</v>
      </c>
    </row>
    <row r="492" spans="1:6">
      <c r="A492" s="10" t="s">
        <v>514</v>
      </c>
      <c r="B492" s="10">
        <v>43</v>
      </c>
      <c r="C492" s="21">
        <v>2.1928257200041117E-3</v>
      </c>
      <c r="D492" s="10">
        <v>105</v>
      </c>
      <c r="E492" s="10">
        <v>183</v>
      </c>
      <c r="F492" s="10">
        <v>14</v>
      </c>
    </row>
    <row r="493" spans="1:6">
      <c r="A493" s="10" t="s">
        <v>515</v>
      </c>
      <c r="B493" s="10">
        <v>216</v>
      </c>
      <c r="C493" s="21">
        <v>1.1954786555576191E-3</v>
      </c>
      <c r="D493" s="10">
        <v>71</v>
      </c>
      <c r="E493" s="10">
        <v>151</v>
      </c>
      <c r="F493" s="10">
        <v>24</v>
      </c>
    </row>
    <row r="494" spans="1:6">
      <c r="A494" s="10" t="s">
        <v>516</v>
      </c>
      <c r="B494" s="10">
        <v>146</v>
      </c>
      <c r="C494" s="21">
        <v>2.2594233125458542E-3</v>
      </c>
      <c r="D494" s="10">
        <v>106</v>
      </c>
      <c r="E494" s="10">
        <v>118</v>
      </c>
      <c r="F494" s="10">
        <v>42</v>
      </c>
    </row>
    <row r="495" spans="1:6">
      <c r="A495" s="10" t="s">
        <v>517</v>
      </c>
      <c r="B495" s="10">
        <v>660</v>
      </c>
      <c r="C495" s="21">
        <v>8.6254428308314492E-5</v>
      </c>
      <c r="D495" s="10">
        <v>89</v>
      </c>
      <c r="E495" s="10">
        <v>142</v>
      </c>
      <c r="F495" s="10">
        <v>22</v>
      </c>
    </row>
    <row r="496" spans="1:6">
      <c r="A496" s="10" t="s">
        <v>518</v>
      </c>
      <c r="B496" s="10">
        <v>376</v>
      </c>
      <c r="C496" s="21">
        <v>1.1124533664373468E-3</v>
      </c>
      <c r="D496" s="10">
        <v>78</v>
      </c>
      <c r="E496" s="10">
        <v>158</v>
      </c>
      <c r="F496" s="10">
        <v>17</v>
      </c>
    </row>
    <row r="497" spans="1:6">
      <c r="A497" s="10" t="s">
        <v>519</v>
      </c>
      <c r="B497" s="10">
        <v>119</v>
      </c>
      <c r="C497" s="21">
        <v>1.2787492045871955E-3</v>
      </c>
      <c r="D497" s="10">
        <v>15</v>
      </c>
      <c r="E497" s="10">
        <v>130</v>
      </c>
      <c r="F497" s="10">
        <v>33</v>
      </c>
    </row>
    <row r="498" spans="1:6">
      <c r="A498" s="10" t="s">
        <v>520</v>
      </c>
      <c r="B498" s="10">
        <v>101</v>
      </c>
      <c r="C498" s="21">
        <v>1.4350045645014373E-4</v>
      </c>
      <c r="D498" s="10">
        <v>57</v>
      </c>
      <c r="E498" s="10">
        <v>138</v>
      </c>
      <c r="F498" s="10">
        <v>18</v>
      </c>
    </row>
    <row r="499" spans="1:6">
      <c r="A499" s="10" t="s">
        <v>521</v>
      </c>
      <c r="B499" s="10">
        <v>58</v>
      </c>
      <c r="C499" s="21">
        <v>2.6759780983936585E-3</v>
      </c>
      <c r="D499" s="10">
        <v>54</v>
      </c>
      <c r="E499" s="10">
        <v>76</v>
      </c>
      <c r="F499" s="10">
        <v>47</v>
      </c>
    </row>
    <row r="500" spans="1:6">
      <c r="A500" s="10" t="s">
        <v>522</v>
      </c>
      <c r="B500" s="10">
        <v>312</v>
      </c>
      <c r="C500" s="21">
        <v>6.3980452260375725E-4</v>
      </c>
      <c r="D500" s="10">
        <v>92</v>
      </c>
      <c r="E500" s="10">
        <v>164</v>
      </c>
      <c r="F500" s="10">
        <v>22</v>
      </c>
    </row>
    <row r="501" spans="1:6">
      <c r="A501" s="10" t="s">
        <v>523</v>
      </c>
      <c r="B501" s="10">
        <v>102</v>
      </c>
      <c r="C501" s="21">
        <v>1.9801372720380192E-3</v>
      </c>
      <c r="D501" s="10">
        <v>72</v>
      </c>
      <c r="E501" s="10">
        <v>102</v>
      </c>
      <c r="F501" s="10">
        <v>42</v>
      </c>
    </row>
    <row r="502" spans="1:6">
      <c r="A502" s="10" t="s">
        <v>524</v>
      </c>
      <c r="B502" s="10">
        <v>440</v>
      </c>
      <c r="C502" s="21">
        <v>1.7798186393856534E-3</v>
      </c>
      <c r="D502" s="10">
        <v>67</v>
      </c>
      <c r="E502" s="10">
        <v>113</v>
      </c>
      <c r="F502" s="10">
        <v>40</v>
      </c>
    </row>
    <row r="503" spans="1:6">
      <c r="A503" s="10" t="s">
        <v>525</v>
      </c>
      <c r="B503" s="10">
        <v>524</v>
      </c>
      <c r="C503" s="21">
        <v>1.0940003444260455E-3</v>
      </c>
      <c r="D503" s="10">
        <v>105</v>
      </c>
      <c r="E503" s="10">
        <v>161</v>
      </c>
      <c r="F503" s="10">
        <v>19</v>
      </c>
    </row>
    <row r="504" spans="1:6">
      <c r="A504" s="10" t="s">
        <v>526</v>
      </c>
      <c r="B504" s="10">
        <v>119</v>
      </c>
      <c r="C504" s="21">
        <v>1.11603491676765E-3</v>
      </c>
      <c r="D504" s="10">
        <v>70</v>
      </c>
      <c r="E504" s="10">
        <v>149</v>
      </c>
      <c r="F504" s="10">
        <v>25</v>
      </c>
    </row>
    <row r="505" spans="1:6">
      <c r="A505" s="10" t="s">
        <v>527</v>
      </c>
      <c r="B505" s="10">
        <v>55</v>
      </c>
      <c r="C505" s="21">
        <v>1.1629921571647622E-3</v>
      </c>
      <c r="D505" s="10">
        <v>77</v>
      </c>
      <c r="E505" s="10">
        <v>184</v>
      </c>
      <c r="F505" s="10">
        <v>33</v>
      </c>
    </row>
    <row r="506" spans="1:6">
      <c r="A506" s="10" t="s">
        <v>528</v>
      </c>
      <c r="B506" s="10">
        <v>59</v>
      </c>
      <c r="C506" s="21">
        <v>8.0454520793031103E-4</v>
      </c>
      <c r="D506" s="10">
        <v>83</v>
      </c>
      <c r="E506" s="10">
        <v>152</v>
      </c>
      <c r="F506" s="10">
        <v>16</v>
      </c>
    </row>
    <row r="507" spans="1:6">
      <c r="A507" s="10" t="s">
        <v>529</v>
      </c>
      <c r="B507" s="10">
        <v>224</v>
      </c>
      <c r="C507" s="21">
        <v>5.1430246113888739E-4</v>
      </c>
      <c r="D507" s="10">
        <v>131</v>
      </c>
      <c r="E507" s="10">
        <v>224</v>
      </c>
      <c r="F507" s="10">
        <v>7</v>
      </c>
    </row>
    <row r="508" spans="1:6">
      <c r="A508" s="10" t="s">
        <v>530</v>
      </c>
      <c r="B508" s="10">
        <v>184</v>
      </c>
      <c r="C508" s="21">
        <v>3.4176233496554008E-3</v>
      </c>
      <c r="D508" s="10">
        <v>79</v>
      </c>
      <c r="E508" s="10">
        <v>193</v>
      </c>
      <c r="F508" s="10">
        <v>9</v>
      </c>
    </row>
    <row r="509" spans="1:6">
      <c r="A509" s="10" t="s">
        <v>531</v>
      </c>
      <c r="B509" s="10">
        <v>111</v>
      </c>
      <c r="C509" s="21">
        <v>3.0083082587812507E-3</v>
      </c>
      <c r="D509" s="10">
        <v>86</v>
      </c>
      <c r="E509" s="10">
        <v>167</v>
      </c>
      <c r="F509" s="10">
        <v>30</v>
      </c>
    </row>
    <row r="510" spans="1:6">
      <c r="A510" s="10" t="s">
        <v>532</v>
      </c>
      <c r="B510" s="10">
        <v>472</v>
      </c>
      <c r="C510" s="21">
        <v>8.9301258450014587E-4</v>
      </c>
      <c r="D510" s="10">
        <v>93</v>
      </c>
      <c r="E510" s="10">
        <v>191</v>
      </c>
      <c r="F510" s="10">
        <v>19</v>
      </c>
    </row>
    <row r="511" spans="1:6">
      <c r="A511" s="10" t="s">
        <v>533</v>
      </c>
      <c r="B511" s="10">
        <v>69</v>
      </c>
      <c r="C511" s="21">
        <v>1.9049248596662834E-3</v>
      </c>
      <c r="D511" s="10">
        <v>75</v>
      </c>
      <c r="E511" s="10">
        <v>181</v>
      </c>
      <c r="F511" s="10">
        <v>37</v>
      </c>
    </row>
    <row r="512" spans="1:6">
      <c r="A512" s="10" t="s">
        <v>534</v>
      </c>
      <c r="B512" s="10">
        <v>44</v>
      </c>
      <c r="C512" s="21">
        <v>2.0408050604642626E-3</v>
      </c>
      <c r="D512" s="10">
        <v>109</v>
      </c>
      <c r="E512" s="10">
        <v>143</v>
      </c>
      <c r="F512" s="10">
        <v>21</v>
      </c>
    </row>
    <row r="513" spans="1:6">
      <c r="A513" s="10" t="s">
        <v>535</v>
      </c>
      <c r="B513" s="10">
        <v>147</v>
      </c>
      <c r="C513" s="21">
        <v>7.8418707025182605E-4</v>
      </c>
      <c r="D513" s="10">
        <v>92</v>
      </c>
      <c r="E513" s="10">
        <v>123</v>
      </c>
      <c r="F513" s="10">
        <v>24</v>
      </c>
    </row>
    <row r="514" spans="1:6">
      <c r="A514" s="10" t="s">
        <v>536</v>
      </c>
      <c r="B514" s="10">
        <v>294</v>
      </c>
      <c r="C514" s="21">
        <v>1.3960415944455349E-3</v>
      </c>
      <c r="D514" s="10">
        <v>64</v>
      </c>
      <c r="E514" s="10">
        <v>168</v>
      </c>
      <c r="F514" s="10">
        <v>26</v>
      </c>
    </row>
    <row r="515" spans="1:6">
      <c r="A515" s="10" t="s">
        <v>537</v>
      </c>
      <c r="B515" s="10">
        <v>78</v>
      </c>
      <c r="C515" s="21">
        <v>1.5158744201015459E-4</v>
      </c>
      <c r="D515" s="10">
        <v>104</v>
      </c>
      <c r="E515" s="10">
        <v>188</v>
      </c>
      <c r="F515" s="10">
        <v>15</v>
      </c>
    </row>
    <row r="516" spans="1:6">
      <c r="A516" s="10" t="s">
        <v>538</v>
      </c>
      <c r="B516" s="10">
        <v>45</v>
      </c>
      <c r="C516" s="21">
        <v>1.758389878806019E-3</v>
      </c>
      <c r="D516" s="10">
        <v>97</v>
      </c>
      <c r="E516" s="10">
        <v>177</v>
      </c>
      <c r="F516" s="10">
        <v>22</v>
      </c>
    </row>
    <row r="517" spans="1:6">
      <c r="A517" s="10" t="s">
        <v>539</v>
      </c>
      <c r="B517" s="10">
        <v>345</v>
      </c>
      <c r="C517" s="21">
        <v>1.1995693568212047E-3</v>
      </c>
      <c r="D517" s="10">
        <v>79</v>
      </c>
      <c r="E517" s="10">
        <v>173</v>
      </c>
      <c r="F517" s="10">
        <v>31</v>
      </c>
    </row>
    <row r="518" spans="1:6">
      <c r="A518" s="10" t="s">
        <v>540</v>
      </c>
      <c r="B518" s="10">
        <v>97</v>
      </c>
      <c r="C518" s="21">
        <v>1.1336917901301133E-3</v>
      </c>
      <c r="D518" s="10">
        <v>100</v>
      </c>
      <c r="E518" s="10">
        <v>167</v>
      </c>
      <c r="F518" s="10">
        <v>24</v>
      </c>
    </row>
    <row r="519" spans="1:6">
      <c r="A519" s="10" t="s">
        <v>541</v>
      </c>
      <c r="B519" s="10">
        <v>371</v>
      </c>
      <c r="C519" s="21">
        <v>1.2898041113461347E-3</v>
      </c>
      <c r="D519" s="10">
        <v>76</v>
      </c>
      <c r="E519" s="10">
        <v>204</v>
      </c>
      <c r="F519" s="10">
        <v>22</v>
      </c>
    </row>
    <row r="520" spans="1:6">
      <c r="A520" s="10" t="s">
        <v>542</v>
      </c>
      <c r="B520" s="10">
        <v>575</v>
      </c>
      <c r="C520" s="21">
        <v>1.6737136217756358E-3</v>
      </c>
      <c r="D520" s="10">
        <v>81</v>
      </c>
      <c r="E520" s="10">
        <v>148</v>
      </c>
      <c r="F520" s="10">
        <v>39</v>
      </c>
    </row>
    <row r="521" spans="1:6">
      <c r="A521" s="10" t="s">
        <v>543</v>
      </c>
      <c r="B521" s="10">
        <v>41</v>
      </c>
      <c r="C521" s="21">
        <v>7.0495734871097663E-4</v>
      </c>
      <c r="D521" s="10">
        <v>82</v>
      </c>
      <c r="E521" s="10">
        <v>162</v>
      </c>
      <c r="F521" s="10">
        <v>17</v>
      </c>
    </row>
    <row r="522" spans="1:6">
      <c r="A522" s="10" t="s">
        <v>544</v>
      </c>
      <c r="B522" s="10">
        <v>417</v>
      </c>
      <c r="C522" s="21">
        <v>9.0506449139425983E-4</v>
      </c>
      <c r="D522" s="10">
        <v>64</v>
      </c>
      <c r="E522" s="10">
        <v>133</v>
      </c>
      <c r="F522" s="10">
        <v>17</v>
      </c>
    </row>
    <row r="523" spans="1:6">
      <c r="A523" s="10" t="s">
        <v>545</v>
      </c>
      <c r="B523" s="10">
        <v>78</v>
      </c>
      <c r="C523" s="21">
        <v>1.7147361984993701E-4</v>
      </c>
      <c r="D523" s="10">
        <v>78</v>
      </c>
      <c r="E523" s="10">
        <v>134</v>
      </c>
      <c r="F523" s="10">
        <v>17</v>
      </c>
    </row>
    <row r="524" spans="1:6">
      <c r="A524" s="10" t="s">
        <v>546</v>
      </c>
      <c r="B524" s="10">
        <v>474</v>
      </c>
      <c r="C524" s="21">
        <v>1.1986091678556185E-3</v>
      </c>
      <c r="D524" s="10">
        <v>90</v>
      </c>
      <c r="E524" s="10">
        <v>175</v>
      </c>
      <c r="F524" s="10">
        <v>24</v>
      </c>
    </row>
    <row r="525" spans="1:6">
      <c r="A525" s="10" t="s">
        <v>547</v>
      </c>
      <c r="B525" s="10">
        <v>99</v>
      </c>
      <c r="C525" s="21">
        <v>1.5881418004151265E-3</v>
      </c>
      <c r="D525" s="10">
        <v>92</v>
      </c>
      <c r="E525" s="10">
        <v>165</v>
      </c>
      <c r="F525" s="10">
        <v>33</v>
      </c>
    </row>
    <row r="526" spans="1:6">
      <c r="A526" s="10" t="s">
        <v>548</v>
      </c>
      <c r="B526" s="10">
        <v>104</v>
      </c>
      <c r="C526" s="21">
        <v>2.2263032287186577E-4</v>
      </c>
      <c r="D526" s="10">
        <v>71</v>
      </c>
      <c r="E526" s="10">
        <v>144</v>
      </c>
      <c r="F526" s="10">
        <v>16</v>
      </c>
    </row>
    <row r="527" spans="1:6">
      <c r="A527" s="10" t="s">
        <v>549</v>
      </c>
      <c r="B527" s="10">
        <v>31</v>
      </c>
      <c r="C527" s="21">
        <v>1.8988229763858549E-3</v>
      </c>
      <c r="D527" s="10">
        <v>86</v>
      </c>
      <c r="E527" s="10">
        <v>185</v>
      </c>
      <c r="F527" s="10">
        <v>32</v>
      </c>
    </row>
    <row r="528" spans="1:6">
      <c r="A528" s="10" t="s">
        <v>550</v>
      </c>
      <c r="B528" s="10">
        <v>265</v>
      </c>
      <c r="C528" s="21">
        <v>1.1207255226062369E-3</v>
      </c>
      <c r="D528" s="10">
        <v>127</v>
      </c>
      <c r="E528" s="10">
        <v>205</v>
      </c>
      <c r="F528" s="10">
        <v>4</v>
      </c>
    </row>
    <row r="529" spans="1:6">
      <c r="A529" s="10" t="s">
        <v>551</v>
      </c>
      <c r="B529" s="10">
        <v>532</v>
      </c>
      <c r="C529" s="21">
        <v>2.0431225745847618E-3</v>
      </c>
      <c r="D529" s="10">
        <v>114</v>
      </c>
      <c r="E529" s="10">
        <v>180</v>
      </c>
      <c r="F529" s="10">
        <v>30</v>
      </c>
    </row>
    <row r="530" spans="1:6">
      <c r="A530" s="10" t="s">
        <v>552</v>
      </c>
      <c r="B530" s="10">
        <v>113</v>
      </c>
      <c r="C530" s="21">
        <v>1.8417522753570383E-3</v>
      </c>
      <c r="D530" s="10">
        <v>102</v>
      </c>
      <c r="E530" s="10">
        <v>157</v>
      </c>
      <c r="F530" s="10">
        <v>24</v>
      </c>
    </row>
    <row r="531" spans="1:6">
      <c r="A531" s="10" t="s">
        <v>553</v>
      </c>
      <c r="B531" s="10">
        <v>59</v>
      </c>
      <c r="C531" s="21">
        <v>2.543452193132126E-3</v>
      </c>
      <c r="D531" s="10">
        <v>100</v>
      </c>
      <c r="E531" s="10">
        <v>188</v>
      </c>
      <c r="F531" s="10">
        <v>17</v>
      </c>
    </row>
    <row r="532" spans="1:6">
      <c r="A532" s="10" t="s">
        <v>554</v>
      </c>
      <c r="B532" s="10">
        <v>214</v>
      </c>
      <c r="C532" s="21">
        <v>8.0337430708301454E-4</v>
      </c>
      <c r="D532" s="10">
        <v>60</v>
      </c>
      <c r="E532" s="10">
        <v>178</v>
      </c>
      <c r="F532" s="10">
        <v>22</v>
      </c>
    </row>
    <row r="533" spans="1:6">
      <c r="A533" s="10" t="s">
        <v>555</v>
      </c>
      <c r="B533" s="10">
        <v>84</v>
      </c>
      <c r="C533" s="21">
        <v>1.6676695878314639E-3</v>
      </c>
      <c r="D533" s="10">
        <v>63</v>
      </c>
      <c r="E533" s="10">
        <v>128</v>
      </c>
      <c r="F533" s="10">
        <v>31</v>
      </c>
    </row>
    <row r="534" spans="1:6">
      <c r="A534" s="10" t="s">
        <v>556</v>
      </c>
      <c r="B534" s="10">
        <v>505</v>
      </c>
      <c r="C534" s="21">
        <v>1.187953628111285E-3</v>
      </c>
      <c r="D534" s="10">
        <v>89</v>
      </c>
      <c r="E534" s="10">
        <v>196</v>
      </c>
      <c r="F534" s="10">
        <v>23</v>
      </c>
    </row>
    <row r="535" spans="1:6">
      <c r="A535" s="10" t="s">
        <v>557</v>
      </c>
      <c r="B535" s="10">
        <v>100</v>
      </c>
      <c r="C535" s="21">
        <v>4.3294353184578482E-3</v>
      </c>
      <c r="D535" s="10">
        <v>80</v>
      </c>
      <c r="E535" s="10">
        <v>151</v>
      </c>
      <c r="F535" s="10">
        <v>35</v>
      </c>
    </row>
    <row r="536" spans="1:6">
      <c r="A536" s="10" t="s">
        <v>558</v>
      </c>
      <c r="B536" s="10">
        <v>125</v>
      </c>
      <c r="C536" s="21">
        <v>3.8982871030393447E-3</v>
      </c>
      <c r="D536" s="10">
        <v>78</v>
      </c>
      <c r="E536" s="10">
        <v>132</v>
      </c>
      <c r="F536" s="10">
        <v>39</v>
      </c>
    </row>
    <row r="537" spans="1:6">
      <c r="A537" s="10" t="s">
        <v>559</v>
      </c>
      <c r="B537" s="10">
        <v>41</v>
      </c>
      <c r="C537" s="21">
        <v>3.140714044512547E-3</v>
      </c>
      <c r="D537" s="10">
        <v>51</v>
      </c>
      <c r="E537" s="10">
        <v>90</v>
      </c>
      <c r="F537" s="10">
        <v>50</v>
      </c>
    </row>
    <row r="538" spans="1:6">
      <c r="A538" s="10" t="s">
        <v>560</v>
      </c>
      <c r="B538" s="10">
        <v>224</v>
      </c>
      <c r="C538" s="21">
        <v>1.4729551543504562E-3</v>
      </c>
      <c r="D538" s="10">
        <v>114</v>
      </c>
      <c r="E538" s="10">
        <v>181</v>
      </c>
      <c r="F538" s="10">
        <v>26</v>
      </c>
    </row>
    <row r="539" spans="1:6">
      <c r="A539" s="10" t="s">
        <v>561</v>
      </c>
      <c r="B539" s="10">
        <v>556</v>
      </c>
      <c r="C539" s="21">
        <v>9.2901974948471073E-4</v>
      </c>
      <c r="D539" s="10">
        <v>73</v>
      </c>
      <c r="E539" s="10">
        <v>139</v>
      </c>
      <c r="F539" s="10">
        <v>23</v>
      </c>
    </row>
    <row r="540" spans="1:6">
      <c r="A540" s="10" t="s">
        <v>562</v>
      </c>
      <c r="B540" s="10">
        <v>113</v>
      </c>
      <c r="C540" s="21">
        <v>1.5553272924701848E-3</v>
      </c>
      <c r="D540" s="10">
        <v>77</v>
      </c>
      <c r="E540" s="10">
        <v>150</v>
      </c>
      <c r="F540" s="10">
        <v>37</v>
      </c>
    </row>
    <row r="541" spans="1:6">
      <c r="A541" s="10" t="s">
        <v>563</v>
      </c>
      <c r="B541" s="10">
        <v>92</v>
      </c>
      <c r="C541" s="21">
        <v>2.0817306126104727E-3</v>
      </c>
      <c r="D541" s="10">
        <v>53</v>
      </c>
      <c r="E541" s="10">
        <v>84</v>
      </c>
      <c r="F541" s="10">
        <v>50</v>
      </c>
    </row>
    <row r="542" spans="1:6">
      <c r="A542" s="10" t="s">
        <v>564</v>
      </c>
      <c r="B542" s="10">
        <v>87</v>
      </c>
      <c r="C542" s="21">
        <v>1.9838516806935454E-3</v>
      </c>
      <c r="D542" s="10">
        <v>77</v>
      </c>
      <c r="E542" s="10">
        <v>150</v>
      </c>
      <c r="F542" s="10">
        <v>31</v>
      </c>
    </row>
    <row r="543" spans="1:6">
      <c r="A543" s="10" t="s">
        <v>565</v>
      </c>
      <c r="B543" s="10">
        <v>62</v>
      </c>
      <c r="C543" s="21">
        <v>3.0581307819163867E-3</v>
      </c>
      <c r="D543" s="10">
        <v>102</v>
      </c>
      <c r="E543" s="10">
        <v>196</v>
      </c>
      <c r="F543" s="10">
        <v>23</v>
      </c>
    </row>
    <row r="544" spans="1:6">
      <c r="A544" s="10" t="s">
        <v>566</v>
      </c>
      <c r="B544" s="10">
        <v>187</v>
      </c>
      <c r="C544" s="21">
        <v>2.2833161990234519E-3</v>
      </c>
      <c r="D544" s="10">
        <v>61</v>
      </c>
      <c r="E544" s="10">
        <v>125</v>
      </c>
      <c r="F544" s="10">
        <v>34</v>
      </c>
    </row>
    <row r="545" spans="1:6">
      <c r="A545" s="10" t="s">
        <v>567</v>
      </c>
      <c r="B545" s="10">
        <v>604</v>
      </c>
      <c r="C545" s="21">
        <v>1.2149982201569074E-3</v>
      </c>
      <c r="D545" s="10">
        <v>89</v>
      </c>
      <c r="E545" s="10">
        <v>164</v>
      </c>
      <c r="F545" s="10">
        <v>34</v>
      </c>
    </row>
    <row r="546" spans="1:6">
      <c r="A546" s="10" t="s">
        <v>568</v>
      </c>
      <c r="B546" s="10">
        <v>106</v>
      </c>
      <c r="C546" s="21">
        <v>1.8173104510061744E-3</v>
      </c>
      <c r="D546" s="10">
        <v>86</v>
      </c>
      <c r="E546" s="10">
        <v>134</v>
      </c>
      <c r="F546" s="10">
        <v>33</v>
      </c>
    </row>
    <row r="547" spans="1:6">
      <c r="A547" s="10" t="s">
        <v>569</v>
      </c>
      <c r="B547" s="10">
        <v>97</v>
      </c>
      <c r="C547" s="21">
        <v>2.3729319839809718E-3</v>
      </c>
      <c r="D547" s="10">
        <v>58</v>
      </c>
      <c r="E547" s="10">
        <v>139</v>
      </c>
      <c r="F547" s="10">
        <v>48</v>
      </c>
    </row>
    <row r="548" spans="1:6">
      <c r="A548" s="10" t="s">
        <v>570</v>
      </c>
      <c r="B548" s="10">
        <v>92</v>
      </c>
      <c r="C548" s="21">
        <v>1.0468887201323933E-3</v>
      </c>
      <c r="D548" s="10">
        <v>51</v>
      </c>
      <c r="E548" s="10">
        <v>105</v>
      </c>
      <c r="F548" s="10">
        <v>29</v>
      </c>
    </row>
    <row r="549" spans="1:6">
      <c r="A549" s="10" t="s">
        <v>571</v>
      </c>
      <c r="B549" s="10">
        <v>175</v>
      </c>
      <c r="C549" s="21">
        <v>4.947163182912785E-4</v>
      </c>
      <c r="D549" s="10">
        <v>82</v>
      </c>
      <c r="E549" s="10">
        <v>185</v>
      </c>
      <c r="F549" s="10">
        <v>35</v>
      </c>
    </row>
    <row r="550" spans="1:6">
      <c r="A550" s="10" t="s">
        <v>572</v>
      </c>
      <c r="B550" s="10">
        <v>337</v>
      </c>
      <c r="C550" s="21">
        <v>9.3014183735731424E-4</v>
      </c>
      <c r="D550" s="10">
        <v>66</v>
      </c>
      <c r="E550" s="10">
        <v>138</v>
      </c>
      <c r="F550" s="10">
        <v>28</v>
      </c>
    </row>
    <row r="551" spans="1:6">
      <c r="A551" s="10" t="s">
        <v>573</v>
      </c>
      <c r="B551" s="10">
        <v>83</v>
      </c>
      <c r="C551" s="21">
        <v>1.8414856295507832E-3</v>
      </c>
      <c r="D551" s="10">
        <v>67</v>
      </c>
      <c r="E551" s="10">
        <v>158</v>
      </c>
      <c r="F551" s="10">
        <v>28</v>
      </c>
    </row>
    <row r="552" spans="1:6">
      <c r="A552" s="10" t="s">
        <v>574</v>
      </c>
      <c r="B552" s="10">
        <v>677</v>
      </c>
      <c r="C552" s="21">
        <v>1.0221200699612198E-3</v>
      </c>
      <c r="D552" s="10">
        <v>42</v>
      </c>
      <c r="E552" s="10">
        <v>130</v>
      </c>
      <c r="F552" s="10">
        <v>19</v>
      </c>
    </row>
    <row r="553" spans="1:6">
      <c r="A553" s="10" t="s">
        <v>575</v>
      </c>
      <c r="B553" s="10">
        <v>482</v>
      </c>
      <c r="C553" s="21">
        <v>9.7659907042466857E-4</v>
      </c>
      <c r="D553" s="10">
        <v>73</v>
      </c>
      <c r="E553" s="10">
        <v>162</v>
      </c>
      <c r="F553" s="10">
        <v>22</v>
      </c>
    </row>
    <row r="554" spans="1:6">
      <c r="A554" s="10" t="s">
        <v>576</v>
      </c>
      <c r="B554" s="10">
        <v>75</v>
      </c>
      <c r="C554" s="21">
        <v>1.0075541514560228E-3</v>
      </c>
      <c r="D554" s="10">
        <v>18</v>
      </c>
      <c r="E554" s="10">
        <v>153</v>
      </c>
      <c r="F554" s="10">
        <v>26</v>
      </c>
    </row>
    <row r="555" spans="1:6">
      <c r="A555" s="10" t="s">
        <v>577</v>
      </c>
      <c r="B555" s="10">
        <v>120</v>
      </c>
      <c r="C555" s="21">
        <v>1.5789745625351145E-3</v>
      </c>
      <c r="D555" s="10">
        <v>70</v>
      </c>
      <c r="E555" s="10">
        <v>154</v>
      </c>
      <c r="F555" s="10">
        <v>29</v>
      </c>
    </row>
    <row r="556" spans="1:6">
      <c r="A556" s="10" t="s">
        <v>578</v>
      </c>
      <c r="B556" s="10">
        <v>71</v>
      </c>
      <c r="C556" s="21">
        <v>2.3856496052785106E-3</v>
      </c>
      <c r="D556" s="10">
        <v>70</v>
      </c>
      <c r="E556" s="10">
        <v>152</v>
      </c>
      <c r="F556" s="10">
        <v>35</v>
      </c>
    </row>
    <row r="557" spans="1:6">
      <c r="A557" s="10" t="s">
        <v>579</v>
      </c>
      <c r="B557" s="10">
        <v>108</v>
      </c>
      <c r="C557" s="21">
        <v>3.0746699872019156E-3</v>
      </c>
      <c r="D557" s="10">
        <v>82</v>
      </c>
      <c r="E557" s="10">
        <v>174</v>
      </c>
      <c r="F557" s="10">
        <v>32</v>
      </c>
    </row>
    <row r="558" spans="1:6">
      <c r="A558" s="10" t="s">
        <v>580</v>
      </c>
      <c r="B558" s="10">
        <v>36</v>
      </c>
      <c r="C558" s="21">
        <v>2.7688064798372957E-3</v>
      </c>
      <c r="D558" s="10">
        <v>63</v>
      </c>
      <c r="E558" s="10">
        <v>134</v>
      </c>
      <c r="F558" s="10">
        <v>44</v>
      </c>
    </row>
    <row r="559" spans="1:6">
      <c r="A559" s="10" t="s">
        <v>581</v>
      </c>
      <c r="B559" s="10">
        <v>187</v>
      </c>
      <c r="C559" s="21">
        <v>1.6720620844230827E-3</v>
      </c>
      <c r="D559" s="10">
        <v>91</v>
      </c>
      <c r="E559" s="10">
        <v>170</v>
      </c>
      <c r="F559" s="10">
        <v>32</v>
      </c>
    </row>
    <row r="560" spans="1:6">
      <c r="A560" s="10" t="s">
        <v>582</v>
      </c>
      <c r="B560" s="10">
        <v>182</v>
      </c>
      <c r="C560" s="21">
        <v>6.2525235177803441E-4</v>
      </c>
      <c r="D560" s="10">
        <v>107</v>
      </c>
      <c r="E560" s="10">
        <v>205</v>
      </c>
      <c r="F560" s="10">
        <v>8</v>
      </c>
    </row>
    <row r="561" spans="1:6">
      <c r="A561" s="10" t="s">
        <v>583</v>
      </c>
      <c r="B561" s="10">
        <v>356</v>
      </c>
      <c r="C561" s="21">
        <v>1.920359226579823E-3</v>
      </c>
      <c r="D561" s="10">
        <v>68</v>
      </c>
      <c r="E561" s="10">
        <v>148</v>
      </c>
      <c r="F561" s="10">
        <v>30</v>
      </c>
    </row>
    <row r="562" spans="1:6">
      <c r="A562" s="10" t="s">
        <v>584</v>
      </c>
      <c r="B562" s="10">
        <v>92</v>
      </c>
      <c r="C562" s="21">
        <v>2.5711306692622173E-3</v>
      </c>
      <c r="D562" s="10">
        <v>76</v>
      </c>
      <c r="E562" s="10">
        <v>139</v>
      </c>
      <c r="F562" s="10">
        <v>42</v>
      </c>
    </row>
    <row r="563" spans="1:6">
      <c r="A563" s="10" t="s">
        <v>585</v>
      </c>
      <c r="B563" s="10">
        <v>113</v>
      </c>
      <c r="C563" s="21">
        <v>1.9072651390531555E-3</v>
      </c>
      <c r="D563" s="10">
        <v>88</v>
      </c>
      <c r="E563" s="10">
        <v>140</v>
      </c>
      <c r="F563" s="10">
        <v>44</v>
      </c>
    </row>
    <row r="564" spans="1:6">
      <c r="A564" s="10" t="s">
        <v>586</v>
      </c>
      <c r="B564" s="10">
        <v>108</v>
      </c>
      <c r="C564" s="21">
        <v>2.6272966663581135E-3</v>
      </c>
      <c r="D564" s="10">
        <v>15</v>
      </c>
      <c r="E564" s="10">
        <v>86</v>
      </c>
      <c r="F564" s="10">
        <v>41</v>
      </c>
    </row>
    <row r="565" spans="1:6">
      <c r="A565" s="10" t="s">
        <v>587</v>
      </c>
      <c r="B565" s="10">
        <v>60</v>
      </c>
      <c r="C565" s="21">
        <v>8.4414757447350333E-4</v>
      </c>
      <c r="D565" s="10">
        <v>66</v>
      </c>
      <c r="E565" s="10">
        <v>169</v>
      </c>
      <c r="F565" s="10">
        <v>19</v>
      </c>
    </row>
    <row r="566" spans="1:6">
      <c r="A566" s="10" t="s">
        <v>588</v>
      </c>
      <c r="B566" s="10">
        <v>252</v>
      </c>
      <c r="C566" s="21">
        <v>2.2594233125458542E-3</v>
      </c>
      <c r="D566" s="10">
        <v>56</v>
      </c>
      <c r="E566" s="10">
        <v>138</v>
      </c>
      <c r="F566" s="10">
        <v>42</v>
      </c>
    </row>
    <row r="567" spans="1:6">
      <c r="A567" s="10" t="s">
        <v>589</v>
      </c>
      <c r="B567" s="10">
        <v>299</v>
      </c>
      <c r="C567" s="21">
        <v>8.961612504037067E-4</v>
      </c>
      <c r="D567" s="10">
        <v>128</v>
      </c>
      <c r="E567" s="10">
        <v>167</v>
      </c>
      <c r="F567" s="10">
        <v>30</v>
      </c>
    </row>
    <row r="568" spans="1:6">
      <c r="A568" s="10" t="s">
        <v>590</v>
      </c>
      <c r="B568" s="10">
        <v>130</v>
      </c>
      <c r="C568" s="21">
        <v>2.263224003553536E-4</v>
      </c>
      <c r="D568" s="10">
        <v>94</v>
      </c>
      <c r="E568" s="10">
        <v>234</v>
      </c>
      <c r="F568" s="10">
        <v>13</v>
      </c>
    </row>
    <row r="569" spans="1:6">
      <c r="A569" s="10" t="s">
        <v>591</v>
      </c>
      <c r="B569" s="10">
        <v>134</v>
      </c>
      <c r="C569" s="21">
        <v>1.188792614600634E-3</v>
      </c>
      <c r="D569" s="10">
        <v>66</v>
      </c>
      <c r="E569" s="10">
        <v>171</v>
      </c>
      <c r="F569" s="10">
        <v>34</v>
      </c>
    </row>
    <row r="570" spans="1:6">
      <c r="A570" s="10" t="s">
        <v>592</v>
      </c>
      <c r="B570" s="10">
        <v>97</v>
      </c>
      <c r="C570" s="21">
        <v>3.052730371448412E-3</v>
      </c>
      <c r="D570" s="10">
        <v>74</v>
      </c>
      <c r="E570" s="10">
        <v>125</v>
      </c>
      <c r="F570" s="10">
        <v>38</v>
      </c>
    </row>
    <row r="571" spans="1:6">
      <c r="A571" s="10" t="s">
        <v>593</v>
      </c>
      <c r="B571" s="10">
        <v>39</v>
      </c>
      <c r="C571" s="21">
        <v>1.0850048989338502E-3</v>
      </c>
      <c r="D571" s="10">
        <v>84</v>
      </c>
      <c r="E571" s="10">
        <v>181</v>
      </c>
      <c r="F571" s="10">
        <v>17</v>
      </c>
    </row>
    <row r="572" spans="1:6">
      <c r="A572" s="10" t="s">
        <v>594</v>
      </c>
      <c r="B572" s="10">
        <v>153</v>
      </c>
      <c r="C572" s="21">
        <v>2.917371841535159E-3</v>
      </c>
      <c r="D572" s="10">
        <v>25</v>
      </c>
      <c r="E572" s="10">
        <v>111</v>
      </c>
      <c r="F572" s="10">
        <v>37</v>
      </c>
    </row>
    <row r="573" spans="1:6">
      <c r="A573" s="10" t="s">
        <v>595</v>
      </c>
      <c r="B573" s="10">
        <v>302</v>
      </c>
      <c r="C573" s="21">
        <v>1.6698627894121754E-3</v>
      </c>
      <c r="D573" s="10">
        <v>78</v>
      </c>
      <c r="E573" s="10">
        <v>184</v>
      </c>
      <c r="F573" s="10">
        <v>27</v>
      </c>
    </row>
    <row r="574" spans="1:6">
      <c r="A574" s="10" t="s">
        <v>596</v>
      </c>
      <c r="B574" s="10">
        <v>287</v>
      </c>
      <c r="C574" s="21">
        <v>1.9366485536107321E-3</v>
      </c>
      <c r="D574" s="10">
        <v>78</v>
      </c>
      <c r="E574" s="10">
        <v>180</v>
      </c>
      <c r="F574" s="10">
        <v>36</v>
      </c>
    </row>
    <row r="575" spans="1:6">
      <c r="A575" s="10" t="s">
        <v>597</v>
      </c>
      <c r="B575" s="10">
        <v>522</v>
      </c>
      <c r="C575" s="21">
        <v>1.9640303746596881E-3</v>
      </c>
      <c r="D575" s="10">
        <v>103</v>
      </c>
      <c r="E575" s="10">
        <v>195</v>
      </c>
      <c r="F575" s="10">
        <v>22</v>
      </c>
    </row>
    <row r="576" spans="1:6">
      <c r="A576" s="10" t="s">
        <v>598</v>
      </c>
      <c r="B576" s="10">
        <v>47</v>
      </c>
      <c r="C576" s="21">
        <v>1.6397802860435196E-3</v>
      </c>
      <c r="D576" s="10">
        <v>80</v>
      </c>
      <c r="E576" s="10">
        <v>130</v>
      </c>
      <c r="F576" s="10">
        <v>30</v>
      </c>
    </row>
    <row r="577" spans="1:6">
      <c r="A577" s="10" t="s">
        <v>599</v>
      </c>
      <c r="B577" s="10">
        <v>176</v>
      </c>
      <c r="C577" s="21">
        <v>3.7968061123726719E-5</v>
      </c>
      <c r="D577" s="10">
        <v>84</v>
      </c>
      <c r="E577" s="10">
        <v>168</v>
      </c>
      <c r="F577" s="10">
        <v>10</v>
      </c>
    </row>
    <row r="578" spans="1:6">
      <c r="A578" s="10" t="s">
        <v>600</v>
      </c>
      <c r="B578" s="10">
        <v>602</v>
      </c>
      <c r="C578" s="21">
        <v>1.5062822083639028E-3</v>
      </c>
      <c r="D578" s="10">
        <v>61</v>
      </c>
      <c r="E578" s="10">
        <v>118</v>
      </c>
      <c r="F578" s="10">
        <v>28</v>
      </c>
    </row>
    <row r="579" spans="1:6">
      <c r="A579" s="10" t="s">
        <v>601</v>
      </c>
      <c r="B579" s="10">
        <v>437</v>
      </c>
      <c r="C579" s="21">
        <v>7.8656153387764768E-4</v>
      </c>
      <c r="D579" s="10">
        <v>109</v>
      </c>
      <c r="E579" s="10">
        <v>153</v>
      </c>
      <c r="F579" s="10">
        <v>15</v>
      </c>
    </row>
    <row r="580" spans="1:6">
      <c r="A580" s="10" t="s">
        <v>602</v>
      </c>
      <c r="B580" s="10">
        <v>117</v>
      </c>
      <c r="C580" s="21">
        <v>2.3754834705071652E-3</v>
      </c>
      <c r="D580" s="10">
        <v>66</v>
      </c>
      <c r="E580" s="10">
        <v>142</v>
      </c>
      <c r="F580" s="10">
        <v>35</v>
      </c>
    </row>
    <row r="581" spans="1:6">
      <c r="A581" s="10" t="s">
        <v>603</v>
      </c>
      <c r="B581" s="10">
        <v>96</v>
      </c>
      <c r="C581" s="21">
        <v>2.8476924892382135E-3</v>
      </c>
      <c r="D581" s="10">
        <v>68</v>
      </c>
      <c r="E581" s="10">
        <v>135</v>
      </c>
      <c r="F581" s="10">
        <v>32</v>
      </c>
    </row>
    <row r="582" spans="1:6">
      <c r="A582" s="10" t="s">
        <v>604</v>
      </c>
      <c r="B582" s="10">
        <v>248</v>
      </c>
      <c r="C582" s="21">
        <v>9.9849734149906741E-4</v>
      </c>
      <c r="D582" s="10">
        <v>46</v>
      </c>
      <c r="E582" s="10">
        <v>150</v>
      </c>
      <c r="F582" s="10">
        <v>23</v>
      </c>
    </row>
    <row r="583" spans="1:6">
      <c r="A583" s="10" t="s">
        <v>605</v>
      </c>
      <c r="B583" s="10">
        <v>113</v>
      </c>
      <c r="C583" s="21">
        <v>9.3881852935500949E-4</v>
      </c>
      <c r="D583" s="10">
        <v>95</v>
      </c>
      <c r="E583" s="10">
        <v>179</v>
      </c>
      <c r="F583" s="10">
        <v>24</v>
      </c>
    </row>
    <row r="584" spans="1:6">
      <c r="A584" s="10" t="s">
        <v>606</v>
      </c>
      <c r="B584" s="10">
        <v>520</v>
      </c>
      <c r="C584" s="21">
        <v>1.0691862806893044E-3</v>
      </c>
      <c r="D584" s="10">
        <v>48</v>
      </c>
      <c r="E584" s="10">
        <v>166</v>
      </c>
      <c r="F584" s="10">
        <v>27</v>
      </c>
    </row>
    <row r="585" spans="1:6">
      <c r="A585" s="10" t="s">
        <v>607</v>
      </c>
      <c r="B585" s="10">
        <v>413</v>
      </c>
      <c r="C585" s="21">
        <v>2.4208106920134151E-3</v>
      </c>
      <c r="D585" s="10">
        <v>93</v>
      </c>
      <c r="E585" s="10">
        <v>161</v>
      </c>
      <c r="F585" s="10">
        <v>45</v>
      </c>
    </row>
    <row r="586" spans="1:6">
      <c r="A586" s="10" t="s">
        <v>608</v>
      </c>
      <c r="B586" s="10">
        <v>69</v>
      </c>
      <c r="C586" s="21">
        <v>1.7115216846821995E-3</v>
      </c>
      <c r="D586" s="10">
        <v>71</v>
      </c>
      <c r="E586" s="10">
        <v>152</v>
      </c>
      <c r="F586" s="10">
        <v>25</v>
      </c>
    </row>
    <row r="587" spans="1:6">
      <c r="A587" s="10" t="s">
        <v>609</v>
      </c>
      <c r="B587" s="10">
        <v>144</v>
      </c>
      <c r="C587" s="21">
        <v>1.1406515128995181E-3</v>
      </c>
      <c r="D587" s="10">
        <v>95</v>
      </c>
      <c r="E587" s="10">
        <v>143</v>
      </c>
      <c r="F587" s="10">
        <v>25</v>
      </c>
    </row>
    <row r="588" spans="1:6">
      <c r="A588" s="10" t="s">
        <v>610</v>
      </c>
      <c r="B588" s="10">
        <v>53</v>
      </c>
      <c r="C588" s="21">
        <v>1.3547201511424263E-3</v>
      </c>
      <c r="D588" s="10">
        <v>72</v>
      </c>
      <c r="E588" s="10">
        <v>151</v>
      </c>
      <c r="F588" s="10">
        <v>33</v>
      </c>
    </row>
    <row r="589" spans="1:6">
      <c r="A589" s="10" t="s">
        <v>611</v>
      </c>
      <c r="B589" s="10">
        <v>164</v>
      </c>
      <c r="C589" s="21">
        <v>2.607579695086861E-3</v>
      </c>
      <c r="D589" s="10">
        <v>58</v>
      </c>
      <c r="E589" s="10">
        <v>184</v>
      </c>
      <c r="F589" s="10">
        <v>30</v>
      </c>
    </row>
    <row r="590" spans="1:6">
      <c r="A590" s="10" t="s">
        <v>612</v>
      </c>
      <c r="B590" s="10">
        <v>413</v>
      </c>
      <c r="C590" s="21">
        <v>1.5147723799035721E-3</v>
      </c>
      <c r="D590" s="10">
        <v>75</v>
      </c>
      <c r="E590" s="10">
        <v>166</v>
      </c>
      <c r="F590" s="10">
        <v>30</v>
      </c>
    </row>
    <row r="591" spans="1:6">
      <c r="A591" s="10" t="s">
        <v>613</v>
      </c>
      <c r="B591" s="10">
        <v>108</v>
      </c>
      <c r="C591" s="21">
        <v>8.3489867134745792E-4</v>
      </c>
      <c r="D591" s="10">
        <v>96</v>
      </c>
      <c r="E591" s="10">
        <v>156</v>
      </c>
      <c r="F591" s="10">
        <v>32</v>
      </c>
    </row>
    <row r="592" spans="1:6">
      <c r="A592" s="10" t="s">
        <v>614</v>
      </c>
      <c r="B592" s="10">
        <v>143</v>
      </c>
      <c r="C592" s="21">
        <v>1.5511539697444223E-3</v>
      </c>
      <c r="D592" s="10">
        <v>70</v>
      </c>
      <c r="E592" s="10">
        <v>132</v>
      </c>
      <c r="F592" s="10">
        <v>30</v>
      </c>
    </row>
    <row r="593" spans="1:6">
      <c r="A593" s="10" t="s">
        <v>615</v>
      </c>
      <c r="B593" s="10">
        <v>57</v>
      </c>
      <c r="C593" s="21">
        <v>1.1536629123639378E-3</v>
      </c>
      <c r="D593" s="10">
        <v>54</v>
      </c>
      <c r="E593" s="10">
        <v>140</v>
      </c>
      <c r="F593" s="10">
        <v>22</v>
      </c>
    </row>
    <row r="594" spans="1:6">
      <c r="A594" s="10" t="s">
        <v>616</v>
      </c>
      <c r="B594" s="10">
        <v>231</v>
      </c>
      <c r="C594" s="21">
        <v>1.4416965798596075E-3</v>
      </c>
      <c r="D594" s="10">
        <v>106</v>
      </c>
      <c r="E594" s="10">
        <v>161</v>
      </c>
      <c r="F594" s="10">
        <v>29</v>
      </c>
    </row>
    <row r="595" spans="1:6">
      <c r="A595" s="10" t="s">
        <v>617</v>
      </c>
      <c r="B595" s="10">
        <v>294</v>
      </c>
      <c r="C595" s="21">
        <v>9.2288028607156027E-4</v>
      </c>
      <c r="D595" s="10">
        <v>125</v>
      </c>
      <c r="E595" s="10">
        <v>163</v>
      </c>
      <c r="F595" s="10">
        <v>14</v>
      </c>
    </row>
    <row r="596" spans="1:6">
      <c r="A596" s="10" t="s">
        <v>618</v>
      </c>
      <c r="B596" s="10">
        <v>114</v>
      </c>
      <c r="C596" s="21">
        <v>5.6180428397912771E-4</v>
      </c>
      <c r="D596" s="10">
        <v>95</v>
      </c>
      <c r="E596" s="10">
        <v>136</v>
      </c>
      <c r="F596" s="10">
        <v>18</v>
      </c>
    </row>
    <row r="597" spans="1:6">
      <c r="A597" s="10" t="s">
        <v>619</v>
      </c>
      <c r="B597" s="10">
        <v>389</v>
      </c>
      <c r="C597" s="21">
        <v>1.9643054755370047E-3</v>
      </c>
      <c r="D597" s="10">
        <v>84</v>
      </c>
      <c r="E597" s="10">
        <v>178</v>
      </c>
      <c r="F597" s="10">
        <v>34</v>
      </c>
    </row>
    <row r="598" spans="1:6">
      <c r="A598" s="10" t="s">
        <v>620</v>
      </c>
      <c r="B598" s="10">
        <v>36</v>
      </c>
      <c r="C598" s="21">
        <v>1.7793120119596656E-3</v>
      </c>
      <c r="D598" s="10">
        <v>99</v>
      </c>
      <c r="E598" s="10">
        <v>190</v>
      </c>
      <c r="F598" s="10">
        <v>24</v>
      </c>
    </row>
    <row r="599" spans="1:6">
      <c r="A599" s="10" t="s">
        <v>621</v>
      </c>
      <c r="B599" s="10">
        <v>228</v>
      </c>
      <c r="C599" s="21">
        <v>1.7214653809873176E-3</v>
      </c>
      <c r="D599" s="10">
        <v>80</v>
      </c>
      <c r="E599" s="10">
        <v>159</v>
      </c>
      <c r="F599" s="10">
        <v>32</v>
      </c>
    </row>
    <row r="600" spans="1:6">
      <c r="A600" s="10" t="s">
        <v>622</v>
      </c>
      <c r="C600" s="21">
        <v>1.0583445581276349E-3</v>
      </c>
      <c r="D600" s="10">
        <v>70</v>
      </c>
      <c r="E600" s="10">
        <v>144</v>
      </c>
      <c r="F600" s="10">
        <v>22</v>
      </c>
    </row>
    <row r="601" spans="1:6">
      <c r="A601" s="10" t="s">
        <v>623</v>
      </c>
      <c r="B601" s="10">
        <v>114</v>
      </c>
      <c r="C601" s="21">
        <v>1.9244327709396342E-3</v>
      </c>
      <c r="D601" s="10">
        <v>42</v>
      </c>
      <c r="E601" s="10">
        <v>117</v>
      </c>
      <c r="F601" s="10">
        <v>38</v>
      </c>
    </row>
    <row r="602" spans="1:6">
      <c r="A602" s="10" t="s">
        <v>624</v>
      </c>
      <c r="B602" s="10">
        <v>576</v>
      </c>
      <c r="C602" s="21">
        <v>1.8839650646760204E-3</v>
      </c>
      <c r="D602" s="10">
        <v>86</v>
      </c>
      <c r="E602" s="10">
        <v>157</v>
      </c>
      <c r="F602" s="10">
        <v>28</v>
      </c>
    </row>
    <row r="603" spans="1:6">
      <c r="A603" s="10" t="s">
        <v>625</v>
      </c>
      <c r="B603" s="10">
        <v>579</v>
      </c>
      <c r="C603" s="21">
        <v>1.2568173220802073E-3</v>
      </c>
      <c r="D603" s="10">
        <v>107</v>
      </c>
      <c r="E603" s="10">
        <v>179</v>
      </c>
      <c r="F603" s="10">
        <v>19</v>
      </c>
    </row>
    <row r="604" spans="1:6">
      <c r="A604" s="10" t="s">
        <v>626</v>
      </c>
      <c r="B604" s="10">
        <v>85</v>
      </c>
      <c r="C604" s="21">
        <v>1.3496970485346832E-3</v>
      </c>
      <c r="D604" s="10">
        <v>73</v>
      </c>
      <c r="E604" s="10">
        <v>150</v>
      </c>
      <c r="F604" s="10">
        <v>29</v>
      </c>
    </row>
    <row r="605" spans="1:6">
      <c r="A605" s="10" t="s">
        <v>627</v>
      </c>
      <c r="B605" s="10">
        <v>68</v>
      </c>
      <c r="C605" s="21">
        <v>1.7835145898871738E-3</v>
      </c>
      <c r="D605" s="10">
        <v>115</v>
      </c>
      <c r="E605" s="10">
        <v>158</v>
      </c>
      <c r="F605" s="10">
        <v>29</v>
      </c>
    </row>
    <row r="606" spans="1:6">
      <c r="A606" s="10" t="s">
        <v>629</v>
      </c>
      <c r="B606" s="10">
        <v>98</v>
      </c>
      <c r="C606" s="21">
        <v>5.1070402355257892E-3</v>
      </c>
      <c r="D606" s="10">
        <v>97</v>
      </c>
      <c r="E606" s="10">
        <v>150</v>
      </c>
      <c r="F606" s="10">
        <v>37</v>
      </c>
    </row>
    <row r="607" spans="1:6">
      <c r="A607" s="10" t="s">
        <v>630</v>
      </c>
      <c r="B607" s="10">
        <v>80</v>
      </c>
      <c r="C607" s="21">
        <v>1.3777217048856824E-5</v>
      </c>
      <c r="D607" s="10">
        <v>104</v>
      </c>
      <c r="E607" s="10">
        <v>222</v>
      </c>
      <c r="F607" s="10">
        <v>2</v>
      </c>
    </row>
    <row r="608" spans="1:6">
      <c r="A608" s="10" t="s">
        <v>631</v>
      </c>
      <c r="B608" s="10">
        <v>124</v>
      </c>
      <c r="C608" s="21">
        <v>1.3913311901432436E-3</v>
      </c>
      <c r="D608" s="10">
        <v>37</v>
      </c>
      <c r="E608" s="10">
        <v>140</v>
      </c>
      <c r="F608" s="10">
        <v>26</v>
      </c>
    </row>
    <row r="609" spans="1:6">
      <c r="A609" s="10" t="s">
        <v>632</v>
      </c>
      <c r="B609" s="10">
        <v>136</v>
      </c>
      <c r="C609" s="21">
        <v>1.9233226179038593E-3</v>
      </c>
      <c r="D609" s="10">
        <v>77</v>
      </c>
      <c r="E609" s="10">
        <v>102</v>
      </c>
      <c r="F609" s="10">
        <v>32</v>
      </c>
    </row>
    <row r="610" spans="1:6">
      <c r="A610" s="10" t="s">
        <v>633</v>
      </c>
      <c r="B610" s="10">
        <v>97</v>
      </c>
      <c r="C610" s="21">
        <v>1.3013304101209665E-3</v>
      </c>
      <c r="D610" s="10">
        <v>72</v>
      </c>
      <c r="E610" s="10">
        <v>127</v>
      </c>
      <c r="F610" s="10">
        <v>21</v>
      </c>
    </row>
    <row r="611" spans="1:6">
      <c r="A611" s="10" t="s">
        <v>634</v>
      </c>
      <c r="B611" s="10">
        <v>120</v>
      </c>
      <c r="C611" s="21">
        <v>8.0693689733780504E-4</v>
      </c>
      <c r="D611" s="10">
        <v>60</v>
      </c>
      <c r="E611" s="10">
        <v>154</v>
      </c>
      <c r="F611" s="10">
        <v>15</v>
      </c>
    </row>
    <row r="612" spans="1:6">
      <c r="A612" s="10" t="s">
        <v>635</v>
      </c>
      <c r="B612" s="10">
        <v>142</v>
      </c>
      <c r="C612" s="21">
        <v>1.7188008872500893E-3</v>
      </c>
      <c r="D612" s="10">
        <v>82</v>
      </c>
      <c r="E612" s="10">
        <v>153</v>
      </c>
      <c r="F612" s="10">
        <v>33</v>
      </c>
    </row>
    <row r="613" spans="1:6">
      <c r="A613" s="10" t="s">
        <v>636</v>
      </c>
      <c r="B613" s="10">
        <v>102</v>
      </c>
      <c r="C613" s="21">
        <v>2.0133549035410529E-3</v>
      </c>
      <c r="D613" s="10">
        <v>97</v>
      </c>
      <c r="E613" s="10">
        <v>154</v>
      </c>
      <c r="F613" s="10">
        <v>27</v>
      </c>
    </row>
    <row r="614" spans="1:6">
      <c r="A614" s="10" t="s">
        <v>637</v>
      </c>
      <c r="B614" s="10">
        <v>84</v>
      </c>
      <c r="C614" s="21">
        <v>1.5600780015197564E-3</v>
      </c>
      <c r="D614" s="10">
        <v>87</v>
      </c>
      <c r="E614" s="10">
        <v>127</v>
      </c>
      <c r="F614" s="10">
        <v>29</v>
      </c>
    </row>
    <row r="615" spans="1:6">
      <c r="A615" s="10" t="s">
        <v>638</v>
      </c>
      <c r="B615" s="10">
        <v>104</v>
      </c>
      <c r="C615" s="21">
        <v>3.0169166803655279E-3</v>
      </c>
      <c r="D615" s="10">
        <v>61</v>
      </c>
      <c r="E615" s="10">
        <v>81</v>
      </c>
      <c r="F615" s="10">
        <v>47</v>
      </c>
    </row>
    <row r="616" spans="1:6">
      <c r="A616" s="10" t="s">
        <v>639</v>
      </c>
      <c r="B616" s="10">
        <v>106</v>
      </c>
      <c r="C616" s="21">
        <v>1.3339493144649858E-3</v>
      </c>
      <c r="D616" s="10">
        <v>51</v>
      </c>
      <c r="E616" s="10">
        <v>168</v>
      </c>
      <c r="F616" s="10">
        <v>19</v>
      </c>
    </row>
    <row r="617" spans="1:6">
      <c r="A617" s="10" t="s">
        <v>640</v>
      </c>
      <c r="B617" s="10">
        <v>128</v>
      </c>
      <c r="C617" s="21">
        <v>6.7168223840495371E-4</v>
      </c>
      <c r="D617" s="10">
        <v>53</v>
      </c>
      <c r="E617" s="10">
        <v>149</v>
      </c>
      <c r="F617" s="10">
        <v>23</v>
      </c>
    </row>
    <row r="618" spans="1:6">
      <c r="A618" s="10" t="s">
        <v>641</v>
      </c>
      <c r="B618" s="10">
        <v>98</v>
      </c>
      <c r="C618" s="21">
        <v>1.4214120544219862E-3</v>
      </c>
      <c r="D618" s="10">
        <v>68</v>
      </c>
      <c r="E618" s="10">
        <v>142</v>
      </c>
      <c r="F618" s="10">
        <v>26</v>
      </c>
    </row>
    <row r="619" spans="1:6">
      <c r="A619" s="10" t="s">
        <v>642</v>
      </c>
      <c r="B619" s="10">
        <v>76</v>
      </c>
      <c r="C619" s="21">
        <v>1.543723827899442E-3</v>
      </c>
      <c r="D619" s="10">
        <v>78</v>
      </c>
      <c r="E619" s="10">
        <v>126</v>
      </c>
      <c r="F619" s="10">
        <v>29</v>
      </c>
    </row>
    <row r="620" spans="1:6">
      <c r="A620" s="10" t="s">
        <v>643</v>
      </c>
      <c r="B620" s="10">
        <v>206</v>
      </c>
      <c r="C620" s="21">
        <v>8.8765317915685262E-4</v>
      </c>
      <c r="D620" s="10">
        <v>45</v>
      </c>
      <c r="E620" s="10">
        <v>145</v>
      </c>
      <c r="F620" s="10">
        <v>17</v>
      </c>
    </row>
    <row r="621" spans="1:6">
      <c r="A621" s="10" t="s">
        <v>644</v>
      </c>
      <c r="B621" s="10">
        <v>114</v>
      </c>
      <c r="C621" s="21">
        <v>1.3569854922031235E-3</v>
      </c>
      <c r="D621" s="10">
        <v>56</v>
      </c>
      <c r="E621" s="10">
        <v>161</v>
      </c>
      <c r="F621" s="10">
        <v>13</v>
      </c>
    </row>
    <row r="622" spans="1:6">
      <c r="A622" s="10" t="s">
        <v>645</v>
      </c>
      <c r="B622" s="10">
        <v>71</v>
      </c>
      <c r="C622" s="21">
        <v>2.4943552268314796E-3</v>
      </c>
      <c r="D622" s="10">
        <v>50</v>
      </c>
      <c r="E622" s="10">
        <v>138</v>
      </c>
      <c r="F622" s="10">
        <v>45</v>
      </c>
    </row>
    <row r="623" spans="1:6">
      <c r="A623" s="10" t="s">
        <v>646</v>
      </c>
      <c r="B623" s="10">
        <v>121</v>
      </c>
      <c r="C623" s="21">
        <v>2.6897896577926838E-3</v>
      </c>
      <c r="D623" s="10">
        <v>64</v>
      </c>
      <c r="E623" s="10">
        <v>111</v>
      </c>
      <c r="F623" s="10">
        <v>50</v>
      </c>
    </row>
    <row r="624" spans="1:6">
      <c r="A624" s="10" t="s">
        <v>647</v>
      </c>
      <c r="B624" s="10">
        <v>99</v>
      </c>
      <c r="C624" s="21">
        <v>5.0810894198339196E-4</v>
      </c>
      <c r="D624" s="10">
        <v>138</v>
      </c>
      <c r="E624" s="10">
        <v>184</v>
      </c>
      <c r="F624" s="10">
        <v>12</v>
      </c>
    </row>
    <row r="625" spans="1:6">
      <c r="A625" s="10" t="s">
        <v>648</v>
      </c>
      <c r="B625" s="10">
        <v>185</v>
      </c>
      <c r="C625" s="21">
        <v>7.2092874289690439E-4</v>
      </c>
      <c r="D625" s="10">
        <v>64</v>
      </c>
      <c r="E625" s="10">
        <v>111</v>
      </c>
      <c r="F625" s="10">
        <v>27</v>
      </c>
    </row>
    <row r="626" spans="1:6">
      <c r="A626" s="10" t="s">
        <v>649</v>
      </c>
      <c r="B626" s="10">
        <v>52</v>
      </c>
      <c r="C626" s="21">
        <v>1.9661390309548854E-3</v>
      </c>
      <c r="D626" s="10">
        <v>68</v>
      </c>
      <c r="E626" s="10">
        <v>136</v>
      </c>
      <c r="F626" s="10">
        <v>50</v>
      </c>
    </row>
    <row r="627" spans="1:6">
      <c r="A627" s="10" t="s">
        <v>651</v>
      </c>
      <c r="B627" s="10">
        <v>68</v>
      </c>
      <c r="C627" s="21">
        <v>2.373009776526019E-3</v>
      </c>
      <c r="D627" s="10">
        <v>36</v>
      </c>
      <c r="E627" s="10">
        <v>96</v>
      </c>
      <c r="F627" s="10">
        <v>34</v>
      </c>
    </row>
    <row r="628" spans="1:6">
      <c r="A628" s="10" t="s">
        <v>652</v>
      </c>
      <c r="B628" s="10">
        <v>194</v>
      </c>
      <c r="C628" s="21">
        <v>5.1965596296481581E-5</v>
      </c>
      <c r="D628" s="10">
        <v>68</v>
      </c>
      <c r="E628" s="10">
        <v>196</v>
      </c>
      <c r="F628" s="10">
        <v>7</v>
      </c>
    </row>
    <row r="629" spans="1:6">
      <c r="A629" s="10" t="s">
        <v>653</v>
      </c>
      <c r="B629" s="10">
        <v>133</v>
      </c>
      <c r="C629" s="21">
        <v>2.7221242926362388E-3</v>
      </c>
      <c r="D629" s="10">
        <v>40</v>
      </c>
      <c r="E629" s="10">
        <v>126</v>
      </c>
      <c r="F629" s="10">
        <v>50</v>
      </c>
    </row>
    <row r="630" spans="1:6">
      <c r="A630" s="10" t="s">
        <v>654</v>
      </c>
      <c r="B630" s="10">
        <v>126</v>
      </c>
      <c r="C630" s="21">
        <v>2.0142103799001732E-3</v>
      </c>
      <c r="D630" s="10">
        <v>35</v>
      </c>
      <c r="E630" s="10">
        <v>109</v>
      </c>
      <c r="F630" s="10">
        <v>35</v>
      </c>
    </row>
    <row r="631" spans="1:6">
      <c r="A631" s="10" t="s">
        <v>655</v>
      </c>
      <c r="B631" s="10">
        <v>226</v>
      </c>
      <c r="C631" s="21">
        <v>2.2587317923246147E-3</v>
      </c>
      <c r="D631" s="10">
        <v>78</v>
      </c>
      <c r="E631" s="10">
        <v>145</v>
      </c>
      <c r="F631" s="10">
        <v>33</v>
      </c>
    </row>
    <row r="632" spans="1:6">
      <c r="A632" s="10" t="s">
        <v>656</v>
      </c>
      <c r="B632" s="10">
        <v>74</v>
      </c>
      <c r="C632" s="21">
        <v>1.3084648166145425E-3</v>
      </c>
      <c r="D632" s="10">
        <v>75</v>
      </c>
      <c r="E632" s="10">
        <v>167</v>
      </c>
      <c r="F632" s="10">
        <v>24</v>
      </c>
    </row>
    <row r="633" spans="1:6">
      <c r="A633" s="10" t="s">
        <v>657</v>
      </c>
      <c r="B633" s="10">
        <v>54</v>
      </c>
      <c r="C633" s="21">
        <v>6.8158685435039173E-4</v>
      </c>
      <c r="D633" s="10">
        <v>78</v>
      </c>
      <c r="E633" s="10">
        <v>178</v>
      </c>
      <c r="F633" s="10">
        <v>24</v>
      </c>
    </row>
    <row r="634" spans="1:6">
      <c r="A634" s="10" t="s">
        <v>658</v>
      </c>
      <c r="B634" s="10">
        <v>88</v>
      </c>
      <c r="C634" s="21">
        <v>1.3716215018994343E-3</v>
      </c>
      <c r="D634" s="10">
        <v>79</v>
      </c>
      <c r="E634" s="10">
        <v>170</v>
      </c>
      <c r="F634" s="10">
        <v>24</v>
      </c>
    </row>
    <row r="635" spans="1:6">
      <c r="A635" s="10" t="s">
        <v>659</v>
      </c>
      <c r="B635" s="10">
        <v>104</v>
      </c>
      <c r="C635" s="21">
        <v>1.0180375759588193E-3</v>
      </c>
      <c r="D635" s="10">
        <v>81</v>
      </c>
      <c r="E635" s="10">
        <v>165</v>
      </c>
      <c r="F635" s="10">
        <v>21</v>
      </c>
    </row>
    <row r="636" spans="1:6">
      <c r="A636" s="10" t="s">
        <v>660</v>
      </c>
      <c r="B636" s="10">
        <v>123</v>
      </c>
      <c r="C636" s="21">
        <v>2.7257415691996079E-4</v>
      </c>
      <c r="D636" s="10">
        <v>89</v>
      </c>
      <c r="E636" s="10">
        <v>218</v>
      </c>
      <c r="F636" s="10">
        <v>14</v>
      </c>
    </row>
    <row r="637" spans="1:6">
      <c r="A637" s="10" t="s">
        <v>661</v>
      </c>
      <c r="B637" s="10">
        <v>87</v>
      </c>
      <c r="C637" s="21">
        <v>2.9019112780128958E-3</v>
      </c>
      <c r="D637" s="10">
        <v>98</v>
      </c>
      <c r="E637" s="10">
        <v>176</v>
      </c>
      <c r="F637" s="10">
        <v>21</v>
      </c>
    </row>
    <row r="638" spans="1:6">
      <c r="A638" s="10" t="s">
        <v>662</v>
      </c>
      <c r="B638" s="10">
        <v>71</v>
      </c>
      <c r="C638" s="21">
        <v>1.9123614890860761E-3</v>
      </c>
      <c r="D638" s="10">
        <v>44</v>
      </c>
      <c r="E638" s="10">
        <v>80</v>
      </c>
      <c r="F638" s="10">
        <v>57</v>
      </c>
    </row>
    <row r="639" spans="1:6">
      <c r="A639" s="10" t="s">
        <v>663</v>
      </c>
      <c r="B639" s="10">
        <v>129</v>
      </c>
      <c r="C639" s="21">
        <v>1.4198806480747598E-3</v>
      </c>
      <c r="D639" s="10">
        <v>58</v>
      </c>
      <c r="E639" s="10">
        <v>120</v>
      </c>
      <c r="F639" s="10">
        <v>25</v>
      </c>
    </row>
    <row r="640" spans="1:6">
      <c r="A640" s="10" t="s">
        <v>664</v>
      </c>
      <c r="B640" s="10">
        <v>311</v>
      </c>
      <c r="C640" s="21">
        <v>1.4235788888124525E-3</v>
      </c>
      <c r="D640" s="10">
        <v>15</v>
      </c>
      <c r="E640" s="10">
        <v>116</v>
      </c>
      <c r="F640" s="10">
        <v>32</v>
      </c>
    </row>
    <row r="641" spans="1:6">
      <c r="A641" s="10" t="s">
        <v>665</v>
      </c>
      <c r="B641" s="10">
        <v>177</v>
      </c>
      <c r="C641" s="21">
        <v>1.2373032425846344E-3</v>
      </c>
      <c r="D641" s="10">
        <v>67</v>
      </c>
      <c r="E641" s="10">
        <v>139</v>
      </c>
      <c r="F641" s="10">
        <v>23</v>
      </c>
    </row>
    <row r="642" spans="1:6">
      <c r="A642" s="10" t="s">
        <v>666</v>
      </c>
      <c r="C642" s="21">
        <v>1.1426898254894753E-3</v>
      </c>
      <c r="D642" s="10">
        <v>82</v>
      </c>
      <c r="E642" s="10">
        <v>163</v>
      </c>
      <c r="F642" s="10">
        <v>28</v>
      </c>
    </row>
    <row r="643" spans="1:6">
      <c r="A643" s="10" t="s">
        <v>667</v>
      </c>
      <c r="B643" s="10">
        <v>203</v>
      </c>
      <c r="C643" s="21">
        <v>1.1297116562729271E-3</v>
      </c>
      <c r="D643" s="10">
        <v>92</v>
      </c>
      <c r="E643" s="10">
        <v>178</v>
      </c>
      <c r="F643" s="10">
        <v>21</v>
      </c>
    </row>
    <row r="644" spans="1:6">
      <c r="A644" s="10" t="s">
        <v>668</v>
      </c>
      <c r="B644" s="10">
        <v>43</v>
      </c>
      <c r="C644" s="21">
        <v>1.6629633433017975E-3</v>
      </c>
      <c r="D644" s="10">
        <v>97</v>
      </c>
      <c r="E644" s="10">
        <v>155</v>
      </c>
      <c r="F644" s="10">
        <v>26</v>
      </c>
    </row>
    <row r="645" spans="1:6">
      <c r="A645" s="10" t="s">
        <v>669</v>
      </c>
      <c r="B645" s="10">
        <v>62</v>
      </c>
      <c r="C645" s="21">
        <v>1.6849419614151314E-3</v>
      </c>
      <c r="D645" s="10">
        <v>112</v>
      </c>
      <c r="E645" s="10">
        <v>177</v>
      </c>
      <c r="F645" s="10">
        <v>28</v>
      </c>
    </row>
    <row r="646" spans="1:6">
      <c r="A646" s="10" t="s">
        <v>670</v>
      </c>
      <c r="B646" s="10">
        <v>96</v>
      </c>
      <c r="C646" s="21">
        <v>5.8927935206429954E-4</v>
      </c>
      <c r="D646" s="10">
        <v>53</v>
      </c>
      <c r="E646" s="10">
        <v>152</v>
      </c>
      <c r="F646" s="10">
        <v>10</v>
      </c>
    </row>
    <row r="647" spans="1:6">
      <c r="A647" s="10" t="s">
        <v>671</v>
      </c>
      <c r="B647" s="10">
        <v>119</v>
      </c>
      <c r="C647" s="21">
        <v>1.5102163140849971E-3</v>
      </c>
      <c r="D647" s="10">
        <v>62</v>
      </c>
      <c r="E647" s="10">
        <v>131</v>
      </c>
      <c r="F647" s="10">
        <v>21</v>
      </c>
    </row>
    <row r="648" spans="1:6">
      <c r="A648" s="10" t="s">
        <v>672</v>
      </c>
      <c r="B648" s="10">
        <v>234</v>
      </c>
      <c r="C648" s="21">
        <v>2.003214586291113E-3</v>
      </c>
      <c r="D648" s="10">
        <v>30</v>
      </c>
      <c r="E648" s="10">
        <v>59</v>
      </c>
      <c r="F648" s="10">
        <v>56</v>
      </c>
    </row>
    <row r="649" spans="1:6">
      <c r="A649" s="10" t="s">
        <v>673</v>
      </c>
      <c r="B649" s="10">
        <v>182</v>
      </c>
      <c r="C649" s="21">
        <v>1.8699847393746805E-3</v>
      </c>
      <c r="D649" s="10">
        <v>52</v>
      </c>
      <c r="E649" s="10">
        <v>148</v>
      </c>
      <c r="F649" s="10">
        <v>35</v>
      </c>
    </row>
    <row r="650" spans="1:6">
      <c r="A650" s="10" t="s">
        <v>674</v>
      </c>
      <c r="B650" s="10">
        <v>43</v>
      </c>
      <c r="C650" s="21">
        <v>1.1140493975313795E-3</v>
      </c>
      <c r="D650" s="10">
        <v>110</v>
      </c>
      <c r="E650" s="10">
        <v>201</v>
      </c>
      <c r="F650" s="10">
        <v>23</v>
      </c>
    </row>
    <row r="651" spans="1:6">
      <c r="A651" s="10" t="s">
        <v>675</v>
      </c>
      <c r="B651" s="10">
        <v>73</v>
      </c>
      <c r="C651" s="21">
        <v>9.235927332861178E-4</v>
      </c>
      <c r="D651" s="10">
        <v>83</v>
      </c>
      <c r="E651" s="10">
        <v>186</v>
      </c>
      <c r="F651" s="10">
        <v>14</v>
      </c>
    </row>
    <row r="652" spans="1:6">
      <c r="A652" s="10" t="s">
        <v>676</v>
      </c>
      <c r="B652" s="10">
        <v>52</v>
      </c>
      <c r="C652" s="21">
        <v>9.1452848364951243E-4</v>
      </c>
      <c r="D652" s="10">
        <v>98</v>
      </c>
      <c r="E652" s="10">
        <v>191</v>
      </c>
      <c r="F652" s="10">
        <v>29</v>
      </c>
    </row>
    <row r="653" spans="1:6">
      <c r="A653" s="10" t="s">
        <v>677</v>
      </c>
      <c r="B653" s="10">
        <v>141</v>
      </c>
      <c r="C653" s="21">
        <v>7.9524527268505236E-4</v>
      </c>
      <c r="D653" s="10">
        <v>86</v>
      </c>
      <c r="E653" s="10">
        <v>166</v>
      </c>
      <c r="F653" s="10">
        <v>22</v>
      </c>
    </row>
    <row r="654" spans="1:6">
      <c r="A654" s="10" t="s">
        <v>678</v>
      </c>
      <c r="B654" s="10">
        <v>187</v>
      </c>
      <c r="C654" s="21">
        <v>6.1338297487642263E-4</v>
      </c>
      <c r="D654" s="10">
        <v>94</v>
      </c>
      <c r="E654" s="10">
        <v>187</v>
      </c>
      <c r="F654" s="10">
        <v>25</v>
      </c>
    </row>
    <row r="655" spans="1:6">
      <c r="A655" s="10" t="s">
        <v>679</v>
      </c>
      <c r="B655" s="10">
        <v>33</v>
      </c>
      <c r="C655" s="21">
        <v>1.8941122618604588E-3</v>
      </c>
      <c r="D655" s="10">
        <v>43</v>
      </c>
      <c r="E655" s="10">
        <v>143</v>
      </c>
      <c r="F655" s="10">
        <v>44</v>
      </c>
    </row>
    <row r="656" spans="1:6">
      <c r="A656" s="10" t="s">
        <v>680</v>
      </c>
      <c r="B656" s="10">
        <v>58</v>
      </c>
      <c r="C656" s="21">
        <v>1.3986906220521955E-3</v>
      </c>
      <c r="D656" s="10">
        <v>35</v>
      </c>
      <c r="E656" s="10">
        <v>113</v>
      </c>
      <c r="F656" s="10">
        <v>32</v>
      </c>
    </row>
    <row r="657" spans="1:6">
      <c r="A657" s="10" t="s">
        <v>681</v>
      </c>
      <c r="B657" s="10">
        <v>120</v>
      </c>
      <c r="C657" s="21">
        <v>1.7651255227039862E-3</v>
      </c>
      <c r="D657" s="10">
        <v>87</v>
      </c>
      <c r="E657" s="10">
        <v>106</v>
      </c>
      <c r="F657" s="10">
        <v>28</v>
      </c>
    </row>
    <row r="658" spans="1:6">
      <c r="A658" s="10" t="s">
        <v>682</v>
      </c>
      <c r="B658" s="10">
        <v>107</v>
      </c>
      <c r="C658" s="21">
        <v>9.5327513530995739E-5</v>
      </c>
      <c r="D658" s="10">
        <v>102</v>
      </c>
      <c r="E658" s="10">
        <v>194</v>
      </c>
      <c r="F658" s="10">
        <v>17</v>
      </c>
    </row>
    <row r="659" spans="1:6">
      <c r="A659" s="10" t="s">
        <v>683</v>
      </c>
      <c r="B659" s="10">
        <v>57</v>
      </c>
      <c r="C659" s="21">
        <v>4.8145100249820258E-4</v>
      </c>
      <c r="D659" s="10">
        <v>93</v>
      </c>
      <c r="E659" s="10">
        <v>216</v>
      </c>
      <c r="F659" s="10">
        <v>22</v>
      </c>
    </row>
    <row r="660" spans="1:6">
      <c r="A660" s="10" t="s">
        <v>684</v>
      </c>
      <c r="B660" s="10">
        <v>50</v>
      </c>
      <c r="C660" s="21">
        <v>7.6744666331988337E-4</v>
      </c>
      <c r="D660" s="10">
        <v>53</v>
      </c>
      <c r="E660" s="10">
        <v>122</v>
      </c>
      <c r="F660" s="10">
        <v>32</v>
      </c>
    </row>
    <row r="661" spans="1:6">
      <c r="A661" s="10" t="s">
        <v>685</v>
      </c>
      <c r="B661" s="10">
        <v>75</v>
      </c>
      <c r="C661" s="21">
        <v>1.9668115049834758E-3</v>
      </c>
      <c r="D661" s="10">
        <v>94</v>
      </c>
      <c r="E661" s="10">
        <v>159</v>
      </c>
      <c r="F661" s="10">
        <v>33</v>
      </c>
    </row>
    <row r="662" spans="1:6">
      <c r="A662" s="10" t="s">
        <v>686</v>
      </c>
      <c r="B662" s="10">
        <v>250</v>
      </c>
      <c r="C662" s="21">
        <v>2.3092915220357139E-3</v>
      </c>
      <c r="D662" s="10">
        <v>58</v>
      </c>
      <c r="E662" s="10">
        <v>147</v>
      </c>
      <c r="F662" s="10">
        <v>18</v>
      </c>
    </row>
    <row r="663" spans="1:6">
      <c r="A663" s="10" t="s">
        <v>687</v>
      </c>
      <c r="B663" s="10">
        <v>104</v>
      </c>
      <c r="C663" s="21">
        <v>1.4454814719909673E-3</v>
      </c>
      <c r="D663" s="10">
        <v>26</v>
      </c>
      <c r="E663" s="10">
        <v>100</v>
      </c>
      <c r="F663" s="10">
        <v>33</v>
      </c>
    </row>
    <row r="664" spans="1:6">
      <c r="A664" s="10" t="s">
        <v>688</v>
      </c>
      <c r="B664" s="10">
        <v>58</v>
      </c>
      <c r="C664" s="21">
        <v>8.3860147491108964E-4</v>
      </c>
      <c r="D664" s="10">
        <v>111</v>
      </c>
      <c r="E664" s="10">
        <v>205</v>
      </c>
      <c r="F664" s="10">
        <v>29</v>
      </c>
    </row>
    <row r="665" spans="1:6">
      <c r="A665" s="10" t="s">
        <v>689</v>
      </c>
      <c r="B665" s="10">
        <v>83</v>
      </c>
      <c r="C665" s="21">
        <v>1.0111311626965444E-3</v>
      </c>
      <c r="D665" s="10">
        <v>84</v>
      </c>
      <c r="E665" s="10">
        <v>170</v>
      </c>
      <c r="F665" s="10">
        <v>36</v>
      </c>
    </row>
    <row r="666" spans="1:6">
      <c r="A666" s="10" t="s">
        <v>690</v>
      </c>
      <c r="B666" s="10">
        <v>51</v>
      </c>
      <c r="C666" s="21">
        <v>1.0690427444627483E-3</v>
      </c>
      <c r="D666" s="10">
        <v>104</v>
      </c>
      <c r="E666" s="10">
        <v>164</v>
      </c>
      <c r="F666" s="10">
        <v>33</v>
      </c>
    </row>
    <row r="667" spans="1:6">
      <c r="A667" s="10" t="s">
        <v>691</v>
      </c>
      <c r="B667" s="10">
        <v>47</v>
      </c>
      <c r="C667" s="21">
        <v>9.4381244674807564E-4</v>
      </c>
      <c r="D667" s="10">
        <v>61</v>
      </c>
      <c r="E667" s="10">
        <v>114</v>
      </c>
      <c r="F667" s="10">
        <v>35</v>
      </c>
    </row>
    <row r="668" spans="1:6">
      <c r="A668" s="10" t="s">
        <v>692</v>
      </c>
      <c r="B668" s="10">
        <v>114</v>
      </c>
      <c r="C668" s="21">
        <v>2.6786639616444654E-3</v>
      </c>
      <c r="D668" s="10">
        <v>41</v>
      </c>
      <c r="E668" s="10">
        <v>113</v>
      </c>
      <c r="F668" s="10">
        <v>27</v>
      </c>
    </row>
    <row r="669" spans="1:6">
      <c r="A669" s="10" t="s">
        <v>693</v>
      </c>
      <c r="B669" s="10">
        <v>64</v>
      </c>
      <c r="C669" s="21">
        <v>4.5165284057089244E-5</v>
      </c>
      <c r="D669" s="10">
        <v>95</v>
      </c>
      <c r="E669" s="10">
        <v>186</v>
      </c>
      <c r="F669" s="10">
        <v>14</v>
      </c>
    </row>
    <row r="670" spans="1:6">
      <c r="A670" s="10" t="s">
        <v>694</v>
      </c>
      <c r="B670" s="10">
        <v>50</v>
      </c>
      <c r="C670" s="21">
        <v>1.9366485536107321E-3</v>
      </c>
      <c r="D670" s="10">
        <v>111</v>
      </c>
      <c r="E670" s="10">
        <v>146</v>
      </c>
      <c r="F670" s="10">
        <v>43</v>
      </c>
    </row>
    <row r="671" spans="1:6">
      <c r="A671" s="10" t="s">
        <v>695</v>
      </c>
      <c r="B671" s="10">
        <v>30</v>
      </c>
      <c r="C671" s="21">
        <v>8.7796873972812686E-4</v>
      </c>
      <c r="D671" s="10">
        <v>76</v>
      </c>
      <c r="E671" s="10">
        <v>157</v>
      </c>
      <c r="F671" s="10">
        <v>42</v>
      </c>
    </row>
    <row r="672" spans="1:6">
      <c r="A672" s="10" t="s">
        <v>696</v>
      </c>
      <c r="B672" s="10">
        <v>89</v>
      </c>
      <c r="C672" s="21">
        <v>1.4252914288792992E-3</v>
      </c>
      <c r="D672" s="10">
        <v>105</v>
      </c>
      <c r="E672" s="10">
        <v>161</v>
      </c>
      <c r="F672" s="10">
        <v>34</v>
      </c>
    </row>
    <row r="673" spans="1:6">
      <c r="A673" s="10" t="s">
        <v>697</v>
      </c>
      <c r="B673" s="10">
        <v>51</v>
      </c>
      <c r="C673" s="21">
        <v>1.2479773904986093E-3</v>
      </c>
      <c r="D673" s="10">
        <v>126</v>
      </c>
      <c r="E673" s="10">
        <v>204</v>
      </c>
      <c r="F673" s="10">
        <v>21</v>
      </c>
    </row>
    <row r="674" spans="1:6">
      <c r="A674" s="10" t="s">
        <v>698</v>
      </c>
      <c r="B674" s="10">
        <v>93</v>
      </c>
      <c r="C674" s="21">
        <v>2.5893057931747712E-3</v>
      </c>
      <c r="D674" s="10">
        <v>87</v>
      </c>
      <c r="E674" s="10">
        <v>137</v>
      </c>
      <c r="F674" s="10">
        <v>14</v>
      </c>
    </row>
    <row r="675" spans="1:6">
      <c r="A675" s="10" t="s">
        <v>699</v>
      </c>
      <c r="B675" s="10">
        <v>57</v>
      </c>
      <c r="C675" s="21">
        <v>1.056842027736018E-3</v>
      </c>
      <c r="D675" s="10">
        <v>84</v>
      </c>
      <c r="E675" s="10">
        <v>171</v>
      </c>
      <c r="F675" s="10">
        <v>30</v>
      </c>
    </row>
    <row r="676" spans="1:6">
      <c r="A676" s="10" t="s">
        <v>700</v>
      </c>
      <c r="B676" s="10">
        <v>116</v>
      </c>
      <c r="C676" s="21">
        <v>1.8186504109473851E-3</v>
      </c>
      <c r="D676" s="10">
        <v>90</v>
      </c>
      <c r="E676" s="10">
        <v>134</v>
      </c>
      <c r="F676" s="10">
        <v>27</v>
      </c>
    </row>
    <row r="677" spans="1:6">
      <c r="A677" s="10" t="s">
        <v>701</v>
      </c>
      <c r="B677" s="10">
        <v>56</v>
      </c>
      <c r="C677" s="21">
        <v>8.833030129086789E-4</v>
      </c>
      <c r="D677" s="10">
        <v>154</v>
      </c>
      <c r="E677" s="10">
        <v>190</v>
      </c>
      <c r="F677" s="10">
        <v>25</v>
      </c>
    </row>
    <row r="678" spans="1:6">
      <c r="A678" s="10" t="s">
        <v>702</v>
      </c>
      <c r="B678" s="10">
        <v>61</v>
      </c>
      <c r="C678" s="21">
        <v>1.2269376151985776E-3</v>
      </c>
      <c r="D678" s="10">
        <v>66</v>
      </c>
      <c r="E678" s="10">
        <v>112</v>
      </c>
      <c r="F678" s="10">
        <v>34</v>
      </c>
    </row>
    <row r="679" spans="1:6">
      <c r="A679" s="10" t="s">
        <v>703</v>
      </c>
      <c r="B679" s="10">
        <v>66</v>
      </c>
      <c r="C679" s="21">
        <v>2.5233127493796823E-4</v>
      </c>
      <c r="D679" s="10">
        <v>66</v>
      </c>
      <c r="E679" s="10">
        <v>150</v>
      </c>
      <c r="F679" s="10">
        <v>34</v>
      </c>
    </row>
    <row r="680" spans="1:6">
      <c r="A680" s="10" t="s">
        <v>704</v>
      </c>
      <c r="B680" s="10">
        <v>43</v>
      </c>
      <c r="C680" s="21">
        <v>3.8625191213990571E-3</v>
      </c>
      <c r="D680" s="10">
        <v>96</v>
      </c>
      <c r="E680" s="10">
        <v>110</v>
      </c>
      <c r="F680" s="10">
        <v>55</v>
      </c>
    </row>
    <row r="681" spans="1:6">
      <c r="A681" s="10" t="s">
        <v>705</v>
      </c>
      <c r="B681" s="10">
        <v>100</v>
      </c>
      <c r="C681" s="21">
        <v>4.9504093667417733E-4</v>
      </c>
      <c r="D681" s="10">
        <v>77</v>
      </c>
      <c r="E681" s="10">
        <v>130</v>
      </c>
      <c r="F681" s="10">
        <v>18</v>
      </c>
    </row>
    <row r="682" spans="1:6">
      <c r="A682" s="10" t="s">
        <v>706</v>
      </c>
      <c r="B682" s="10">
        <v>90</v>
      </c>
      <c r="C682" s="21">
        <v>8.3996249918305175E-4</v>
      </c>
      <c r="D682" s="10">
        <v>64</v>
      </c>
      <c r="E682" s="10">
        <v>167</v>
      </c>
      <c r="F682" s="10">
        <v>16</v>
      </c>
    </row>
    <row r="683" spans="1:6">
      <c r="A683" s="10" t="s">
        <v>707</v>
      </c>
      <c r="B683" s="10">
        <v>112</v>
      </c>
      <c r="C683" s="21">
        <v>1.0221200699612198E-3</v>
      </c>
      <c r="D683" s="10">
        <v>73</v>
      </c>
      <c r="E683" s="10">
        <v>160</v>
      </c>
      <c r="F683" s="10">
        <v>19</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85F9-1651-46BE-B242-D7DE0D9EE157}">
  <dimension ref="A1:N683"/>
  <sheetViews>
    <sheetView workbookViewId="0">
      <selection activeCell="L15" sqref="L15"/>
    </sheetView>
  </sheetViews>
  <sheetFormatPr defaultRowHeight="18.75"/>
  <sheetData>
    <row r="1" spans="1:14">
      <c r="A1" s="10" t="s">
        <v>3</v>
      </c>
      <c r="B1" s="10" t="s">
        <v>6</v>
      </c>
      <c r="C1" s="21" t="s">
        <v>7</v>
      </c>
      <c r="D1" s="10" t="s">
        <v>8</v>
      </c>
      <c r="E1" s="10" t="s">
        <v>9</v>
      </c>
      <c r="F1" s="10" t="s">
        <v>10</v>
      </c>
    </row>
    <row r="2" spans="1:14">
      <c r="A2" s="10" t="s">
        <v>11</v>
      </c>
      <c r="B2" s="10">
        <v>75</v>
      </c>
      <c r="C2" s="21">
        <v>4.2692590691069485E-4</v>
      </c>
      <c r="D2" s="10">
        <v>65</v>
      </c>
      <c r="E2" s="10">
        <v>120</v>
      </c>
      <c r="F2" s="10">
        <v>22</v>
      </c>
    </row>
    <row r="3" spans="1:14">
      <c r="A3" s="10" t="s">
        <v>14</v>
      </c>
      <c r="B3" s="10">
        <v>73</v>
      </c>
      <c r="C3" s="21">
        <v>2.9505530959696036E-3</v>
      </c>
      <c r="D3" s="10">
        <v>1000</v>
      </c>
      <c r="E3" s="10">
        <v>1520</v>
      </c>
      <c r="F3" s="10">
        <v>49</v>
      </c>
      <c r="I3" s="10" t="s">
        <v>769</v>
      </c>
    </row>
    <row r="4" spans="1:14">
      <c r="A4" s="10" t="s">
        <v>15</v>
      </c>
      <c r="B4" s="10">
        <v>101</v>
      </c>
      <c r="C4" s="21">
        <v>4.2201445360469389E-3</v>
      </c>
      <c r="D4" s="10">
        <v>139</v>
      </c>
      <c r="E4" s="10">
        <v>208</v>
      </c>
      <c r="F4" s="10">
        <v>19</v>
      </c>
      <c r="I4" s="10" t="s">
        <v>770</v>
      </c>
    </row>
    <row r="5" spans="1:14">
      <c r="A5" s="10" t="s">
        <v>17</v>
      </c>
      <c r="B5" s="10">
        <v>74</v>
      </c>
      <c r="C5" s="21">
        <v>3.5404367313607386E-4</v>
      </c>
      <c r="D5" s="10">
        <v>41</v>
      </c>
      <c r="E5" s="10">
        <v>142</v>
      </c>
      <c r="F5" s="10">
        <v>14</v>
      </c>
      <c r="I5" s="10"/>
    </row>
    <row r="6" spans="1:14">
      <c r="A6" s="10" t="s">
        <v>18</v>
      </c>
      <c r="B6" s="10">
        <v>127</v>
      </c>
      <c r="C6" s="21">
        <v>1.3707360375521227E-3</v>
      </c>
      <c r="D6" s="10">
        <v>66</v>
      </c>
      <c r="E6" s="10">
        <v>127</v>
      </c>
      <c r="F6" s="10">
        <v>19</v>
      </c>
      <c r="I6" s="10"/>
    </row>
    <row r="7" spans="1:14" ht="19.5" thickBot="1">
      <c r="A7" s="10" t="s">
        <v>19</v>
      </c>
      <c r="B7" s="10">
        <v>88</v>
      </c>
      <c r="C7" s="21">
        <v>2.3751749290849417E-3</v>
      </c>
      <c r="D7" s="10">
        <v>82</v>
      </c>
      <c r="E7" s="10">
        <v>157</v>
      </c>
      <c r="F7" s="10">
        <v>25</v>
      </c>
      <c r="I7" s="10" t="s">
        <v>771</v>
      </c>
    </row>
    <row r="8" spans="1:14">
      <c r="A8" s="10" t="s">
        <v>21</v>
      </c>
      <c r="B8" s="10">
        <v>86</v>
      </c>
      <c r="C8" s="21">
        <v>1.1394207070318301E-3</v>
      </c>
      <c r="D8" s="10">
        <v>69</v>
      </c>
      <c r="E8" s="10">
        <v>129</v>
      </c>
      <c r="F8" s="10">
        <v>27</v>
      </c>
      <c r="I8" s="8"/>
      <c r="J8" s="8" t="s">
        <v>774</v>
      </c>
      <c r="K8" s="8" t="s">
        <v>775</v>
      </c>
      <c r="L8" s="8" t="s">
        <v>776</v>
      </c>
      <c r="M8" s="8" t="s">
        <v>9</v>
      </c>
      <c r="N8" s="8" t="s">
        <v>716</v>
      </c>
    </row>
    <row r="9" spans="1:14">
      <c r="A9" s="10" t="s">
        <v>22</v>
      </c>
      <c r="B9" s="10">
        <v>102</v>
      </c>
      <c r="C9" s="21">
        <v>2.4748315353126807E-3</v>
      </c>
      <c r="D9" s="10">
        <v>2000</v>
      </c>
      <c r="E9" s="10">
        <v>2680</v>
      </c>
      <c r="F9" s="10">
        <v>51</v>
      </c>
      <c r="I9" t="s">
        <v>774</v>
      </c>
      <c r="J9">
        <v>1</v>
      </c>
    </row>
    <row r="10" spans="1:14">
      <c r="A10" s="10" t="s">
        <v>23</v>
      </c>
      <c r="B10" s="10">
        <v>120</v>
      </c>
      <c r="C10" s="21">
        <v>2.0862080444302299E-3</v>
      </c>
      <c r="D10" s="10">
        <v>61</v>
      </c>
      <c r="E10" s="10">
        <v>149</v>
      </c>
      <c r="F10" s="10">
        <v>33</v>
      </c>
      <c r="I10" t="s">
        <v>775</v>
      </c>
      <c r="J10">
        <v>-2.692857797354229E-3</v>
      </c>
      <c r="K10">
        <v>1</v>
      </c>
    </row>
    <row r="11" spans="1:14">
      <c r="A11" s="10" t="s">
        <v>24</v>
      </c>
      <c r="B11" s="10">
        <v>79</v>
      </c>
      <c r="C11" s="21">
        <v>1.0456175653593323E-3</v>
      </c>
      <c r="D11" s="10">
        <v>100</v>
      </c>
      <c r="E11" s="10">
        <v>195</v>
      </c>
      <c r="F11" s="10">
        <v>14</v>
      </c>
      <c r="I11" t="s">
        <v>776</v>
      </c>
      <c r="J11">
        <v>-3.2979538464554134E-2</v>
      </c>
      <c r="K11">
        <v>1.6852388975373844E-2</v>
      </c>
      <c r="L11">
        <v>1</v>
      </c>
    </row>
    <row r="12" spans="1:14">
      <c r="A12" s="10" t="s">
        <v>25</v>
      </c>
      <c r="B12" s="10">
        <v>94</v>
      </c>
      <c r="C12" s="21">
        <v>1.2934086414905417E-3</v>
      </c>
      <c r="D12" s="10">
        <v>41</v>
      </c>
      <c r="E12" s="10">
        <v>150</v>
      </c>
      <c r="F12" s="10">
        <v>25</v>
      </c>
      <c r="I12" t="s">
        <v>9</v>
      </c>
      <c r="J12">
        <v>-4.8667896967275887E-2</v>
      </c>
      <c r="K12">
        <v>-8.6283046238344787E-3</v>
      </c>
      <c r="L12">
        <v>0.96843250353948418</v>
      </c>
      <c r="M12">
        <v>1</v>
      </c>
    </row>
    <row r="13" spans="1:14" ht="19.5" thickBot="1">
      <c r="A13" s="10" t="s">
        <v>26</v>
      </c>
      <c r="B13" s="10">
        <v>96</v>
      </c>
      <c r="C13" s="21">
        <v>2.2437389010099575E-3</v>
      </c>
      <c r="D13" s="10">
        <v>41</v>
      </c>
      <c r="E13" s="10">
        <v>108</v>
      </c>
      <c r="F13" s="10">
        <v>34</v>
      </c>
      <c r="I13" s="7" t="s">
        <v>716</v>
      </c>
      <c r="J13" s="7">
        <v>-8.6357557776148182E-3</v>
      </c>
      <c r="K13" s="7">
        <v>0.52907231214780082</v>
      </c>
      <c r="L13" s="7">
        <v>1.7586982579003323E-3</v>
      </c>
      <c r="M13" s="7">
        <v>-4.8185016579723391E-2</v>
      </c>
      <c r="N13" s="7">
        <v>1</v>
      </c>
    </row>
    <row r="14" spans="1:14">
      <c r="A14" s="10" t="s">
        <v>27</v>
      </c>
      <c r="B14" s="10">
        <v>78</v>
      </c>
      <c r="C14" s="21">
        <v>1.65056134154929E-3</v>
      </c>
      <c r="D14" s="10">
        <v>59</v>
      </c>
      <c r="E14" s="10">
        <v>150</v>
      </c>
      <c r="F14" s="10">
        <v>21</v>
      </c>
    </row>
    <row r="15" spans="1:14">
      <c r="A15" s="10" t="s">
        <v>28</v>
      </c>
      <c r="B15" s="10">
        <v>86</v>
      </c>
      <c r="C15" s="21">
        <v>1.268554239632496E-3</v>
      </c>
      <c r="D15" s="10">
        <v>43</v>
      </c>
      <c r="E15" s="10">
        <v>130</v>
      </c>
      <c r="F15" s="10">
        <v>26</v>
      </c>
    </row>
    <row r="16" spans="1:14">
      <c r="A16" s="10" t="s">
        <v>29</v>
      </c>
      <c r="B16" s="10">
        <v>123</v>
      </c>
      <c r="C16" s="21">
        <v>1.6889598223240776E-3</v>
      </c>
      <c r="D16" s="10">
        <v>101</v>
      </c>
      <c r="E16" s="10">
        <v>163</v>
      </c>
      <c r="F16" s="10">
        <v>15</v>
      </c>
    </row>
    <row r="17" spans="1:6">
      <c r="A17" s="10" t="s">
        <v>30</v>
      </c>
      <c r="B17" s="10">
        <v>61</v>
      </c>
      <c r="C17" s="21">
        <v>1.0730189986418192E-3</v>
      </c>
      <c r="D17" s="10">
        <v>63</v>
      </c>
      <c r="E17" s="10">
        <v>137</v>
      </c>
      <c r="F17" s="10">
        <v>18</v>
      </c>
    </row>
    <row r="18" spans="1:6">
      <c r="A18" s="10" t="s">
        <v>33</v>
      </c>
      <c r="B18" s="10">
        <v>248</v>
      </c>
      <c r="C18" s="21">
        <v>1.4299549953371517E-3</v>
      </c>
      <c r="D18" s="10">
        <v>70</v>
      </c>
      <c r="E18" s="10">
        <v>155</v>
      </c>
      <c r="F18" s="10">
        <v>26</v>
      </c>
    </row>
    <row r="19" spans="1:6">
      <c r="A19" s="10" t="s">
        <v>35</v>
      </c>
      <c r="B19" s="10">
        <v>247</v>
      </c>
      <c r="C19" s="21">
        <v>1.695018637021452E-3</v>
      </c>
      <c r="D19" s="10">
        <v>77</v>
      </c>
      <c r="E19" s="10">
        <v>162</v>
      </c>
      <c r="F19" s="10">
        <v>23</v>
      </c>
    </row>
    <row r="20" spans="1:6">
      <c r="A20" s="10" t="s">
        <v>36</v>
      </c>
      <c r="B20" s="10">
        <v>97</v>
      </c>
      <c r="C20" s="21">
        <v>5.000370927470835E-4</v>
      </c>
      <c r="D20" s="10">
        <v>114</v>
      </c>
      <c r="E20" s="10">
        <v>211</v>
      </c>
      <c r="F20" s="10">
        <v>21</v>
      </c>
    </row>
    <row r="21" spans="1:6">
      <c r="A21" s="10" t="s">
        <v>38</v>
      </c>
      <c r="B21" s="10">
        <v>386</v>
      </c>
      <c r="C21" s="21">
        <v>1.75568843201344E-3</v>
      </c>
      <c r="D21" s="10">
        <v>85</v>
      </c>
      <c r="E21" s="10">
        <v>126</v>
      </c>
      <c r="F21" s="10">
        <v>36</v>
      </c>
    </row>
    <row r="22" spans="1:6">
      <c r="A22" s="10" t="s">
        <v>40</v>
      </c>
      <c r="B22" s="10">
        <v>595</v>
      </c>
      <c r="C22" s="21">
        <v>1.080098476381605E-3</v>
      </c>
      <c r="D22" s="10">
        <v>86</v>
      </c>
      <c r="E22" s="10">
        <v>167</v>
      </c>
      <c r="F22" s="10">
        <v>24</v>
      </c>
    </row>
    <row r="23" spans="1:6">
      <c r="A23" s="10" t="s">
        <v>41</v>
      </c>
      <c r="B23" s="10">
        <v>120</v>
      </c>
      <c r="C23" s="21">
        <v>7.7436330778253939E-4</v>
      </c>
      <c r="D23" s="10">
        <v>44</v>
      </c>
      <c r="E23" s="10">
        <v>142</v>
      </c>
      <c r="F23" s="10">
        <v>35</v>
      </c>
    </row>
    <row r="24" spans="1:6">
      <c r="A24" s="10" t="s">
        <v>43</v>
      </c>
      <c r="B24" s="10">
        <v>44</v>
      </c>
      <c r="C24" s="21">
        <v>3.6543728024486489E-4</v>
      </c>
      <c r="D24" s="10">
        <v>62</v>
      </c>
      <c r="E24" s="10">
        <v>129</v>
      </c>
      <c r="F24" s="10">
        <v>18</v>
      </c>
    </row>
    <row r="25" spans="1:6">
      <c r="A25" s="10" t="s">
        <v>44</v>
      </c>
      <c r="B25" s="10">
        <v>153</v>
      </c>
      <c r="C25" s="21">
        <v>1.139370416200489E-3</v>
      </c>
      <c r="D25" s="10">
        <v>102</v>
      </c>
      <c r="E25" s="10">
        <v>199</v>
      </c>
      <c r="F25" s="10">
        <v>25</v>
      </c>
    </row>
    <row r="26" spans="1:6">
      <c r="A26" s="10" t="s">
        <v>45</v>
      </c>
      <c r="B26" s="10">
        <v>88</v>
      </c>
      <c r="C26" s="21">
        <v>1.90589103227635E-3</v>
      </c>
      <c r="D26" s="10">
        <v>54</v>
      </c>
      <c r="E26" s="10">
        <v>176</v>
      </c>
      <c r="F26" s="10">
        <v>31</v>
      </c>
    </row>
    <row r="27" spans="1:6">
      <c r="A27" s="10" t="s">
        <v>46</v>
      </c>
      <c r="B27" s="10">
        <v>364</v>
      </c>
      <c r="C27" s="21">
        <v>2.4503253327124806E-3</v>
      </c>
      <c r="D27" s="10">
        <v>86</v>
      </c>
      <c r="E27" s="10">
        <v>158</v>
      </c>
      <c r="F27" s="10">
        <v>33</v>
      </c>
    </row>
    <row r="28" spans="1:6">
      <c r="A28" s="10" t="s">
        <v>47</v>
      </c>
      <c r="B28" s="10">
        <v>191</v>
      </c>
      <c r="C28" s="21">
        <v>5.061177044290774E-4</v>
      </c>
      <c r="D28" s="10">
        <v>105</v>
      </c>
      <c r="E28" s="10">
        <v>206</v>
      </c>
      <c r="F28" s="10">
        <v>15</v>
      </c>
    </row>
    <row r="29" spans="1:6">
      <c r="A29" s="10" t="s">
        <v>48</v>
      </c>
      <c r="B29" s="10">
        <v>97</v>
      </c>
      <c r="C29" s="21">
        <v>5.896401655375239E-4</v>
      </c>
      <c r="D29" s="10">
        <v>55</v>
      </c>
      <c r="E29" s="10">
        <v>152</v>
      </c>
      <c r="F29" s="10">
        <v>24</v>
      </c>
    </row>
    <row r="30" spans="1:6">
      <c r="A30" s="10" t="s">
        <v>49</v>
      </c>
      <c r="B30" s="10">
        <v>219</v>
      </c>
      <c r="C30" s="21">
        <v>1.4506981799446105E-3</v>
      </c>
      <c r="D30" s="10">
        <v>69</v>
      </c>
      <c r="E30" s="10">
        <v>112</v>
      </c>
      <c r="F30" s="10">
        <v>26</v>
      </c>
    </row>
    <row r="31" spans="1:6">
      <c r="A31" s="10" t="s">
        <v>51</v>
      </c>
      <c r="B31" s="10">
        <v>450</v>
      </c>
      <c r="C31" s="21">
        <v>1.9150063838989024E-3</v>
      </c>
      <c r="D31" s="10">
        <v>84</v>
      </c>
      <c r="E31" s="10">
        <v>177</v>
      </c>
      <c r="F31" s="10">
        <v>25</v>
      </c>
    </row>
    <row r="32" spans="1:6">
      <c r="A32" s="10" t="s">
        <v>52</v>
      </c>
      <c r="B32" s="10">
        <v>673</v>
      </c>
      <c r="C32" s="21">
        <v>2.3475377967311201E-3</v>
      </c>
      <c r="D32" s="10">
        <v>82</v>
      </c>
      <c r="E32" s="10">
        <v>112</v>
      </c>
      <c r="F32" s="10">
        <v>30</v>
      </c>
    </row>
    <row r="33" spans="1:6">
      <c r="A33" s="10" t="s">
        <v>53</v>
      </c>
      <c r="B33" s="10">
        <v>134</v>
      </c>
      <c r="C33" s="21">
        <v>6.0939843889785148E-4</v>
      </c>
      <c r="D33" s="10">
        <v>70</v>
      </c>
      <c r="E33" s="10">
        <v>160</v>
      </c>
      <c r="F33" s="10">
        <v>37</v>
      </c>
    </row>
    <row r="34" spans="1:6">
      <c r="A34" s="10" t="s">
        <v>54</v>
      </c>
      <c r="B34" s="10">
        <v>105</v>
      </c>
      <c r="C34" s="21">
        <v>2.0265383765274815E-3</v>
      </c>
      <c r="D34" s="10">
        <v>55</v>
      </c>
      <c r="E34" s="10">
        <v>168</v>
      </c>
      <c r="F34" s="10">
        <v>38</v>
      </c>
    </row>
    <row r="35" spans="1:6">
      <c r="A35" s="10" t="s">
        <v>55</v>
      </c>
      <c r="B35" s="10">
        <v>53</v>
      </c>
      <c r="C35" s="21">
        <v>1.471275994124218E-3</v>
      </c>
      <c r="D35" s="10">
        <v>43</v>
      </c>
      <c r="E35" s="10">
        <v>134</v>
      </c>
      <c r="F35" s="10">
        <v>25</v>
      </c>
    </row>
    <row r="36" spans="1:6">
      <c r="A36" s="10" t="s">
        <v>56</v>
      </c>
      <c r="B36" s="10">
        <v>171</v>
      </c>
      <c r="C36" s="21">
        <v>1.5046305561373834E-3</v>
      </c>
      <c r="D36" s="10">
        <v>52</v>
      </c>
      <c r="E36" s="10">
        <v>155</v>
      </c>
      <c r="F36" s="10">
        <v>17</v>
      </c>
    </row>
    <row r="37" spans="1:6">
      <c r="A37" s="10" t="s">
        <v>57</v>
      </c>
      <c r="B37" s="10">
        <v>138</v>
      </c>
      <c r="C37" s="21">
        <v>4.2651296564895601E-3</v>
      </c>
      <c r="D37" s="10">
        <v>76</v>
      </c>
      <c r="E37" s="10">
        <v>135</v>
      </c>
      <c r="F37" s="10">
        <v>30</v>
      </c>
    </row>
    <row r="38" spans="1:6">
      <c r="A38" s="10" t="s">
        <v>58</v>
      </c>
      <c r="B38" s="10">
        <v>101</v>
      </c>
      <c r="C38" s="21">
        <v>6.4309585632189945E-4</v>
      </c>
      <c r="D38" s="10">
        <v>88</v>
      </c>
      <c r="E38" s="10">
        <v>170</v>
      </c>
      <c r="F38" s="10">
        <v>25</v>
      </c>
    </row>
    <row r="39" spans="1:6">
      <c r="A39" s="10" t="s">
        <v>59</v>
      </c>
      <c r="B39" s="10">
        <v>581</v>
      </c>
      <c r="C39" s="21">
        <v>2.1115205364997647E-3</v>
      </c>
      <c r="D39" s="10">
        <v>109</v>
      </c>
      <c r="E39" s="10">
        <v>191</v>
      </c>
      <c r="F39" s="10">
        <v>24</v>
      </c>
    </row>
    <row r="40" spans="1:6">
      <c r="A40" s="10" t="s">
        <v>60</v>
      </c>
      <c r="B40" s="10">
        <v>649</v>
      </c>
      <c r="C40" s="21">
        <v>1.8760993935935653E-3</v>
      </c>
      <c r="D40" s="10">
        <v>48</v>
      </c>
      <c r="E40" s="10">
        <v>127</v>
      </c>
      <c r="F40" s="10">
        <v>36</v>
      </c>
    </row>
    <row r="41" spans="1:6">
      <c r="A41" s="10" t="s">
        <v>61</v>
      </c>
      <c r="B41" s="10">
        <v>57</v>
      </c>
      <c r="C41" s="21">
        <v>1.8907215483519439E-3</v>
      </c>
      <c r="D41" s="10">
        <v>44</v>
      </c>
      <c r="E41" s="10">
        <v>97</v>
      </c>
      <c r="F41" s="10">
        <v>40</v>
      </c>
    </row>
    <row r="42" spans="1:6">
      <c r="A42" s="10" t="s">
        <v>62</v>
      </c>
      <c r="B42" s="10">
        <v>39</v>
      </c>
      <c r="C42" s="21">
        <v>2.1217121063032327E-3</v>
      </c>
      <c r="D42" s="10">
        <v>90</v>
      </c>
      <c r="E42" s="10">
        <v>146</v>
      </c>
      <c r="F42" s="10">
        <v>37</v>
      </c>
    </row>
    <row r="43" spans="1:6">
      <c r="A43" s="10" t="s">
        <v>63</v>
      </c>
      <c r="B43" s="10">
        <v>208</v>
      </c>
      <c r="C43" s="21">
        <v>2.8521345769411295E-3</v>
      </c>
      <c r="D43" s="10">
        <v>60</v>
      </c>
      <c r="E43" s="10">
        <v>107</v>
      </c>
      <c r="F43" s="10">
        <v>39</v>
      </c>
    </row>
    <row r="44" spans="1:6">
      <c r="A44" s="10" t="s">
        <v>64</v>
      </c>
      <c r="B44" s="10">
        <v>77</v>
      </c>
      <c r="C44" s="21">
        <v>1.1009773674835353E-3</v>
      </c>
      <c r="D44" s="10">
        <v>96</v>
      </c>
      <c r="E44" s="10">
        <v>210</v>
      </c>
      <c r="F44" s="10">
        <v>19</v>
      </c>
    </row>
    <row r="45" spans="1:6">
      <c r="A45" s="10" t="s">
        <v>65</v>
      </c>
      <c r="B45" s="10">
        <v>233</v>
      </c>
      <c r="C45" s="21">
        <v>1.6483681236811897E-3</v>
      </c>
      <c r="D45" s="10">
        <v>93</v>
      </c>
      <c r="E45" s="10">
        <v>176</v>
      </c>
      <c r="F45" s="10">
        <v>19</v>
      </c>
    </row>
    <row r="46" spans="1:6">
      <c r="A46" s="10" t="s">
        <v>66</v>
      </c>
      <c r="B46" s="10">
        <v>42</v>
      </c>
      <c r="C46" s="21">
        <v>1.884697102983731E-3</v>
      </c>
      <c r="D46" s="10">
        <v>29</v>
      </c>
      <c r="E46" s="10">
        <v>120</v>
      </c>
      <c r="F46" s="10">
        <v>33</v>
      </c>
    </row>
    <row r="47" spans="1:6">
      <c r="A47" s="10" t="s">
        <v>67</v>
      </c>
      <c r="B47" s="10">
        <v>105</v>
      </c>
      <c r="C47" s="21">
        <v>2.1782385037017651E-3</v>
      </c>
      <c r="D47" s="10">
        <v>37</v>
      </c>
      <c r="E47" s="10">
        <v>155</v>
      </c>
      <c r="F47" s="10">
        <v>33</v>
      </c>
    </row>
    <row r="48" spans="1:6">
      <c r="A48" s="10" t="s">
        <v>68</v>
      </c>
      <c r="B48" s="10">
        <v>522</v>
      </c>
      <c r="C48" s="21">
        <v>1.4524864152080492E-3</v>
      </c>
      <c r="D48" s="10">
        <v>95</v>
      </c>
      <c r="E48" s="10">
        <v>192</v>
      </c>
      <c r="F48" s="10">
        <v>27</v>
      </c>
    </row>
    <row r="49" spans="1:6">
      <c r="A49" s="10" t="s">
        <v>69</v>
      </c>
      <c r="B49" s="10">
        <v>82</v>
      </c>
      <c r="C49" s="21">
        <v>3.4610937137621541E-4</v>
      </c>
      <c r="D49" s="10">
        <v>101</v>
      </c>
      <c r="E49" s="10">
        <v>178</v>
      </c>
      <c r="F49" s="10">
        <v>23</v>
      </c>
    </row>
    <row r="50" spans="1:6">
      <c r="A50" s="10" t="s">
        <v>70</v>
      </c>
      <c r="B50" s="10">
        <v>62</v>
      </c>
      <c r="C50" s="21">
        <v>8.9222664097469637E-4</v>
      </c>
      <c r="D50" s="10">
        <v>42</v>
      </c>
      <c r="E50" s="10">
        <v>118</v>
      </c>
      <c r="F50" s="10">
        <v>27</v>
      </c>
    </row>
    <row r="51" spans="1:6">
      <c r="A51" s="10" t="s">
        <v>71</v>
      </c>
      <c r="B51" s="10">
        <v>210</v>
      </c>
      <c r="C51" s="21">
        <v>1.8152784945139448E-3</v>
      </c>
      <c r="D51" s="10">
        <v>77</v>
      </c>
      <c r="E51" s="10">
        <v>168</v>
      </c>
      <c r="F51" s="10">
        <v>30</v>
      </c>
    </row>
    <row r="52" spans="1:6">
      <c r="A52" s="10" t="s">
        <v>72</v>
      </c>
      <c r="B52" s="10">
        <v>461</v>
      </c>
      <c r="C52" s="21">
        <v>2.2563940247787742E-3</v>
      </c>
      <c r="D52" s="10">
        <v>42</v>
      </c>
      <c r="E52" s="10">
        <v>103</v>
      </c>
      <c r="F52" s="10">
        <v>42</v>
      </c>
    </row>
    <row r="53" spans="1:6">
      <c r="A53" s="10" t="s">
        <v>73</v>
      </c>
      <c r="B53" s="10">
        <v>116</v>
      </c>
      <c r="C53" s="21">
        <v>1.0598640824486158E-3</v>
      </c>
      <c r="D53" s="10">
        <v>57</v>
      </c>
      <c r="E53" s="10">
        <v>136</v>
      </c>
      <c r="F53" s="10">
        <v>28</v>
      </c>
    </row>
    <row r="54" spans="1:6">
      <c r="A54" s="10" t="s">
        <v>74</v>
      </c>
      <c r="B54" s="10">
        <v>45</v>
      </c>
      <c r="C54" s="21">
        <v>1.4219316729648444E-3</v>
      </c>
      <c r="D54" s="10">
        <v>89</v>
      </c>
      <c r="E54" s="10">
        <v>169</v>
      </c>
      <c r="F54" s="10">
        <v>22</v>
      </c>
    </row>
    <row r="55" spans="1:6">
      <c r="A55" s="10" t="s">
        <v>75</v>
      </c>
      <c r="B55" s="10">
        <v>198</v>
      </c>
      <c r="C55" s="21">
        <v>1.6459847324278068E-3</v>
      </c>
      <c r="D55" s="10">
        <v>89</v>
      </c>
      <c r="E55" s="10">
        <v>150</v>
      </c>
      <c r="F55" s="10">
        <v>29</v>
      </c>
    </row>
    <row r="56" spans="1:6">
      <c r="A56" s="10" t="s">
        <v>76</v>
      </c>
      <c r="B56" s="10"/>
      <c r="C56" s="21">
        <v>1.8075703049277509E-3</v>
      </c>
      <c r="D56" s="10">
        <v>79</v>
      </c>
      <c r="E56" s="10">
        <v>168</v>
      </c>
      <c r="F56" s="10">
        <v>33</v>
      </c>
    </row>
    <row r="57" spans="1:6">
      <c r="A57" s="10" t="s">
        <v>77</v>
      </c>
      <c r="B57" s="10">
        <v>184</v>
      </c>
      <c r="C57" s="21">
        <v>6.2278300003531118E-4</v>
      </c>
      <c r="D57" s="10">
        <v>109</v>
      </c>
      <c r="E57" s="10">
        <v>220</v>
      </c>
      <c r="F57" s="10">
        <v>16</v>
      </c>
    </row>
    <row r="58" spans="1:6">
      <c r="A58" s="10" t="s">
        <v>78</v>
      </c>
      <c r="B58" s="10">
        <v>110</v>
      </c>
      <c r="C58" s="21">
        <v>2.9855096039994302E-3</v>
      </c>
      <c r="D58" s="10">
        <v>74</v>
      </c>
      <c r="E58" s="10">
        <v>138</v>
      </c>
      <c r="F58" s="10">
        <v>35</v>
      </c>
    </row>
    <row r="59" spans="1:6">
      <c r="A59" s="10" t="s">
        <v>79</v>
      </c>
      <c r="B59" s="10">
        <v>493</v>
      </c>
      <c r="C59" s="21">
        <v>1.2910990357404882E-3</v>
      </c>
      <c r="D59" s="10">
        <v>72</v>
      </c>
      <c r="E59" s="10">
        <v>177</v>
      </c>
      <c r="F59" s="10">
        <v>24</v>
      </c>
    </row>
    <row r="60" spans="1:6">
      <c r="A60" s="10" t="s">
        <v>80</v>
      </c>
      <c r="B60" s="10">
        <v>427</v>
      </c>
      <c r="C60" s="21">
        <v>1.8401442762877706E-3</v>
      </c>
      <c r="D60" s="10">
        <v>86</v>
      </c>
      <c r="E60" s="10">
        <v>177</v>
      </c>
      <c r="F60" s="10">
        <v>31</v>
      </c>
    </row>
    <row r="61" spans="1:6">
      <c r="A61" s="10" t="s">
        <v>81</v>
      </c>
      <c r="B61" s="10">
        <v>88</v>
      </c>
      <c r="C61" s="21">
        <v>1.9427476304190968E-3</v>
      </c>
      <c r="D61" s="10">
        <v>58</v>
      </c>
      <c r="E61" s="10">
        <v>141</v>
      </c>
      <c r="F61" s="10">
        <v>38</v>
      </c>
    </row>
    <row r="62" spans="1:6">
      <c r="A62" s="10" t="s">
        <v>82</v>
      </c>
      <c r="B62" s="10">
        <v>108</v>
      </c>
      <c r="C62" s="21">
        <v>1.1709065184826036E-3</v>
      </c>
      <c r="D62" s="10">
        <v>51</v>
      </c>
      <c r="E62" s="10">
        <v>186</v>
      </c>
      <c r="F62" s="10">
        <v>26</v>
      </c>
    </row>
    <row r="63" spans="1:6">
      <c r="A63" s="10" t="s">
        <v>83</v>
      </c>
      <c r="B63" s="10">
        <v>57</v>
      </c>
      <c r="C63" s="21">
        <v>9.8859371177487977E-4</v>
      </c>
      <c r="D63" s="10">
        <v>98</v>
      </c>
      <c r="E63" s="10">
        <v>221</v>
      </c>
      <c r="F63" s="10">
        <v>16</v>
      </c>
    </row>
    <row r="64" spans="1:6">
      <c r="A64" s="10" t="s">
        <v>84</v>
      </c>
      <c r="B64" s="10">
        <v>215</v>
      </c>
      <c r="C64" s="21">
        <v>1.0349331516544486E-3</v>
      </c>
      <c r="D64" s="10">
        <v>114</v>
      </c>
      <c r="E64" s="10">
        <v>210</v>
      </c>
      <c r="F64" s="10">
        <v>18</v>
      </c>
    </row>
    <row r="65" spans="1:6">
      <c r="A65" s="10" t="s">
        <v>85</v>
      </c>
      <c r="B65" s="10">
        <v>623</v>
      </c>
      <c r="C65" s="21">
        <v>1.9346922064213145E-3</v>
      </c>
      <c r="D65" s="10">
        <v>119</v>
      </c>
      <c r="E65" s="10">
        <v>198</v>
      </c>
      <c r="F65" s="10">
        <v>21</v>
      </c>
    </row>
    <row r="66" spans="1:6">
      <c r="A66" s="10" t="s">
        <v>86</v>
      </c>
      <c r="B66" s="10">
        <v>110</v>
      </c>
      <c r="C66" s="21">
        <v>1.4234438063633569E-3</v>
      </c>
      <c r="D66" s="10">
        <v>93</v>
      </c>
      <c r="E66" s="10">
        <v>170</v>
      </c>
      <c r="F66" s="10">
        <v>19</v>
      </c>
    </row>
    <row r="67" spans="1:6">
      <c r="A67" s="10" t="s">
        <v>87</v>
      </c>
      <c r="B67" s="10">
        <v>39</v>
      </c>
      <c r="C67" s="21">
        <v>9.3981656517807459E-4</v>
      </c>
      <c r="D67" s="10">
        <v>15</v>
      </c>
      <c r="E67" s="10">
        <v>102</v>
      </c>
      <c r="F67" s="10">
        <v>32</v>
      </c>
    </row>
    <row r="68" spans="1:6">
      <c r="A68" s="10" t="s">
        <v>88</v>
      </c>
      <c r="B68" s="10">
        <v>131</v>
      </c>
      <c r="C68" s="21">
        <v>1.4557219738284097E-3</v>
      </c>
      <c r="D68" s="10">
        <v>46</v>
      </c>
      <c r="E68" s="10">
        <v>129</v>
      </c>
      <c r="F68" s="10">
        <v>28</v>
      </c>
    </row>
    <row r="69" spans="1:6">
      <c r="A69" s="10" t="s">
        <v>89</v>
      </c>
      <c r="B69" s="10">
        <v>66</v>
      </c>
      <c r="C69" s="21">
        <v>2.6993255337543496E-3</v>
      </c>
      <c r="D69" s="10">
        <v>76</v>
      </c>
      <c r="E69" s="10">
        <v>141</v>
      </c>
      <c r="F69" s="10">
        <v>46</v>
      </c>
    </row>
    <row r="70" spans="1:6">
      <c r="A70" s="10" t="s">
        <v>90</v>
      </c>
      <c r="B70" s="10">
        <v>103</v>
      </c>
      <c r="C70" s="21">
        <v>1.151243488960453E-3</v>
      </c>
      <c r="D70" s="10">
        <v>30</v>
      </c>
      <c r="E70" s="10">
        <v>148</v>
      </c>
      <c r="F70" s="10">
        <v>22</v>
      </c>
    </row>
    <row r="71" spans="1:6">
      <c r="A71" s="10" t="s">
        <v>91</v>
      </c>
      <c r="B71" s="10">
        <v>75</v>
      </c>
      <c r="C71" s="21">
        <v>3.5951551190253049E-4</v>
      </c>
      <c r="D71" s="10">
        <v>61</v>
      </c>
      <c r="E71" s="10">
        <v>162</v>
      </c>
      <c r="F71" s="10">
        <v>16</v>
      </c>
    </row>
    <row r="72" spans="1:6">
      <c r="A72" s="10" t="s">
        <v>92</v>
      </c>
      <c r="B72" s="10">
        <v>523</v>
      </c>
      <c r="C72" s="21">
        <v>2.2414281809721306E-4</v>
      </c>
      <c r="D72" s="10">
        <v>48</v>
      </c>
      <c r="E72" s="10">
        <v>134</v>
      </c>
      <c r="F72" s="10">
        <v>26</v>
      </c>
    </row>
    <row r="73" spans="1:6">
      <c r="A73" s="10" t="s">
        <v>93</v>
      </c>
      <c r="B73" s="10">
        <v>353</v>
      </c>
      <c r="C73" s="21">
        <v>1.8884167134048657E-3</v>
      </c>
      <c r="D73" s="10">
        <v>63</v>
      </c>
      <c r="E73" s="10">
        <v>154</v>
      </c>
      <c r="F73" s="10">
        <v>37</v>
      </c>
    </row>
    <row r="74" spans="1:6">
      <c r="A74" s="10" t="s">
        <v>94</v>
      </c>
      <c r="B74" s="10">
        <v>106</v>
      </c>
      <c r="C74" s="21">
        <v>1.1284479740524009E-3</v>
      </c>
      <c r="D74" s="10">
        <v>47</v>
      </c>
      <c r="E74" s="10">
        <v>116</v>
      </c>
      <c r="F74" s="10">
        <v>32</v>
      </c>
    </row>
    <row r="75" spans="1:6">
      <c r="A75" s="10" t="s">
        <v>95</v>
      </c>
      <c r="B75" s="10">
        <v>564</v>
      </c>
      <c r="C75" s="21">
        <v>1.7132106167596364E-3</v>
      </c>
      <c r="D75" s="10">
        <v>60</v>
      </c>
      <c r="E75" s="10">
        <v>104</v>
      </c>
      <c r="F75" s="10">
        <v>46</v>
      </c>
    </row>
    <row r="76" spans="1:6">
      <c r="A76" s="10" t="s">
        <v>96</v>
      </c>
      <c r="B76" s="10">
        <v>428</v>
      </c>
      <c r="C76" s="21">
        <v>2.9265900039130127E-4</v>
      </c>
      <c r="D76" s="10">
        <v>60</v>
      </c>
      <c r="E76" s="10">
        <v>178</v>
      </c>
      <c r="F76" s="10">
        <v>20</v>
      </c>
    </row>
    <row r="77" spans="1:6">
      <c r="A77" s="10" t="s">
        <v>97</v>
      </c>
      <c r="B77" s="10">
        <v>114</v>
      </c>
      <c r="C77" s="21">
        <v>1.4607629280686642E-3</v>
      </c>
      <c r="D77" s="10">
        <v>82</v>
      </c>
      <c r="E77" s="10">
        <v>145</v>
      </c>
      <c r="F77" s="10">
        <v>45</v>
      </c>
    </row>
    <row r="78" spans="1:6">
      <c r="A78" s="10" t="s">
        <v>98</v>
      </c>
      <c r="B78" s="10">
        <v>41</v>
      </c>
      <c r="C78" s="21">
        <v>1.9317007556083406E-4</v>
      </c>
      <c r="D78" s="10">
        <v>44</v>
      </c>
      <c r="E78" s="10">
        <v>119</v>
      </c>
      <c r="F78" s="10">
        <v>34</v>
      </c>
    </row>
    <row r="79" spans="1:6">
      <c r="A79" s="10" t="s">
        <v>99</v>
      </c>
      <c r="B79" s="10">
        <v>115</v>
      </c>
      <c r="C79" s="21">
        <v>1.6017775407853412E-3</v>
      </c>
      <c r="D79" s="10">
        <v>15</v>
      </c>
      <c r="E79" s="10">
        <v>128</v>
      </c>
      <c r="F79" s="10">
        <v>30</v>
      </c>
    </row>
    <row r="80" spans="1:6">
      <c r="A80" s="10" t="s">
        <v>100</v>
      </c>
      <c r="B80" s="10">
        <v>120</v>
      </c>
      <c r="C80" s="21">
        <v>6.9934531102609776E-4</v>
      </c>
      <c r="D80" s="10">
        <v>85</v>
      </c>
      <c r="E80" s="10">
        <v>142</v>
      </c>
      <c r="F80" s="10">
        <v>19</v>
      </c>
    </row>
    <row r="81" spans="1:6">
      <c r="A81" s="10" t="s">
        <v>101</v>
      </c>
      <c r="B81" s="10">
        <v>121</v>
      </c>
      <c r="C81" s="21">
        <v>9.6469355869245371E-4</v>
      </c>
      <c r="D81" s="10">
        <v>105</v>
      </c>
      <c r="E81" s="10">
        <v>150</v>
      </c>
      <c r="F81" s="10">
        <v>24</v>
      </c>
    </row>
    <row r="82" spans="1:6">
      <c r="A82" s="10" t="s">
        <v>102</v>
      </c>
      <c r="B82" s="10">
        <v>613</v>
      </c>
      <c r="C82" s="21">
        <v>3.4990045853267401E-4</v>
      </c>
      <c r="D82" s="10">
        <v>51</v>
      </c>
      <c r="E82" s="10">
        <v>142</v>
      </c>
      <c r="F82" s="10">
        <v>11</v>
      </c>
    </row>
    <row r="83" spans="1:6">
      <c r="A83" s="10" t="s">
        <v>103</v>
      </c>
      <c r="B83" s="10">
        <v>457</v>
      </c>
      <c r="C83" s="21">
        <v>2.1805598363222509E-3</v>
      </c>
      <c r="D83" s="10">
        <v>79</v>
      </c>
      <c r="E83" s="10">
        <v>156</v>
      </c>
      <c r="F83" s="10">
        <v>33</v>
      </c>
    </row>
    <row r="84" spans="1:6">
      <c r="A84" s="10" t="s">
        <v>104</v>
      </c>
      <c r="B84" s="10">
        <v>121</v>
      </c>
      <c r="C84" s="21">
        <v>3.1637849816631645E-5</v>
      </c>
      <c r="D84" s="10">
        <v>105</v>
      </c>
      <c r="E84" s="10">
        <v>191</v>
      </c>
      <c r="F84" s="10">
        <v>21</v>
      </c>
    </row>
    <row r="85" spans="1:6">
      <c r="A85" s="10" t="s">
        <v>105</v>
      </c>
      <c r="B85" s="10">
        <v>534</v>
      </c>
      <c r="C85" s="21">
        <v>2.1554105081547318E-3</v>
      </c>
      <c r="D85" s="10">
        <v>47</v>
      </c>
      <c r="E85" s="10">
        <v>116</v>
      </c>
      <c r="F85" s="10">
        <v>42</v>
      </c>
    </row>
    <row r="86" spans="1:6">
      <c r="A86" s="10" t="s">
        <v>106</v>
      </c>
      <c r="B86" s="10">
        <v>69</v>
      </c>
      <c r="C86" s="21">
        <v>1.1360561773400694E-3</v>
      </c>
      <c r="D86" s="10">
        <v>98</v>
      </c>
      <c r="E86" s="10">
        <v>170</v>
      </c>
      <c r="F86" s="10">
        <v>27</v>
      </c>
    </row>
    <row r="87" spans="1:6">
      <c r="A87" s="10" t="s">
        <v>107</v>
      </c>
      <c r="B87" s="10">
        <v>106</v>
      </c>
      <c r="C87" s="21">
        <v>1.7974422909534718E-3</v>
      </c>
      <c r="D87" s="10">
        <v>44</v>
      </c>
      <c r="E87" s="10">
        <v>119</v>
      </c>
      <c r="F87" s="10">
        <v>27</v>
      </c>
    </row>
    <row r="88" spans="1:6">
      <c r="A88" s="10" t="s">
        <v>108</v>
      </c>
      <c r="B88" s="10">
        <v>118</v>
      </c>
      <c r="C88" s="21">
        <v>1.2817722431836917E-3</v>
      </c>
      <c r="D88" s="10">
        <v>122</v>
      </c>
      <c r="E88" s="10">
        <v>216</v>
      </c>
      <c r="F88" s="10">
        <v>18</v>
      </c>
    </row>
    <row r="89" spans="1:6">
      <c r="A89" s="10" t="s">
        <v>109</v>
      </c>
      <c r="B89" s="10">
        <v>344</v>
      </c>
      <c r="C89" s="21">
        <v>1.6138737946756101E-3</v>
      </c>
      <c r="D89" s="10">
        <v>106</v>
      </c>
      <c r="E89" s="10">
        <v>182</v>
      </c>
      <c r="F89" s="10">
        <v>30</v>
      </c>
    </row>
    <row r="90" spans="1:6">
      <c r="A90" s="10" t="s">
        <v>110</v>
      </c>
      <c r="B90" s="10">
        <v>59</v>
      </c>
      <c r="C90" s="21">
        <v>9.6832427680536607E-4</v>
      </c>
      <c r="D90" s="10">
        <v>52</v>
      </c>
      <c r="E90" s="10">
        <v>154</v>
      </c>
      <c r="F90" s="10">
        <v>18</v>
      </c>
    </row>
    <row r="91" spans="1:6">
      <c r="A91" s="10" t="s">
        <v>111</v>
      </c>
      <c r="B91" s="10">
        <v>232</v>
      </c>
      <c r="C91" s="21">
        <v>2.4246517841870229E-3</v>
      </c>
      <c r="D91" s="10">
        <v>55</v>
      </c>
      <c r="E91" s="10">
        <v>195</v>
      </c>
      <c r="F91" s="10">
        <v>20</v>
      </c>
    </row>
    <row r="92" spans="1:6">
      <c r="A92" s="10" t="s">
        <v>112</v>
      </c>
      <c r="B92" s="10">
        <v>206</v>
      </c>
      <c r="C92" s="21">
        <v>8.5151540160047787E-4</v>
      </c>
      <c r="D92" s="10">
        <v>92</v>
      </c>
      <c r="E92" s="10">
        <v>175</v>
      </c>
      <c r="F92" s="10">
        <v>26</v>
      </c>
    </row>
    <row r="93" spans="1:6">
      <c r="A93" s="10" t="s">
        <v>113</v>
      </c>
      <c r="B93" s="10">
        <v>114</v>
      </c>
      <c r="C93" s="21">
        <v>2.0700476752190679E-3</v>
      </c>
      <c r="D93" s="10">
        <v>82</v>
      </c>
      <c r="E93" s="10">
        <v>154</v>
      </c>
      <c r="F93" s="10">
        <v>19</v>
      </c>
    </row>
    <row r="94" spans="1:6">
      <c r="A94" s="10" t="s">
        <v>114</v>
      </c>
      <c r="B94" s="10">
        <v>99</v>
      </c>
      <c r="C94" s="21">
        <v>8.9976056235005345E-4</v>
      </c>
      <c r="D94" s="10">
        <v>103</v>
      </c>
      <c r="E94" s="10">
        <v>169</v>
      </c>
      <c r="F94" s="10">
        <v>26</v>
      </c>
    </row>
    <row r="95" spans="1:6">
      <c r="A95" s="10" t="s">
        <v>115</v>
      </c>
      <c r="B95" s="10">
        <v>40</v>
      </c>
      <c r="C95" s="21">
        <v>7.3044533476093434E-5</v>
      </c>
      <c r="D95" s="10">
        <v>98</v>
      </c>
      <c r="E95" s="10">
        <v>170</v>
      </c>
      <c r="F95" s="10">
        <v>23</v>
      </c>
    </row>
    <row r="96" spans="1:6">
      <c r="A96" s="10" t="s">
        <v>116</v>
      </c>
      <c r="B96" s="10">
        <v>223</v>
      </c>
      <c r="C96" s="21">
        <v>4.1827968917177854E-4</v>
      </c>
      <c r="D96" s="10">
        <v>82</v>
      </c>
      <c r="E96" s="10">
        <v>128</v>
      </c>
      <c r="F96" s="10">
        <v>20</v>
      </c>
    </row>
    <row r="97" spans="1:6">
      <c r="A97" s="10" t="s">
        <v>117</v>
      </c>
      <c r="B97" s="10">
        <v>161</v>
      </c>
      <c r="C97" s="21">
        <v>1.2168857172278607E-3</v>
      </c>
      <c r="D97" s="10">
        <v>58</v>
      </c>
      <c r="E97" s="10">
        <v>159</v>
      </c>
      <c r="F97" s="10">
        <v>17</v>
      </c>
    </row>
    <row r="98" spans="1:6">
      <c r="A98" s="10" t="s">
        <v>118</v>
      </c>
      <c r="B98" s="10">
        <v>87</v>
      </c>
      <c r="C98" s="21">
        <v>6.0195177066665797E-4</v>
      </c>
      <c r="D98" s="10">
        <v>92</v>
      </c>
      <c r="E98" s="10">
        <v>137</v>
      </c>
      <c r="F98" s="10">
        <v>15</v>
      </c>
    </row>
    <row r="99" spans="1:6">
      <c r="A99" s="10" t="s">
        <v>119</v>
      </c>
      <c r="B99" s="10">
        <v>549</v>
      </c>
      <c r="C99" s="21">
        <v>1.7956007324524416E-3</v>
      </c>
      <c r="D99" s="10">
        <v>58</v>
      </c>
      <c r="E99" s="10">
        <v>109</v>
      </c>
      <c r="F99" s="10">
        <v>39</v>
      </c>
    </row>
    <row r="100" spans="1:6">
      <c r="A100" s="10" t="s">
        <v>120</v>
      </c>
      <c r="B100" s="10">
        <v>45</v>
      </c>
      <c r="C100" s="21">
        <v>1.6508306826683776E-3</v>
      </c>
      <c r="D100" s="10">
        <v>38</v>
      </c>
      <c r="E100" s="10">
        <v>128</v>
      </c>
      <c r="F100" s="10">
        <v>30</v>
      </c>
    </row>
    <row r="101" spans="1:6">
      <c r="A101" s="10" t="s">
        <v>121</v>
      </c>
      <c r="B101" s="10">
        <v>101</v>
      </c>
      <c r="C101" s="21">
        <v>2.0822461568619837E-3</v>
      </c>
      <c r="D101" s="10">
        <v>77</v>
      </c>
      <c r="E101" s="10">
        <v>133</v>
      </c>
      <c r="F101" s="10">
        <v>37</v>
      </c>
    </row>
    <row r="102" spans="1:6">
      <c r="A102" s="10" t="s">
        <v>122</v>
      </c>
      <c r="B102" s="10">
        <v>635</v>
      </c>
      <c r="C102" s="21">
        <v>1.9397613293176807E-3</v>
      </c>
      <c r="D102" s="10">
        <v>79</v>
      </c>
      <c r="E102" s="10">
        <v>146</v>
      </c>
      <c r="F102" s="10">
        <v>31</v>
      </c>
    </row>
    <row r="103" spans="1:6">
      <c r="A103" s="10" t="s">
        <v>123</v>
      </c>
      <c r="B103" s="10">
        <v>404</v>
      </c>
      <c r="C103" s="21">
        <v>1.0288350759240404E-3</v>
      </c>
      <c r="D103" s="10">
        <v>88</v>
      </c>
      <c r="E103" s="10">
        <v>164</v>
      </c>
      <c r="F103" s="10">
        <v>15</v>
      </c>
    </row>
    <row r="104" spans="1:6">
      <c r="A104" s="10" t="s">
        <v>124</v>
      </c>
      <c r="B104" s="10">
        <v>130</v>
      </c>
      <c r="C104" s="21">
        <v>6.0359803963039521E-4</v>
      </c>
      <c r="D104" s="10">
        <v>74</v>
      </c>
      <c r="E104" s="10">
        <v>149</v>
      </c>
      <c r="F104" s="10">
        <v>33</v>
      </c>
    </row>
    <row r="105" spans="1:6">
      <c r="A105" s="10" t="s">
        <v>125</v>
      </c>
      <c r="B105" s="10">
        <v>135</v>
      </c>
      <c r="C105" s="21">
        <v>1.3058085694423688E-3</v>
      </c>
      <c r="D105" s="10">
        <v>106</v>
      </c>
      <c r="E105" s="10">
        <v>168</v>
      </c>
      <c r="F105" s="10">
        <v>32</v>
      </c>
    </row>
    <row r="106" spans="1:6">
      <c r="A106" s="10" t="s">
        <v>126</v>
      </c>
      <c r="B106" s="10">
        <v>509</v>
      </c>
      <c r="C106" s="21">
        <v>1.7752611741431712E-3</v>
      </c>
      <c r="D106" s="10">
        <v>51</v>
      </c>
      <c r="E106" s="10">
        <v>130</v>
      </c>
      <c r="F106" s="10">
        <v>33</v>
      </c>
    </row>
    <row r="107" spans="1:6">
      <c r="A107" s="10" t="s">
        <v>127</v>
      </c>
      <c r="B107" s="10">
        <v>77</v>
      </c>
      <c r="C107" s="21">
        <v>1.726233175473687E-5</v>
      </c>
      <c r="D107" s="10">
        <v>39</v>
      </c>
      <c r="E107" s="10">
        <v>126</v>
      </c>
      <c r="F107" s="10">
        <v>24</v>
      </c>
    </row>
    <row r="108" spans="1:6">
      <c r="A108" s="10" t="s">
        <v>128</v>
      </c>
      <c r="B108" s="10">
        <v>439</v>
      </c>
      <c r="C108" s="21">
        <v>1.2149359774641778E-3</v>
      </c>
      <c r="D108" s="10">
        <v>36</v>
      </c>
      <c r="E108" s="10">
        <v>115</v>
      </c>
      <c r="F108" s="10">
        <v>25</v>
      </c>
    </row>
    <row r="109" spans="1:6">
      <c r="A109" s="10" t="s">
        <v>129</v>
      </c>
      <c r="B109" s="10">
        <v>457</v>
      </c>
      <c r="C109" s="21">
        <v>1.3752687591461925E-3</v>
      </c>
      <c r="D109" s="10">
        <v>72</v>
      </c>
      <c r="E109" s="10">
        <v>136</v>
      </c>
      <c r="F109" s="10">
        <v>23</v>
      </c>
    </row>
    <row r="110" spans="1:6">
      <c r="A110" s="10" t="s">
        <v>130</v>
      </c>
      <c r="B110" s="10">
        <v>45</v>
      </c>
      <c r="C110" s="21">
        <v>1.5384416578740198E-3</v>
      </c>
      <c r="D110" s="10">
        <v>106</v>
      </c>
      <c r="E110" s="10">
        <v>161</v>
      </c>
      <c r="F110" s="10">
        <v>27</v>
      </c>
    </row>
    <row r="111" spans="1:6">
      <c r="A111" s="10" t="s">
        <v>131</v>
      </c>
      <c r="B111" s="10">
        <v>263</v>
      </c>
      <c r="C111" s="21">
        <v>3.5043090281708131E-3</v>
      </c>
      <c r="D111" s="10">
        <v>43</v>
      </c>
      <c r="E111" s="10">
        <v>108</v>
      </c>
      <c r="F111" s="10">
        <v>33</v>
      </c>
    </row>
    <row r="112" spans="1:6">
      <c r="A112" s="10" t="s">
        <v>132</v>
      </c>
      <c r="B112" s="10">
        <v>96</v>
      </c>
      <c r="C112" s="21">
        <v>5.5939919082352194E-4</v>
      </c>
      <c r="D112" s="10">
        <v>105</v>
      </c>
      <c r="E112" s="10">
        <v>198</v>
      </c>
      <c r="F112" s="10">
        <v>11</v>
      </c>
    </row>
    <row r="113" spans="1:6">
      <c r="A113" s="10" t="s">
        <v>133</v>
      </c>
      <c r="B113" s="10">
        <v>36</v>
      </c>
      <c r="C113" s="21">
        <v>5.6056227225888917E-4</v>
      </c>
      <c r="D113" s="10">
        <v>90</v>
      </c>
      <c r="E113" s="10">
        <v>203</v>
      </c>
      <c r="F113" s="10">
        <v>11</v>
      </c>
    </row>
    <row r="114" spans="1:6">
      <c r="A114" s="10" t="s">
        <v>134</v>
      </c>
      <c r="B114" s="10">
        <v>160</v>
      </c>
      <c r="C114" s="21">
        <v>1.1738697741306139E-3</v>
      </c>
      <c r="D114" s="10">
        <v>70</v>
      </c>
      <c r="E114" s="10">
        <v>109</v>
      </c>
      <c r="F114" s="10">
        <v>29</v>
      </c>
    </row>
    <row r="115" spans="1:6">
      <c r="A115" s="10" t="s">
        <v>135</v>
      </c>
      <c r="B115" s="10">
        <v>46</v>
      </c>
      <c r="C115" s="21">
        <v>1.4199989795998236E-3</v>
      </c>
      <c r="D115" s="10">
        <v>15</v>
      </c>
      <c r="E115" s="10">
        <v>109</v>
      </c>
      <c r="F115" s="10">
        <v>38</v>
      </c>
    </row>
    <row r="116" spans="1:6">
      <c r="A116" s="10" t="s">
        <v>136</v>
      </c>
      <c r="B116" s="10">
        <v>90</v>
      </c>
      <c r="C116" s="21">
        <v>1.3980157387597099E-3</v>
      </c>
      <c r="D116" s="10">
        <v>93</v>
      </c>
      <c r="E116" s="10">
        <v>140</v>
      </c>
      <c r="F116" s="10">
        <v>26</v>
      </c>
    </row>
    <row r="117" spans="1:6">
      <c r="A117" s="10" t="s">
        <v>137</v>
      </c>
      <c r="B117" s="10">
        <v>538</v>
      </c>
      <c r="C117" s="21">
        <v>1.3843186111607169E-3</v>
      </c>
      <c r="D117" s="10">
        <v>60</v>
      </c>
      <c r="E117" s="10">
        <v>102</v>
      </c>
      <c r="F117" s="10">
        <v>36</v>
      </c>
    </row>
    <row r="118" spans="1:6">
      <c r="A118" s="10" t="s">
        <v>138</v>
      </c>
      <c r="B118" s="10">
        <v>568</v>
      </c>
      <c r="C118" s="21">
        <v>2.4408145598149031E-3</v>
      </c>
      <c r="D118" s="10">
        <v>90</v>
      </c>
      <c r="E118" s="10">
        <v>142</v>
      </c>
      <c r="F118" s="10">
        <v>32</v>
      </c>
    </row>
    <row r="119" spans="1:6">
      <c r="A119" s="10" t="s">
        <v>139</v>
      </c>
      <c r="B119" s="10">
        <v>101</v>
      </c>
      <c r="C119" s="21">
        <v>6.9934531102609776E-4</v>
      </c>
      <c r="D119" s="10">
        <v>39</v>
      </c>
      <c r="E119" s="10">
        <v>171</v>
      </c>
      <c r="F119" s="10">
        <v>18</v>
      </c>
    </row>
    <row r="120" spans="1:6">
      <c r="A120" s="10" t="s">
        <v>140</v>
      </c>
      <c r="B120" s="10"/>
      <c r="C120" s="21">
        <v>1.0694937802934181E-3</v>
      </c>
      <c r="D120" s="10">
        <v>113</v>
      </c>
      <c r="E120" s="10">
        <v>212</v>
      </c>
      <c r="F120" s="10">
        <v>21</v>
      </c>
    </row>
    <row r="121" spans="1:6">
      <c r="A121" s="10" t="s">
        <v>141</v>
      </c>
      <c r="B121" s="10">
        <v>728</v>
      </c>
      <c r="C121" s="21">
        <v>7.8202804054170339E-4</v>
      </c>
      <c r="D121" s="10">
        <v>78</v>
      </c>
      <c r="E121" s="10">
        <v>141</v>
      </c>
      <c r="F121" s="10">
        <v>12</v>
      </c>
    </row>
    <row r="122" spans="1:6">
      <c r="A122" s="10" t="s">
        <v>142</v>
      </c>
      <c r="B122" s="10">
        <v>82</v>
      </c>
      <c r="C122" s="21">
        <v>1.1111139440227377E-3</v>
      </c>
      <c r="D122" s="10">
        <v>127</v>
      </c>
      <c r="E122" s="10">
        <v>184</v>
      </c>
      <c r="F122" s="10">
        <v>12</v>
      </c>
    </row>
    <row r="123" spans="1:6">
      <c r="A123" s="10" t="s">
        <v>143</v>
      </c>
      <c r="B123" s="10">
        <v>312</v>
      </c>
      <c r="C123" s="21">
        <v>2.3271164127271911E-3</v>
      </c>
      <c r="D123" s="10">
        <v>90</v>
      </c>
      <c r="E123" s="10">
        <v>164</v>
      </c>
      <c r="F123" s="10">
        <v>32</v>
      </c>
    </row>
    <row r="124" spans="1:6">
      <c r="A124" s="10" t="s">
        <v>144</v>
      </c>
      <c r="B124" s="10">
        <v>438</v>
      </c>
      <c r="C124" s="21">
        <v>6.6468292393004401E-4</v>
      </c>
      <c r="D124" s="10">
        <v>105</v>
      </c>
      <c r="E124" s="10">
        <v>179</v>
      </c>
      <c r="F124" s="10">
        <v>23</v>
      </c>
    </row>
    <row r="125" spans="1:6">
      <c r="A125" s="10" t="s">
        <v>145</v>
      </c>
      <c r="B125" s="10">
        <v>62</v>
      </c>
      <c r="C125" s="21">
        <v>1.3049739770765653E-3</v>
      </c>
      <c r="D125" s="10">
        <v>126</v>
      </c>
      <c r="E125" s="10">
        <v>159</v>
      </c>
      <c r="F125" s="10">
        <v>26</v>
      </c>
    </row>
    <row r="126" spans="1:6">
      <c r="A126" s="10" t="s">
        <v>146</v>
      </c>
      <c r="B126" s="10">
        <v>80</v>
      </c>
      <c r="C126" s="21">
        <v>1.1383366508754384E-3</v>
      </c>
      <c r="D126" s="10">
        <v>45</v>
      </c>
      <c r="E126" s="10">
        <v>140</v>
      </c>
      <c r="F126" s="10">
        <v>30</v>
      </c>
    </row>
    <row r="127" spans="1:6">
      <c r="A127" s="10" t="s">
        <v>147</v>
      </c>
      <c r="B127" s="10">
        <v>109</v>
      </c>
      <c r="C127" s="21">
        <v>4.5431831788881206E-4</v>
      </c>
      <c r="D127" s="10">
        <v>102</v>
      </c>
      <c r="E127" s="10">
        <v>175</v>
      </c>
      <c r="F127" s="10">
        <v>13</v>
      </c>
    </row>
    <row r="128" spans="1:6">
      <c r="A128" s="10" t="s">
        <v>148</v>
      </c>
      <c r="B128" s="10">
        <v>94</v>
      </c>
      <c r="C128" s="21">
        <v>8.6073269049365879E-4</v>
      </c>
      <c r="D128" s="10">
        <v>95</v>
      </c>
      <c r="E128" s="10">
        <v>161</v>
      </c>
      <c r="F128" s="10">
        <v>16</v>
      </c>
    </row>
    <row r="129" spans="1:6">
      <c r="A129" s="10" t="s">
        <v>150</v>
      </c>
      <c r="B129" s="10">
        <v>108</v>
      </c>
      <c r="C129" s="21">
        <v>1.7046086681320625E-3</v>
      </c>
      <c r="D129" s="10">
        <v>63</v>
      </c>
      <c r="E129" s="10">
        <v>173</v>
      </c>
      <c r="F129" s="10">
        <v>34</v>
      </c>
    </row>
    <row r="130" spans="1:6">
      <c r="A130" s="10" t="s">
        <v>151</v>
      </c>
      <c r="B130" s="10">
        <v>112</v>
      </c>
      <c r="C130" s="21">
        <v>1.5280480207957995E-3</v>
      </c>
      <c r="D130" s="10">
        <v>108</v>
      </c>
      <c r="E130" s="10">
        <v>186</v>
      </c>
      <c r="F130" s="10">
        <v>32</v>
      </c>
    </row>
    <row r="131" spans="1:6">
      <c r="A131" s="10" t="s">
        <v>152</v>
      </c>
      <c r="B131" s="10">
        <v>142</v>
      </c>
      <c r="C131" s="21">
        <v>1.2140523811084299E-4</v>
      </c>
      <c r="D131" s="10">
        <v>117</v>
      </c>
      <c r="E131" s="10">
        <v>187</v>
      </c>
      <c r="F131" s="10">
        <v>31</v>
      </c>
    </row>
    <row r="132" spans="1:6">
      <c r="A132" s="10" t="s">
        <v>153</v>
      </c>
      <c r="B132" s="10">
        <v>452</v>
      </c>
      <c r="C132" s="21">
        <v>1.680106095879548E-3</v>
      </c>
      <c r="D132" s="10">
        <v>61</v>
      </c>
      <c r="E132" s="10">
        <v>130</v>
      </c>
      <c r="F132" s="10">
        <v>36</v>
      </c>
    </row>
    <row r="133" spans="1:6">
      <c r="A133" s="10" t="s">
        <v>154</v>
      </c>
      <c r="B133" s="10">
        <v>96</v>
      </c>
      <c r="C133" s="21">
        <v>8.9523597722120725E-4</v>
      </c>
      <c r="D133" s="10">
        <v>72</v>
      </c>
      <c r="E133" s="10">
        <v>112</v>
      </c>
      <c r="F133" s="10">
        <v>48</v>
      </c>
    </row>
    <row r="134" spans="1:6">
      <c r="A134" s="10" t="s">
        <v>155</v>
      </c>
      <c r="B134" s="10">
        <v>53</v>
      </c>
      <c r="C134" s="21">
        <v>1.9887495992869713E-3</v>
      </c>
      <c r="D134" s="10">
        <v>108</v>
      </c>
      <c r="E134" s="10">
        <v>183</v>
      </c>
      <c r="F134" s="10">
        <v>23</v>
      </c>
    </row>
    <row r="135" spans="1:6">
      <c r="A135" s="10" t="s">
        <v>156</v>
      </c>
      <c r="B135" s="10">
        <v>87</v>
      </c>
      <c r="C135" s="21">
        <v>1.7434486106339799E-3</v>
      </c>
      <c r="D135" s="10">
        <v>79</v>
      </c>
      <c r="E135" s="10">
        <v>175</v>
      </c>
      <c r="F135" s="10">
        <v>24</v>
      </c>
    </row>
    <row r="136" spans="1:6">
      <c r="A136" s="10" t="s">
        <v>157</v>
      </c>
      <c r="B136" s="10">
        <v>602</v>
      </c>
      <c r="C136" s="21">
        <v>2.5496038288709672E-3</v>
      </c>
      <c r="D136" s="10">
        <v>68</v>
      </c>
      <c r="E136" s="10">
        <v>140</v>
      </c>
      <c r="F136" s="10">
        <v>41</v>
      </c>
    </row>
    <row r="137" spans="1:6">
      <c r="A137" s="10" t="s">
        <v>158</v>
      </c>
      <c r="B137" s="10">
        <v>446</v>
      </c>
      <c r="C137" s="21">
        <v>9.5030675693243052E-4</v>
      </c>
      <c r="D137" s="10">
        <v>107</v>
      </c>
      <c r="E137" s="10">
        <v>177</v>
      </c>
      <c r="F137" s="10">
        <v>20</v>
      </c>
    </row>
    <row r="138" spans="1:6">
      <c r="A138" s="10" t="s">
        <v>159</v>
      </c>
      <c r="B138" s="10">
        <v>76</v>
      </c>
      <c r="C138" s="21">
        <v>7.9108048010407953E-4</v>
      </c>
      <c r="D138" s="10">
        <v>46</v>
      </c>
      <c r="E138" s="10">
        <v>139</v>
      </c>
      <c r="F138" s="10">
        <v>24</v>
      </c>
    </row>
    <row r="139" spans="1:6">
      <c r="A139" s="10" t="s">
        <v>160</v>
      </c>
      <c r="B139" s="10">
        <v>50</v>
      </c>
      <c r="C139" s="21">
        <v>9.4309990590535733E-4</v>
      </c>
      <c r="D139" s="10">
        <v>138</v>
      </c>
      <c r="E139" s="10">
        <v>186</v>
      </c>
      <c r="F139" s="10">
        <v>20</v>
      </c>
    </row>
    <row r="140" spans="1:6">
      <c r="A140" s="10" t="s">
        <v>161</v>
      </c>
      <c r="B140" s="10">
        <v>90</v>
      </c>
      <c r="C140" s="21">
        <v>6.5718742606757244E-4</v>
      </c>
      <c r="D140" s="10">
        <v>84</v>
      </c>
      <c r="E140" s="10">
        <v>173</v>
      </c>
      <c r="F140" s="10">
        <v>19</v>
      </c>
    </row>
    <row r="141" spans="1:6">
      <c r="A141" s="10" t="s">
        <v>162</v>
      </c>
      <c r="B141" s="10">
        <v>601</v>
      </c>
      <c r="C141" s="21">
        <v>1.1291694187913811E-3</v>
      </c>
      <c r="D141" s="10">
        <v>109</v>
      </c>
      <c r="E141" s="10">
        <v>176</v>
      </c>
      <c r="F141" s="10">
        <v>24</v>
      </c>
    </row>
    <row r="142" spans="1:6">
      <c r="A142" s="10" t="s">
        <v>163</v>
      </c>
      <c r="B142" s="10">
        <v>131</v>
      </c>
      <c r="C142" s="21">
        <v>5.5849895844890861E-4</v>
      </c>
      <c r="D142" s="10">
        <v>74</v>
      </c>
      <c r="E142" s="10">
        <v>144</v>
      </c>
      <c r="F142" s="10">
        <v>20</v>
      </c>
    </row>
    <row r="143" spans="1:6">
      <c r="A143" s="10" t="s">
        <v>164</v>
      </c>
      <c r="B143" s="10">
        <v>55</v>
      </c>
      <c r="C143" s="21">
        <v>1.1131606727540996E-3</v>
      </c>
      <c r="D143" s="10">
        <v>100</v>
      </c>
      <c r="E143" s="10">
        <v>146</v>
      </c>
      <c r="F143" s="10">
        <v>32</v>
      </c>
    </row>
    <row r="144" spans="1:6">
      <c r="A144" s="10" t="s">
        <v>165</v>
      </c>
      <c r="B144" s="10">
        <v>71</v>
      </c>
      <c r="C144" s="21">
        <v>7.7639477694082843E-4</v>
      </c>
      <c r="D144" s="10">
        <v>86</v>
      </c>
      <c r="E144" s="10">
        <v>184</v>
      </c>
      <c r="F144" s="10">
        <v>32</v>
      </c>
    </row>
    <row r="145" spans="1:6">
      <c r="A145" s="10" t="s">
        <v>166</v>
      </c>
      <c r="B145" s="10">
        <v>95</v>
      </c>
      <c r="C145" s="21">
        <v>6.5410322568673206E-4</v>
      </c>
      <c r="D145" s="10">
        <v>121</v>
      </c>
      <c r="E145" s="10">
        <v>185</v>
      </c>
      <c r="F145" s="10">
        <v>12</v>
      </c>
    </row>
    <row r="146" spans="1:6">
      <c r="A146" s="10" t="s">
        <v>167</v>
      </c>
      <c r="B146" s="10">
        <v>65</v>
      </c>
      <c r="C146" s="21">
        <v>1.1094345358432253E-3</v>
      </c>
      <c r="D146" s="10">
        <v>82</v>
      </c>
      <c r="E146" s="10">
        <v>124</v>
      </c>
      <c r="F146" s="10">
        <v>25</v>
      </c>
    </row>
    <row r="147" spans="1:6">
      <c r="A147" s="10" t="s">
        <v>168</v>
      </c>
      <c r="B147" s="10">
        <v>113</v>
      </c>
      <c r="C147" s="21">
        <v>6.029925448822268E-4</v>
      </c>
      <c r="D147" s="10">
        <v>53</v>
      </c>
      <c r="E147" s="10">
        <v>146</v>
      </c>
      <c r="F147" s="10">
        <v>10</v>
      </c>
    </row>
    <row r="148" spans="1:6">
      <c r="A148" s="10" t="s">
        <v>169</v>
      </c>
      <c r="B148" s="10">
        <v>327</v>
      </c>
      <c r="C148" s="21">
        <v>2.6615175942868614E-3</v>
      </c>
      <c r="D148" s="10">
        <v>40</v>
      </c>
      <c r="E148" s="10">
        <v>97</v>
      </c>
      <c r="F148" s="10">
        <v>39</v>
      </c>
    </row>
    <row r="149" spans="1:6">
      <c r="A149" s="10" t="s">
        <v>170</v>
      </c>
      <c r="B149" s="10">
        <v>402</v>
      </c>
      <c r="C149" s="21">
        <v>4.3894216085486179E-3</v>
      </c>
      <c r="D149" s="10">
        <v>92</v>
      </c>
      <c r="E149" s="10">
        <v>152</v>
      </c>
      <c r="F149" s="10">
        <v>43</v>
      </c>
    </row>
    <row r="150" spans="1:6">
      <c r="A150" s="10" t="s">
        <v>171</v>
      </c>
      <c r="B150" s="10">
        <v>133</v>
      </c>
      <c r="C150" s="21">
        <v>1.2100232602440327E-3</v>
      </c>
      <c r="D150" s="10">
        <v>112</v>
      </c>
      <c r="E150" s="10">
        <v>178</v>
      </c>
      <c r="F150" s="10">
        <v>20</v>
      </c>
    </row>
    <row r="151" spans="1:6">
      <c r="A151" s="10" t="s">
        <v>172</v>
      </c>
      <c r="B151" s="10">
        <v>94</v>
      </c>
      <c r="C151" s="21">
        <v>1.0518671806877863E-3</v>
      </c>
      <c r="D151" s="10">
        <v>90</v>
      </c>
      <c r="E151" s="10">
        <v>166</v>
      </c>
      <c r="F151" s="10">
        <v>16</v>
      </c>
    </row>
    <row r="152" spans="1:6">
      <c r="A152" s="10" t="s">
        <v>173</v>
      </c>
      <c r="B152" s="10">
        <v>41</v>
      </c>
      <c r="C152" s="21">
        <v>1.8722030553948823E-3</v>
      </c>
      <c r="D152" s="10">
        <v>35</v>
      </c>
      <c r="E152" s="10">
        <v>101</v>
      </c>
      <c r="F152" s="10">
        <v>41</v>
      </c>
    </row>
    <row r="153" spans="1:6">
      <c r="A153" s="10" t="s">
        <v>174</v>
      </c>
      <c r="B153" s="10">
        <v>94</v>
      </c>
      <c r="C153" s="21">
        <v>1.5687920659409377E-3</v>
      </c>
      <c r="D153" s="10">
        <v>41</v>
      </c>
      <c r="E153" s="10">
        <v>102</v>
      </c>
      <c r="F153" s="10">
        <v>30</v>
      </c>
    </row>
    <row r="154" spans="1:6">
      <c r="A154" s="10" t="s">
        <v>175</v>
      </c>
      <c r="B154" s="10">
        <v>459</v>
      </c>
      <c r="C154" s="21">
        <v>2.6897896577926838E-3</v>
      </c>
      <c r="D154" s="10">
        <v>60</v>
      </c>
      <c r="E154" s="10">
        <v>72</v>
      </c>
      <c r="F154" s="10">
        <v>50</v>
      </c>
    </row>
    <row r="155" spans="1:6">
      <c r="A155" s="10" t="s">
        <v>176</v>
      </c>
      <c r="B155" s="10">
        <v>89</v>
      </c>
      <c r="C155" s="21">
        <v>2.2669060074283556E-3</v>
      </c>
      <c r="D155" s="10">
        <v>24</v>
      </c>
      <c r="E155" s="10">
        <v>100</v>
      </c>
      <c r="F155" s="10">
        <v>53</v>
      </c>
    </row>
    <row r="156" spans="1:6">
      <c r="A156" s="10" t="s">
        <v>177</v>
      </c>
      <c r="B156" s="10">
        <v>99</v>
      </c>
      <c r="C156" s="21">
        <v>1.2613570553457083E-3</v>
      </c>
      <c r="D156" s="10">
        <v>55</v>
      </c>
      <c r="E156" s="10">
        <v>104</v>
      </c>
      <c r="F156" s="10">
        <v>32</v>
      </c>
    </row>
    <row r="157" spans="1:6">
      <c r="A157" s="10" t="s">
        <v>178</v>
      </c>
      <c r="B157" s="10">
        <v>511</v>
      </c>
      <c r="C157" s="21">
        <v>9.1047632360431122E-4</v>
      </c>
      <c r="D157" s="10">
        <v>62</v>
      </c>
      <c r="E157" s="10">
        <v>104</v>
      </c>
      <c r="F157" s="10">
        <v>35</v>
      </c>
    </row>
    <row r="158" spans="1:6">
      <c r="A158" s="10" t="s">
        <v>179</v>
      </c>
      <c r="B158" s="10">
        <v>56</v>
      </c>
      <c r="C158" s="21">
        <v>1.5600780015197564E-3</v>
      </c>
      <c r="D158" s="10">
        <v>45</v>
      </c>
      <c r="E158" s="10">
        <v>128</v>
      </c>
      <c r="F158" s="10">
        <v>29</v>
      </c>
    </row>
    <row r="159" spans="1:6">
      <c r="A159" s="10" t="s">
        <v>180</v>
      </c>
      <c r="B159" s="10">
        <v>135</v>
      </c>
      <c r="C159" s="21">
        <v>1.3573867103870031E-3</v>
      </c>
      <c r="D159" s="10">
        <v>111</v>
      </c>
      <c r="E159" s="10">
        <v>189</v>
      </c>
      <c r="F159" s="10">
        <v>26</v>
      </c>
    </row>
    <row r="160" spans="1:6">
      <c r="A160" s="10" t="s">
        <v>181</v>
      </c>
      <c r="B160" s="10">
        <v>396</v>
      </c>
      <c r="C160" s="21">
        <v>1.2259151222698138E-3</v>
      </c>
      <c r="D160" s="10">
        <v>98</v>
      </c>
      <c r="E160" s="10">
        <v>198</v>
      </c>
      <c r="F160" s="10">
        <v>22</v>
      </c>
    </row>
    <row r="161" spans="1:6">
      <c r="A161" s="10" t="s">
        <v>182</v>
      </c>
      <c r="B161" s="10">
        <v>124</v>
      </c>
      <c r="C161" s="21">
        <v>1.7521691012104188E-3</v>
      </c>
      <c r="D161" s="10">
        <v>18</v>
      </c>
      <c r="E161" s="10">
        <v>124</v>
      </c>
      <c r="F161" s="10">
        <v>23</v>
      </c>
    </row>
    <row r="162" spans="1:6">
      <c r="A162" s="10" t="s">
        <v>183</v>
      </c>
      <c r="B162" s="10">
        <v>85</v>
      </c>
      <c r="C162" s="21">
        <v>2.8098144910986265E-3</v>
      </c>
      <c r="D162" s="10">
        <v>74</v>
      </c>
      <c r="E162" s="10">
        <v>134</v>
      </c>
      <c r="F162" s="10">
        <v>52</v>
      </c>
    </row>
    <row r="163" spans="1:6">
      <c r="A163" s="10" t="s">
        <v>184</v>
      </c>
      <c r="B163" s="10">
        <v>148</v>
      </c>
      <c r="C163" s="21">
        <v>5.7510006836440262E-4</v>
      </c>
      <c r="D163" s="10">
        <v>53</v>
      </c>
      <c r="E163" s="10">
        <v>137</v>
      </c>
      <c r="F163" s="10">
        <v>24</v>
      </c>
    </row>
    <row r="164" spans="1:6">
      <c r="A164" s="10" t="s">
        <v>185</v>
      </c>
      <c r="B164" s="10">
        <v>154</v>
      </c>
      <c r="C164" s="21">
        <v>1.949578872566918E-3</v>
      </c>
      <c r="D164" s="10">
        <v>72</v>
      </c>
      <c r="E164" s="10">
        <v>135</v>
      </c>
      <c r="F164" s="10">
        <v>42</v>
      </c>
    </row>
    <row r="165" spans="1:6">
      <c r="A165" s="10" t="s">
        <v>186</v>
      </c>
      <c r="B165" s="10">
        <v>108</v>
      </c>
      <c r="C165" s="21">
        <v>1.5127848724946942E-3</v>
      </c>
      <c r="D165" s="10">
        <v>83</v>
      </c>
      <c r="E165" s="10">
        <v>140</v>
      </c>
      <c r="F165" s="10">
        <v>36</v>
      </c>
    </row>
    <row r="166" spans="1:6">
      <c r="A166" s="10" t="s">
        <v>187</v>
      </c>
      <c r="B166" s="10">
        <v>41</v>
      </c>
      <c r="C166" s="21">
        <v>9.5366080222933141E-4</v>
      </c>
      <c r="D166" s="10">
        <v>83</v>
      </c>
      <c r="E166" s="10">
        <v>174</v>
      </c>
      <c r="F166" s="10">
        <v>16</v>
      </c>
    </row>
    <row r="167" spans="1:6">
      <c r="A167" s="10" t="s">
        <v>188</v>
      </c>
      <c r="B167" s="10">
        <v>130</v>
      </c>
      <c r="C167" s="21">
        <v>1.3986906220521955E-3</v>
      </c>
      <c r="D167" s="10">
        <v>81</v>
      </c>
      <c r="E167" s="10">
        <v>112</v>
      </c>
      <c r="F167" s="10">
        <v>26</v>
      </c>
    </row>
    <row r="168" spans="1:6">
      <c r="A168" s="10" t="s">
        <v>189</v>
      </c>
      <c r="B168" s="10">
        <v>267</v>
      </c>
      <c r="C168" s="21">
        <v>1.1278385558911805E-3</v>
      </c>
      <c r="D168" s="10">
        <v>67</v>
      </c>
      <c r="E168" s="10">
        <v>133</v>
      </c>
      <c r="F168" s="10">
        <v>28</v>
      </c>
    </row>
    <row r="169" spans="1:6">
      <c r="A169" s="10" t="s">
        <v>190</v>
      </c>
      <c r="B169" s="10">
        <v>367</v>
      </c>
      <c r="C169" s="21">
        <v>9.3975429933507485E-4</v>
      </c>
      <c r="D169" s="10">
        <v>59</v>
      </c>
      <c r="E169" s="10">
        <v>145</v>
      </c>
      <c r="F169" s="10">
        <v>22</v>
      </c>
    </row>
    <row r="170" spans="1:6">
      <c r="A170" s="10" t="s">
        <v>191</v>
      </c>
      <c r="B170" s="10">
        <v>107</v>
      </c>
      <c r="C170" s="21">
        <v>1.6138737946756101E-3</v>
      </c>
      <c r="D170" s="10">
        <v>43</v>
      </c>
      <c r="E170" s="10">
        <v>107</v>
      </c>
      <c r="F170" s="10">
        <v>36</v>
      </c>
    </row>
    <row r="171" spans="1:6">
      <c r="A171" s="10" t="s">
        <v>192</v>
      </c>
      <c r="B171" s="10">
        <v>119</v>
      </c>
      <c r="C171" s="21">
        <v>1.0737157765157684E-3</v>
      </c>
      <c r="D171" s="10">
        <v>67</v>
      </c>
      <c r="E171" s="10">
        <v>186</v>
      </c>
      <c r="F171" s="10">
        <v>25</v>
      </c>
    </row>
    <row r="172" spans="1:6">
      <c r="A172" s="10" t="s">
        <v>193</v>
      </c>
      <c r="B172" s="10">
        <v>76</v>
      </c>
      <c r="C172" s="21">
        <v>7.5788330905871525E-4</v>
      </c>
      <c r="D172" s="10">
        <v>82</v>
      </c>
      <c r="E172" s="10">
        <v>147</v>
      </c>
      <c r="F172" s="10">
        <v>17</v>
      </c>
    </row>
    <row r="173" spans="1:6">
      <c r="A173" s="10" t="s">
        <v>194</v>
      </c>
      <c r="B173" s="10">
        <v>93</v>
      </c>
      <c r="C173" s="21">
        <v>3.1557662680345793E-3</v>
      </c>
      <c r="D173" s="10">
        <v>86</v>
      </c>
      <c r="E173" s="10">
        <v>181</v>
      </c>
      <c r="F173" s="10">
        <v>27</v>
      </c>
    </row>
    <row r="174" spans="1:6">
      <c r="A174" s="10" t="s">
        <v>195</v>
      </c>
      <c r="B174" s="10">
        <v>41</v>
      </c>
      <c r="C174" s="21">
        <v>1.5499482857005424E-3</v>
      </c>
      <c r="D174" s="10">
        <v>79</v>
      </c>
      <c r="E174" s="10">
        <v>162</v>
      </c>
      <c r="F174" s="10">
        <v>31</v>
      </c>
    </row>
    <row r="175" spans="1:6">
      <c r="A175" s="10" t="s">
        <v>196</v>
      </c>
      <c r="B175" s="10">
        <v>110</v>
      </c>
      <c r="C175" s="21">
        <v>1.2884322588682128E-3</v>
      </c>
      <c r="D175" s="10">
        <v>67</v>
      </c>
      <c r="E175" s="10">
        <v>118</v>
      </c>
      <c r="F175" s="10">
        <v>28</v>
      </c>
    </row>
    <row r="176" spans="1:6">
      <c r="A176" s="10" t="s">
        <v>197</v>
      </c>
      <c r="B176" s="10">
        <v>574</v>
      </c>
      <c r="C176" s="21">
        <v>2.083003798488782E-3</v>
      </c>
      <c r="D176" s="10">
        <v>74</v>
      </c>
      <c r="E176" s="10">
        <v>120</v>
      </c>
      <c r="F176" s="10">
        <v>41</v>
      </c>
    </row>
    <row r="177" spans="1:6">
      <c r="A177" s="10" t="s">
        <v>198</v>
      </c>
      <c r="B177" s="10">
        <v>110</v>
      </c>
      <c r="C177" s="21">
        <v>1.9448441041120492E-4</v>
      </c>
      <c r="D177" s="10">
        <v>121</v>
      </c>
      <c r="E177" s="10">
        <v>193</v>
      </c>
      <c r="F177" s="10">
        <v>18</v>
      </c>
    </row>
    <row r="178" spans="1:6">
      <c r="A178" s="10" t="s">
        <v>199</v>
      </c>
      <c r="B178" s="10">
        <v>253</v>
      </c>
      <c r="C178" s="21">
        <v>1.2004501867415708E-4</v>
      </c>
      <c r="D178" s="10">
        <v>86</v>
      </c>
      <c r="E178" s="10">
        <v>196</v>
      </c>
      <c r="F178" s="10">
        <v>16</v>
      </c>
    </row>
    <row r="179" spans="1:6">
      <c r="A179" s="10" t="s">
        <v>200</v>
      </c>
      <c r="B179" s="10">
        <v>84</v>
      </c>
      <c r="C179" s="21">
        <v>2.0709324868360694E-3</v>
      </c>
      <c r="D179" s="10">
        <v>67</v>
      </c>
      <c r="E179" s="10">
        <v>178</v>
      </c>
      <c r="F179" s="10">
        <v>26</v>
      </c>
    </row>
    <row r="180" spans="1:6">
      <c r="A180" s="10" t="s">
        <v>201</v>
      </c>
      <c r="B180" s="10">
        <v>41</v>
      </c>
      <c r="C180" s="21">
        <v>1.4387964782513198E-3</v>
      </c>
      <c r="D180" s="10">
        <v>87</v>
      </c>
      <c r="E180" s="10">
        <v>177</v>
      </c>
      <c r="F180" s="10">
        <v>14</v>
      </c>
    </row>
    <row r="181" spans="1:6">
      <c r="A181" s="10" t="s">
        <v>202</v>
      </c>
      <c r="B181" s="10">
        <v>96</v>
      </c>
      <c r="C181" s="21">
        <v>4.6450959101216691E-3</v>
      </c>
      <c r="D181" s="10">
        <v>50</v>
      </c>
      <c r="E181" s="10">
        <v>84</v>
      </c>
      <c r="F181" s="10">
        <v>43</v>
      </c>
    </row>
    <row r="182" spans="1:6">
      <c r="A182" s="10" t="s">
        <v>203</v>
      </c>
      <c r="B182" s="10">
        <v>45</v>
      </c>
      <c r="C182" s="21">
        <v>1.7580627766745987E-3</v>
      </c>
      <c r="D182" s="10">
        <v>72</v>
      </c>
      <c r="E182" s="10">
        <v>200</v>
      </c>
      <c r="F182" s="10">
        <v>23</v>
      </c>
    </row>
    <row r="183" spans="1:6">
      <c r="A183" s="10" t="s">
        <v>204</v>
      </c>
      <c r="B183" s="10">
        <v>341</v>
      </c>
      <c r="C183" s="21">
        <v>1.0790156139933635E-3</v>
      </c>
      <c r="D183" s="10">
        <v>89</v>
      </c>
      <c r="E183" s="10">
        <v>194</v>
      </c>
      <c r="F183" s="10">
        <v>20</v>
      </c>
    </row>
    <row r="184" spans="1:6">
      <c r="A184" s="10" t="s">
        <v>205</v>
      </c>
      <c r="B184" s="10">
        <v>89</v>
      </c>
      <c r="C184" s="21">
        <v>1.8832833535923081E-3</v>
      </c>
      <c r="D184" s="10">
        <v>40</v>
      </c>
      <c r="E184" s="10">
        <v>125</v>
      </c>
      <c r="F184" s="10">
        <v>31</v>
      </c>
    </row>
    <row r="185" spans="1:6">
      <c r="A185" s="10" t="s">
        <v>206</v>
      </c>
      <c r="B185" s="10">
        <v>98</v>
      </c>
      <c r="C185" s="21">
        <v>2.4508734929749873E-3</v>
      </c>
      <c r="D185" s="10">
        <v>99</v>
      </c>
      <c r="E185" s="10">
        <v>163</v>
      </c>
      <c r="F185" s="10">
        <v>38</v>
      </c>
    </row>
    <row r="186" spans="1:6">
      <c r="A186" s="10" t="s">
        <v>207</v>
      </c>
      <c r="B186" s="10">
        <v>69</v>
      </c>
      <c r="C186" s="21">
        <v>1.852410654735677E-3</v>
      </c>
      <c r="D186" s="10">
        <v>68</v>
      </c>
      <c r="E186" s="10">
        <v>155</v>
      </c>
      <c r="F186" s="10">
        <v>33</v>
      </c>
    </row>
    <row r="187" spans="1:6">
      <c r="A187" s="10" t="s">
        <v>208</v>
      </c>
      <c r="B187" s="10">
        <v>122</v>
      </c>
      <c r="C187" s="21">
        <v>1.5641647108579348E-3</v>
      </c>
      <c r="D187" s="10">
        <v>60</v>
      </c>
      <c r="E187" s="10">
        <v>113</v>
      </c>
      <c r="F187" s="10">
        <v>27</v>
      </c>
    </row>
    <row r="188" spans="1:6">
      <c r="A188" s="10" t="s">
        <v>209</v>
      </c>
      <c r="B188" s="10">
        <v>83</v>
      </c>
      <c r="C188" s="21">
        <v>1.5594884259148849E-3</v>
      </c>
      <c r="D188" s="10">
        <v>55</v>
      </c>
      <c r="E188" s="10">
        <v>133</v>
      </c>
      <c r="F188" s="10">
        <v>24</v>
      </c>
    </row>
    <row r="189" spans="1:6">
      <c r="A189" s="10" t="s">
        <v>210</v>
      </c>
      <c r="B189" s="10">
        <v>348</v>
      </c>
      <c r="C189" s="21">
        <v>2.1838970382424597E-3</v>
      </c>
      <c r="D189" s="10">
        <v>62</v>
      </c>
      <c r="E189" s="10">
        <v>119</v>
      </c>
      <c r="F189" s="10">
        <v>38</v>
      </c>
    </row>
    <row r="190" spans="1:6">
      <c r="A190" s="10" t="s">
        <v>211</v>
      </c>
      <c r="B190" s="10">
        <v>108</v>
      </c>
      <c r="C190" s="21">
        <v>2.25019564038593E-3</v>
      </c>
      <c r="D190" s="10">
        <v>53</v>
      </c>
      <c r="E190" s="10">
        <v>106</v>
      </c>
      <c r="F190" s="10">
        <v>47</v>
      </c>
    </row>
    <row r="191" spans="1:6">
      <c r="A191" s="10" t="s">
        <v>212</v>
      </c>
      <c r="B191" s="10">
        <v>112</v>
      </c>
      <c r="C191" s="21">
        <v>2.2118839965426097E-3</v>
      </c>
      <c r="D191" s="10">
        <v>51</v>
      </c>
      <c r="E191" s="10">
        <v>146</v>
      </c>
      <c r="F191" s="10">
        <v>31</v>
      </c>
    </row>
    <row r="192" spans="1:6">
      <c r="A192" s="10" t="s">
        <v>213</v>
      </c>
      <c r="B192" s="10">
        <v>518</v>
      </c>
      <c r="C192" s="21">
        <v>9.5150174980528676E-4</v>
      </c>
      <c r="D192" s="10">
        <v>58</v>
      </c>
      <c r="E192" s="10">
        <v>140</v>
      </c>
      <c r="F192" s="10">
        <v>20</v>
      </c>
    </row>
    <row r="193" spans="1:6">
      <c r="A193" s="10" t="s">
        <v>214</v>
      </c>
      <c r="B193" s="10">
        <v>72</v>
      </c>
      <c r="C193" s="21">
        <v>1.7516389250097819E-3</v>
      </c>
      <c r="D193" s="10">
        <v>130</v>
      </c>
      <c r="E193" s="10">
        <v>226</v>
      </c>
      <c r="F193" s="10">
        <v>19</v>
      </c>
    </row>
    <row r="194" spans="1:6">
      <c r="A194" s="10" t="s">
        <v>215</v>
      </c>
      <c r="B194" s="10">
        <v>36</v>
      </c>
      <c r="C194" s="21">
        <v>2.067497539937548E-3</v>
      </c>
      <c r="D194" s="10">
        <v>71</v>
      </c>
      <c r="E194" s="10">
        <v>151</v>
      </c>
      <c r="F194" s="10">
        <v>45</v>
      </c>
    </row>
    <row r="195" spans="1:6">
      <c r="A195" s="10" t="s">
        <v>216</v>
      </c>
      <c r="B195" s="10">
        <v>620</v>
      </c>
      <c r="C195" s="21">
        <v>6.8243865316366774E-4</v>
      </c>
      <c r="D195" s="10">
        <v>71</v>
      </c>
      <c r="E195" s="10">
        <v>110</v>
      </c>
      <c r="F195" s="10">
        <v>38</v>
      </c>
    </row>
    <row r="196" spans="1:6">
      <c r="A196" s="10" t="s">
        <v>217</v>
      </c>
      <c r="B196" s="10">
        <v>69</v>
      </c>
      <c r="C196" s="21">
        <v>1.5242691465290717E-4</v>
      </c>
      <c r="D196" s="10">
        <v>105</v>
      </c>
      <c r="E196" s="10">
        <v>192</v>
      </c>
      <c r="F196" s="10">
        <v>18</v>
      </c>
    </row>
    <row r="197" spans="1:6">
      <c r="A197" s="10" t="s">
        <v>218</v>
      </c>
      <c r="B197" s="10">
        <v>284</v>
      </c>
      <c r="C197" s="21">
        <v>7.2164448242339823E-4</v>
      </c>
      <c r="D197" s="10">
        <v>117</v>
      </c>
      <c r="E197" s="10">
        <v>168</v>
      </c>
      <c r="F197" s="10">
        <v>14</v>
      </c>
    </row>
    <row r="198" spans="1:6">
      <c r="A198" s="10" t="s">
        <v>219</v>
      </c>
      <c r="B198" s="10">
        <v>118</v>
      </c>
      <c r="C198" s="21">
        <v>6.2297718886552937E-4</v>
      </c>
      <c r="D198" s="10">
        <v>39</v>
      </c>
      <c r="E198" s="10">
        <v>135</v>
      </c>
      <c r="F198" s="10">
        <v>42</v>
      </c>
    </row>
    <row r="199" spans="1:6">
      <c r="A199" s="10" t="s">
        <v>220</v>
      </c>
      <c r="B199" s="10">
        <v>192</v>
      </c>
      <c r="C199" s="21">
        <v>1.7844965475914329E-3</v>
      </c>
      <c r="D199" s="10">
        <v>60</v>
      </c>
      <c r="E199" s="10">
        <v>157</v>
      </c>
      <c r="F199" s="10">
        <v>33</v>
      </c>
    </row>
    <row r="200" spans="1:6">
      <c r="A200" s="10" t="s">
        <v>221</v>
      </c>
      <c r="B200" s="10">
        <v>103</v>
      </c>
      <c r="C200" s="21">
        <v>1.9776348056350711E-3</v>
      </c>
      <c r="D200" s="10">
        <v>63</v>
      </c>
      <c r="E200" s="10">
        <v>152</v>
      </c>
      <c r="F200" s="10">
        <v>34</v>
      </c>
    </row>
    <row r="201" spans="1:6">
      <c r="A201" s="10" t="s">
        <v>222</v>
      </c>
      <c r="B201" s="10">
        <v>111</v>
      </c>
      <c r="C201" s="21">
        <v>1.8665161937309822E-4</v>
      </c>
      <c r="D201" s="10">
        <v>97</v>
      </c>
      <c r="E201" s="10">
        <v>206</v>
      </c>
      <c r="F201" s="10">
        <v>15</v>
      </c>
    </row>
    <row r="202" spans="1:6">
      <c r="A202" s="10" t="s">
        <v>223</v>
      </c>
      <c r="B202" s="10">
        <v>52</v>
      </c>
      <c r="C202" s="21">
        <v>2.561622483062664E-3</v>
      </c>
      <c r="D202" s="10">
        <v>127</v>
      </c>
      <c r="E202" s="10">
        <v>192</v>
      </c>
      <c r="F202" s="10">
        <v>22</v>
      </c>
    </row>
    <row r="203" spans="1:6">
      <c r="A203" s="10" t="s">
        <v>224</v>
      </c>
      <c r="B203" s="10">
        <v>112</v>
      </c>
      <c r="C203" s="21">
        <v>1.6138737946756101E-3</v>
      </c>
      <c r="D203" s="10">
        <v>92</v>
      </c>
      <c r="E203" s="10">
        <v>166</v>
      </c>
      <c r="F203" s="10">
        <v>30</v>
      </c>
    </row>
    <row r="204" spans="1:6">
      <c r="A204" s="10" t="s">
        <v>225</v>
      </c>
      <c r="B204" s="10">
        <v>431</v>
      </c>
      <c r="C204" s="21">
        <v>2.1632499454531679E-3</v>
      </c>
      <c r="D204" s="10">
        <v>71</v>
      </c>
      <c r="E204" s="10">
        <v>124</v>
      </c>
      <c r="F204" s="10">
        <v>25</v>
      </c>
    </row>
    <row r="205" spans="1:6">
      <c r="A205" s="10" t="s">
        <v>226</v>
      </c>
      <c r="B205" s="10">
        <v>79</v>
      </c>
      <c r="C205" s="21">
        <v>2.0197360023128095E-3</v>
      </c>
      <c r="D205" s="10">
        <v>57</v>
      </c>
      <c r="E205" s="10">
        <v>156</v>
      </c>
      <c r="F205" s="10">
        <v>26</v>
      </c>
    </row>
    <row r="206" spans="1:6">
      <c r="A206" s="10" t="s">
        <v>227</v>
      </c>
      <c r="B206" s="10">
        <v>107</v>
      </c>
      <c r="C206" s="21">
        <v>4.5952355367580842E-4</v>
      </c>
      <c r="D206" s="10">
        <v>84</v>
      </c>
      <c r="E206" s="10">
        <v>186</v>
      </c>
      <c r="F206" s="10">
        <v>11</v>
      </c>
    </row>
    <row r="207" spans="1:6">
      <c r="A207" s="10" t="s">
        <v>228</v>
      </c>
      <c r="B207" s="10">
        <v>92</v>
      </c>
      <c r="C207" s="21">
        <v>7.2638925262109258E-4</v>
      </c>
      <c r="D207" s="10">
        <v>82</v>
      </c>
      <c r="E207" s="10">
        <v>137</v>
      </c>
      <c r="F207" s="10">
        <v>28</v>
      </c>
    </row>
    <row r="208" spans="1:6">
      <c r="A208" s="10" t="s">
        <v>229</v>
      </c>
      <c r="B208" s="10">
        <v>430</v>
      </c>
      <c r="C208" s="21">
        <v>8.216832532706381E-4</v>
      </c>
      <c r="D208" s="10">
        <v>98</v>
      </c>
      <c r="E208" s="10">
        <v>176</v>
      </c>
      <c r="F208" s="10">
        <v>22</v>
      </c>
    </row>
    <row r="209" spans="1:6">
      <c r="A209" s="10" t="s">
        <v>230</v>
      </c>
      <c r="B209" s="10">
        <v>96</v>
      </c>
      <c r="C209" s="21">
        <v>1.999354783838433E-3</v>
      </c>
      <c r="D209" s="10">
        <v>33</v>
      </c>
      <c r="E209" s="10">
        <v>89</v>
      </c>
      <c r="F209" s="10">
        <v>37</v>
      </c>
    </row>
    <row r="210" spans="1:6">
      <c r="A210" s="10" t="s">
        <v>231</v>
      </c>
      <c r="B210" s="10">
        <v>85</v>
      </c>
      <c r="C210" s="21">
        <v>1.4522715281592958E-3</v>
      </c>
      <c r="D210" s="10">
        <v>109</v>
      </c>
      <c r="E210" s="10">
        <v>169</v>
      </c>
      <c r="F210" s="10">
        <v>31</v>
      </c>
    </row>
    <row r="211" spans="1:6">
      <c r="A211" s="10" t="s">
        <v>232</v>
      </c>
      <c r="B211" s="10">
        <v>98</v>
      </c>
      <c r="C211" s="21">
        <v>9.0274492797195744E-4</v>
      </c>
      <c r="D211" s="10">
        <v>112</v>
      </c>
      <c r="E211" s="10">
        <v>160</v>
      </c>
      <c r="F211" s="10">
        <v>19</v>
      </c>
    </row>
    <row r="212" spans="1:6">
      <c r="A212" s="10" t="s">
        <v>233</v>
      </c>
      <c r="B212" s="10">
        <v>375</v>
      </c>
      <c r="C212" s="21">
        <v>1.8836654335521678E-3</v>
      </c>
      <c r="D212" s="10">
        <v>93</v>
      </c>
      <c r="E212" s="10">
        <v>175</v>
      </c>
      <c r="F212" s="10">
        <v>32</v>
      </c>
    </row>
    <row r="213" spans="1:6">
      <c r="A213" s="10" t="s">
        <v>234</v>
      </c>
      <c r="B213" s="10">
        <v>616</v>
      </c>
      <c r="C213" s="21">
        <v>1.818269875903051E-3</v>
      </c>
      <c r="D213" s="10">
        <v>64</v>
      </c>
      <c r="E213" s="10">
        <v>135</v>
      </c>
      <c r="F213" s="10">
        <v>27</v>
      </c>
    </row>
    <row r="214" spans="1:6">
      <c r="A214" s="10" t="s">
        <v>235</v>
      </c>
      <c r="B214" s="10">
        <v>86</v>
      </c>
      <c r="C214" s="21">
        <v>1.5921973486305173E-3</v>
      </c>
      <c r="D214" s="10">
        <v>93</v>
      </c>
      <c r="E214" s="10">
        <v>202</v>
      </c>
      <c r="F214" s="10">
        <v>13</v>
      </c>
    </row>
    <row r="215" spans="1:6">
      <c r="A215" s="10" t="s">
        <v>236</v>
      </c>
      <c r="B215" s="10">
        <v>207</v>
      </c>
      <c r="C215" s="21">
        <v>1.4836846830432572E-3</v>
      </c>
      <c r="D215" s="10">
        <v>62</v>
      </c>
      <c r="E215" s="10">
        <v>189</v>
      </c>
      <c r="F215" s="10">
        <v>31</v>
      </c>
    </row>
    <row r="216" spans="1:6">
      <c r="A216" s="10" t="s">
        <v>237</v>
      </c>
      <c r="B216" s="10">
        <v>112</v>
      </c>
      <c r="C216" s="21">
        <v>6.9229145159335542E-4</v>
      </c>
      <c r="D216" s="10">
        <v>71</v>
      </c>
      <c r="E216" s="10">
        <v>132</v>
      </c>
      <c r="F216" s="10">
        <v>20</v>
      </c>
    </row>
    <row r="217" spans="1:6">
      <c r="A217" s="10" t="s">
        <v>238</v>
      </c>
      <c r="B217" s="10">
        <v>615</v>
      </c>
      <c r="C217" s="21">
        <v>1.0673773326953555E-4</v>
      </c>
      <c r="D217" s="10">
        <v>51</v>
      </c>
      <c r="E217" s="10">
        <v>138</v>
      </c>
      <c r="F217" s="10">
        <v>26</v>
      </c>
    </row>
    <row r="218" spans="1:6">
      <c r="A218" s="10" t="s">
        <v>239</v>
      </c>
      <c r="B218" s="10">
        <v>113</v>
      </c>
      <c r="C218" s="21">
        <v>2.7040098084492796E-3</v>
      </c>
      <c r="D218" s="10">
        <v>83</v>
      </c>
      <c r="E218" s="10">
        <v>170</v>
      </c>
      <c r="F218" s="10">
        <v>42</v>
      </c>
    </row>
    <row r="219" spans="1:6">
      <c r="A219" s="10" t="s">
        <v>240</v>
      </c>
      <c r="B219" s="10">
        <v>125</v>
      </c>
      <c r="C219" s="21">
        <v>1.2344613319645191E-3</v>
      </c>
      <c r="D219" s="10">
        <v>81</v>
      </c>
      <c r="E219" s="10">
        <v>186</v>
      </c>
      <c r="F219" s="10">
        <v>24</v>
      </c>
    </row>
    <row r="220" spans="1:6">
      <c r="A220" s="10" t="s">
        <v>241</v>
      </c>
      <c r="B220" s="10">
        <v>441</v>
      </c>
      <c r="C220" s="21">
        <v>2.5557299484320469E-3</v>
      </c>
      <c r="D220" s="10">
        <v>52</v>
      </c>
      <c r="E220" s="10">
        <v>89</v>
      </c>
      <c r="F220" s="10">
        <v>50</v>
      </c>
    </row>
    <row r="221" spans="1:6">
      <c r="A221" s="10" t="s">
        <v>242</v>
      </c>
      <c r="B221" s="10">
        <v>108</v>
      </c>
      <c r="C221" s="21">
        <v>3.3589306225470998E-3</v>
      </c>
      <c r="D221" s="10">
        <v>45</v>
      </c>
      <c r="E221" s="10">
        <v>105</v>
      </c>
      <c r="F221" s="10">
        <v>41</v>
      </c>
    </row>
    <row r="222" spans="1:6">
      <c r="A222" s="10" t="s">
        <v>243</v>
      </c>
      <c r="B222" s="10">
        <v>529</v>
      </c>
      <c r="C222" s="21">
        <v>1.1835074494287807E-3</v>
      </c>
      <c r="D222" s="10">
        <v>54</v>
      </c>
      <c r="E222" s="10">
        <v>0</v>
      </c>
      <c r="F222" s="10">
        <v>22</v>
      </c>
    </row>
    <row r="223" spans="1:6">
      <c r="A223" s="10" t="s">
        <v>244</v>
      </c>
      <c r="B223" s="10">
        <v>99</v>
      </c>
      <c r="C223" s="21">
        <v>1.3919422450956913E-3</v>
      </c>
      <c r="D223" s="10">
        <v>116</v>
      </c>
      <c r="E223" s="10">
        <v>189</v>
      </c>
      <c r="F223" s="10">
        <v>29</v>
      </c>
    </row>
    <row r="224" spans="1:6">
      <c r="A224" s="10" t="s">
        <v>245</v>
      </c>
      <c r="B224" s="10">
        <v>497</v>
      </c>
      <c r="C224" s="21">
        <v>1.2393269112990798E-3</v>
      </c>
      <c r="D224" s="10">
        <v>72</v>
      </c>
      <c r="E224" s="10">
        <v>152</v>
      </c>
      <c r="F224" s="10">
        <v>23</v>
      </c>
    </row>
    <row r="225" spans="1:6">
      <c r="A225" s="10" t="s">
        <v>246</v>
      </c>
      <c r="B225" s="10">
        <v>103</v>
      </c>
      <c r="C225" s="21">
        <v>7.9729091459112254E-4</v>
      </c>
      <c r="D225" s="10">
        <v>103</v>
      </c>
      <c r="E225" s="10">
        <v>226</v>
      </c>
      <c r="F225" s="10">
        <v>13</v>
      </c>
    </row>
    <row r="226" spans="1:6">
      <c r="A226" s="10" t="s">
        <v>247</v>
      </c>
      <c r="B226" s="10">
        <v>443</v>
      </c>
      <c r="C226" s="21">
        <v>1.3895015189099135E-3</v>
      </c>
      <c r="D226" s="10">
        <v>76</v>
      </c>
      <c r="E226" s="10">
        <v>146</v>
      </c>
      <c r="F226" s="10">
        <v>32</v>
      </c>
    </row>
    <row r="227" spans="1:6">
      <c r="A227" s="10" t="s">
        <v>248</v>
      </c>
      <c r="B227" s="10">
        <v>81</v>
      </c>
      <c r="C227" s="21">
        <v>9.9986080460104593E-4</v>
      </c>
      <c r="D227" s="10">
        <v>66</v>
      </c>
      <c r="E227" s="10">
        <v>197</v>
      </c>
      <c r="F227" s="10">
        <v>24</v>
      </c>
    </row>
    <row r="228" spans="1:6">
      <c r="A228" s="10" t="s">
        <v>249</v>
      </c>
      <c r="B228" s="10">
        <v>105</v>
      </c>
      <c r="C228" s="21">
        <v>2.1936594703552189E-3</v>
      </c>
      <c r="D228" s="10">
        <v>87</v>
      </c>
      <c r="E228" s="10">
        <v>188</v>
      </c>
      <c r="F228" s="10">
        <v>33</v>
      </c>
    </row>
    <row r="229" spans="1:6">
      <c r="A229" s="10" t="s">
        <v>250</v>
      </c>
      <c r="B229" s="10">
        <v>65</v>
      </c>
      <c r="C229" s="21">
        <v>1.6708719754918925E-3</v>
      </c>
      <c r="D229" s="10">
        <v>109</v>
      </c>
      <c r="E229" s="10">
        <v>151</v>
      </c>
      <c r="F229" s="10">
        <v>29</v>
      </c>
    </row>
    <row r="230" spans="1:6">
      <c r="A230" s="10" t="s">
        <v>251</v>
      </c>
      <c r="B230" s="10">
        <v>136</v>
      </c>
      <c r="C230" s="21">
        <v>1.1874019206731575E-3</v>
      </c>
      <c r="D230" s="10">
        <v>128</v>
      </c>
      <c r="E230" s="10">
        <v>207</v>
      </c>
      <c r="F230" s="10">
        <v>24</v>
      </c>
    </row>
    <row r="231" spans="1:6">
      <c r="A231" s="10" t="s">
        <v>252</v>
      </c>
      <c r="B231" s="10">
        <v>89</v>
      </c>
      <c r="C231" s="21">
        <v>1.8319020993178242E-3</v>
      </c>
      <c r="D231" s="10">
        <v>73</v>
      </c>
      <c r="E231" s="10">
        <v>104</v>
      </c>
      <c r="F231" s="10">
        <v>40</v>
      </c>
    </row>
    <row r="232" spans="1:6">
      <c r="A232" s="10" t="s">
        <v>253</v>
      </c>
      <c r="B232" s="10">
        <v>437</v>
      </c>
      <c r="C232" s="21">
        <v>1.2281218789836712E-3</v>
      </c>
      <c r="D232" s="10">
        <v>78</v>
      </c>
      <c r="E232" s="10">
        <v>188</v>
      </c>
      <c r="F232" s="10">
        <v>16</v>
      </c>
    </row>
    <row r="233" spans="1:6">
      <c r="A233" s="10" t="s">
        <v>254</v>
      </c>
      <c r="B233" s="10">
        <v>111</v>
      </c>
      <c r="C233" s="21">
        <v>6.2834236679307307E-4</v>
      </c>
      <c r="D233" s="10">
        <v>151</v>
      </c>
      <c r="E233" s="10">
        <v>234</v>
      </c>
      <c r="F233" s="10">
        <v>11</v>
      </c>
    </row>
    <row r="234" spans="1:6">
      <c r="A234" s="10" t="s">
        <v>255</v>
      </c>
      <c r="B234" s="10">
        <v>78</v>
      </c>
      <c r="C234" s="21">
        <v>1.0221200699612198E-3</v>
      </c>
      <c r="D234" s="10">
        <v>114</v>
      </c>
      <c r="E234" s="10">
        <v>202</v>
      </c>
      <c r="F234" s="10">
        <v>19</v>
      </c>
    </row>
    <row r="235" spans="1:6">
      <c r="A235" s="10" t="s">
        <v>256</v>
      </c>
      <c r="B235" s="10">
        <v>64</v>
      </c>
      <c r="C235" s="21">
        <v>3.099075172735272E-3</v>
      </c>
      <c r="D235" s="10">
        <v>60</v>
      </c>
      <c r="E235" s="10">
        <v>126</v>
      </c>
      <c r="F235" s="10">
        <v>42</v>
      </c>
    </row>
    <row r="236" spans="1:6">
      <c r="A236" s="10" t="s">
        <v>257</v>
      </c>
      <c r="B236" s="10">
        <v>113</v>
      </c>
      <c r="C236" s="21">
        <v>1.3817803685745589E-3</v>
      </c>
      <c r="D236" s="10">
        <v>69</v>
      </c>
      <c r="E236" s="10">
        <v>144</v>
      </c>
      <c r="F236" s="10">
        <v>27</v>
      </c>
    </row>
    <row r="237" spans="1:6">
      <c r="A237" s="10" t="s">
        <v>258</v>
      </c>
      <c r="B237" s="10">
        <v>275</v>
      </c>
      <c r="C237" s="21">
        <v>1.037236917298537E-3</v>
      </c>
      <c r="D237" s="10">
        <v>88</v>
      </c>
      <c r="E237" s="10">
        <v>180</v>
      </c>
      <c r="F237" s="10">
        <v>24</v>
      </c>
    </row>
    <row r="238" spans="1:6">
      <c r="A238" s="10" t="s">
        <v>259</v>
      </c>
      <c r="B238" s="10">
        <v>120</v>
      </c>
      <c r="C238" s="21">
        <v>8.6326496900001844E-5</v>
      </c>
      <c r="D238" s="10">
        <v>58</v>
      </c>
      <c r="E238" s="10">
        <v>138</v>
      </c>
      <c r="F238" s="10">
        <v>27</v>
      </c>
    </row>
    <row r="239" spans="1:6">
      <c r="A239" s="10" t="s">
        <v>260</v>
      </c>
      <c r="B239" s="10">
        <v>532</v>
      </c>
      <c r="C239" s="21">
        <v>5.1781137687210033E-6</v>
      </c>
      <c r="D239" s="10">
        <v>103</v>
      </c>
      <c r="E239" s="10">
        <v>220</v>
      </c>
      <c r="F239" s="10">
        <v>14</v>
      </c>
    </row>
    <row r="240" spans="1:6">
      <c r="A240" s="10" t="s">
        <v>261</v>
      </c>
      <c r="B240" s="10">
        <v>119</v>
      </c>
      <c r="C240" s="21">
        <v>7.5311222231446557E-4</v>
      </c>
      <c r="D240" s="10">
        <v>87</v>
      </c>
      <c r="E240" s="10">
        <v>204</v>
      </c>
      <c r="F240" s="10">
        <v>12</v>
      </c>
    </row>
    <row r="241" spans="1:6">
      <c r="A241" s="10" t="s">
        <v>262</v>
      </c>
      <c r="B241" s="10">
        <v>99</v>
      </c>
      <c r="C241" s="21">
        <v>6.7710850279055794E-4</v>
      </c>
      <c r="D241" s="10">
        <v>105</v>
      </c>
      <c r="E241" s="10">
        <v>153</v>
      </c>
      <c r="F241" s="10">
        <v>23</v>
      </c>
    </row>
    <row r="242" spans="1:6">
      <c r="A242" s="10" t="s">
        <v>263</v>
      </c>
      <c r="B242" s="10">
        <v>630</v>
      </c>
      <c r="C242" s="21">
        <v>1.4691691810269805E-3</v>
      </c>
      <c r="D242" s="10">
        <v>53</v>
      </c>
      <c r="E242" s="10">
        <v>114</v>
      </c>
      <c r="F242" s="10">
        <v>40</v>
      </c>
    </row>
    <row r="243" spans="1:6">
      <c r="A243" s="10" t="s">
        <v>264</v>
      </c>
      <c r="B243" s="10">
        <v>80</v>
      </c>
      <c r="C243" s="21">
        <v>1.3835602758528623E-3</v>
      </c>
      <c r="D243" s="10">
        <v>72</v>
      </c>
      <c r="E243" s="10">
        <v>130</v>
      </c>
      <c r="F243" s="10">
        <v>33</v>
      </c>
    </row>
    <row r="244" spans="1:6">
      <c r="A244" s="10" t="s">
        <v>265</v>
      </c>
      <c r="B244" s="10">
        <v>34</v>
      </c>
      <c r="C244" s="21">
        <v>1.0043013511214544E-3</v>
      </c>
      <c r="D244" s="10">
        <v>62</v>
      </c>
      <c r="E244" s="10">
        <v>146</v>
      </c>
      <c r="F244" s="10">
        <v>33</v>
      </c>
    </row>
    <row r="245" spans="1:6">
      <c r="A245" s="10" t="s">
        <v>266</v>
      </c>
      <c r="B245" s="10">
        <v>119</v>
      </c>
      <c r="C245" s="21">
        <v>2.6381788332383916E-3</v>
      </c>
      <c r="D245" s="10">
        <v>66</v>
      </c>
      <c r="E245" s="10">
        <v>179</v>
      </c>
      <c r="F245" s="10">
        <v>30</v>
      </c>
    </row>
    <row r="246" spans="1:6">
      <c r="A246" s="10" t="s">
        <v>267</v>
      </c>
      <c r="B246" s="10">
        <v>67</v>
      </c>
      <c r="C246" s="21">
        <v>9.8098446884274204E-4</v>
      </c>
      <c r="D246" s="10">
        <v>74</v>
      </c>
      <c r="E246" s="10">
        <v>148</v>
      </c>
      <c r="F246" s="10">
        <v>35</v>
      </c>
    </row>
    <row r="247" spans="1:6">
      <c r="A247" s="10" t="s">
        <v>268</v>
      </c>
      <c r="B247" s="10">
        <v>50</v>
      </c>
      <c r="C247" s="21">
        <v>1.5980863920487184E-3</v>
      </c>
      <c r="D247" s="10">
        <v>73</v>
      </c>
      <c r="E247" s="10">
        <v>133</v>
      </c>
      <c r="F247" s="10">
        <v>26</v>
      </c>
    </row>
    <row r="248" spans="1:6">
      <c r="A248" s="10" t="s">
        <v>269</v>
      </c>
      <c r="B248" s="10">
        <v>219</v>
      </c>
      <c r="C248" s="21">
        <v>2.522712679662735E-4</v>
      </c>
      <c r="D248" s="10">
        <v>150</v>
      </c>
      <c r="E248" s="10">
        <v>210</v>
      </c>
      <c r="F248" s="10">
        <v>6</v>
      </c>
    </row>
    <row r="249" spans="1:6">
      <c r="A249" s="10" t="s">
        <v>270</v>
      </c>
      <c r="B249" s="10">
        <v>106</v>
      </c>
      <c r="C249" s="21">
        <v>9.9420984426932049E-4</v>
      </c>
      <c r="D249" s="10">
        <v>86</v>
      </c>
      <c r="E249" s="10">
        <v>153</v>
      </c>
      <c r="F249" s="10">
        <v>17</v>
      </c>
    </row>
    <row r="250" spans="1:6">
      <c r="A250" s="10" t="s">
        <v>271</v>
      </c>
      <c r="B250" s="10">
        <v>200</v>
      </c>
      <c r="C250" s="21">
        <v>2.2738871905572632E-3</v>
      </c>
      <c r="D250" s="10">
        <v>79</v>
      </c>
      <c r="E250" s="10">
        <v>99</v>
      </c>
      <c r="F250" s="10">
        <v>41</v>
      </c>
    </row>
    <row r="251" spans="1:6">
      <c r="A251" s="10" t="s">
        <v>272</v>
      </c>
      <c r="B251" s="10">
        <v>594</v>
      </c>
      <c r="C251" s="21">
        <v>1.8944575676726352E-3</v>
      </c>
      <c r="D251" s="10">
        <v>80</v>
      </c>
      <c r="E251" s="10">
        <v>148</v>
      </c>
      <c r="F251" s="10">
        <v>33</v>
      </c>
    </row>
    <row r="252" spans="1:6">
      <c r="A252" s="10" t="s">
        <v>273</v>
      </c>
      <c r="B252" s="10">
        <v>131</v>
      </c>
      <c r="C252" s="21">
        <v>1.4953040118157396E-3</v>
      </c>
      <c r="D252" s="10">
        <v>30</v>
      </c>
      <c r="E252" s="10">
        <v>134</v>
      </c>
      <c r="F252" s="10">
        <v>39</v>
      </c>
    </row>
    <row r="253" spans="1:6">
      <c r="A253" s="10" t="s">
        <v>274</v>
      </c>
      <c r="B253" s="10">
        <v>109</v>
      </c>
      <c r="C253" s="21">
        <v>2.0625154636130167E-4</v>
      </c>
      <c r="D253" s="10">
        <v>69</v>
      </c>
      <c r="E253" s="10">
        <v>172</v>
      </c>
      <c r="F253" s="10">
        <v>17</v>
      </c>
    </row>
    <row r="254" spans="1:6">
      <c r="A254" s="10" t="s">
        <v>275</v>
      </c>
      <c r="B254" s="10">
        <v>125</v>
      </c>
      <c r="C254" s="21">
        <v>1.3546862604011361E-3</v>
      </c>
      <c r="D254" s="10">
        <v>73</v>
      </c>
      <c r="E254" s="10">
        <v>116</v>
      </c>
      <c r="F254" s="10">
        <v>24</v>
      </c>
    </row>
    <row r="255" spans="1:6">
      <c r="A255" s="10" t="s">
        <v>276</v>
      </c>
      <c r="B255" s="10">
        <v>568</v>
      </c>
      <c r="C255" s="21">
        <v>1.9587091492391769E-3</v>
      </c>
      <c r="D255" s="10">
        <v>44</v>
      </c>
      <c r="E255" s="10">
        <v>115</v>
      </c>
      <c r="F255" s="10">
        <v>35</v>
      </c>
    </row>
    <row r="256" spans="1:6">
      <c r="A256" s="10" t="s">
        <v>277</v>
      </c>
      <c r="B256" s="10">
        <v>288</v>
      </c>
      <c r="C256" s="21">
        <v>9.6832427680536607E-4</v>
      </c>
      <c r="D256" s="10">
        <v>76</v>
      </c>
      <c r="E256" s="10">
        <v>157</v>
      </c>
      <c r="F256" s="10">
        <v>18</v>
      </c>
    </row>
    <row r="257" spans="1:6">
      <c r="A257" s="10" t="s">
        <v>278</v>
      </c>
      <c r="B257" s="10">
        <v>112</v>
      </c>
      <c r="C257" s="21">
        <v>2.0970703073550034E-3</v>
      </c>
      <c r="D257" s="10">
        <v>97</v>
      </c>
      <c r="E257" s="10">
        <v>208</v>
      </c>
      <c r="F257" s="10">
        <v>20</v>
      </c>
    </row>
    <row r="258" spans="1:6">
      <c r="A258" s="10" t="s">
        <v>279</v>
      </c>
      <c r="B258" s="10">
        <v>50</v>
      </c>
      <c r="C258" s="21">
        <v>1.2500511828245273E-3</v>
      </c>
      <c r="D258" s="10">
        <v>81</v>
      </c>
      <c r="E258" s="10">
        <v>145</v>
      </c>
      <c r="F258" s="10">
        <v>24</v>
      </c>
    </row>
    <row r="259" spans="1:6">
      <c r="A259" s="10" t="s">
        <v>280</v>
      </c>
      <c r="B259" s="10">
        <v>234</v>
      </c>
      <c r="C259" s="21">
        <v>1.9772567614680004E-3</v>
      </c>
      <c r="D259" s="10">
        <v>84</v>
      </c>
      <c r="E259" s="10">
        <v>130</v>
      </c>
      <c r="F259" s="10">
        <v>40</v>
      </c>
    </row>
    <row r="260" spans="1:6">
      <c r="A260" s="10" t="s">
        <v>281</v>
      </c>
      <c r="B260" s="10">
        <v>640</v>
      </c>
      <c r="C260" s="21">
        <v>6.9934531102609776E-4</v>
      </c>
      <c r="D260" s="10">
        <v>106</v>
      </c>
      <c r="E260" s="10">
        <v>222</v>
      </c>
      <c r="F260" s="10">
        <v>13</v>
      </c>
    </row>
    <row r="261" spans="1:6">
      <c r="A261" s="10" t="s">
        <v>282</v>
      </c>
      <c r="B261" s="10">
        <v>89</v>
      </c>
      <c r="C261" s="21">
        <v>1.1859692359259403E-3</v>
      </c>
      <c r="D261" s="10">
        <v>104</v>
      </c>
      <c r="E261" s="10">
        <v>194</v>
      </c>
      <c r="F261" s="10">
        <v>32</v>
      </c>
    </row>
    <row r="262" spans="1:6">
      <c r="A262" s="10" t="s">
        <v>283</v>
      </c>
      <c r="B262" s="10">
        <v>83</v>
      </c>
      <c r="C262" s="21">
        <v>1.8472262326121522E-3</v>
      </c>
      <c r="D262" s="10">
        <v>67</v>
      </c>
      <c r="E262" s="10">
        <v>113</v>
      </c>
      <c r="F262" s="10">
        <v>34</v>
      </c>
    </row>
    <row r="263" spans="1:6">
      <c r="A263" s="10" t="s">
        <v>284</v>
      </c>
      <c r="B263" s="10">
        <v>488</v>
      </c>
      <c r="C263" s="21">
        <v>6.8848066609009074E-4</v>
      </c>
      <c r="D263" s="10">
        <v>63</v>
      </c>
      <c r="E263" s="10">
        <v>145</v>
      </c>
      <c r="F263" s="10">
        <v>34</v>
      </c>
    </row>
    <row r="264" spans="1:6">
      <c r="A264" s="10" t="s">
        <v>285</v>
      </c>
      <c r="B264" s="10">
        <v>90</v>
      </c>
      <c r="C264" s="21">
        <v>6.3968859784196855E-4</v>
      </c>
      <c r="D264" s="10">
        <v>90</v>
      </c>
      <c r="E264" s="10">
        <v>154</v>
      </c>
      <c r="F264" s="10">
        <v>31</v>
      </c>
    </row>
    <row r="265" spans="1:6">
      <c r="A265" s="10" t="s">
        <v>286</v>
      </c>
      <c r="B265" s="10">
        <v>201</v>
      </c>
      <c r="C265" s="21">
        <v>2.4591274243240041E-3</v>
      </c>
      <c r="D265" s="10">
        <v>63</v>
      </c>
      <c r="E265" s="10">
        <v>126</v>
      </c>
      <c r="F265" s="10">
        <v>47</v>
      </c>
    </row>
    <row r="266" spans="1:6">
      <c r="A266" s="10" t="s">
        <v>287</v>
      </c>
      <c r="B266" s="10">
        <v>109</v>
      </c>
      <c r="C266" s="21">
        <v>1.4828961197880604E-3</v>
      </c>
      <c r="D266" s="10">
        <v>46</v>
      </c>
      <c r="E266" s="10">
        <v>108</v>
      </c>
      <c r="F266" s="10">
        <v>43</v>
      </c>
    </row>
    <row r="267" spans="1:6">
      <c r="A267" s="10" t="s">
        <v>288</v>
      </c>
      <c r="B267" s="10">
        <v>46</v>
      </c>
      <c r="C267" s="21">
        <v>1.7918565468494436E-3</v>
      </c>
      <c r="D267" s="10">
        <v>56</v>
      </c>
      <c r="E267" s="10">
        <v>120</v>
      </c>
      <c r="F267" s="10">
        <v>27</v>
      </c>
    </row>
    <row r="268" spans="1:6">
      <c r="A268" s="10" t="s">
        <v>289</v>
      </c>
      <c r="B268" s="10">
        <v>593</v>
      </c>
      <c r="C268" s="21">
        <v>1.1159814969785564E-3</v>
      </c>
      <c r="D268" s="10">
        <v>75</v>
      </c>
      <c r="E268" s="10">
        <v>172</v>
      </c>
      <c r="F268" s="10">
        <v>11</v>
      </c>
    </row>
    <row r="269" spans="1:6">
      <c r="A269" s="10" t="s">
        <v>290</v>
      </c>
      <c r="B269" s="10">
        <v>93</v>
      </c>
      <c r="C269" s="21">
        <v>1.8290569672990249E-3</v>
      </c>
      <c r="D269" s="10">
        <v>82</v>
      </c>
      <c r="E269" s="10">
        <v>126</v>
      </c>
      <c r="F269" s="10">
        <v>37</v>
      </c>
    </row>
    <row r="270" spans="1:6">
      <c r="A270" s="10" t="s">
        <v>291</v>
      </c>
      <c r="B270" s="10">
        <v>59</v>
      </c>
      <c r="C270" s="21">
        <v>9.663967705406041E-4</v>
      </c>
      <c r="D270" s="10">
        <v>78</v>
      </c>
      <c r="E270" s="10">
        <v>180</v>
      </c>
      <c r="F270" s="10">
        <v>26</v>
      </c>
    </row>
    <row r="271" spans="1:6">
      <c r="A271" s="10" t="s">
        <v>292</v>
      </c>
      <c r="B271" s="10">
        <v>369</v>
      </c>
      <c r="C271" s="21">
        <v>1.3088980216537384E-3</v>
      </c>
      <c r="D271" s="10">
        <v>101</v>
      </c>
      <c r="E271" s="10">
        <v>195</v>
      </c>
      <c r="F271" s="10">
        <v>27</v>
      </c>
    </row>
    <row r="272" spans="1:6">
      <c r="A272" s="10" t="s">
        <v>293</v>
      </c>
      <c r="B272" s="10">
        <v>106</v>
      </c>
      <c r="C272" s="21">
        <v>1.4166054929246996E-3</v>
      </c>
      <c r="D272" s="10">
        <v>79</v>
      </c>
      <c r="E272" s="10">
        <v>179</v>
      </c>
      <c r="F272" s="10">
        <v>21</v>
      </c>
    </row>
    <row r="273" spans="1:6">
      <c r="A273" s="10" t="s">
        <v>294</v>
      </c>
      <c r="B273" s="10">
        <v>476</v>
      </c>
      <c r="C273" s="21">
        <v>2.6710847021442366E-3</v>
      </c>
      <c r="D273" s="10">
        <v>67</v>
      </c>
      <c r="E273" s="10">
        <v>126</v>
      </c>
      <c r="F273" s="10">
        <v>35</v>
      </c>
    </row>
    <row r="274" spans="1:6">
      <c r="A274" s="10" t="s">
        <v>295</v>
      </c>
      <c r="B274" s="10">
        <v>88</v>
      </c>
      <c r="C274" s="21">
        <v>3.7601343725443412E-4</v>
      </c>
      <c r="D274" s="10">
        <v>92</v>
      </c>
      <c r="E274" s="10">
        <v>206</v>
      </c>
      <c r="F274" s="10">
        <v>25</v>
      </c>
    </row>
    <row r="275" spans="1:6">
      <c r="A275" s="10" t="s">
        <v>296</v>
      </c>
      <c r="B275" s="10">
        <v>68</v>
      </c>
      <c r="C275" s="21">
        <v>9.9372360858146058E-4</v>
      </c>
      <c r="D275" s="10">
        <v>73</v>
      </c>
      <c r="E275" s="10">
        <v>151</v>
      </c>
      <c r="F275" s="10">
        <v>28</v>
      </c>
    </row>
    <row r="276" spans="1:6">
      <c r="A276" s="10" t="s">
        <v>297</v>
      </c>
      <c r="B276" s="10">
        <v>196</v>
      </c>
      <c r="C276" s="21">
        <v>1.1440204612378434E-3</v>
      </c>
      <c r="D276" s="10">
        <v>73</v>
      </c>
      <c r="E276" s="10">
        <v>163</v>
      </c>
      <c r="F276" s="10">
        <v>21</v>
      </c>
    </row>
    <row r="277" spans="1:6">
      <c r="A277" s="10" t="s">
        <v>298</v>
      </c>
      <c r="B277" s="10">
        <v>521</v>
      </c>
      <c r="C277" s="21">
        <v>1.5792880447673995E-3</v>
      </c>
      <c r="D277" s="10">
        <v>79</v>
      </c>
      <c r="E277" s="10">
        <v>169</v>
      </c>
      <c r="F277" s="10">
        <v>24</v>
      </c>
    </row>
    <row r="278" spans="1:6">
      <c r="A278" s="10" t="s">
        <v>299</v>
      </c>
      <c r="B278" s="10">
        <v>113</v>
      </c>
      <c r="C278" s="21">
        <v>9.2204490047231803E-4</v>
      </c>
      <c r="D278" s="10">
        <v>89</v>
      </c>
      <c r="E278" s="10">
        <v>187</v>
      </c>
      <c r="F278" s="10">
        <v>19</v>
      </c>
    </row>
    <row r="279" spans="1:6">
      <c r="A279" s="10" t="s">
        <v>300</v>
      </c>
      <c r="B279" s="10">
        <v>80</v>
      </c>
      <c r="C279" s="21">
        <v>9.7997539028166431E-4</v>
      </c>
      <c r="D279" s="10">
        <v>93</v>
      </c>
      <c r="E279" s="10">
        <v>158</v>
      </c>
      <c r="F279" s="10">
        <v>25</v>
      </c>
    </row>
    <row r="280" spans="1:6">
      <c r="A280" s="10" t="s">
        <v>302</v>
      </c>
      <c r="B280" s="10">
        <v>174</v>
      </c>
      <c r="C280" s="21">
        <v>1.0880984919179959E-3</v>
      </c>
      <c r="D280" s="10">
        <v>55</v>
      </c>
      <c r="E280" s="10">
        <v>130</v>
      </c>
      <c r="F280" s="10">
        <v>33</v>
      </c>
    </row>
    <row r="281" spans="1:6">
      <c r="A281" s="10" t="s">
        <v>303</v>
      </c>
      <c r="B281" s="10">
        <v>451</v>
      </c>
      <c r="C281" s="21">
        <v>1.5141865360317015E-3</v>
      </c>
      <c r="D281" s="10">
        <v>73</v>
      </c>
      <c r="E281" s="10">
        <v>172</v>
      </c>
      <c r="F281" s="10">
        <v>26</v>
      </c>
    </row>
    <row r="282" spans="1:6">
      <c r="A282" s="10" t="s">
        <v>304</v>
      </c>
      <c r="B282" s="10">
        <v>105</v>
      </c>
      <c r="C282" s="21">
        <v>9.8530286636117612E-4</v>
      </c>
      <c r="D282" s="10">
        <v>67</v>
      </c>
      <c r="E282" s="10">
        <v>137</v>
      </c>
      <c r="F282" s="10">
        <v>31</v>
      </c>
    </row>
    <row r="283" spans="1:6">
      <c r="A283" s="10" t="s">
        <v>305</v>
      </c>
      <c r="B283" s="10">
        <v>96</v>
      </c>
      <c r="C283" s="21">
        <v>2.6069082269779306E-3</v>
      </c>
      <c r="D283" s="10">
        <v>61</v>
      </c>
      <c r="E283" s="10">
        <v>162</v>
      </c>
      <c r="F283" s="10">
        <v>33</v>
      </c>
    </row>
    <row r="284" spans="1:6">
      <c r="A284" s="10" t="s">
        <v>306</v>
      </c>
      <c r="B284" s="10">
        <v>187</v>
      </c>
      <c r="C284" s="21">
        <v>1.0763681993544162E-4</v>
      </c>
      <c r="D284" s="10">
        <v>81</v>
      </c>
      <c r="E284" s="10">
        <v>0</v>
      </c>
      <c r="F284" s="10">
        <v>30</v>
      </c>
    </row>
    <row r="285" spans="1:6">
      <c r="A285" s="10" t="s">
        <v>307</v>
      </c>
      <c r="B285" s="10">
        <v>424</v>
      </c>
      <c r="C285" s="21">
        <v>1.266811493691208E-3</v>
      </c>
      <c r="D285" s="10">
        <v>85</v>
      </c>
      <c r="E285" s="10">
        <v>162</v>
      </c>
      <c r="F285" s="10">
        <v>26</v>
      </c>
    </row>
    <row r="286" spans="1:6">
      <c r="A286" s="10" t="s">
        <v>308</v>
      </c>
      <c r="B286" s="10">
        <v>103</v>
      </c>
      <c r="C286" s="21">
        <v>7.6265252519299473E-4</v>
      </c>
      <c r="D286" s="10">
        <v>84</v>
      </c>
      <c r="E286" s="10">
        <v>202</v>
      </c>
      <c r="F286" s="10">
        <v>23</v>
      </c>
    </row>
    <row r="287" spans="1:6">
      <c r="A287" s="10" t="s">
        <v>309</v>
      </c>
      <c r="B287" s="10">
        <v>44</v>
      </c>
      <c r="C287" s="21">
        <v>1.1526767208558941E-3</v>
      </c>
      <c r="D287" s="10">
        <v>67</v>
      </c>
      <c r="E287" s="10">
        <v>130</v>
      </c>
      <c r="F287" s="10">
        <v>28</v>
      </c>
    </row>
    <row r="288" spans="1:6">
      <c r="A288" s="10" t="s">
        <v>310</v>
      </c>
      <c r="B288" s="10">
        <v>111</v>
      </c>
      <c r="C288" s="21">
        <v>1.0627838653481333E-3</v>
      </c>
      <c r="D288" s="10">
        <v>92</v>
      </c>
      <c r="E288" s="10">
        <v>148</v>
      </c>
      <c r="F288" s="10">
        <v>18</v>
      </c>
    </row>
    <row r="289" spans="1:6">
      <c r="A289" s="10" t="s">
        <v>311</v>
      </c>
      <c r="B289" s="10">
        <v>458</v>
      </c>
      <c r="C289" s="21">
        <v>2.3315391031799031E-3</v>
      </c>
      <c r="D289" s="10">
        <v>44</v>
      </c>
      <c r="E289" s="10">
        <v>130</v>
      </c>
      <c r="F289" s="10">
        <v>39</v>
      </c>
    </row>
    <row r="290" spans="1:6">
      <c r="A290" s="10" t="s">
        <v>312</v>
      </c>
      <c r="B290" s="10">
        <v>100</v>
      </c>
      <c r="C290" s="21">
        <v>2.0831387916006735E-3</v>
      </c>
      <c r="D290" s="10">
        <v>67</v>
      </c>
      <c r="E290" s="10">
        <v>162</v>
      </c>
      <c r="F290" s="10">
        <v>28</v>
      </c>
    </row>
    <row r="291" spans="1:6">
      <c r="A291" s="10" t="s">
        <v>313</v>
      </c>
      <c r="B291" s="10"/>
      <c r="C291" s="21">
        <v>1.9907764745034527E-3</v>
      </c>
      <c r="D291" s="10">
        <v>77</v>
      </c>
      <c r="E291" s="10">
        <v>162</v>
      </c>
      <c r="F291" s="10">
        <v>47</v>
      </c>
    </row>
    <row r="292" spans="1:6">
      <c r="A292" s="10" t="s">
        <v>314</v>
      </c>
      <c r="B292" s="10">
        <v>435</v>
      </c>
      <c r="C292" s="21">
        <v>2.2924989115060486E-3</v>
      </c>
      <c r="D292" s="10">
        <v>90</v>
      </c>
      <c r="E292" s="10">
        <v>159</v>
      </c>
      <c r="F292" s="10">
        <v>41</v>
      </c>
    </row>
    <row r="293" spans="1:6">
      <c r="A293" s="10" t="s">
        <v>315</v>
      </c>
      <c r="B293" s="10">
        <v>54</v>
      </c>
      <c r="C293" s="21">
        <v>1.2321540393020746E-4</v>
      </c>
      <c r="D293" s="10">
        <v>76</v>
      </c>
      <c r="E293" s="10">
        <v>149</v>
      </c>
      <c r="F293" s="10">
        <v>11</v>
      </c>
    </row>
    <row r="294" spans="1:6">
      <c r="A294" s="10" t="s">
        <v>316</v>
      </c>
      <c r="B294" s="10">
        <v>83</v>
      </c>
      <c r="C294" s="21">
        <v>3.1347548894547217E-3</v>
      </c>
      <c r="D294" s="10">
        <v>91</v>
      </c>
      <c r="E294" s="10">
        <v>212</v>
      </c>
      <c r="F294" s="10">
        <v>26</v>
      </c>
    </row>
    <row r="295" spans="1:6">
      <c r="A295" s="10" t="s">
        <v>317</v>
      </c>
      <c r="B295" s="10">
        <v>108</v>
      </c>
      <c r="C295" s="21">
        <v>9.3057977745856937E-4</v>
      </c>
      <c r="D295" s="10">
        <v>75</v>
      </c>
      <c r="E295" s="10">
        <v>138</v>
      </c>
      <c r="F295" s="10">
        <v>24</v>
      </c>
    </row>
    <row r="296" spans="1:6">
      <c r="A296" s="10" t="s">
        <v>318</v>
      </c>
      <c r="B296" s="10">
        <v>80</v>
      </c>
      <c r="C296" s="21">
        <v>5.1834398942490962E-4</v>
      </c>
      <c r="D296" s="10">
        <v>159</v>
      </c>
      <c r="E296" s="10">
        <v>221</v>
      </c>
      <c r="F296" s="10">
        <v>14</v>
      </c>
    </row>
    <row r="297" spans="1:6">
      <c r="A297" s="10" t="s">
        <v>319</v>
      </c>
      <c r="B297" s="10">
        <v>340</v>
      </c>
      <c r="C297" s="21">
        <v>1.9489402081661188E-3</v>
      </c>
      <c r="D297" s="10">
        <v>74</v>
      </c>
      <c r="E297" s="10">
        <v>110</v>
      </c>
      <c r="F297" s="10">
        <v>34</v>
      </c>
    </row>
    <row r="298" spans="1:6">
      <c r="A298" s="10" t="s">
        <v>320</v>
      </c>
      <c r="B298" s="10">
        <v>545</v>
      </c>
      <c r="C298" s="21">
        <v>2.4800906936066516E-3</v>
      </c>
      <c r="D298" s="10">
        <v>39</v>
      </c>
      <c r="E298" s="10">
        <v>76</v>
      </c>
      <c r="F298" s="10">
        <v>46</v>
      </c>
    </row>
    <row r="299" spans="1:6">
      <c r="A299" s="10" t="s">
        <v>321</v>
      </c>
      <c r="B299" s="10">
        <v>107</v>
      </c>
      <c r="C299" s="21">
        <v>4.1269937566282408E-3</v>
      </c>
      <c r="D299" s="10">
        <v>38</v>
      </c>
      <c r="E299" s="10">
        <v>139</v>
      </c>
      <c r="F299" s="10">
        <v>24</v>
      </c>
    </row>
    <row r="300" spans="1:6">
      <c r="A300" s="10" t="s">
        <v>322</v>
      </c>
      <c r="B300" s="10">
        <v>29</v>
      </c>
      <c r="C300" s="21">
        <v>1.2503056261122085E-3</v>
      </c>
      <c r="D300" s="10">
        <v>68</v>
      </c>
      <c r="E300" s="10">
        <v>189</v>
      </c>
      <c r="F300" s="10">
        <v>22</v>
      </c>
    </row>
    <row r="301" spans="1:6">
      <c r="A301" s="10" t="s">
        <v>323</v>
      </c>
      <c r="B301" s="10">
        <v>329</v>
      </c>
      <c r="C301" s="21">
        <v>2.5281662179402991E-3</v>
      </c>
      <c r="D301" s="10">
        <v>62</v>
      </c>
      <c r="E301" s="10">
        <v>106</v>
      </c>
      <c r="F301" s="10">
        <v>41</v>
      </c>
    </row>
    <row r="302" spans="1:6">
      <c r="A302" s="10" t="s">
        <v>324</v>
      </c>
      <c r="B302" s="10">
        <v>98</v>
      </c>
      <c r="C302" s="21">
        <v>4.531345768970785E-4</v>
      </c>
      <c r="D302" s="10">
        <v>78</v>
      </c>
      <c r="E302" s="10">
        <v>192</v>
      </c>
      <c r="F302" s="10">
        <v>3</v>
      </c>
    </row>
    <row r="303" spans="1:6">
      <c r="A303" s="10" t="s">
        <v>325</v>
      </c>
      <c r="B303" s="10">
        <v>394</v>
      </c>
      <c r="C303" s="21">
        <v>7.8068902985388075E-4</v>
      </c>
      <c r="D303" s="10">
        <v>67</v>
      </c>
      <c r="E303" s="10">
        <v>134</v>
      </c>
      <c r="F303" s="10">
        <v>24</v>
      </c>
    </row>
    <row r="304" spans="1:6">
      <c r="A304" s="10" t="s">
        <v>326</v>
      </c>
      <c r="B304" s="10">
        <v>520</v>
      </c>
      <c r="C304" s="21">
        <v>2.9716577767143696E-4</v>
      </c>
      <c r="D304" s="10">
        <v>56</v>
      </c>
      <c r="E304" s="10">
        <v>130</v>
      </c>
      <c r="F304" s="10">
        <v>19</v>
      </c>
    </row>
    <row r="305" spans="1:6">
      <c r="A305" s="10" t="s">
        <v>327</v>
      </c>
      <c r="B305" s="10">
        <v>83</v>
      </c>
      <c r="C305" s="21">
        <v>1.9363681728729537E-3</v>
      </c>
      <c r="D305" s="10">
        <v>35</v>
      </c>
      <c r="E305" s="10">
        <v>148</v>
      </c>
      <c r="F305" s="10">
        <v>39</v>
      </c>
    </row>
    <row r="306" spans="1:6">
      <c r="A306" s="10" t="s">
        <v>328</v>
      </c>
      <c r="B306" s="10">
        <v>57</v>
      </c>
      <c r="C306" s="21">
        <v>1.5672836166011484E-3</v>
      </c>
      <c r="D306" s="10">
        <v>95</v>
      </c>
      <c r="E306" s="10">
        <v>125</v>
      </c>
      <c r="F306" s="10">
        <v>28</v>
      </c>
    </row>
    <row r="307" spans="1:6">
      <c r="A307" s="10" t="s">
        <v>329</v>
      </c>
      <c r="B307" s="10">
        <v>354</v>
      </c>
      <c r="C307" s="21">
        <v>5.0910932630460872E-3</v>
      </c>
      <c r="D307" s="10">
        <v>46</v>
      </c>
      <c r="E307" s="10">
        <v>158</v>
      </c>
      <c r="F307" s="10">
        <v>32</v>
      </c>
    </row>
    <row r="308" spans="1:6">
      <c r="A308" s="10" t="s">
        <v>330</v>
      </c>
      <c r="B308" s="10">
        <v>126</v>
      </c>
      <c r="C308" s="21">
        <v>1.6226056133674877E-3</v>
      </c>
      <c r="D308" s="10">
        <v>78</v>
      </c>
      <c r="E308" s="10">
        <v>159</v>
      </c>
      <c r="F308" s="10">
        <v>25</v>
      </c>
    </row>
    <row r="309" spans="1:6">
      <c r="A309" s="10" t="s">
        <v>331</v>
      </c>
      <c r="B309" s="10">
        <v>514</v>
      </c>
      <c r="C309" s="21">
        <v>1.6031839732063165E-3</v>
      </c>
      <c r="D309" s="10">
        <v>40</v>
      </c>
      <c r="E309" s="10">
        <v>135</v>
      </c>
      <c r="F309" s="10">
        <v>29</v>
      </c>
    </row>
    <row r="310" spans="1:6">
      <c r="A310" s="10" t="s">
        <v>332</v>
      </c>
      <c r="B310" s="10">
        <v>108</v>
      </c>
      <c r="C310" s="21">
        <v>8.4260991376833446E-4</v>
      </c>
      <c r="D310" s="10">
        <v>86</v>
      </c>
      <c r="E310" s="10">
        <v>145</v>
      </c>
      <c r="F310" s="10">
        <v>25</v>
      </c>
    </row>
    <row r="311" spans="1:6">
      <c r="A311" s="10" t="s">
        <v>333</v>
      </c>
      <c r="B311" s="10">
        <v>100</v>
      </c>
      <c r="C311" s="21">
        <v>6.2344505507785409E-4</v>
      </c>
      <c r="D311" s="10">
        <v>112</v>
      </c>
      <c r="E311" s="10">
        <v>194</v>
      </c>
      <c r="F311" s="10">
        <v>21</v>
      </c>
    </row>
    <row r="312" spans="1:6">
      <c r="A312" s="10" t="s">
        <v>334</v>
      </c>
      <c r="B312" s="10">
        <v>41</v>
      </c>
      <c r="C312" s="21">
        <v>2.3906956462812099E-3</v>
      </c>
      <c r="D312" s="10">
        <v>64</v>
      </c>
      <c r="E312" s="10">
        <v>125</v>
      </c>
      <c r="F312" s="10">
        <v>31</v>
      </c>
    </row>
    <row r="313" spans="1:6">
      <c r="A313" s="10" t="s">
        <v>335</v>
      </c>
      <c r="B313" s="10">
        <v>314</v>
      </c>
      <c r="C313" s="21">
        <v>1.1287042926698646E-3</v>
      </c>
      <c r="D313" s="10">
        <v>74</v>
      </c>
      <c r="E313" s="10">
        <v>117</v>
      </c>
      <c r="F313" s="10">
        <v>25</v>
      </c>
    </row>
    <row r="314" spans="1:6">
      <c r="A314" s="10" t="s">
        <v>336</v>
      </c>
      <c r="B314" s="10">
        <v>107</v>
      </c>
      <c r="C314" s="21">
        <v>1.6497064703795675E-3</v>
      </c>
      <c r="D314" s="10">
        <v>102</v>
      </c>
      <c r="E314" s="10">
        <v>190</v>
      </c>
      <c r="F314" s="10">
        <v>14</v>
      </c>
    </row>
    <row r="315" spans="1:6">
      <c r="A315" s="10" t="s">
        <v>337</v>
      </c>
      <c r="B315" s="10">
        <v>86</v>
      </c>
      <c r="C315" s="21">
        <v>6.8130075569470877E-4</v>
      </c>
      <c r="D315" s="10">
        <v>125</v>
      </c>
      <c r="E315" s="10">
        <v>185</v>
      </c>
      <c r="F315" s="10">
        <v>21</v>
      </c>
    </row>
    <row r="316" spans="1:6">
      <c r="A316" s="10" t="s">
        <v>338</v>
      </c>
      <c r="B316" s="10">
        <v>106</v>
      </c>
      <c r="C316" s="21">
        <v>1.4503102324051253E-3</v>
      </c>
      <c r="D316" s="10">
        <v>69</v>
      </c>
      <c r="E316" s="10">
        <v>126</v>
      </c>
      <c r="F316" s="10">
        <v>24</v>
      </c>
    </row>
    <row r="317" spans="1:6">
      <c r="A317" s="10" t="s">
        <v>339</v>
      </c>
      <c r="B317" s="10">
        <v>121</v>
      </c>
      <c r="C317" s="21">
        <v>8.2231251289834582E-4</v>
      </c>
      <c r="D317" s="10">
        <v>107</v>
      </c>
      <c r="E317" s="10">
        <v>194</v>
      </c>
      <c r="F317" s="10">
        <v>25</v>
      </c>
    </row>
    <row r="318" spans="1:6">
      <c r="A318" s="10" t="s">
        <v>340</v>
      </c>
      <c r="B318" s="10">
        <v>148</v>
      </c>
      <c r="C318" s="21">
        <v>1.8095931850302084E-3</v>
      </c>
      <c r="D318" s="10">
        <v>48</v>
      </c>
      <c r="E318" s="10">
        <v>118</v>
      </c>
      <c r="F318" s="10">
        <v>42</v>
      </c>
    </row>
    <row r="319" spans="1:6">
      <c r="A319" s="10" t="s">
        <v>341</v>
      </c>
      <c r="B319" s="10">
        <v>101</v>
      </c>
      <c r="C319" s="21">
        <v>8.6676333050504119E-4</v>
      </c>
      <c r="D319" s="10">
        <v>96</v>
      </c>
      <c r="E319" s="10">
        <v>196</v>
      </c>
      <c r="F319" s="10">
        <v>20</v>
      </c>
    </row>
    <row r="320" spans="1:6">
      <c r="A320" s="10" t="s">
        <v>342</v>
      </c>
      <c r="B320" s="10">
        <v>42</v>
      </c>
      <c r="C320" s="21">
        <v>1.7860386637608969E-3</v>
      </c>
      <c r="D320" s="10">
        <v>66</v>
      </c>
      <c r="E320" s="10">
        <v>122</v>
      </c>
      <c r="F320" s="10">
        <v>22</v>
      </c>
    </row>
    <row r="321" spans="1:6">
      <c r="A321" s="10" t="s">
        <v>343</v>
      </c>
      <c r="B321" s="10">
        <v>229</v>
      </c>
      <c r="C321" s="21">
        <v>3.3142651151229553E-3</v>
      </c>
      <c r="D321" s="10">
        <v>105</v>
      </c>
      <c r="E321" s="10">
        <v>180</v>
      </c>
      <c r="F321" s="10">
        <v>36</v>
      </c>
    </row>
    <row r="322" spans="1:6">
      <c r="A322" s="10" t="s">
        <v>344</v>
      </c>
      <c r="B322" s="10">
        <v>98</v>
      </c>
      <c r="C322" s="21">
        <v>1.8367512133188894E-3</v>
      </c>
      <c r="D322" s="10">
        <v>58</v>
      </c>
      <c r="E322" s="10">
        <v>159</v>
      </c>
      <c r="F322" s="10">
        <v>38</v>
      </c>
    </row>
    <row r="323" spans="1:6">
      <c r="A323" s="10" t="s">
        <v>345</v>
      </c>
      <c r="B323" s="10">
        <v>115</v>
      </c>
      <c r="C323" s="21">
        <v>6.9934531102609776E-4</v>
      </c>
      <c r="D323" s="10">
        <v>59</v>
      </c>
      <c r="E323" s="10">
        <v>144</v>
      </c>
      <c r="F323" s="10">
        <v>18</v>
      </c>
    </row>
    <row r="324" spans="1:6">
      <c r="A324" s="10" t="s">
        <v>346</v>
      </c>
      <c r="B324" s="10">
        <v>82</v>
      </c>
      <c r="C324" s="21">
        <v>1.4548092577724421E-3</v>
      </c>
      <c r="D324" s="10">
        <v>106</v>
      </c>
      <c r="E324" s="10">
        <v>205</v>
      </c>
      <c r="F324" s="10">
        <v>16</v>
      </c>
    </row>
    <row r="325" spans="1:6">
      <c r="A325" s="10" t="s">
        <v>347</v>
      </c>
      <c r="B325" s="10">
        <v>38</v>
      </c>
      <c r="C325" s="21">
        <v>1.4308007204383308E-3</v>
      </c>
      <c r="D325" s="10">
        <v>107</v>
      </c>
      <c r="E325" s="10">
        <v>174</v>
      </c>
      <c r="F325" s="10">
        <v>31</v>
      </c>
    </row>
    <row r="326" spans="1:6">
      <c r="A326" s="10" t="s">
        <v>348</v>
      </c>
      <c r="B326" s="10">
        <v>447</v>
      </c>
      <c r="C326" s="21">
        <v>3.066401753745441E-4</v>
      </c>
      <c r="D326" s="10">
        <v>85</v>
      </c>
      <c r="E326" s="10">
        <v>169</v>
      </c>
      <c r="F326" s="10">
        <v>28</v>
      </c>
    </row>
    <row r="327" spans="1:6">
      <c r="A327" s="10" t="s">
        <v>349</v>
      </c>
      <c r="B327" s="10">
        <v>503</v>
      </c>
      <c r="C327" s="21">
        <v>1.8108346330725741E-3</v>
      </c>
      <c r="D327" s="10">
        <v>39</v>
      </c>
      <c r="E327" s="10">
        <v>108</v>
      </c>
      <c r="F327" s="10">
        <v>34</v>
      </c>
    </row>
    <row r="328" spans="1:6">
      <c r="A328" s="10" t="s">
        <v>350</v>
      </c>
      <c r="B328" s="10">
        <v>115</v>
      </c>
      <c r="C328" s="21">
        <v>1.8453189822675356E-3</v>
      </c>
      <c r="D328" s="10">
        <v>74</v>
      </c>
      <c r="E328" s="10">
        <v>165</v>
      </c>
      <c r="F328" s="10">
        <v>48</v>
      </c>
    </row>
    <row r="329" spans="1:6">
      <c r="A329" s="10" t="s">
        <v>351</v>
      </c>
      <c r="B329" s="10">
        <v>47</v>
      </c>
      <c r="C329" s="21">
        <v>2.0274706889447411E-3</v>
      </c>
      <c r="D329" s="10">
        <v>18</v>
      </c>
      <c r="E329" s="10">
        <v>100</v>
      </c>
      <c r="F329" s="10">
        <v>35</v>
      </c>
    </row>
    <row r="330" spans="1:6">
      <c r="A330" s="10" t="s">
        <v>352</v>
      </c>
      <c r="B330" s="10">
        <v>450</v>
      </c>
      <c r="C330" s="21">
        <v>5.6022475756117884E-4</v>
      </c>
      <c r="D330" s="10">
        <v>90</v>
      </c>
      <c r="E330" s="10">
        <v>122</v>
      </c>
      <c r="F330" s="10">
        <v>24</v>
      </c>
    </row>
    <row r="331" spans="1:6">
      <c r="A331" s="10" t="s">
        <v>353</v>
      </c>
      <c r="B331" s="10">
        <v>94</v>
      </c>
      <c r="C331" s="21">
        <v>1.4493063893046265E-3</v>
      </c>
      <c r="D331" s="10">
        <v>126</v>
      </c>
      <c r="E331" s="10">
        <v>212</v>
      </c>
      <c r="F331" s="10">
        <v>25</v>
      </c>
    </row>
    <row r="332" spans="1:6">
      <c r="A332" s="10" t="s">
        <v>354</v>
      </c>
      <c r="B332" s="10">
        <v>87</v>
      </c>
      <c r="C332" s="21">
        <v>4.32431687531054E-4</v>
      </c>
      <c r="D332" s="10">
        <v>77</v>
      </c>
      <c r="E332" s="10">
        <v>177</v>
      </c>
      <c r="F332" s="10">
        <v>32</v>
      </c>
    </row>
    <row r="333" spans="1:6">
      <c r="A333" s="10" t="s">
        <v>355</v>
      </c>
      <c r="B333" s="10">
        <v>528</v>
      </c>
      <c r="C333" s="21">
        <v>2.3805731127188143E-3</v>
      </c>
      <c r="D333" s="10">
        <v>23</v>
      </c>
      <c r="E333" s="10">
        <v>102</v>
      </c>
      <c r="F333" s="10">
        <v>33</v>
      </c>
    </row>
    <row r="334" spans="1:6">
      <c r="A334" s="10" t="s">
        <v>356</v>
      </c>
      <c r="B334" s="10">
        <v>92</v>
      </c>
      <c r="C334" s="21">
        <v>8.00922142835682E-4</v>
      </c>
      <c r="D334" s="10">
        <v>97</v>
      </c>
      <c r="E334" s="10">
        <v>153</v>
      </c>
      <c r="F334" s="10">
        <v>19</v>
      </c>
    </row>
    <row r="335" spans="1:6">
      <c r="A335" s="10" t="s">
        <v>357</v>
      </c>
      <c r="B335" s="10">
        <v>518</v>
      </c>
      <c r="C335" s="21">
        <v>7.0566107695104417E-4</v>
      </c>
      <c r="D335" s="10">
        <v>101</v>
      </c>
      <c r="E335" s="10">
        <v>223</v>
      </c>
      <c r="F335" s="10">
        <v>7</v>
      </c>
    </row>
    <row r="336" spans="1:6">
      <c r="A336" s="10" t="s">
        <v>358</v>
      </c>
      <c r="B336" s="10">
        <v>413</v>
      </c>
      <c r="C336" s="21">
        <v>1.7032488247577689E-3</v>
      </c>
      <c r="D336" s="10">
        <v>29</v>
      </c>
      <c r="E336" s="10">
        <v>102</v>
      </c>
      <c r="F336" s="10">
        <v>36</v>
      </c>
    </row>
    <row r="337" spans="1:6">
      <c r="A337" s="10" t="s">
        <v>359</v>
      </c>
      <c r="B337" s="10">
        <v>94</v>
      </c>
      <c r="C337" s="21">
        <v>2.0896862746392643E-3</v>
      </c>
      <c r="D337" s="10">
        <v>39</v>
      </c>
      <c r="E337" s="10">
        <v>119</v>
      </c>
      <c r="F337" s="10">
        <v>44</v>
      </c>
    </row>
    <row r="338" spans="1:6">
      <c r="A338" s="10" t="s">
        <v>360</v>
      </c>
      <c r="B338" s="10">
        <v>83</v>
      </c>
      <c r="C338" s="21">
        <v>1.266246876788878E-3</v>
      </c>
      <c r="D338" s="10">
        <v>91</v>
      </c>
      <c r="E338" s="10">
        <v>160</v>
      </c>
      <c r="F338" s="10">
        <v>35</v>
      </c>
    </row>
    <row r="339" spans="1:6">
      <c r="A339" s="10" t="s">
        <v>361</v>
      </c>
      <c r="B339" s="10">
        <v>132</v>
      </c>
      <c r="C339" s="21">
        <v>1.0765561108893112E-3</v>
      </c>
      <c r="D339" s="10">
        <v>82</v>
      </c>
      <c r="E339" s="10">
        <v>231</v>
      </c>
      <c r="F339" s="10">
        <v>11</v>
      </c>
    </row>
    <row r="340" spans="1:6">
      <c r="A340" s="10" t="s">
        <v>362</v>
      </c>
      <c r="B340" s="10">
        <v>37</v>
      </c>
      <c r="C340" s="21">
        <v>2.456361491204804E-3</v>
      </c>
      <c r="D340" s="10">
        <v>56</v>
      </c>
      <c r="E340" s="10">
        <v>97</v>
      </c>
      <c r="F340" s="10">
        <v>43</v>
      </c>
    </row>
    <row r="341" spans="1:6">
      <c r="A341" s="10" t="s">
        <v>363</v>
      </c>
      <c r="B341" s="10">
        <v>328</v>
      </c>
      <c r="C341" s="21">
        <v>1.2330406826546484E-3</v>
      </c>
      <c r="D341" s="10">
        <v>102</v>
      </c>
      <c r="E341" s="10">
        <v>139</v>
      </c>
      <c r="F341" s="10">
        <v>22</v>
      </c>
    </row>
    <row r="342" spans="1:6">
      <c r="A342" s="10" t="s">
        <v>364</v>
      </c>
      <c r="B342" s="10">
        <v>664</v>
      </c>
      <c r="C342" s="21">
        <v>2.5833272860504553E-3</v>
      </c>
      <c r="D342" s="10">
        <v>82</v>
      </c>
      <c r="E342" s="10">
        <v>148</v>
      </c>
      <c r="F342" s="10">
        <v>49</v>
      </c>
    </row>
    <row r="343" spans="1:6">
      <c r="A343" s="10" t="s">
        <v>365</v>
      </c>
      <c r="B343" s="10">
        <v>534</v>
      </c>
      <c r="C343" s="21">
        <v>2.0586567072589414E-3</v>
      </c>
      <c r="D343" s="10">
        <v>42</v>
      </c>
      <c r="E343" s="10">
        <v>92</v>
      </c>
      <c r="F343" s="10">
        <v>37</v>
      </c>
    </row>
    <row r="344" spans="1:6">
      <c r="A344" s="10" t="s">
        <v>366</v>
      </c>
      <c r="B344" s="10">
        <v>102</v>
      </c>
      <c r="C344" s="21">
        <v>1.0221561867521261E-3</v>
      </c>
      <c r="D344" s="10">
        <v>57</v>
      </c>
      <c r="E344" s="10">
        <v>124</v>
      </c>
      <c r="F344" s="10">
        <v>26</v>
      </c>
    </row>
    <row r="345" spans="1:6">
      <c r="A345" s="10" t="s">
        <v>367</v>
      </c>
      <c r="B345" s="10">
        <v>78</v>
      </c>
      <c r="C345" s="21">
        <v>1.4307805427420687E-3</v>
      </c>
      <c r="D345" s="10">
        <v>88</v>
      </c>
      <c r="E345" s="10">
        <v>152</v>
      </c>
      <c r="F345" s="10">
        <v>19</v>
      </c>
    </row>
    <row r="346" spans="1:6">
      <c r="A346" s="10" t="s">
        <v>368</v>
      </c>
      <c r="B346" s="10">
        <v>37</v>
      </c>
      <c r="C346" s="21">
        <v>9.2728194721971603E-4</v>
      </c>
      <c r="D346" s="10">
        <v>50</v>
      </c>
      <c r="E346" s="10">
        <v>179</v>
      </c>
      <c r="F346" s="10">
        <v>20</v>
      </c>
    </row>
    <row r="347" spans="1:6">
      <c r="A347" s="10" t="s">
        <v>369</v>
      </c>
      <c r="B347" s="10">
        <v>187</v>
      </c>
      <c r="C347" s="21">
        <v>2.4556763634013233E-3</v>
      </c>
      <c r="D347" s="10">
        <v>50</v>
      </c>
      <c r="E347" s="10">
        <v>100</v>
      </c>
      <c r="F347" s="10">
        <v>36</v>
      </c>
    </row>
    <row r="348" spans="1:6">
      <c r="A348" s="10" t="s">
        <v>370</v>
      </c>
      <c r="B348" s="10">
        <v>110</v>
      </c>
      <c r="C348" s="21">
        <v>2.4150486219842488E-3</v>
      </c>
      <c r="D348" s="10">
        <v>83</v>
      </c>
      <c r="E348" s="10">
        <v>133</v>
      </c>
      <c r="F348" s="10">
        <v>39</v>
      </c>
    </row>
    <row r="349" spans="1:6">
      <c r="A349" s="10" t="s">
        <v>371</v>
      </c>
      <c r="B349" s="10">
        <v>571</v>
      </c>
      <c r="C349" s="21">
        <v>7.1693505712553264E-4</v>
      </c>
      <c r="D349" s="10">
        <v>59</v>
      </c>
      <c r="E349" s="10">
        <v>165</v>
      </c>
      <c r="F349" s="10">
        <v>10</v>
      </c>
    </row>
    <row r="350" spans="1:6">
      <c r="A350" s="10" t="s">
        <v>372</v>
      </c>
      <c r="B350" s="10">
        <v>529</v>
      </c>
      <c r="C350" s="21">
        <v>1.4877412654913289E-3</v>
      </c>
      <c r="D350" s="10">
        <v>78</v>
      </c>
      <c r="E350" s="10">
        <v>150</v>
      </c>
      <c r="F350" s="10">
        <v>24</v>
      </c>
    </row>
    <row r="351" spans="1:6">
      <c r="A351" s="10" t="s">
        <v>373</v>
      </c>
      <c r="B351" s="10">
        <v>88</v>
      </c>
      <c r="C351" s="21">
        <v>1.6676695878314639E-3</v>
      </c>
      <c r="D351" s="10">
        <v>76</v>
      </c>
      <c r="E351" s="10">
        <v>148</v>
      </c>
      <c r="F351" s="10">
        <v>35</v>
      </c>
    </row>
    <row r="352" spans="1:6">
      <c r="A352" s="10" t="s">
        <v>374</v>
      </c>
      <c r="B352" s="10">
        <v>310</v>
      </c>
      <c r="C352" s="21">
        <v>1.4882092433911344E-3</v>
      </c>
      <c r="D352" s="10">
        <v>86</v>
      </c>
      <c r="E352" s="10">
        <v>161</v>
      </c>
      <c r="F352" s="10">
        <v>32</v>
      </c>
    </row>
    <row r="353" spans="1:6">
      <c r="A353" s="10" t="s">
        <v>375</v>
      </c>
      <c r="B353" s="10">
        <v>100</v>
      </c>
      <c r="C353" s="21">
        <v>1.1929652163971622E-3</v>
      </c>
      <c r="D353" s="10">
        <v>70</v>
      </c>
      <c r="E353" s="10">
        <v>180</v>
      </c>
      <c r="F353" s="10">
        <v>20</v>
      </c>
    </row>
    <row r="354" spans="1:6">
      <c r="A354" s="10" t="s">
        <v>376</v>
      </c>
      <c r="B354" s="10">
        <v>131</v>
      </c>
      <c r="C354" s="21">
        <v>1.4466001543210645E-3</v>
      </c>
      <c r="D354" s="10">
        <v>68</v>
      </c>
      <c r="E354" s="10">
        <v>168</v>
      </c>
      <c r="F354" s="10">
        <v>34</v>
      </c>
    </row>
    <row r="355" spans="1:6">
      <c r="A355" s="10" t="s">
        <v>377</v>
      </c>
      <c r="B355" s="10">
        <v>262</v>
      </c>
      <c r="C355" s="21">
        <v>1.7133549928059822E-3</v>
      </c>
      <c r="D355" s="10">
        <v>61</v>
      </c>
      <c r="E355" s="10">
        <v>110</v>
      </c>
      <c r="F355" s="10">
        <v>29</v>
      </c>
    </row>
    <row r="356" spans="1:6">
      <c r="A356" s="10" t="s">
        <v>378</v>
      </c>
      <c r="B356" s="10">
        <v>92</v>
      </c>
      <c r="C356" s="21">
        <v>2.5553148510806872E-3</v>
      </c>
      <c r="D356" s="10">
        <v>79</v>
      </c>
      <c r="E356" s="10">
        <v>197</v>
      </c>
      <c r="F356" s="10">
        <v>26</v>
      </c>
    </row>
    <row r="357" spans="1:6">
      <c r="A357" s="10" t="s">
        <v>379</v>
      </c>
      <c r="B357" s="10">
        <v>598</v>
      </c>
      <c r="C357" s="21">
        <v>1.2056736275955547E-3</v>
      </c>
      <c r="D357" s="10">
        <v>83</v>
      </c>
      <c r="E357" s="10">
        <v>146</v>
      </c>
      <c r="F357" s="10">
        <v>25</v>
      </c>
    </row>
    <row r="358" spans="1:6">
      <c r="A358" s="10" t="s">
        <v>380</v>
      </c>
      <c r="B358" s="10">
        <v>438</v>
      </c>
      <c r="C358" s="21">
        <v>3.1565835153885358E-3</v>
      </c>
      <c r="D358" s="10">
        <v>47</v>
      </c>
      <c r="E358" s="10">
        <v>94</v>
      </c>
      <c r="F358" s="10">
        <v>44</v>
      </c>
    </row>
    <row r="359" spans="1:6">
      <c r="A359" s="10" t="s">
        <v>381</v>
      </c>
      <c r="B359" s="10">
        <v>103</v>
      </c>
      <c r="C359" s="21">
        <v>1.1676669897209132E-3</v>
      </c>
      <c r="D359" s="10">
        <v>76</v>
      </c>
      <c r="E359" s="10">
        <v>164</v>
      </c>
      <c r="F359" s="10">
        <v>28</v>
      </c>
    </row>
    <row r="360" spans="1:6">
      <c r="A360" s="10" t="s">
        <v>382</v>
      </c>
      <c r="B360" s="10">
        <v>100</v>
      </c>
      <c r="C360" s="21">
        <v>1.8828527604548785E-3</v>
      </c>
      <c r="D360" s="10">
        <v>49</v>
      </c>
      <c r="E360" s="10">
        <v>113</v>
      </c>
      <c r="F360" s="10">
        <v>35</v>
      </c>
    </row>
    <row r="361" spans="1:6">
      <c r="A361" s="10" t="s">
        <v>383</v>
      </c>
      <c r="B361" s="10">
        <v>40</v>
      </c>
      <c r="C361" s="21">
        <v>7.4760124070403524E-4</v>
      </c>
      <c r="D361" s="10">
        <v>89</v>
      </c>
      <c r="E361" s="10">
        <v>170</v>
      </c>
      <c r="F361" s="10">
        <v>30</v>
      </c>
    </row>
    <row r="362" spans="1:6">
      <c r="A362" s="10" t="s">
        <v>384</v>
      </c>
      <c r="B362" s="10">
        <v>62</v>
      </c>
      <c r="C362" s="21">
        <v>9.4919217394983063E-4</v>
      </c>
      <c r="D362" s="10">
        <v>49</v>
      </c>
      <c r="E362" s="10">
        <v>141</v>
      </c>
      <c r="F362" s="10">
        <v>24</v>
      </c>
    </row>
    <row r="363" spans="1:6">
      <c r="A363" s="10" t="s">
        <v>385</v>
      </c>
      <c r="B363" s="10">
        <v>370</v>
      </c>
      <c r="C363" s="21">
        <v>1.178711330848125E-3</v>
      </c>
      <c r="D363" s="10">
        <v>81</v>
      </c>
      <c r="E363" s="10">
        <v>152</v>
      </c>
      <c r="F363" s="10">
        <v>18</v>
      </c>
    </row>
    <row r="364" spans="1:6">
      <c r="A364" s="10" t="s">
        <v>386</v>
      </c>
      <c r="B364" s="10">
        <v>58</v>
      </c>
      <c r="C364" s="21">
        <v>1.9209084415026329E-3</v>
      </c>
      <c r="D364" s="10">
        <v>112</v>
      </c>
      <c r="E364" s="10">
        <v>193</v>
      </c>
      <c r="F364" s="10">
        <v>34</v>
      </c>
    </row>
    <row r="365" spans="1:6">
      <c r="A365" s="10" t="s">
        <v>387</v>
      </c>
      <c r="B365" s="10">
        <v>188</v>
      </c>
      <c r="C365" s="21">
        <v>3.5098568623427961E-3</v>
      </c>
      <c r="D365" s="10">
        <v>53</v>
      </c>
      <c r="E365" s="10">
        <v>131</v>
      </c>
      <c r="F365" s="10">
        <v>20</v>
      </c>
    </row>
    <row r="366" spans="1:6">
      <c r="A366" s="10" t="s">
        <v>388</v>
      </c>
      <c r="B366" s="10">
        <v>322</v>
      </c>
      <c r="C366" s="21">
        <v>1.0344733382422944E-3</v>
      </c>
      <c r="D366" s="10">
        <v>94</v>
      </c>
      <c r="E366" s="10">
        <v>163</v>
      </c>
      <c r="F366" s="10">
        <v>24</v>
      </c>
    </row>
    <row r="367" spans="1:6">
      <c r="A367" s="10" t="s">
        <v>389</v>
      </c>
      <c r="B367" s="10">
        <v>420</v>
      </c>
      <c r="C367" s="21">
        <v>4.3014904886000266E-3</v>
      </c>
      <c r="D367" s="10">
        <v>25</v>
      </c>
      <c r="E367" s="10">
        <v>126</v>
      </c>
      <c r="F367" s="10">
        <v>41</v>
      </c>
    </row>
    <row r="368" spans="1:6">
      <c r="A368" s="10" t="s">
        <v>390</v>
      </c>
      <c r="B368" s="10">
        <v>79</v>
      </c>
      <c r="C368" s="21">
        <v>6.5832418461601741E-4</v>
      </c>
      <c r="D368" s="10">
        <v>101</v>
      </c>
      <c r="E368" s="10">
        <v>181</v>
      </c>
      <c r="F368" s="10">
        <v>26</v>
      </c>
    </row>
    <row r="369" spans="1:6">
      <c r="A369" s="10" t="s">
        <v>391</v>
      </c>
      <c r="B369" s="10">
        <v>117</v>
      </c>
      <c r="C369" s="21">
        <v>2.3623244039936934E-3</v>
      </c>
      <c r="D369" s="10">
        <v>45</v>
      </c>
      <c r="E369" s="10">
        <v>99</v>
      </c>
      <c r="F369" s="10">
        <v>53</v>
      </c>
    </row>
    <row r="370" spans="1:6">
      <c r="A370" s="10" t="s">
        <v>392</v>
      </c>
      <c r="B370" s="10">
        <v>76</v>
      </c>
      <c r="C370" s="21">
        <v>3.5361966837615483E-4</v>
      </c>
      <c r="D370" s="10">
        <v>45</v>
      </c>
      <c r="E370" s="10">
        <v>150</v>
      </c>
      <c r="F370" s="10">
        <v>35</v>
      </c>
    </row>
    <row r="371" spans="1:6">
      <c r="A371" s="10" t="s">
        <v>393</v>
      </c>
      <c r="B371" s="10">
        <v>42</v>
      </c>
      <c r="C371" s="21">
        <v>3.4172823831332779E-3</v>
      </c>
      <c r="D371" s="10">
        <v>102</v>
      </c>
      <c r="E371" s="10">
        <v>245</v>
      </c>
      <c r="F371" s="10">
        <v>5</v>
      </c>
    </row>
    <row r="372" spans="1:6">
      <c r="A372" s="10" t="s">
        <v>394</v>
      </c>
      <c r="B372" s="10">
        <v>294</v>
      </c>
      <c r="C372" s="21">
        <v>5.0450977828482568E-4</v>
      </c>
      <c r="D372" s="10">
        <v>93</v>
      </c>
      <c r="E372" s="10">
        <v>156</v>
      </c>
      <c r="F372" s="10">
        <v>23</v>
      </c>
    </row>
    <row r="373" spans="1:6">
      <c r="A373" s="10" t="s">
        <v>395</v>
      </c>
      <c r="B373" s="10">
        <v>403</v>
      </c>
      <c r="C373" s="21">
        <v>1.0490183493181279E-3</v>
      </c>
      <c r="D373" s="10">
        <v>65</v>
      </c>
      <c r="E373" s="10">
        <v>166</v>
      </c>
      <c r="F373" s="10">
        <v>21</v>
      </c>
    </row>
    <row r="374" spans="1:6">
      <c r="A374" s="10" t="s">
        <v>396</v>
      </c>
      <c r="B374" s="10">
        <v>440</v>
      </c>
      <c r="C374" s="21">
        <v>1.1408915706667862E-3</v>
      </c>
      <c r="D374" s="10">
        <v>107</v>
      </c>
      <c r="E374" s="10">
        <v>186</v>
      </c>
      <c r="F374" s="10">
        <v>27</v>
      </c>
    </row>
    <row r="375" spans="1:6">
      <c r="A375" s="10" t="s">
        <v>397</v>
      </c>
      <c r="B375" s="10">
        <v>99</v>
      </c>
      <c r="C375" s="21">
        <v>2.4576076790735124E-3</v>
      </c>
      <c r="D375" s="10">
        <v>104</v>
      </c>
      <c r="E375" s="10">
        <v>142</v>
      </c>
      <c r="F375" s="10">
        <v>44</v>
      </c>
    </row>
    <row r="376" spans="1:6">
      <c r="A376" s="10" t="s">
        <v>398</v>
      </c>
      <c r="B376" s="10">
        <v>139</v>
      </c>
      <c r="C376" s="21">
        <v>1.364345053434598E-3</v>
      </c>
      <c r="D376" s="10">
        <v>37</v>
      </c>
      <c r="E376" s="10">
        <v>125</v>
      </c>
      <c r="F376" s="10">
        <v>28</v>
      </c>
    </row>
    <row r="377" spans="1:6">
      <c r="A377" s="10" t="s">
        <v>399</v>
      </c>
      <c r="B377" s="10">
        <v>591</v>
      </c>
      <c r="C377" s="21">
        <v>2.2129294682610616E-3</v>
      </c>
      <c r="D377" s="10">
        <v>48</v>
      </c>
      <c r="E377" s="10">
        <v>97</v>
      </c>
      <c r="F377" s="10">
        <v>34</v>
      </c>
    </row>
    <row r="378" spans="1:6">
      <c r="A378" s="10" t="s">
        <v>400</v>
      </c>
      <c r="B378" s="10">
        <v>400</v>
      </c>
      <c r="C378" s="21">
        <v>7.5032292628956858E-4</v>
      </c>
      <c r="D378" s="10">
        <v>83</v>
      </c>
      <c r="E378" s="10">
        <v>180</v>
      </c>
      <c r="F378" s="10">
        <v>11</v>
      </c>
    </row>
    <row r="379" spans="1:6">
      <c r="A379" s="10" t="s">
        <v>401</v>
      </c>
      <c r="B379" s="10">
        <v>107</v>
      </c>
      <c r="C379" s="21">
        <v>9.1452848364951243E-4</v>
      </c>
      <c r="D379" s="10">
        <v>132</v>
      </c>
      <c r="E379" s="10">
        <v>212</v>
      </c>
      <c r="F379" s="10">
        <v>22</v>
      </c>
    </row>
    <row r="380" spans="1:6">
      <c r="A380" s="10" t="s">
        <v>402</v>
      </c>
      <c r="B380" s="10">
        <v>143</v>
      </c>
      <c r="C380" s="21">
        <v>2.7867945591535199E-3</v>
      </c>
      <c r="D380" s="10">
        <v>60</v>
      </c>
      <c r="E380" s="10">
        <v>164</v>
      </c>
      <c r="F380" s="10">
        <v>29</v>
      </c>
    </row>
    <row r="381" spans="1:6">
      <c r="A381" s="10" t="s">
        <v>403</v>
      </c>
      <c r="B381" s="10">
        <v>84</v>
      </c>
      <c r="C381" s="21">
        <v>2.7256218319409828E-3</v>
      </c>
      <c r="D381" s="10">
        <v>93</v>
      </c>
      <c r="E381" s="10">
        <v>166</v>
      </c>
      <c r="F381" s="10">
        <v>31</v>
      </c>
    </row>
    <row r="382" spans="1:6">
      <c r="A382" s="10" t="s">
        <v>404</v>
      </c>
      <c r="B382" s="10">
        <v>266</v>
      </c>
      <c r="C382" s="21">
        <v>8.0038092415786488E-4</v>
      </c>
      <c r="D382" s="10">
        <v>105</v>
      </c>
      <c r="E382" s="10">
        <v>159</v>
      </c>
      <c r="F382" s="10">
        <v>25</v>
      </c>
    </row>
    <row r="383" spans="1:6">
      <c r="A383" s="10" t="s">
        <v>405</v>
      </c>
      <c r="B383" s="10">
        <v>102</v>
      </c>
      <c r="C383" s="21">
        <v>1.3663664453849498E-3</v>
      </c>
      <c r="D383" s="10">
        <v>71</v>
      </c>
      <c r="E383" s="10">
        <v>134</v>
      </c>
      <c r="F383" s="10">
        <v>46</v>
      </c>
    </row>
    <row r="384" spans="1:6">
      <c r="A384" s="10" t="s">
        <v>406</v>
      </c>
      <c r="B384" s="10">
        <v>486</v>
      </c>
      <c r="C384" s="21">
        <v>8.441008478131171E-4</v>
      </c>
      <c r="D384" s="10">
        <v>91</v>
      </c>
      <c r="E384" s="10">
        <v>171</v>
      </c>
      <c r="F384" s="10">
        <v>27</v>
      </c>
    </row>
    <row r="385" spans="1:6">
      <c r="A385" s="10" t="s">
        <v>407</v>
      </c>
      <c r="B385" s="10">
        <v>644</v>
      </c>
      <c r="C385" s="21">
        <v>1.5040704162111041E-6</v>
      </c>
      <c r="D385" s="10">
        <v>53</v>
      </c>
      <c r="E385" s="10">
        <v>156</v>
      </c>
      <c r="F385" s="10">
        <v>36</v>
      </c>
    </row>
    <row r="386" spans="1:6">
      <c r="A386" s="10" t="s">
        <v>408</v>
      </c>
      <c r="B386" s="10">
        <v>86</v>
      </c>
      <c r="C386" s="21">
        <v>7.8773821771288533E-4</v>
      </c>
      <c r="D386" s="10">
        <v>66</v>
      </c>
      <c r="E386" s="10">
        <v>127</v>
      </c>
      <c r="F386" s="10">
        <v>36</v>
      </c>
    </row>
    <row r="387" spans="1:6">
      <c r="A387" s="10" t="s">
        <v>409</v>
      </c>
      <c r="B387" s="10">
        <v>117</v>
      </c>
      <c r="C387" s="21">
        <v>3.7896251863727678E-4</v>
      </c>
      <c r="D387" s="10">
        <v>78</v>
      </c>
      <c r="E387" s="10">
        <v>231</v>
      </c>
      <c r="F387" s="10">
        <v>12</v>
      </c>
    </row>
    <row r="388" spans="1:6">
      <c r="A388" s="10" t="s">
        <v>410</v>
      </c>
      <c r="B388" s="10">
        <v>52</v>
      </c>
      <c r="C388" s="21">
        <v>1.7593402879669722E-3</v>
      </c>
      <c r="D388" s="10">
        <v>82</v>
      </c>
      <c r="E388" s="10">
        <v>154</v>
      </c>
      <c r="F388" s="10">
        <v>33</v>
      </c>
    </row>
    <row r="389" spans="1:6">
      <c r="A389" s="10" t="s">
        <v>411</v>
      </c>
      <c r="B389" s="10">
        <v>216</v>
      </c>
      <c r="C389" s="21">
        <v>1.5600780015197564E-3</v>
      </c>
      <c r="D389" s="10">
        <v>72</v>
      </c>
      <c r="E389" s="10">
        <v>170</v>
      </c>
      <c r="F389" s="10">
        <v>29</v>
      </c>
    </row>
    <row r="390" spans="1:6">
      <c r="A390" s="10" t="s">
        <v>412</v>
      </c>
      <c r="B390" s="10">
        <v>265</v>
      </c>
      <c r="C390" s="21">
        <v>4.5769892181829223E-3</v>
      </c>
      <c r="D390" s="10">
        <v>82</v>
      </c>
      <c r="E390" s="10">
        <v>128</v>
      </c>
      <c r="F390" s="10">
        <v>24</v>
      </c>
    </row>
    <row r="391" spans="1:6">
      <c r="A391" s="10" t="s">
        <v>413</v>
      </c>
      <c r="B391" s="10">
        <v>608</v>
      </c>
      <c r="C391" s="21">
        <v>1.3512162074714377E-3</v>
      </c>
      <c r="D391" s="10">
        <v>94</v>
      </c>
      <c r="E391" s="10">
        <v>187</v>
      </c>
      <c r="F391" s="10">
        <v>17</v>
      </c>
    </row>
    <row r="392" spans="1:6">
      <c r="A392" s="10" t="s">
        <v>414</v>
      </c>
      <c r="B392" s="10">
        <v>122</v>
      </c>
      <c r="C392" s="21">
        <v>2.0045140528866101E-4</v>
      </c>
      <c r="D392" s="10">
        <v>79</v>
      </c>
      <c r="E392" s="10">
        <v>142</v>
      </c>
      <c r="F392" s="10">
        <v>18</v>
      </c>
    </row>
    <row r="393" spans="1:6">
      <c r="A393" s="10" t="s">
        <v>415</v>
      </c>
      <c r="B393" s="10">
        <v>136</v>
      </c>
      <c r="C393" s="21">
        <v>1.5172864742822904E-3</v>
      </c>
      <c r="D393" s="10">
        <v>53</v>
      </c>
      <c r="E393" s="10">
        <v>158</v>
      </c>
      <c r="F393" s="10">
        <v>37</v>
      </c>
    </row>
    <row r="394" spans="1:6">
      <c r="A394" s="10" t="s">
        <v>416</v>
      </c>
      <c r="B394" s="10">
        <v>118</v>
      </c>
      <c r="C394" s="21">
        <v>5.7392662011016612E-4</v>
      </c>
      <c r="D394" s="10">
        <v>47</v>
      </c>
      <c r="E394" s="10">
        <v>174</v>
      </c>
      <c r="F394" s="10">
        <v>32</v>
      </c>
    </row>
    <row r="395" spans="1:6">
      <c r="A395" s="10" t="s">
        <v>417</v>
      </c>
      <c r="B395" s="10">
        <v>76</v>
      </c>
      <c r="C395" s="21">
        <v>1.9366485536107321E-3</v>
      </c>
      <c r="D395" s="10">
        <v>50</v>
      </c>
      <c r="E395" s="10">
        <v>136</v>
      </c>
      <c r="F395" s="10">
        <v>36</v>
      </c>
    </row>
    <row r="396" spans="1:6">
      <c r="A396" s="10" t="s">
        <v>418</v>
      </c>
      <c r="B396" s="10">
        <v>58</v>
      </c>
      <c r="C396" s="21">
        <v>2.8451240220922274E-3</v>
      </c>
      <c r="D396" s="10">
        <v>95</v>
      </c>
      <c r="E396" s="10">
        <v>131</v>
      </c>
      <c r="F396" s="10">
        <v>31</v>
      </c>
    </row>
    <row r="397" spans="1:6">
      <c r="A397" s="10" t="s">
        <v>419</v>
      </c>
      <c r="B397" s="10">
        <v>167</v>
      </c>
      <c r="C397" s="21">
        <v>2.9878169044149669E-3</v>
      </c>
      <c r="D397" s="10">
        <v>82</v>
      </c>
      <c r="E397" s="10">
        <v>184</v>
      </c>
      <c r="F397" s="10">
        <v>35</v>
      </c>
    </row>
    <row r="398" spans="1:6">
      <c r="A398" s="10" t="s">
        <v>420</v>
      </c>
      <c r="B398" s="10">
        <v>118</v>
      </c>
      <c r="C398" s="21">
        <v>1.0371880030629517E-3</v>
      </c>
      <c r="D398" s="10">
        <v>59</v>
      </c>
      <c r="E398" s="10">
        <v>127</v>
      </c>
      <c r="F398" s="10">
        <v>23</v>
      </c>
    </row>
    <row r="399" spans="1:6">
      <c r="A399" s="10" t="s">
        <v>421</v>
      </c>
      <c r="B399" s="10">
        <v>406</v>
      </c>
      <c r="C399" s="21">
        <v>8.4163114564572933E-4</v>
      </c>
      <c r="D399" s="10">
        <v>86</v>
      </c>
      <c r="E399" s="10">
        <v>193</v>
      </c>
      <c r="F399" s="10">
        <v>14</v>
      </c>
    </row>
    <row r="400" spans="1:6">
      <c r="A400" s="10" t="s">
        <v>422</v>
      </c>
      <c r="B400" s="10">
        <v>408</v>
      </c>
      <c r="C400" s="21">
        <v>2.2223082751876852E-3</v>
      </c>
      <c r="D400" s="10">
        <v>90</v>
      </c>
      <c r="E400" s="10">
        <v>146</v>
      </c>
      <c r="F400" s="10">
        <v>30</v>
      </c>
    </row>
    <row r="401" spans="1:6">
      <c r="A401" s="10" t="s">
        <v>423</v>
      </c>
      <c r="B401" s="10">
        <v>95</v>
      </c>
      <c r="C401" s="21">
        <v>1.6758914147299972E-3</v>
      </c>
      <c r="D401" s="10">
        <v>59</v>
      </c>
      <c r="E401" s="10">
        <v>108</v>
      </c>
      <c r="F401" s="10">
        <v>43</v>
      </c>
    </row>
    <row r="402" spans="1:6">
      <c r="A402" s="10" t="s">
        <v>424</v>
      </c>
      <c r="B402" s="10">
        <v>89</v>
      </c>
      <c r="C402" s="21">
        <v>2.2289394978461095E-3</v>
      </c>
      <c r="D402" s="10">
        <v>66</v>
      </c>
      <c r="E402" s="10">
        <v>126</v>
      </c>
      <c r="F402" s="10">
        <v>39</v>
      </c>
    </row>
    <row r="403" spans="1:6">
      <c r="A403" s="10" t="s">
        <v>425</v>
      </c>
      <c r="B403" s="10">
        <v>94</v>
      </c>
      <c r="C403" s="21">
        <v>1.7467039445429548E-3</v>
      </c>
      <c r="D403" s="10">
        <v>38</v>
      </c>
      <c r="E403" s="10">
        <v>143</v>
      </c>
      <c r="F403" s="10">
        <v>16</v>
      </c>
    </row>
    <row r="404" spans="1:6">
      <c r="A404" s="10" t="s">
        <v>426</v>
      </c>
      <c r="B404" s="10">
        <v>360</v>
      </c>
      <c r="C404" s="21">
        <v>1.6997121108903279E-3</v>
      </c>
      <c r="D404" s="10">
        <v>75</v>
      </c>
      <c r="E404" s="10">
        <v>139</v>
      </c>
      <c r="F404" s="10">
        <v>34</v>
      </c>
    </row>
    <row r="405" spans="1:6">
      <c r="A405" s="10" t="s">
        <v>427</v>
      </c>
      <c r="B405" s="10">
        <v>75</v>
      </c>
      <c r="C405" s="21">
        <v>7.4420717741803316E-4</v>
      </c>
      <c r="D405" s="10">
        <v>76</v>
      </c>
      <c r="E405" s="10">
        <v>132</v>
      </c>
      <c r="F405" s="10">
        <v>16</v>
      </c>
    </row>
    <row r="406" spans="1:6">
      <c r="A406" s="10" t="s">
        <v>428</v>
      </c>
      <c r="B406" s="10">
        <v>525</v>
      </c>
      <c r="C406" s="21">
        <v>1.6453190302720502E-3</v>
      </c>
      <c r="D406" s="10">
        <v>93</v>
      </c>
      <c r="E406" s="10">
        <v>170</v>
      </c>
      <c r="F406" s="10">
        <v>27</v>
      </c>
    </row>
    <row r="407" spans="1:6">
      <c r="A407" s="10" t="s">
        <v>429</v>
      </c>
      <c r="B407" s="10">
        <v>435</v>
      </c>
      <c r="C407" s="21">
        <v>1.2330011428138235E-3</v>
      </c>
      <c r="D407" s="10">
        <v>81</v>
      </c>
      <c r="E407" s="10">
        <v>172</v>
      </c>
      <c r="F407" s="10">
        <v>37</v>
      </c>
    </row>
    <row r="408" spans="1:6">
      <c r="A408" s="10" t="s">
        <v>430</v>
      </c>
      <c r="B408" s="10">
        <v>85</v>
      </c>
      <c r="C408" s="21">
        <v>1.1297116562729271E-3</v>
      </c>
      <c r="D408" s="10">
        <v>71</v>
      </c>
      <c r="E408" s="10">
        <v>142</v>
      </c>
      <c r="F408" s="10">
        <v>21</v>
      </c>
    </row>
    <row r="409" spans="1:6">
      <c r="A409" s="10" t="s">
        <v>431</v>
      </c>
      <c r="B409" s="10">
        <v>445</v>
      </c>
      <c r="C409" s="21">
        <v>1.5448430437995774E-3</v>
      </c>
      <c r="D409" s="10">
        <v>70</v>
      </c>
      <c r="E409" s="10">
        <v>116</v>
      </c>
      <c r="F409" s="10">
        <v>29</v>
      </c>
    </row>
    <row r="410" spans="1:6">
      <c r="A410" s="10" t="s">
        <v>432</v>
      </c>
      <c r="B410" s="10">
        <v>114</v>
      </c>
      <c r="C410" s="21">
        <v>1.8104583050983728E-3</v>
      </c>
      <c r="D410" s="10">
        <v>68</v>
      </c>
      <c r="E410" s="10">
        <v>122</v>
      </c>
      <c r="F410" s="10">
        <v>34</v>
      </c>
    </row>
    <row r="411" spans="1:6">
      <c r="A411" s="10" t="s">
        <v>433</v>
      </c>
      <c r="B411" s="10">
        <v>378</v>
      </c>
      <c r="C411" s="21">
        <v>2.6494252838710061E-3</v>
      </c>
      <c r="D411" s="10">
        <v>66</v>
      </c>
      <c r="E411" s="10">
        <v>152</v>
      </c>
      <c r="F411" s="10">
        <v>28</v>
      </c>
    </row>
    <row r="412" spans="1:6">
      <c r="A412" s="10" t="s">
        <v>434</v>
      </c>
      <c r="B412" s="10">
        <v>112</v>
      </c>
      <c r="C412" s="21">
        <v>2.0375283062955551E-3</v>
      </c>
      <c r="D412" s="10">
        <v>83</v>
      </c>
      <c r="E412" s="10">
        <v>168</v>
      </c>
      <c r="F412" s="10">
        <v>24</v>
      </c>
    </row>
    <row r="413" spans="1:6">
      <c r="A413" s="10" t="s">
        <v>435</v>
      </c>
      <c r="B413" s="10">
        <v>83</v>
      </c>
      <c r="C413" s="21">
        <v>1.0413940648475442E-3</v>
      </c>
      <c r="D413" s="10">
        <v>59</v>
      </c>
      <c r="E413" s="10">
        <v>0</v>
      </c>
      <c r="F413" s="10">
        <v>20</v>
      </c>
    </row>
    <row r="414" spans="1:6">
      <c r="A414" s="10" t="s">
        <v>436</v>
      </c>
      <c r="B414" s="10">
        <v>323</v>
      </c>
      <c r="C414" s="21">
        <v>7.9769503253432925E-4</v>
      </c>
      <c r="D414" s="10">
        <v>102</v>
      </c>
      <c r="E414" s="10">
        <v>190</v>
      </c>
      <c r="F414" s="10">
        <v>17</v>
      </c>
    </row>
    <row r="415" spans="1:6">
      <c r="A415" s="10" t="s">
        <v>437</v>
      </c>
      <c r="B415" s="10">
        <v>480</v>
      </c>
      <c r="C415" s="21">
        <v>1.4620791265190648E-3</v>
      </c>
      <c r="D415" s="10">
        <v>104</v>
      </c>
      <c r="E415" s="10">
        <v>196</v>
      </c>
      <c r="F415" s="10">
        <v>28</v>
      </c>
    </row>
    <row r="416" spans="1:6">
      <c r="A416" s="10" t="s">
        <v>438</v>
      </c>
      <c r="B416" s="10">
        <v>647</v>
      </c>
      <c r="C416" s="21">
        <v>4.3520774532817522E-4</v>
      </c>
      <c r="D416" s="10">
        <v>88</v>
      </c>
      <c r="E416" s="10">
        <v>169</v>
      </c>
      <c r="F416" s="10">
        <v>20</v>
      </c>
    </row>
    <row r="417" spans="1:6">
      <c r="A417" s="10" t="s">
        <v>439</v>
      </c>
      <c r="B417" s="10">
        <v>96</v>
      </c>
      <c r="C417" s="21">
        <v>1.33787639415248E-3</v>
      </c>
      <c r="D417" s="10">
        <v>50</v>
      </c>
      <c r="E417" s="10">
        <v>139</v>
      </c>
      <c r="F417" s="10">
        <v>38</v>
      </c>
    </row>
    <row r="418" spans="1:6">
      <c r="A418" s="10" t="s">
        <v>440</v>
      </c>
      <c r="B418" s="10"/>
      <c r="C418" s="21">
        <v>8.8712029306550961E-4</v>
      </c>
      <c r="D418" s="10">
        <v>79</v>
      </c>
      <c r="E418" s="10">
        <v>189</v>
      </c>
      <c r="F418" s="10">
        <v>18</v>
      </c>
    </row>
    <row r="419" spans="1:6">
      <c r="A419" s="10" t="s">
        <v>441</v>
      </c>
      <c r="B419" s="10">
        <v>245</v>
      </c>
      <c r="C419" s="21">
        <v>1.5372152911969432E-4</v>
      </c>
      <c r="D419" s="10">
        <v>101</v>
      </c>
      <c r="E419" s="10">
        <v>154</v>
      </c>
      <c r="F419" s="10">
        <v>22</v>
      </c>
    </row>
    <row r="420" spans="1:6">
      <c r="A420" s="10" t="s">
        <v>442</v>
      </c>
      <c r="B420" s="10">
        <v>147</v>
      </c>
      <c r="C420" s="21">
        <v>1.6557376276132246E-3</v>
      </c>
      <c r="D420" s="10">
        <v>110</v>
      </c>
      <c r="E420" s="10">
        <v>211</v>
      </c>
      <c r="F420" s="10">
        <v>21</v>
      </c>
    </row>
    <row r="421" spans="1:6">
      <c r="A421" s="10" t="s">
        <v>443</v>
      </c>
      <c r="B421" s="10">
        <v>485</v>
      </c>
      <c r="C421" s="21">
        <v>5.1743853124063661E-4</v>
      </c>
      <c r="D421" s="10">
        <v>45</v>
      </c>
      <c r="E421" s="10">
        <v>168</v>
      </c>
      <c r="F421" s="10">
        <v>25</v>
      </c>
    </row>
    <row r="422" spans="1:6">
      <c r="A422" s="10" t="s">
        <v>444</v>
      </c>
      <c r="B422" s="10">
        <v>554</v>
      </c>
      <c r="C422" s="21">
        <v>2.057800133678029E-3</v>
      </c>
      <c r="D422" s="10">
        <v>42</v>
      </c>
      <c r="E422" s="10">
        <v>103</v>
      </c>
      <c r="F422" s="10">
        <v>31</v>
      </c>
    </row>
    <row r="423" spans="1:6">
      <c r="A423" s="10" t="s">
        <v>445</v>
      </c>
      <c r="B423" s="10">
        <v>92</v>
      </c>
      <c r="C423" s="21">
        <v>1.3986906220521955E-3</v>
      </c>
      <c r="D423" s="10">
        <v>74</v>
      </c>
      <c r="E423" s="10">
        <v>197</v>
      </c>
      <c r="F423" s="10">
        <v>32</v>
      </c>
    </row>
    <row r="424" spans="1:6">
      <c r="A424" s="10" t="s">
        <v>446</v>
      </c>
      <c r="B424" s="10">
        <v>120</v>
      </c>
      <c r="C424" s="21">
        <v>1.08609967048553E-3</v>
      </c>
      <c r="D424" s="10">
        <v>52</v>
      </c>
      <c r="E424" s="10">
        <v>117</v>
      </c>
      <c r="F424" s="10">
        <v>33</v>
      </c>
    </row>
    <row r="425" spans="1:6">
      <c r="A425" s="10" t="s">
        <v>447</v>
      </c>
      <c r="B425" s="10">
        <v>211</v>
      </c>
      <c r="C425" s="21">
        <v>1.2627240376432175E-4</v>
      </c>
      <c r="D425" s="10">
        <v>45</v>
      </c>
      <c r="E425" s="10">
        <v>182</v>
      </c>
      <c r="F425" s="10">
        <v>8</v>
      </c>
    </row>
    <row r="426" spans="1:6">
      <c r="A426" s="10" t="s">
        <v>448</v>
      </c>
      <c r="B426" s="10">
        <v>248</v>
      </c>
      <c r="C426" s="21">
        <v>1.534375510860249E-3</v>
      </c>
      <c r="D426" s="10">
        <v>94</v>
      </c>
      <c r="E426" s="10">
        <v>212</v>
      </c>
      <c r="F426" s="10">
        <v>15</v>
      </c>
    </row>
    <row r="427" spans="1:6">
      <c r="A427" s="10" t="s">
        <v>449</v>
      </c>
      <c r="B427" s="10">
        <v>461</v>
      </c>
      <c r="C427" s="21">
        <v>1.6267525668120964E-3</v>
      </c>
      <c r="D427" s="10">
        <v>128</v>
      </c>
      <c r="E427" s="10">
        <v>173</v>
      </c>
      <c r="F427" s="10">
        <v>26</v>
      </c>
    </row>
    <row r="428" spans="1:6">
      <c r="A428" s="10" t="s">
        <v>450</v>
      </c>
      <c r="B428" s="10">
        <v>69</v>
      </c>
      <c r="C428" s="21">
        <v>1.5520491345140186E-3</v>
      </c>
      <c r="D428" s="10">
        <v>70</v>
      </c>
      <c r="E428" s="10">
        <v>160</v>
      </c>
      <c r="F428" s="10">
        <v>20</v>
      </c>
    </row>
    <row r="429" spans="1:6">
      <c r="A429" s="10" t="s">
        <v>451</v>
      </c>
      <c r="B429" s="10">
        <v>111</v>
      </c>
      <c r="C429" s="21">
        <v>9.1794531304502478E-4</v>
      </c>
      <c r="D429" s="10">
        <v>45</v>
      </c>
      <c r="E429" s="10">
        <v>130</v>
      </c>
      <c r="F429" s="10">
        <v>26</v>
      </c>
    </row>
    <row r="430" spans="1:6">
      <c r="A430" s="10" t="s">
        <v>452</v>
      </c>
      <c r="B430" s="10">
        <v>99</v>
      </c>
      <c r="C430" s="21">
        <v>1.6055971486838862E-3</v>
      </c>
      <c r="D430" s="10">
        <v>46</v>
      </c>
      <c r="E430" s="10">
        <v>122</v>
      </c>
      <c r="F430" s="10">
        <v>33</v>
      </c>
    </row>
    <row r="431" spans="1:6">
      <c r="A431" s="10" t="s">
        <v>453</v>
      </c>
      <c r="B431" s="10">
        <v>62</v>
      </c>
      <c r="C431" s="21">
        <v>1.2631941101209183E-3</v>
      </c>
      <c r="D431" s="10">
        <v>93</v>
      </c>
      <c r="E431" s="10">
        <v>145</v>
      </c>
      <c r="F431" s="10">
        <v>23</v>
      </c>
    </row>
    <row r="432" spans="1:6">
      <c r="A432" s="10" t="s">
        <v>454</v>
      </c>
      <c r="B432" s="10">
        <v>223</v>
      </c>
      <c r="C432" s="21">
        <v>1.5816097122218504E-3</v>
      </c>
      <c r="D432" s="10">
        <v>101</v>
      </c>
      <c r="E432" s="10">
        <v>146</v>
      </c>
      <c r="F432" s="10">
        <v>21</v>
      </c>
    </row>
    <row r="433" spans="1:6">
      <c r="A433" s="10" t="s">
        <v>455</v>
      </c>
      <c r="B433" s="10">
        <v>590</v>
      </c>
      <c r="C433" s="21">
        <v>2.6291486538712553E-3</v>
      </c>
      <c r="D433" s="10">
        <v>75</v>
      </c>
      <c r="E433" s="10">
        <v>127</v>
      </c>
      <c r="F433" s="10">
        <v>43</v>
      </c>
    </row>
    <row r="434" spans="1:6">
      <c r="A434" s="10" t="s">
        <v>456</v>
      </c>
      <c r="B434" s="10">
        <v>613</v>
      </c>
      <c r="C434" s="21">
        <v>3.1336712002945966E-3</v>
      </c>
      <c r="D434" s="10">
        <v>49</v>
      </c>
      <c r="E434" s="10">
        <v>101</v>
      </c>
      <c r="F434" s="10">
        <v>36</v>
      </c>
    </row>
    <row r="435" spans="1:6">
      <c r="A435" s="10" t="s">
        <v>457</v>
      </c>
      <c r="B435" s="10">
        <v>115</v>
      </c>
      <c r="C435" s="21">
        <v>1.3453046986003688E-3</v>
      </c>
      <c r="D435" s="10">
        <v>82</v>
      </c>
      <c r="E435" s="10">
        <v>188</v>
      </c>
      <c r="F435" s="10">
        <v>34</v>
      </c>
    </row>
    <row r="436" spans="1:6">
      <c r="A436" s="10" t="s">
        <v>458</v>
      </c>
      <c r="B436" s="10">
        <v>100</v>
      </c>
      <c r="C436" s="21">
        <v>9.4712567010745525E-4</v>
      </c>
      <c r="D436" s="10">
        <v>59</v>
      </c>
      <c r="E436" s="10">
        <v>177</v>
      </c>
      <c r="F436" s="10">
        <v>25</v>
      </c>
    </row>
    <row r="437" spans="1:6">
      <c r="A437" s="10" t="s">
        <v>459</v>
      </c>
      <c r="B437" s="10">
        <v>98</v>
      </c>
      <c r="C437" s="21">
        <v>7.7014042980161151E-4</v>
      </c>
      <c r="D437" s="10">
        <v>126</v>
      </c>
      <c r="E437" s="10">
        <v>213</v>
      </c>
      <c r="F437" s="10">
        <v>14</v>
      </c>
    </row>
    <row r="438" spans="1:6">
      <c r="A438" s="10" t="s">
        <v>460</v>
      </c>
      <c r="B438" s="10">
        <v>58</v>
      </c>
      <c r="C438" s="21">
        <v>1.2982790044099659E-3</v>
      </c>
      <c r="D438" s="10">
        <v>66</v>
      </c>
      <c r="E438" s="10">
        <v>175</v>
      </c>
      <c r="F438" s="10">
        <v>24</v>
      </c>
    </row>
    <row r="439" spans="1:6">
      <c r="A439" s="10" t="s">
        <v>461</v>
      </c>
      <c r="B439" s="10">
        <v>267</v>
      </c>
      <c r="C439" s="21">
        <v>1.6236902315022244E-3</v>
      </c>
      <c r="D439" s="10">
        <v>74</v>
      </c>
      <c r="E439" s="10">
        <v>113</v>
      </c>
      <c r="F439" s="10">
        <v>38</v>
      </c>
    </row>
    <row r="440" spans="1:6">
      <c r="A440" s="10" t="s">
        <v>462</v>
      </c>
      <c r="B440" s="10">
        <v>113</v>
      </c>
      <c r="C440" s="21">
        <v>1.7989339493120126E-3</v>
      </c>
      <c r="D440" s="10">
        <v>15</v>
      </c>
      <c r="E440" s="10">
        <v>61</v>
      </c>
      <c r="F440" s="10">
        <v>61</v>
      </c>
    </row>
    <row r="441" spans="1:6">
      <c r="A441" s="10" t="s">
        <v>463</v>
      </c>
      <c r="B441" s="10">
        <v>90</v>
      </c>
      <c r="C441" s="21">
        <v>2.9460793245449858E-3</v>
      </c>
      <c r="D441" s="10">
        <v>90</v>
      </c>
      <c r="E441" s="10">
        <v>138</v>
      </c>
      <c r="F441" s="10">
        <v>30</v>
      </c>
    </row>
    <row r="442" spans="1:6">
      <c r="A442" s="10" t="s">
        <v>464</v>
      </c>
      <c r="B442" s="10">
        <v>284</v>
      </c>
      <c r="C442" s="21">
        <v>1.2861779444426711E-3</v>
      </c>
      <c r="D442" s="10">
        <v>115</v>
      </c>
      <c r="E442" s="10">
        <v>167</v>
      </c>
      <c r="F442" s="10">
        <v>41</v>
      </c>
    </row>
    <row r="443" spans="1:6">
      <c r="A443" s="10" t="s">
        <v>465</v>
      </c>
      <c r="B443" s="10">
        <v>472</v>
      </c>
      <c r="C443" s="21">
        <v>1.5453752914323584E-3</v>
      </c>
      <c r="D443" s="10">
        <v>97</v>
      </c>
      <c r="E443" s="10">
        <v>162</v>
      </c>
      <c r="F443" s="10">
        <v>28</v>
      </c>
    </row>
    <row r="444" spans="1:6">
      <c r="A444" s="10" t="s">
        <v>466</v>
      </c>
      <c r="B444" s="10">
        <v>377</v>
      </c>
      <c r="C444" s="21">
        <v>1.0940291466712414E-3</v>
      </c>
      <c r="D444" s="10">
        <v>58</v>
      </c>
      <c r="E444" s="10">
        <v>144</v>
      </c>
      <c r="F444" s="10">
        <v>27</v>
      </c>
    </row>
    <row r="445" spans="1:6">
      <c r="A445" s="10" t="s">
        <v>467</v>
      </c>
      <c r="B445" s="10">
        <v>57</v>
      </c>
      <c r="C445" s="21">
        <v>2.6552074914936189E-3</v>
      </c>
      <c r="D445" s="10">
        <v>75</v>
      </c>
      <c r="E445" s="10">
        <v>120</v>
      </c>
      <c r="F445" s="10">
        <v>28</v>
      </c>
    </row>
    <row r="446" spans="1:6">
      <c r="A446" s="10" t="s">
        <v>468</v>
      </c>
      <c r="B446" s="10">
        <v>79</v>
      </c>
      <c r="C446" s="21">
        <v>6.0165222139853508E-4</v>
      </c>
      <c r="D446" s="10">
        <v>75</v>
      </c>
      <c r="E446" s="10">
        <v>188</v>
      </c>
      <c r="F446" s="10">
        <v>14</v>
      </c>
    </row>
    <row r="447" spans="1:6">
      <c r="A447" s="10" t="s">
        <v>469</v>
      </c>
      <c r="B447" s="10">
        <v>48</v>
      </c>
      <c r="C447" s="21">
        <v>1.3770818956090299E-3</v>
      </c>
      <c r="D447" s="10">
        <v>42</v>
      </c>
      <c r="E447" s="10">
        <v>112</v>
      </c>
      <c r="F447" s="10">
        <v>30</v>
      </c>
    </row>
    <row r="448" spans="1:6">
      <c r="A448" s="10" t="s">
        <v>470</v>
      </c>
      <c r="B448" s="10">
        <v>214</v>
      </c>
      <c r="C448" s="21">
        <v>1.2629078204108425E-3</v>
      </c>
      <c r="D448" s="10">
        <v>68</v>
      </c>
      <c r="E448" s="10">
        <v>171</v>
      </c>
      <c r="F448" s="10">
        <v>13</v>
      </c>
    </row>
    <row r="449" spans="1:6">
      <c r="A449" s="10" t="s">
        <v>471</v>
      </c>
      <c r="B449" s="10">
        <v>315</v>
      </c>
      <c r="C449" s="21">
        <v>7.2679011003973096E-4</v>
      </c>
      <c r="D449" s="10">
        <v>37</v>
      </c>
      <c r="E449" s="10">
        <v>78</v>
      </c>
      <c r="F449" s="10">
        <v>45</v>
      </c>
    </row>
    <row r="450" spans="1:6">
      <c r="A450" s="10" t="s">
        <v>472</v>
      </c>
      <c r="B450" s="10">
        <v>87</v>
      </c>
      <c r="C450" s="21">
        <v>1.2716322659779139E-3</v>
      </c>
      <c r="D450" s="10">
        <v>131</v>
      </c>
      <c r="E450" s="10">
        <v>203</v>
      </c>
      <c r="F450" s="10">
        <v>11</v>
      </c>
    </row>
    <row r="451" spans="1:6">
      <c r="A451" s="10" t="s">
        <v>473</v>
      </c>
      <c r="B451" s="10">
        <v>359</v>
      </c>
      <c r="C451" s="21">
        <v>2.1130992759316796E-3</v>
      </c>
      <c r="D451" s="10">
        <v>78</v>
      </c>
      <c r="E451" s="10">
        <v>126</v>
      </c>
      <c r="F451" s="10">
        <v>36</v>
      </c>
    </row>
    <row r="452" spans="1:6">
      <c r="A452" s="10" t="s">
        <v>474</v>
      </c>
      <c r="B452" s="10">
        <v>91</v>
      </c>
      <c r="C452" s="21">
        <v>5.0526754631870315E-5</v>
      </c>
      <c r="D452" s="10">
        <v>93</v>
      </c>
      <c r="E452" s="10">
        <v>128</v>
      </c>
      <c r="F452" s="10">
        <v>27</v>
      </c>
    </row>
    <row r="453" spans="1:6">
      <c r="A453" s="10" t="s">
        <v>475</v>
      </c>
      <c r="B453" s="10">
        <v>87</v>
      </c>
      <c r="C453" s="21">
        <v>2.452452891464708E-3</v>
      </c>
      <c r="D453" s="10">
        <v>27</v>
      </c>
      <c r="E453" s="10">
        <v>130</v>
      </c>
      <c r="F453" s="10">
        <v>41</v>
      </c>
    </row>
    <row r="454" spans="1:6">
      <c r="A454" s="10" t="s">
        <v>476</v>
      </c>
      <c r="B454" s="10">
        <v>108</v>
      </c>
      <c r="C454" s="21">
        <v>4.8180072219132752E-4</v>
      </c>
      <c r="D454" s="10">
        <v>39</v>
      </c>
      <c r="E454" s="10">
        <v>121</v>
      </c>
      <c r="F454" s="10">
        <v>34</v>
      </c>
    </row>
    <row r="455" spans="1:6">
      <c r="A455" s="10" t="s">
        <v>477</v>
      </c>
      <c r="B455" s="10">
        <v>37</v>
      </c>
      <c r="C455" s="21">
        <v>2.9303987591541222E-3</v>
      </c>
      <c r="D455" s="10">
        <v>15</v>
      </c>
      <c r="E455" s="10">
        <v>79</v>
      </c>
      <c r="F455" s="10">
        <v>51</v>
      </c>
    </row>
    <row r="456" spans="1:6">
      <c r="A456" s="10" t="s">
        <v>478</v>
      </c>
      <c r="B456" s="10">
        <v>168</v>
      </c>
      <c r="C456" s="21">
        <v>1.5158102827036669E-3</v>
      </c>
      <c r="D456" s="10">
        <v>98</v>
      </c>
      <c r="E456" s="10">
        <v>150</v>
      </c>
      <c r="F456" s="10">
        <v>38</v>
      </c>
    </row>
    <row r="457" spans="1:6">
      <c r="A457" s="10" t="s">
        <v>479</v>
      </c>
      <c r="B457" s="10">
        <v>382</v>
      </c>
      <c r="C457" s="21">
        <v>1.0975336164482739E-3</v>
      </c>
      <c r="D457" s="10">
        <v>86</v>
      </c>
      <c r="E457" s="10">
        <v>135</v>
      </c>
      <c r="F457" s="10">
        <v>19</v>
      </c>
    </row>
    <row r="458" spans="1:6">
      <c r="A458" s="10" t="s">
        <v>480</v>
      </c>
      <c r="B458" s="10">
        <v>411</v>
      </c>
      <c r="C458" s="21">
        <v>1.1665421647025977E-3</v>
      </c>
      <c r="D458" s="10">
        <v>112</v>
      </c>
      <c r="E458" s="10">
        <v>226</v>
      </c>
      <c r="F458" s="10">
        <v>9</v>
      </c>
    </row>
    <row r="459" spans="1:6">
      <c r="A459" s="10" t="s">
        <v>481</v>
      </c>
      <c r="B459" s="10">
        <v>558</v>
      </c>
      <c r="C459" s="21">
        <v>3.9222864888453562E-4</v>
      </c>
      <c r="D459" s="10">
        <v>114</v>
      </c>
      <c r="E459" s="10">
        <v>176</v>
      </c>
      <c r="F459" s="10">
        <v>19</v>
      </c>
    </row>
    <row r="460" spans="1:6">
      <c r="A460" s="10" t="s">
        <v>482</v>
      </c>
      <c r="B460" s="10">
        <v>95</v>
      </c>
      <c r="C460" s="21">
        <v>7.2253342293772469E-4</v>
      </c>
      <c r="D460" s="10">
        <v>78</v>
      </c>
      <c r="E460" s="10">
        <v>158</v>
      </c>
      <c r="F460" s="10">
        <v>24</v>
      </c>
    </row>
    <row r="461" spans="1:6">
      <c r="A461" s="10" t="s">
        <v>483</v>
      </c>
      <c r="B461" s="10">
        <v>89</v>
      </c>
      <c r="C461" s="21">
        <v>1.2417317094581084E-3</v>
      </c>
      <c r="D461" s="10">
        <v>68</v>
      </c>
      <c r="E461" s="10">
        <v>136</v>
      </c>
      <c r="F461" s="10">
        <v>29</v>
      </c>
    </row>
    <row r="462" spans="1:6">
      <c r="A462" s="10" t="s">
        <v>484</v>
      </c>
      <c r="B462" s="10">
        <v>172</v>
      </c>
      <c r="C462" s="21">
        <v>3.4658317582169604E-4</v>
      </c>
      <c r="D462" s="10">
        <v>62</v>
      </c>
      <c r="E462" s="10">
        <v>134</v>
      </c>
      <c r="F462" s="10">
        <v>30</v>
      </c>
    </row>
    <row r="463" spans="1:6">
      <c r="A463" s="10" t="s">
        <v>485</v>
      </c>
      <c r="B463" s="10">
        <v>257</v>
      </c>
      <c r="C463" s="21">
        <v>8.2548058192567363E-4</v>
      </c>
      <c r="D463" s="10">
        <v>51</v>
      </c>
      <c r="E463" s="10">
        <v>171</v>
      </c>
      <c r="F463" s="10">
        <v>25</v>
      </c>
    </row>
    <row r="464" spans="1:6">
      <c r="A464" s="10" t="s">
        <v>486</v>
      </c>
      <c r="B464" s="10">
        <v>108</v>
      </c>
      <c r="C464" s="21">
        <v>4.1370908715067487E-4</v>
      </c>
      <c r="D464" s="10">
        <v>85</v>
      </c>
      <c r="E464" s="10">
        <v>192</v>
      </c>
      <c r="F464" s="10">
        <v>10</v>
      </c>
    </row>
    <row r="465" spans="1:6">
      <c r="A465" s="10" t="s">
        <v>487</v>
      </c>
      <c r="B465" s="10">
        <v>484</v>
      </c>
      <c r="C465" s="21">
        <v>1.4566385932371128E-3</v>
      </c>
      <c r="D465" s="10">
        <v>94</v>
      </c>
      <c r="E465" s="10">
        <v>184</v>
      </c>
      <c r="F465" s="10">
        <v>35</v>
      </c>
    </row>
    <row r="466" spans="1:6">
      <c r="A466" s="10" t="s">
        <v>488</v>
      </c>
      <c r="B466" s="10">
        <v>474</v>
      </c>
      <c r="C466" s="21">
        <v>2.3132191057017078E-3</v>
      </c>
      <c r="D466" s="10">
        <v>98</v>
      </c>
      <c r="E466" s="10">
        <v>137</v>
      </c>
      <c r="F466" s="10">
        <v>43</v>
      </c>
    </row>
    <row r="467" spans="1:6">
      <c r="A467" s="10" t="s">
        <v>489</v>
      </c>
      <c r="B467" s="10">
        <v>81</v>
      </c>
      <c r="C467" s="21">
        <v>1.4317558513957497E-4</v>
      </c>
      <c r="D467" s="10">
        <v>69</v>
      </c>
      <c r="E467" s="10">
        <v>161</v>
      </c>
      <c r="F467" s="10">
        <v>30</v>
      </c>
    </row>
    <row r="468" spans="1:6">
      <c r="A468" s="10" t="s">
        <v>490</v>
      </c>
      <c r="B468" s="10">
        <v>79</v>
      </c>
      <c r="C468" s="21">
        <v>6.7915136875968296E-4</v>
      </c>
      <c r="D468" s="10">
        <v>105</v>
      </c>
      <c r="E468" s="10">
        <v>205</v>
      </c>
      <c r="F468" s="10">
        <v>13</v>
      </c>
    </row>
    <row r="469" spans="1:6">
      <c r="A469" s="10" t="s">
        <v>491</v>
      </c>
      <c r="B469" s="10">
        <v>88</v>
      </c>
      <c r="C469" s="21">
        <v>1.366898609417252E-3</v>
      </c>
      <c r="D469" s="10">
        <v>77</v>
      </c>
      <c r="E469" s="10">
        <v>146</v>
      </c>
      <c r="F469" s="10">
        <v>34</v>
      </c>
    </row>
    <row r="470" spans="1:6">
      <c r="A470" s="10" t="s">
        <v>492</v>
      </c>
      <c r="B470" s="10">
        <v>49</v>
      </c>
      <c r="C470" s="21">
        <v>2.2594233125458542E-3</v>
      </c>
      <c r="D470" s="10">
        <v>68</v>
      </c>
      <c r="E470" s="10">
        <v>127</v>
      </c>
      <c r="F470" s="10">
        <v>42</v>
      </c>
    </row>
    <row r="471" spans="1:6">
      <c r="A471" s="10" t="s">
        <v>493</v>
      </c>
      <c r="B471" s="10">
        <v>168</v>
      </c>
      <c r="C471" s="21">
        <v>1.0366360920322549E-3</v>
      </c>
      <c r="D471" s="10">
        <v>59</v>
      </c>
      <c r="E471" s="10">
        <v>182</v>
      </c>
      <c r="F471" s="10">
        <v>18</v>
      </c>
    </row>
    <row r="472" spans="1:6">
      <c r="A472" s="10" t="s">
        <v>494</v>
      </c>
      <c r="B472" s="10">
        <v>424</v>
      </c>
      <c r="C472" s="21">
        <v>5.9731351653085653E-4</v>
      </c>
      <c r="D472" s="10">
        <v>79</v>
      </c>
      <c r="E472" s="10">
        <v>176</v>
      </c>
      <c r="F472" s="10">
        <v>18</v>
      </c>
    </row>
    <row r="473" spans="1:6">
      <c r="A473" s="10" t="s">
        <v>495</v>
      </c>
      <c r="B473" s="10">
        <v>107</v>
      </c>
      <c r="C473" s="21">
        <v>4.409629758166273E-4</v>
      </c>
      <c r="D473" s="10">
        <v>89</v>
      </c>
      <c r="E473" s="10">
        <v>177</v>
      </c>
      <c r="F473" s="10">
        <v>18</v>
      </c>
    </row>
    <row r="474" spans="1:6">
      <c r="A474" s="10" t="s">
        <v>496</v>
      </c>
      <c r="B474" s="10">
        <v>474</v>
      </c>
      <c r="C474" s="21">
        <v>1.0183700202399161E-3</v>
      </c>
      <c r="D474" s="10">
        <v>65</v>
      </c>
      <c r="E474" s="10">
        <v>138</v>
      </c>
      <c r="F474" s="10">
        <v>28</v>
      </c>
    </row>
    <row r="475" spans="1:6">
      <c r="A475" s="10" t="s">
        <v>497</v>
      </c>
      <c r="B475" s="10">
        <v>514</v>
      </c>
      <c r="C475" s="21">
        <v>4.9697144120999174E-4</v>
      </c>
      <c r="D475" s="10">
        <v>67</v>
      </c>
      <c r="E475" s="10">
        <v>133</v>
      </c>
      <c r="F475" s="10">
        <v>17</v>
      </c>
    </row>
    <row r="476" spans="1:6">
      <c r="A476" s="10" t="s">
        <v>498</v>
      </c>
      <c r="B476" s="10">
        <v>39</v>
      </c>
      <c r="C476" s="21">
        <v>1.5676548917442853E-3</v>
      </c>
      <c r="D476" s="10">
        <v>65</v>
      </c>
      <c r="E476" s="10">
        <v>112</v>
      </c>
      <c r="F476" s="10">
        <v>36</v>
      </c>
    </row>
    <row r="477" spans="1:6">
      <c r="A477" s="10" t="s">
        <v>499</v>
      </c>
      <c r="B477" s="10">
        <v>292</v>
      </c>
      <c r="C477" s="21">
        <v>1.7613632518899513E-3</v>
      </c>
      <c r="D477" s="10">
        <v>88</v>
      </c>
      <c r="E477" s="10">
        <v>144</v>
      </c>
      <c r="F477" s="10">
        <v>24</v>
      </c>
    </row>
    <row r="478" spans="1:6">
      <c r="A478" s="10" t="s">
        <v>500</v>
      </c>
      <c r="B478" s="10">
        <v>606</v>
      </c>
      <c r="C478" s="21">
        <v>2.2019660152202917E-3</v>
      </c>
      <c r="D478" s="10">
        <v>88</v>
      </c>
      <c r="E478" s="10">
        <v>159</v>
      </c>
      <c r="F478" s="10">
        <v>21</v>
      </c>
    </row>
    <row r="479" spans="1:6">
      <c r="A479" s="10" t="s">
        <v>501</v>
      </c>
      <c r="B479" s="10">
        <v>106</v>
      </c>
      <c r="C479" s="21">
        <v>1.7736518381051745E-3</v>
      </c>
      <c r="D479" s="10">
        <v>126</v>
      </c>
      <c r="E479" s="10">
        <v>165</v>
      </c>
      <c r="F479" s="10">
        <v>24</v>
      </c>
    </row>
    <row r="480" spans="1:6">
      <c r="A480" s="10" t="s">
        <v>502</v>
      </c>
      <c r="B480" s="10">
        <v>89</v>
      </c>
      <c r="C480" s="21">
        <v>1.2066367727129957E-3</v>
      </c>
      <c r="D480" s="10">
        <v>100</v>
      </c>
      <c r="E480" s="10">
        <v>150</v>
      </c>
      <c r="F480" s="10">
        <v>25</v>
      </c>
    </row>
    <row r="481" spans="1:6">
      <c r="A481" s="10" t="s">
        <v>503</v>
      </c>
      <c r="B481" s="10">
        <v>165</v>
      </c>
      <c r="C481" s="21">
        <v>2.6097036362009232E-3</v>
      </c>
      <c r="D481" s="10">
        <v>72</v>
      </c>
      <c r="E481" s="10">
        <v>141</v>
      </c>
      <c r="F481" s="10">
        <v>43</v>
      </c>
    </row>
    <row r="482" spans="1:6">
      <c r="A482" s="10" t="s">
        <v>504</v>
      </c>
      <c r="B482" s="10">
        <v>103</v>
      </c>
      <c r="C482" s="21">
        <v>1.5924123813612402E-3</v>
      </c>
      <c r="D482" s="10">
        <v>77</v>
      </c>
      <c r="E482" s="10">
        <v>99</v>
      </c>
      <c r="F482" s="10">
        <v>32</v>
      </c>
    </row>
    <row r="483" spans="1:6">
      <c r="A483" s="10" t="s">
        <v>505</v>
      </c>
      <c r="B483" s="10">
        <v>54</v>
      </c>
      <c r="C483" s="21">
        <v>1.412290843103558E-3</v>
      </c>
      <c r="D483" s="10">
        <v>65</v>
      </c>
      <c r="E483" s="10">
        <v>170</v>
      </c>
      <c r="F483" s="10">
        <v>29</v>
      </c>
    </row>
    <row r="484" spans="1:6">
      <c r="A484" s="10" t="s">
        <v>506</v>
      </c>
      <c r="B484" s="10">
        <v>230</v>
      </c>
      <c r="C484" s="21">
        <v>4.99844529871639E-5</v>
      </c>
      <c r="D484" s="10">
        <v>74</v>
      </c>
      <c r="E484" s="10">
        <v>100</v>
      </c>
      <c r="F484" s="10">
        <v>36</v>
      </c>
    </row>
    <row r="485" spans="1:6">
      <c r="A485" s="10" t="s">
        <v>507</v>
      </c>
      <c r="B485" s="10">
        <v>603</v>
      </c>
      <c r="C485" s="21">
        <v>1.9391484435501453E-5</v>
      </c>
      <c r="D485" s="10">
        <v>85</v>
      </c>
      <c r="E485" s="10">
        <v>129</v>
      </c>
      <c r="F485" s="10">
        <v>19</v>
      </c>
    </row>
    <row r="486" spans="1:6">
      <c r="A486" s="10" t="s">
        <v>508</v>
      </c>
      <c r="B486" s="10">
        <v>114</v>
      </c>
      <c r="C486" s="21">
        <v>2.0151855483134017E-3</v>
      </c>
      <c r="D486" s="10">
        <v>76</v>
      </c>
      <c r="E486" s="10">
        <v>144</v>
      </c>
      <c r="F486" s="10">
        <v>46</v>
      </c>
    </row>
    <row r="487" spans="1:6">
      <c r="A487" s="10" t="s">
        <v>509</v>
      </c>
      <c r="B487" s="10">
        <v>41</v>
      </c>
      <c r="C487" s="21">
        <v>1.0584939568117808E-3</v>
      </c>
      <c r="D487" s="10">
        <v>82</v>
      </c>
      <c r="E487" s="10">
        <v>200</v>
      </c>
      <c r="F487" s="10">
        <v>27</v>
      </c>
    </row>
    <row r="488" spans="1:6">
      <c r="A488" s="10" t="s">
        <v>510</v>
      </c>
      <c r="B488" s="10">
        <v>83</v>
      </c>
      <c r="C488" s="21">
        <v>1.9125741147187072E-3</v>
      </c>
      <c r="D488" s="10">
        <v>71</v>
      </c>
      <c r="E488" s="10">
        <v>152</v>
      </c>
      <c r="F488" s="10">
        <v>32</v>
      </c>
    </row>
    <row r="489" spans="1:6">
      <c r="A489" s="10" t="s">
        <v>511</v>
      </c>
      <c r="B489" s="10">
        <v>295</v>
      </c>
      <c r="C489" s="21">
        <v>1.143114642126142E-3</v>
      </c>
      <c r="D489" s="10">
        <v>88</v>
      </c>
      <c r="E489" s="10">
        <v>154</v>
      </c>
      <c r="F489" s="10">
        <v>27</v>
      </c>
    </row>
    <row r="490" spans="1:6">
      <c r="A490" s="10" t="s">
        <v>512</v>
      </c>
      <c r="B490" s="10">
        <v>683</v>
      </c>
      <c r="C490" s="21">
        <v>6.4250769911445996E-4</v>
      </c>
      <c r="D490" s="10">
        <v>80</v>
      </c>
      <c r="E490" s="10">
        <v>166</v>
      </c>
      <c r="F490" s="10">
        <v>13</v>
      </c>
    </row>
    <row r="491" spans="1:6">
      <c r="A491" s="10" t="s">
        <v>513</v>
      </c>
      <c r="B491" s="10">
        <v>85</v>
      </c>
      <c r="C491" s="21">
        <v>2.1517265188980609E-3</v>
      </c>
      <c r="D491" s="10">
        <v>68</v>
      </c>
      <c r="E491" s="10">
        <v>142</v>
      </c>
      <c r="F491" s="10">
        <v>45</v>
      </c>
    </row>
    <row r="492" spans="1:6">
      <c r="A492" s="10" t="s">
        <v>514</v>
      </c>
      <c r="B492" s="10">
        <v>43</v>
      </c>
      <c r="C492" s="21">
        <v>2.1928257200041117E-3</v>
      </c>
      <c r="D492" s="10">
        <v>105</v>
      </c>
      <c r="E492" s="10">
        <v>183</v>
      </c>
      <c r="F492" s="10">
        <v>14</v>
      </c>
    </row>
    <row r="493" spans="1:6">
      <c r="A493" s="10" t="s">
        <v>515</v>
      </c>
      <c r="B493" s="10">
        <v>216</v>
      </c>
      <c r="C493" s="21">
        <v>1.1954786555576191E-3</v>
      </c>
      <c r="D493" s="10">
        <v>71</v>
      </c>
      <c r="E493" s="10">
        <v>151</v>
      </c>
      <c r="F493" s="10">
        <v>24</v>
      </c>
    </row>
    <row r="494" spans="1:6">
      <c r="A494" s="10" t="s">
        <v>516</v>
      </c>
      <c r="B494" s="10">
        <v>146</v>
      </c>
      <c r="C494" s="21">
        <v>2.2594233125458542E-3</v>
      </c>
      <c r="D494" s="10">
        <v>106</v>
      </c>
      <c r="E494" s="10">
        <v>118</v>
      </c>
      <c r="F494" s="10">
        <v>42</v>
      </c>
    </row>
    <row r="495" spans="1:6">
      <c r="A495" s="10" t="s">
        <v>517</v>
      </c>
      <c r="B495" s="10">
        <v>660</v>
      </c>
      <c r="C495" s="21">
        <v>8.6254428308314492E-5</v>
      </c>
      <c r="D495" s="10">
        <v>89</v>
      </c>
      <c r="E495" s="10">
        <v>142</v>
      </c>
      <c r="F495" s="10">
        <v>22</v>
      </c>
    </row>
    <row r="496" spans="1:6">
      <c r="A496" s="10" t="s">
        <v>518</v>
      </c>
      <c r="B496" s="10">
        <v>376</v>
      </c>
      <c r="C496" s="21">
        <v>1.1124533664373468E-3</v>
      </c>
      <c r="D496" s="10">
        <v>78</v>
      </c>
      <c r="E496" s="10">
        <v>158</v>
      </c>
      <c r="F496" s="10">
        <v>17</v>
      </c>
    </row>
    <row r="497" spans="1:6">
      <c r="A497" s="10" t="s">
        <v>519</v>
      </c>
      <c r="B497" s="10">
        <v>119</v>
      </c>
      <c r="C497" s="21">
        <v>1.2787492045871955E-3</v>
      </c>
      <c r="D497" s="10">
        <v>15</v>
      </c>
      <c r="E497" s="10">
        <v>130</v>
      </c>
      <c r="F497" s="10">
        <v>33</v>
      </c>
    </row>
    <row r="498" spans="1:6">
      <c r="A498" s="10" t="s">
        <v>520</v>
      </c>
      <c r="B498" s="10">
        <v>101</v>
      </c>
      <c r="C498" s="21">
        <v>1.4350045645014373E-4</v>
      </c>
      <c r="D498" s="10">
        <v>57</v>
      </c>
      <c r="E498" s="10">
        <v>138</v>
      </c>
      <c r="F498" s="10">
        <v>18</v>
      </c>
    </row>
    <row r="499" spans="1:6">
      <c r="A499" s="10" t="s">
        <v>521</v>
      </c>
      <c r="B499" s="10">
        <v>58</v>
      </c>
      <c r="C499" s="21">
        <v>2.6759780983936585E-3</v>
      </c>
      <c r="D499" s="10">
        <v>54</v>
      </c>
      <c r="E499" s="10">
        <v>76</v>
      </c>
      <c r="F499" s="10">
        <v>47</v>
      </c>
    </row>
    <row r="500" spans="1:6">
      <c r="A500" s="10" t="s">
        <v>522</v>
      </c>
      <c r="B500" s="10">
        <v>312</v>
      </c>
      <c r="C500" s="21">
        <v>6.3980452260375725E-4</v>
      </c>
      <c r="D500" s="10">
        <v>92</v>
      </c>
      <c r="E500" s="10">
        <v>164</v>
      </c>
      <c r="F500" s="10">
        <v>22</v>
      </c>
    </row>
    <row r="501" spans="1:6">
      <c r="A501" s="10" t="s">
        <v>523</v>
      </c>
      <c r="B501" s="10">
        <v>102</v>
      </c>
      <c r="C501" s="21">
        <v>1.9801372720380192E-3</v>
      </c>
      <c r="D501" s="10">
        <v>72</v>
      </c>
      <c r="E501" s="10">
        <v>102</v>
      </c>
      <c r="F501" s="10">
        <v>42</v>
      </c>
    </row>
    <row r="502" spans="1:6">
      <c r="A502" s="10" t="s">
        <v>524</v>
      </c>
      <c r="B502" s="10">
        <v>440</v>
      </c>
      <c r="C502" s="21">
        <v>1.7798186393856534E-3</v>
      </c>
      <c r="D502" s="10">
        <v>67</v>
      </c>
      <c r="E502" s="10">
        <v>113</v>
      </c>
      <c r="F502" s="10">
        <v>40</v>
      </c>
    </row>
    <row r="503" spans="1:6">
      <c r="A503" s="10" t="s">
        <v>525</v>
      </c>
      <c r="B503" s="10">
        <v>524</v>
      </c>
      <c r="C503" s="21">
        <v>1.0940003444260455E-3</v>
      </c>
      <c r="D503" s="10">
        <v>105</v>
      </c>
      <c r="E503" s="10">
        <v>161</v>
      </c>
      <c r="F503" s="10">
        <v>19</v>
      </c>
    </row>
    <row r="504" spans="1:6">
      <c r="A504" s="10" t="s">
        <v>526</v>
      </c>
      <c r="B504" s="10">
        <v>119</v>
      </c>
      <c r="C504" s="21">
        <v>1.11603491676765E-3</v>
      </c>
      <c r="D504" s="10">
        <v>70</v>
      </c>
      <c r="E504" s="10">
        <v>149</v>
      </c>
      <c r="F504" s="10">
        <v>25</v>
      </c>
    </row>
    <row r="505" spans="1:6">
      <c r="A505" s="10" t="s">
        <v>527</v>
      </c>
      <c r="B505" s="10">
        <v>55</v>
      </c>
      <c r="C505" s="21">
        <v>1.1629921571647622E-3</v>
      </c>
      <c r="D505" s="10">
        <v>77</v>
      </c>
      <c r="E505" s="10">
        <v>184</v>
      </c>
      <c r="F505" s="10">
        <v>33</v>
      </c>
    </row>
    <row r="506" spans="1:6">
      <c r="A506" s="10" t="s">
        <v>528</v>
      </c>
      <c r="B506" s="10">
        <v>59</v>
      </c>
      <c r="C506" s="21">
        <v>8.0454520793031103E-4</v>
      </c>
      <c r="D506" s="10">
        <v>83</v>
      </c>
      <c r="E506" s="10">
        <v>152</v>
      </c>
      <c r="F506" s="10">
        <v>16</v>
      </c>
    </row>
    <row r="507" spans="1:6">
      <c r="A507" s="10" t="s">
        <v>529</v>
      </c>
      <c r="B507" s="10">
        <v>224</v>
      </c>
      <c r="C507" s="21">
        <v>5.1430246113888739E-4</v>
      </c>
      <c r="D507" s="10">
        <v>131</v>
      </c>
      <c r="E507" s="10">
        <v>224</v>
      </c>
      <c r="F507" s="10">
        <v>7</v>
      </c>
    </row>
    <row r="508" spans="1:6">
      <c r="A508" s="10" t="s">
        <v>530</v>
      </c>
      <c r="B508" s="10">
        <v>184</v>
      </c>
      <c r="C508" s="21">
        <v>3.4176233496554008E-3</v>
      </c>
      <c r="D508" s="10">
        <v>79</v>
      </c>
      <c r="E508" s="10">
        <v>193</v>
      </c>
      <c r="F508" s="10">
        <v>9</v>
      </c>
    </row>
    <row r="509" spans="1:6">
      <c r="A509" s="10" t="s">
        <v>531</v>
      </c>
      <c r="B509" s="10">
        <v>111</v>
      </c>
      <c r="C509" s="21">
        <v>3.0083082587812507E-3</v>
      </c>
      <c r="D509" s="10">
        <v>86</v>
      </c>
      <c r="E509" s="10">
        <v>167</v>
      </c>
      <c r="F509" s="10">
        <v>30</v>
      </c>
    </row>
    <row r="510" spans="1:6">
      <c r="A510" s="10" t="s">
        <v>532</v>
      </c>
      <c r="B510" s="10">
        <v>472</v>
      </c>
      <c r="C510" s="21">
        <v>8.9301258450014587E-4</v>
      </c>
      <c r="D510" s="10">
        <v>93</v>
      </c>
      <c r="E510" s="10">
        <v>191</v>
      </c>
      <c r="F510" s="10">
        <v>19</v>
      </c>
    </row>
    <row r="511" spans="1:6">
      <c r="A511" s="10" t="s">
        <v>533</v>
      </c>
      <c r="B511" s="10">
        <v>69</v>
      </c>
      <c r="C511" s="21">
        <v>1.9049248596662834E-3</v>
      </c>
      <c r="D511" s="10">
        <v>75</v>
      </c>
      <c r="E511" s="10">
        <v>181</v>
      </c>
      <c r="F511" s="10">
        <v>37</v>
      </c>
    </row>
    <row r="512" spans="1:6">
      <c r="A512" s="10" t="s">
        <v>534</v>
      </c>
      <c r="B512" s="10">
        <v>44</v>
      </c>
      <c r="C512" s="21">
        <v>2.0408050604642626E-3</v>
      </c>
      <c r="D512" s="10">
        <v>109</v>
      </c>
      <c r="E512" s="10">
        <v>143</v>
      </c>
      <c r="F512" s="10">
        <v>21</v>
      </c>
    </row>
    <row r="513" spans="1:6">
      <c r="A513" s="10" t="s">
        <v>535</v>
      </c>
      <c r="B513" s="10">
        <v>147</v>
      </c>
      <c r="C513" s="21">
        <v>7.8418707025182605E-4</v>
      </c>
      <c r="D513" s="10">
        <v>92</v>
      </c>
      <c r="E513" s="10">
        <v>123</v>
      </c>
      <c r="F513" s="10">
        <v>24</v>
      </c>
    </row>
    <row r="514" spans="1:6">
      <c r="A514" s="10" t="s">
        <v>536</v>
      </c>
      <c r="B514" s="10">
        <v>294</v>
      </c>
      <c r="C514" s="21">
        <v>1.3960415944455349E-3</v>
      </c>
      <c r="D514" s="10">
        <v>64</v>
      </c>
      <c r="E514" s="10">
        <v>168</v>
      </c>
      <c r="F514" s="10">
        <v>26</v>
      </c>
    </row>
    <row r="515" spans="1:6">
      <c r="A515" s="10" t="s">
        <v>537</v>
      </c>
      <c r="B515" s="10">
        <v>78</v>
      </c>
      <c r="C515" s="21">
        <v>1.5158744201015459E-4</v>
      </c>
      <c r="D515" s="10">
        <v>104</v>
      </c>
      <c r="E515" s="10">
        <v>188</v>
      </c>
      <c r="F515" s="10">
        <v>15</v>
      </c>
    </row>
    <row r="516" spans="1:6">
      <c r="A516" s="10" t="s">
        <v>538</v>
      </c>
      <c r="B516" s="10">
        <v>45</v>
      </c>
      <c r="C516" s="21">
        <v>1.758389878806019E-3</v>
      </c>
      <c r="D516" s="10">
        <v>97</v>
      </c>
      <c r="E516" s="10">
        <v>177</v>
      </c>
      <c r="F516" s="10">
        <v>22</v>
      </c>
    </row>
    <row r="517" spans="1:6">
      <c r="A517" s="10" t="s">
        <v>539</v>
      </c>
      <c r="B517" s="10">
        <v>345</v>
      </c>
      <c r="C517" s="21">
        <v>1.1995693568212047E-3</v>
      </c>
      <c r="D517" s="10">
        <v>79</v>
      </c>
      <c r="E517" s="10">
        <v>173</v>
      </c>
      <c r="F517" s="10">
        <v>31</v>
      </c>
    </row>
    <row r="518" spans="1:6">
      <c r="A518" s="10" t="s">
        <v>540</v>
      </c>
      <c r="B518" s="10">
        <v>97</v>
      </c>
      <c r="C518" s="21">
        <v>1.1336917901301133E-3</v>
      </c>
      <c r="D518" s="10">
        <v>100</v>
      </c>
      <c r="E518" s="10">
        <v>167</v>
      </c>
      <c r="F518" s="10">
        <v>24</v>
      </c>
    </row>
    <row r="519" spans="1:6">
      <c r="A519" s="10" t="s">
        <v>541</v>
      </c>
      <c r="B519" s="10">
        <v>371</v>
      </c>
      <c r="C519" s="21">
        <v>1.2898041113461347E-3</v>
      </c>
      <c r="D519" s="10">
        <v>76</v>
      </c>
      <c r="E519" s="10">
        <v>204</v>
      </c>
      <c r="F519" s="10">
        <v>22</v>
      </c>
    </row>
    <row r="520" spans="1:6">
      <c r="A520" s="10" t="s">
        <v>542</v>
      </c>
      <c r="B520" s="10">
        <v>575</v>
      </c>
      <c r="C520" s="21">
        <v>1.6737136217756358E-3</v>
      </c>
      <c r="D520" s="10">
        <v>81</v>
      </c>
      <c r="E520" s="10">
        <v>148</v>
      </c>
      <c r="F520" s="10">
        <v>39</v>
      </c>
    </row>
    <row r="521" spans="1:6">
      <c r="A521" s="10" t="s">
        <v>543</v>
      </c>
      <c r="B521" s="10">
        <v>41</v>
      </c>
      <c r="C521" s="21">
        <v>7.0495734871097663E-4</v>
      </c>
      <c r="D521" s="10">
        <v>82</v>
      </c>
      <c r="E521" s="10">
        <v>162</v>
      </c>
      <c r="F521" s="10">
        <v>17</v>
      </c>
    </row>
    <row r="522" spans="1:6">
      <c r="A522" s="10" t="s">
        <v>544</v>
      </c>
      <c r="B522" s="10">
        <v>417</v>
      </c>
      <c r="C522" s="21">
        <v>9.0506449139425983E-4</v>
      </c>
      <c r="D522" s="10">
        <v>64</v>
      </c>
      <c r="E522" s="10">
        <v>133</v>
      </c>
      <c r="F522" s="10">
        <v>17</v>
      </c>
    </row>
    <row r="523" spans="1:6">
      <c r="A523" s="10" t="s">
        <v>545</v>
      </c>
      <c r="B523" s="10">
        <v>78</v>
      </c>
      <c r="C523" s="21">
        <v>1.7147361984993701E-4</v>
      </c>
      <c r="D523" s="10">
        <v>78</v>
      </c>
      <c r="E523" s="10">
        <v>134</v>
      </c>
      <c r="F523" s="10">
        <v>17</v>
      </c>
    </row>
    <row r="524" spans="1:6">
      <c r="A524" s="10" t="s">
        <v>546</v>
      </c>
      <c r="B524" s="10">
        <v>474</v>
      </c>
      <c r="C524" s="21">
        <v>1.1986091678556185E-3</v>
      </c>
      <c r="D524" s="10">
        <v>90</v>
      </c>
      <c r="E524" s="10">
        <v>175</v>
      </c>
      <c r="F524" s="10">
        <v>24</v>
      </c>
    </row>
    <row r="525" spans="1:6">
      <c r="A525" s="10" t="s">
        <v>547</v>
      </c>
      <c r="B525" s="10">
        <v>99</v>
      </c>
      <c r="C525" s="21">
        <v>1.5881418004151265E-3</v>
      </c>
      <c r="D525" s="10">
        <v>92</v>
      </c>
      <c r="E525" s="10">
        <v>165</v>
      </c>
      <c r="F525" s="10">
        <v>33</v>
      </c>
    </row>
    <row r="526" spans="1:6">
      <c r="A526" s="10" t="s">
        <v>548</v>
      </c>
      <c r="B526" s="10">
        <v>104</v>
      </c>
      <c r="C526" s="21">
        <v>2.2263032287186577E-4</v>
      </c>
      <c r="D526" s="10">
        <v>71</v>
      </c>
      <c r="E526" s="10">
        <v>144</v>
      </c>
      <c r="F526" s="10">
        <v>16</v>
      </c>
    </row>
    <row r="527" spans="1:6">
      <c r="A527" s="10" t="s">
        <v>549</v>
      </c>
      <c r="B527" s="10">
        <v>31</v>
      </c>
      <c r="C527" s="21">
        <v>1.8988229763858549E-3</v>
      </c>
      <c r="D527" s="10">
        <v>86</v>
      </c>
      <c r="E527" s="10">
        <v>185</v>
      </c>
      <c r="F527" s="10">
        <v>32</v>
      </c>
    </row>
    <row r="528" spans="1:6">
      <c r="A528" s="10" t="s">
        <v>550</v>
      </c>
      <c r="B528" s="10">
        <v>265</v>
      </c>
      <c r="C528" s="21">
        <v>1.1207255226062369E-3</v>
      </c>
      <c r="D528" s="10">
        <v>127</v>
      </c>
      <c r="E528" s="10">
        <v>205</v>
      </c>
      <c r="F528" s="10">
        <v>4</v>
      </c>
    </row>
    <row r="529" spans="1:6">
      <c r="A529" s="10" t="s">
        <v>551</v>
      </c>
      <c r="B529" s="10">
        <v>532</v>
      </c>
      <c r="C529" s="21">
        <v>2.0431225745847618E-3</v>
      </c>
      <c r="D529" s="10">
        <v>114</v>
      </c>
      <c r="E529" s="10">
        <v>180</v>
      </c>
      <c r="F529" s="10">
        <v>30</v>
      </c>
    </row>
    <row r="530" spans="1:6">
      <c r="A530" s="10" t="s">
        <v>552</v>
      </c>
      <c r="B530" s="10">
        <v>113</v>
      </c>
      <c r="C530" s="21">
        <v>1.8417522753570383E-3</v>
      </c>
      <c r="D530" s="10">
        <v>102</v>
      </c>
      <c r="E530" s="10">
        <v>157</v>
      </c>
      <c r="F530" s="10">
        <v>24</v>
      </c>
    </row>
    <row r="531" spans="1:6">
      <c r="A531" s="10" t="s">
        <v>553</v>
      </c>
      <c r="B531" s="10">
        <v>59</v>
      </c>
      <c r="C531" s="21">
        <v>2.543452193132126E-3</v>
      </c>
      <c r="D531" s="10">
        <v>100</v>
      </c>
      <c r="E531" s="10">
        <v>188</v>
      </c>
      <c r="F531" s="10">
        <v>17</v>
      </c>
    </row>
    <row r="532" spans="1:6">
      <c r="A532" s="10" t="s">
        <v>554</v>
      </c>
      <c r="B532" s="10">
        <v>214</v>
      </c>
      <c r="C532" s="21">
        <v>8.0337430708301454E-4</v>
      </c>
      <c r="D532" s="10">
        <v>60</v>
      </c>
      <c r="E532" s="10">
        <v>178</v>
      </c>
      <c r="F532" s="10">
        <v>22</v>
      </c>
    </row>
    <row r="533" spans="1:6">
      <c r="A533" s="10" t="s">
        <v>555</v>
      </c>
      <c r="B533" s="10">
        <v>84</v>
      </c>
      <c r="C533" s="21">
        <v>1.6676695878314639E-3</v>
      </c>
      <c r="D533" s="10">
        <v>63</v>
      </c>
      <c r="E533" s="10">
        <v>128</v>
      </c>
      <c r="F533" s="10">
        <v>31</v>
      </c>
    </row>
    <row r="534" spans="1:6">
      <c r="A534" s="10" t="s">
        <v>556</v>
      </c>
      <c r="B534" s="10">
        <v>505</v>
      </c>
      <c r="C534" s="21">
        <v>1.187953628111285E-3</v>
      </c>
      <c r="D534" s="10">
        <v>89</v>
      </c>
      <c r="E534" s="10">
        <v>196</v>
      </c>
      <c r="F534" s="10">
        <v>23</v>
      </c>
    </row>
    <row r="535" spans="1:6">
      <c r="A535" s="10" t="s">
        <v>557</v>
      </c>
      <c r="B535" s="10">
        <v>100</v>
      </c>
      <c r="C535" s="21">
        <v>4.3294353184578482E-3</v>
      </c>
      <c r="D535" s="10">
        <v>80</v>
      </c>
      <c r="E535" s="10">
        <v>151</v>
      </c>
      <c r="F535" s="10">
        <v>35</v>
      </c>
    </row>
    <row r="536" spans="1:6">
      <c r="A536" s="10" t="s">
        <v>558</v>
      </c>
      <c r="B536" s="10">
        <v>125</v>
      </c>
      <c r="C536" s="21">
        <v>3.8982871030393447E-3</v>
      </c>
      <c r="D536" s="10">
        <v>78</v>
      </c>
      <c r="E536" s="10">
        <v>132</v>
      </c>
      <c r="F536" s="10">
        <v>39</v>
      </c>
    </row>
    <row r="537" spans="1:6">
      <c r="A537" s="10" t="s">
        <v>559</v>
      </c>
      <c r="B537" s="10">
        <v>41</v>
      </c>
      <c r="C537" s="21">
        <v>3.140714044512547E-3</v>
      </c>
      <c r="D537" s="10">
        <v>51</v>
      </c>
      <c r="E537" s="10">
        <v>90</v>
      </c>
      <c r="F537" s="10">
        <v>50</v>
      </c>
    </row>
    <row r="538" spans="1:6">
      <c r="A538" s="10" t="s">
        <v>560</v>
      </c>
      <c r="B538" s="10">
        <v>224</v>
      </c>
      <c r="C538" s="21">
        <v>1.4729551543504562E-3</v>
      </c>
      <c r="D538" s="10">
        <v>114</v>
      </c>
      <c r="E538" s="10">
        <v>181</v>
      </c>
      <c r="F538" s="10">
        <v>26</v>
      </c>
    </row>
    <row r="539" spans="1:6">
      <c r="A539" s="10" t="s">
        <v>561</v>
      </c>
      <c r="B539" s="10">
        <v>556</v>
      </c>
      <c r="C539" s="21">
        <v>9.2901974948471073E-4</v>
      </c>
      <c r="D539" s="10">
        <v>73</v>
      </c>
      <c r="E539" s="10">
        <v>139</v>
      </c>
      <c r="F539" s="10">
        <v>23</v>
      </c>
    </row>
    <row r="540" spans="1:6">
      <c r="A540" s="10" t="s">
        <v>562</v>
      </c>
      <c r="B540" s="10">
        <v>113</v>
      </c>
      <c r="C540" s="21">
        <v>1.5553272924701848E-3</v>
      </c>
      <c r="D540" s="10">
        <v>77</v>
      </c>
      <c r="E540" s="10">
        <v>150</v>
      </c>
      <c r="F540" s="10">
        <v>37</v>
      </c>
    </row>
    <row r="541" spans="1:6">
      <c r="A541" s="10" t="s">
        <v>563</v>
      </c>
      <c r="B541" s="10">
        <v>92</v>
      </c>
      <c r="C541" s="21">
        <v>2.0817306126104727E-3</v>
      </c>
      <c r="D541" s="10">
        <v>53</v>
      </c>
      <c r="E541" s="10">
        <v>84</v>
      </c>
      <c r="F541" s="10">
        <v>50</v>
      </c>
    </row>
    <row r="542" spans="1:6">
      <c r="A542" s="10" t="s">
        <v>564</v>
      </c>
      <c r="B542" s="10">
        <v>87</v>
      </c>
      <c r="C542" s="21">
        <v>1.9838516806935454E-3</v>
      </c>
      <c r="D542" s="10">
        <v>77</v>
      </c>
      <c r="E542" s="10">
        <v>150</v>
      </c>
      <c r="F542" s="10">
        <v>31</v>
      </c>
    </row>
    <row r="543" spans="1:6">
      <c r="A543" s="10" t="s">
        <v>565</v>
      </c>
      <c r="B543" s="10">
        <v>62</v>
      </c>
      <c r="C543" s="21">
        <v>3.0581307819163867E-3</v>
      </c>
      <c r="D543" s="10">
        <v>102</v>
      </c>
      <c r="E543" s="10">
        <v>196</v>
      </c>
      <c r="F543" s="10">
        <v>23</v>
      </c>
    </row>
    <row r="544" spans="1:6">
      <c r="A544" s="10" t="s">
        <v>566</v>
      </c>
      <c r="B544" s="10">
        <v>187</v>
      </c>
      <c r="C544" s="21">
        <v>2.2833161990234519E-3</v>
      </c>
      <c r="D544" s="10">
        <v>61</v>
      </c>
      <c r="E544" s="10">
        <v>125</v>
      </c>
      <c r="F544" s="10">
        <v>34</v>
      </c>
    </row>
    <row r="545" spans="1:6">
      <c r="A545" s="10" t="s">
        <v>567</v>
      </c>
      <c r="B545" s="10">
        <v>604</v>
      </c>
      <c r="C545" s="21">
        <v>1.2149982201569074E-3</v>
      </c>
      <c r="D545" s="10">
        <v>89</v>
      </c>
      <c r="E545" s="10">
        <v>164</v>
      </c>
      <c r="F545" s="10">
        <v>34</v>
      </c>
    </row>
    <row r="546" spans="1:6">
      <c r="A546" s="10" t="s">
        <v>568</v>
      </c>
      <c r="B546" s="10">
        <v>106</v>
      </c>
      <c r="C546" s="21">
        <v>1.8173104510061744E-3</v>
      </c>
      <c r="D546" s="10">
        <v>86</v>
      </c>
      <c r="E546" s="10">
        <v>134</v>
      </c>
      <c r="F546" s="10">
        <v>33</v>
      </c>
    </row>
    <row r="547" spans="1:6">
      <c r="A547" s="10" t="s">
        <v>569</v>
      </c>
      <c r="B547" s="10">
        <v>97</v>
      </c>
      <c r="C547" s="21">
        <v>2.3729319839809718E-3</v>
      </c>
      <c r="D547" s="10">
        <v>58</v>
      </c>
      <c r="E547" s="10">
        <v>139</v>
      </c>
      <c r="F547" s="10">
        <v>48</v>
      </c>
    </row>
    <row r="548" spans="1:6">
      <c r="A548" s="10" t="s">
        <v>570</v>
      </c>
      <c r="B548" s="10">
        <v>92</v>
      </c>
      <c r="C548" s="21">
        <v>1.0468887201323933E-3</v>
      </c>
      <c r="D548" s="10">
        <v>51</v>
      </c>
      <c r="E548" s="10">
        <v>105</v>
      </c>
      <c r="F548" s="10">
        <v>29</v>
      </c>
    </row>
    <row r="549" spans="1:6">
      <c r="A549" s="10" t="s">
        <v>571</v>
      </c>
      <c r="B549" s="10">
        <v>175</v>
      </c>
      <c r="C549" s="21">
        <v>4.947163182912785E-4</v>
      </c>
      <c r="D549" s="10">
        <v>82</v>
      </c>
      <c r="E549" s="10">
        <v>185</v>
      </c>
      <c r="F549" s="10">
        <v>35</v>
      </c>
    </row>
    <row r="550" spans="1:6">
      <c r="A550" s="10" t="s">
        <v>572</v>
      </c>
      <c r="B550" s="10">
        <v>337</v>
      </c>
      <c r="C550" s="21">
        <v>9.3014183735731424E-4</v>
      </c>
      <c r="D550" s="10">
        <v>66</v>
      </c>
      <c r="E550" s="10">
        <v>138</v>
      </c>
      <c r="F550" s="10">
        <v>28</v>
      </c>
    </row>
    <row r="551" spans="1:6">
      <c r="A551" s="10" t="s">
        <v>573</v>
      </c>
      <c r="B551" s="10">
        <v>83</v>
      </c>
      <c r="C551" s="21">
        <v>1.8414856295507832E-3</v>
      </c>
      <c r="D551" s="10">
        <v>67</v>
      </c>
      <c r="E551" s="10">
        <v>158</v>
      </c>
      <c r="F551" s="10">
        <v>28</v>
      </c>
    </row>
    <row r="552" spans="1:6">
      <c r="A552" s="10" t="s">
        <v>574</v>
      </c>
      <c r="B552" s="10">
        <v>677</v>
      </c>
      <c r="C552" s="21">
        <v>1.0221200699612198E-3</v>
      </c>
      <c r="D552" s="10">
        <v>42</v>
      </c>
      <c r="E552" s="10">
        <v>130</v>
      </c>
      <c r="F552" s="10">
        <v>19</v>
      </c>
    </row>
    <row r="553" spans="1:6">
      <c r="A553" s="10" t="s">
        <v>575</v>
      </c>
      <c r="B553" s="10">
        <v>482</v>
      </c>
      <c r="C553" s="21">
        <v>9.7659907042466857E-4</v>
      </c>
      <c r="D553" s="10">
        <v>73</v>
      </c>
      <c r="E553" s="10">
        <v>162</v>
      </c>
      <c r="F553" s="10">
        <v>22</v>
      </c>
    </row>
    <row r="554" spans="1:6">
      <c r="A554" s="10" t="s">
        <v>576</v>
      </c>
      <c r="B554" s="10">
        <v>75</v>
      </c>
      <c r="C554" s="21">
        <v>1.0075541514560228E-3</v>
      </c>
      <c r="D554" s="10">
        <v>18</v>
      </c>
      <c r="E554" s="10">
        <v>153</v>
      </c>
      <c r="F554" s="10">
        <v>26</v>
      </c>
    </row>
    <row r="555" spans="1:6">
      <c r="A555" s="10" t="s">
        <v>577</v>
      </c>
      <c r="B555" s="10">
        <v>120</v>
      </c>
      <c r="C555" s="21">
        <v>1.5789745625351145E-3</v>
      </c>
      <c r="D555" s="10">
        <v>70</v>
      </c>
      <c r="E555" s="10">
        <v>154</v>
      </c>
      <c r="F555" s="10">
        <v>29</v>
      </c>
    </row>
    <row r="556" spans="1:6">
      <c r="A556" s="10" t="s">
        <v>578</v>
      </c>
      <c r="B556" s="10">
        <v>71</v>
      </c>
      <c r="C556" s="21">
        <v>2.3856496052785106E-3</v>
      </c>
      <c r="D556" s="10">
        <v>70</v>
      </c>
      <c r="E556" s="10">
        <v>152</v>
      </c>
      <c r="F556" s="10">
        <v>35</v>
      </c>
    </row>
    <row r="557" spans="1:6">
      <c r="A557" s="10" t="s">
        <v>579</v>
      </c>
      <c r="B557" s="10">
        <v>108</v>
      </c>
      <c r="C557" s="21">
        <v>3.0746699872019156E-3</v>
      </c>
      <c r="D557" s="10">
        <v>82</v>
      </c>
      <c r="E557" s="10">
        <v>174</v>
      </c>
      <c r="F557" s="10">
        <v>32</v>
      </c>
    </row>
    <row r="558" spans="1:6">
      <c r="A558" s="10" t="s">
        <v>580</v>
      </c>
      <c r="B558" s="10">
        <v>36</v>
      </c>
      <c r="C558" s="21">
        <v>2.7688064798372957E-3</v>
      </c>
      <c r="D558" s="10">
        <v>63</v>
      </c>
      <c r="E558" s="10">
        <v>134</v>
      </c>
      <c r="F558" s="10">
        <v>44</v>
      </c>
    </row>
    <row r="559" spans="1:6">
      <c r="A559" s="10" t="s">
        <v>581</v>
      </c>
      <c r="B559" s="10">
        <v>187</v>
      </c>
      <c r="C559" s="21">
        <v>1.6720620844230827E-3</v>
      </c>
      <c r="D559" s="10">
        <v>91</v>
      </c>
      <c r="E559" s="10">
        <v>170</v>
      </c>
      <c r="F559" s="10">
        <v>32</v>
      </c>
    </row>
    <row r="560" spans="1:6">
      <c r="A560" s="10" t="s">
        <v>582</v>
      </c>
      <c r="B560" s="10">
        <v>182</v>
      </c>
      <c r="C560" s="21">
        <v>6.2525235177803441E-4</v>
      </c>
      <c r="D560" s="10">
        <v>107</v>
      </c>
      <c r="E560" s="10">
        <v>205</v>
      </c>
      <c r="F560" s="10">
        <v>8</v>
      </c>
    </row>
    <row r="561" spans="1:6">
      <c r="A561" s="10" t="s">
        <v>583</v>
      </c>
      <c r="B561" s="10">
        <v>356</v>
      </c>
      <c r="C561" s="21">
        <v>1.920359226579823E-3</v>
      </c>
      <c r="D561" s="10">
        <v>68</v>
      </c>
      <c r="E561" s="10">
        <v>148</v>
      </c>
      <c r="F561" s="10">
        <v>30</v>
      </c>
    </row>
    <row r="562" spans="1:6">
      <c r="A562" s="10" t="s">
        <v>584</v>
      </c>
      <c r="B562" s="10">
        <v>92</v>
      </c>
      <c r="C562" s="21">
        <v>2.5711306692622173E-3</v>
      </c>
      <c r="D562" s="10">
        <v>76</v>
      </c>
      <c r="E562" s="10">
        <v>139</v>
      </c>
      <c r="F562" s="10">
        <v>42</v>
      </c>
    </row>
    <row r="563" spans="1:6">
      <c r="A563" s="10" t="s">
        <v>585</v>
      </c>
      <c r="B563" s="10">
        <v>113</v>
      </c>
      <c r="C563" s="21">
        <v>1.9072651390531555E-3</v>
      </c>
      <c r="D563" s="10">
        <v>88</v>
      </c>
      <c r="E563" s="10">
        <v>140</v>
      </c>
      <c r="F563" s="10">
        <v>44</v>
      </c>
    </row>
    <row r="564" spans="1:6">
      <c r="A564" s="10" t="s">
        <v>586</v>
      </c>
      <c r="B564" s="10">
        <v>108</v>
      </c>
      <c r="C564" s="21">
        <v>2.6272966663581135E-3</v>
      </c>
      <c r="D564" s="10">
        <v>15</v>
      </c>
      <c r="E564" s="10">
        <v>86</v>
      </c>
      <c r="F564" s="10">
        <v>41</v>
      </c>
    </row>
    <row r="565" spans="1:6">
      <c r="A565" s="10" t="s">
        <v>587</v>
      </c>
      <c r="B565" s="10">
        <v>60</v>
      </c>
      <c r="C565" s="21">
        <v>8.4414757447350333E-4</v>
      </c>
      <c r="D565" s="10">
        <v>66</v>
      </c>
      <c r="E565" s="10">
        <v>169</v>
      </c>
      <c r="F565" s="10">
        <v>19</v>
      </c>
    </row>
    <row r="566" spans="1:6">
      <c r="A566" s="10" t="s">
        <v>588</v>
      </c>
      <c r="B566" s="10">
        <v>252</v>
      </c>
      <c r="C566" s="21">
        <v>2.2594233125458542E-3</v>
      </c>
      <c r="D566" s="10">
        <v>56</v>
      </c>
      <c r="E566" s="10">
        <v>138</v>
      </c>
      <c r="F566" s="10">
        <v>42</v>
      </c>
    </row>
    <row r="567" spans="1:6">
      <c r="A567" s="10" t="s">
        <v>589</v>
      </c>
      <c r="B567" s="10">
        <v>299</v>
      </c>
      <c r="C567" s="21">
        <v>8.961612504037067E-4</v>
      </c>
      <c r="D567" s="10">
        <v>128</v>
      </c>
      <c r="E567" s="10">
        <v>167</v>
      </c>
      <c r="F567" s="10">
        <v>30</v>
      </c>
    </row>
    <row r="568" spans="1:6">
      <c r="A568" s="10" t="s">
        <v>590</v>
      </c>
      <c r="B568" s="10">
        <v>130</v>
      </c>
      <c r="C568" s="21">
        <v>2.263224003553536E-4</v>
      </c>
      <c r="D568" s="10">
        <v>94</v>
      </c>
      <c r="E568" s="10">
        <v>234</v>
      </c>
      <c r="F568" s="10">
        <v>13</v>
      </c>
    </row>
    <row r="569" spans="1:6">
      <c r="A569" s="10" t="s">
        <v>591</v>
      </c>
      <c r="B569" s="10">
        <v>134</v>
      </c>
      <c r="C569" s="21">
        <v>1.188792614600634E-3</v>
      </c>
      <c r="D569" s="10">
        <v>66</v>
      </c>
      <c r="E569" s="10">
        <v>171</v>
      </c>
      <c r="F569" s="10">
        <v>34</v>
      </c>
    </row>
    <row r="570" spans="1:6">
      <c r="A570" s="10" t="s">
        <v>592</v>
      </c>
      <c r="B570" s="10">
        <v>97</v>
      </c>
      <c r="C570" s="21">
        <v>3.052730371448412E-3</v>
      </c>
      <c r="D570" s="10">
        <v>74</v>
      </c>
      <c r="E570" s="10">
        <v>125</v>
      </c>
      <c r="F570" s="10">
        <v>38</v>
      </c>
    </row>
    <row r="571" spans="1:6">
      <c r="A571" s="10" t="s">
        <v>593</v>
      </c>
      <c r="B571" s="10">
        <v>39</v>
      </c>
      <c r="C571" s="21">
        <v>1.0850048989338502E-3</v>
      </c>
      <c r="D571" s="10">
        <v>84</v>
      </c>
      <c r="E571" s="10">
        <v>181</v>
      </c>
      <c r="F571" s="10">
        <v>17</v>
      </c>
    </row>
    <row r="572" spans="1:6">
      <c r="A572" s="10" t="s">
        <v>594</v>
      </c>
      <c r="B572" s="10">
        <v>153</v>
      </c>
      <c r="C572" s="21">
        <v>2.917371841535159E-3</v>
      </c>
      <c r="D572" s="10">
        <v>25</v>
      </c>
      <c r="E572" s="10">
        <v>111</v>
      </c>
      <c r="F572" s="10">
        <v>37</v>
      </c>
    </row>
    <row r="573" spans="1:6">
      <c r="A573" s="10" t="s">
        <v>595</v>
      </c>
      <c r="B573" s="10">
        <v>302</v>
      </c>
      <c r="C573" s="21">
        <v>1.6698627894121754E-3</v>
      </c>
      <c r="D573" s="10">
        <v>78</v>
      </c>
      <c r="E573" s="10">
        <v>184</v>
      </c>
      <c r="F573" s="10">
        <v>27</v>
      </c>
    </row>
    <row r="574" spans="1:6">
      <c r="A574" s="10" t="s">
        <v>596</v>
      </c>
      <c r="B574" s="10">
        <v>287</v>
      </c>
      <c r="C574" s="21">
        <v>1.9366485536107321E-3</v>
      </c>
      <c r="D574" s="10">
        <v>78</v>
      </c>
      <c r="E574" s="10">
        <v>180</v>
      </c>
      <c r="F574" s="10">
        <v>36</v>
      </c>
    </row>
    <row r="575" spans="1:6">
      <c r="A575" s="10" t="s">
        <v>597</v>
      </c>
      <c r="B575" s="10">
        <v>522</v>
      </c>
      <c r="C575" s="21">
        <v>1.9640303746596881E-3</v>
      </c>
      <c r="D575" s="10">
        <v>103</v>
      </c>
      <c r="E575" s="10">
        <v>195</v>
      </c>
      <c r="F575" s="10">
        <v>22</v>
      </c>
    </row>
    <row r="576" spans="1:6">
      <c r="A576" s="10" t="s">
        <v>598</v>
      </c>
      <c r="B576" s="10">
        <v>47</v>
      </c>
      <c r="C576" s="21">
        <v>1.6397802860435196E-3</v>
      </c>
      <c r="D576" s="10">
        <v>80</v>
      </c>
      <c r="E576" s="10">
        <v>130</v>
      </c>
      <c r="F576" s="10">
        <v>30</v>
      </c>
    </row>
    <row r="577" spans="1:6">
      <c r="A577" s="10" t="s">
        <v>599</v>
      </c>
      <c r="B577" s="10">
        <v>176</v>
      </c>
      <c r="C577" s="21">
        <v>3.7968061123726719E-5</v>
      </c>
      <c r="D577" s="10">
        <v>84</v>
      </c>
      <c r="E577" s="10">
        <v>168</v>
      </c>
      <c r="F577" s="10">
        <v>10</v>
      </c>
    </row>
    <row r="578" spans="1:6">
      <c r="A578" s="10" t="s">
        <v>600</v>
      </c>
      <c r="B578" s="10">
        <v>602</v>
      </c>
      <c r="C578" s="21">
        <v>1.5062822083639028E-3</v>
      </c>
      <c r="D578" s="10">
        <v>61</v>
      </c>
      <c r="E578" s="10">
        <v>118</v>
      </c>
      <c r="F578" s="10">
        <v>28</v>
      </c>
    </row>
    <row r="579" spans="1:6">
      <c r="A579" s="10" t="s">
        <v>601</v>
      </c>
      <c r="B579" s="10">
        <v>437</v>
      </c>
      <c r="C579" s="21">
        <v>7.8656153387764768E-4</v>
      </c>
      <c r="D579" s="10">
        <v>109</v>
      </c>
      <c r="E579" s="10">
        <v>153</v>
      </c>
      <c r="F579" s="10">
        <v>15</v>
      </c>
    </row>
    <row r="580" spans="1:6">
      <c r="A580" s="10" t="s">
        <v>602</v>
      </c>
      <c r="B580" s="10">
        <v>117</v>
      </c>
      <c r="C580" s="21">
        <v>2.3754834705071652E-3</v>
      </c>
      <c r="D580" s="10">
        <v>66</v>
      </c>
      <c r="E580" s="10">
        <v>142</v>
      </c>
      <c r="F580" s="10">
        <v>35</v>
      </c>
    </row>
    <row r="581" spans="1:6">
      <c r="A581" s="10" t="s">
        <v>603</v>
      </c>
      <c r="B581" s="10">
        <v>96</v>
      </c>
      <c r="C581" s="21">
        <v>2.8476924892382135E-3</v>
      </c>
      <c r="D581" s="10">
        <v>68</v>
      </c>
      <c r="E581" s="10">
        <v>135</v>
      </c>
      <c r="F581" s="10">
        <v>32</v>
      </c>
    </row>
    <row r="582" spans="1:6">
      <c r="A582" s="10" t="s">
        <v>604</v>
      </c>
      <c r="B582" s="10">
        <v>248</v>
      </c>
      <c r="C582" s="21">
        <v>9.9849734149906741E-4</v>
      </c>
      <c r="D582" s="10">
        <v>46</v>
      </c>
      <c r="E582" s="10">
        <v>150</v>
      </c>
      <c r="F582" s="10">
        <v>23</v>
      </c>
    </row>
    <row r="583" spans="1:6">
      <c r="A583" s="10" t="s">
        <v>605</v>
      </c>
      <c r="B583" s="10">
        <v>113</v>
      </c>
      <c r="C583" s="21">
        <v>9.3881852935500949E-4</v>
      </c>
      <c r="D583" s="10">
        <v>95</v>
      </c>
      <c r="E583" s="10">
        <v>179</v>
      </c>
      <c r="F583" s="10">
        <v>24</v>
      </c>
    </row>
    <row r="584" spans="1:6">
      <c r="A584" s="10" t="s">
        <v>606</v>
      </c>
      <c r="B584" s="10">
        <v>520</v>
      </c>
      <c r="C584" s="21">
        <v>1.0691862806893044E-3</v>
      </c>
      <c r="D584" s="10">
        <v>48</v>
      </c>
      <c r="E584" s="10">
        <v>166</v>
      </c>
      <c r="F584" s="10">
        <v>27</v>
      </c>
    </row>
    <row r="585" spans="1:6">
      <c r="A585" s="10" t="s">
        <v>607</v>
      </c>
      <c r="B585" s="10">
        <v>413</v>
      </c>
      <c r="C585" s="21">
        <v>2.4208106920134151E-3</v>
      </c>
      <c r="D585" s="10">
        <v>93</v>
      </c>
      <c r="E585" s="10">
        <v>161</v>
      </c>
      <c r="F585" s="10">
        <v>45</v>
      </c>
    </row>
    <row r="586" spans="1:6">
      <c r="A586" s="10" t="s">
        <v>608</v>
      </c>
      <c r="B586" s="10">
        <v>69</v>
      </c>
      <c r="C586" s="21">
        <v>1.7115216846821995E-3</v>
      </c>
      <c r="D586" s="10">
        <v>71</v>
      </c>
      <c r="E586" s="10">
        <v>152</v>
      </c>
      <c r="F586" s="10">
        <v>25</v>
      </c>
    </row>
    <row r="587" spans="1:6">
      <c r="A587" s="10" t="s">
        <v>609</v>
      </c>
      <c r="B587" s="10">
        <v>144</v>
      </c>
      <c r="C587" s="21">
        <v>1.1406515128995181E-3</v>
      </c>
      <c r="D587" s="10">
        <v>95</v>
      </c>
      <c r="E587" s="10">
        <v>143</v>
      </c>
      <c r="F587" s="10">
        <v>25</v>
      </c>
    </row>
    <row r="588" spans="1:6">
      <c r="A588" s="10" t="s">
        <v>610</v>
      </c>
      <c r="B588" s="10">
        <v>53</v>
      </c>
      <c r="C588" s="21">
        <v>1.3547201511424263E-3</v>
      </c>
      <c r="D588" s="10">
        <v>72</v>
      </c>
      <c r="E588" s="10">
        <v>151</v>
      </c>
      <c r="F588" s="10">
        <v>33</v>
      </c>
    </row>
    <row r="589" spans="1:6">
      <c r="A589" s="10" t="s">
        <v>611</v>
      </c>
      <c r="B589" s="10">
        <v>164</v>
      </c>
      <c r="C589" s="21">
        <v>2.607579695086861E-3</v>
      </c>
      <c r="D589" s="10">
        <v>58</v>
      </c>
      <c r="E589" s="10">
        <v>184</v>
      </c>
      <c r="F589" s="10">
        <v>30</v>
      </c>
    </row>
    <row r="590" spans="1:6">
      <c r="A590" s="10" t="s">
        <v>612</v>
      </c>
      <c r="B590" s="10">
        <v>413</v>
      </c>
      <c r="C590" s="21">
        <v>1.5147723799035721E-3</v>
      </c>
      <c r="D590" s="10">
        <v>75</v>
      </c>
      <c r="E590" s="10">
        <v>166</v>
      </c>
      <c r="F590" s="10">
        <v>30</v>
      </c>
    </row>
    <row r="591" spans="1:6">
      <c r="A591" s="10" t="s">
        <v>613</v>
      </c>
      <c r="B591" s="10">
        <v>108</v>
      </c>
      <c r="C591" s="21">
        <v>8.3489867134745792E-4</v>
      </c>
      <c r="D591" s="10">
        <v>96</v>
      </c>
      <c r="E591" s="10">
        <v>156</v>
      </c>
      <c r="F591" s="10">
        <v>32</v>
      </c>
    </row>
    <row r="592" spans="1:6">
      <c r="A592" s="10" t="s">
        <v>614</v>
      </c>
      <c r="B592" s="10">
        <v>143</v>
      </c>
      <c r="C592" s="21">
        <v>1.5511539697444223E-3</v>
      </c>
      <c r="D592" s="10">
        <v>70</v>
      </c>
      <c r="E592" s="10">
        <v>132</v>
      </c>
      <c r="F592" s="10">
        <v>30</v>
      </c>
    </row>
    <row r="593" spans="1:6">
      <c r="A593" s="10" t="s">
        <v>615</v>
      </c>
      <c r="B593" s="10">
        <v>57</v>
      </c>
      <c r="C593" s="21">
        <v>1.1536629123639378E-3</v>
      </c>
      <c r="D593" s="10">
        <v>54</v>
      </c>
      <c r="E593" s="10">
        <v>140</v>
      </c>
      <c r="F593" s="10">
        <v>22</v>
      </c>
    </row>
    <row r="594" spans="1:6">
      <c r="A594" s="10" t="s">
        <v>616</v>
      </c>
      <c r="B594" s="10">
        <v>231</v>
      </c>
      <c r="C594" s="21">
        <v>1.4416965798596075E-3</v>
      </c>
      <c r="D594" s="10">
        <v>106</v>
      </c>
      <c r="E594" s="10">
        <v>161</v>
      </c>
      <c r="F594" s="10">
        <v>29</v>
      </c>
    </row>
    <row r="595" spans="1:6">
      <c r="A595" s="10" t="s">
        <v>617</v>
      </c>
      <c r="B595" s="10">
        <v>294</v>
      </c>
      <c r="C595" s="21">
        <v>9.2288028607156027E-4</v>
      </c>
      <c r="D595" s="10">
        <v>125</v>
      </c>
      <c r="E595" s="10">
        <v>163</v>
      </c>
      <c r="F595" s="10">
        <v>14</v>
      </c>
    </row>
    <row r="596" spans="1:6">
      <c r="A596" s="10" t="s">
        <v>618</v>
      </c>
      <c r="B596" s="10">
        <v>114</v>
      </c>
      <c r="C596" s="21">
        <v>5.6180428397912771E-4</v>
      </c>
      <c r="D596" s="10">
        <v>95</v>
      </c>
      <c r="E596" s="10">
        <v>136</v>
      </c>
      <c r="F596" s="10">
        <v>18</v>
      </c>
    </row>
    <row r="597" spans="1:6">
      <c r="A597" s="10" t="s">
        <v>619</v>
      </c>
      <c r="B597" s="10">
        <v>389</v>
      </c>
      <c r="C597" s="21">
        <v>1.9643054755370047E-3</v>
      </c>
      <c r="D597" s="10">
        <v>84</v>
      </c>
      <c r="E597" s="10">
        <v>178</v>
      </c>
      <c r="F597" s="10">
        <v>34</v>
      </c>
    </row>
    <row r="598" spans="1:6">
      <c r="A598" s="10" t="s">
        <v>620</v>
      </c>
      <c r="B598" s="10">
        <v>36</v>
      </c>
      <c r="C598" s="21">
        <v>1.7793120119596656E-3</v>
      </c>
      <c r="D598" s="10">
        <v>99</v>
      </c>
      <c r="E598" s="10">
        <v>190</v>
      </c>
      <c r="F598" s="10">
        <v>24</v>
      </c>
    </row>
    <row r="599" spans="1:6">
      <c r="A599" s="10" t="s">
        <v>621</v>
      </c>
      <c r="B599" s="10">
        <v>228</v>
      </c>
      <c r="C599" s="21">
        <v>1.7214653809873176E-3</v>
      </c>
      <c r="D599" s="10">
        <v>80</v>
      </c>
      <c r="E599" s="10">
        <v>159</v>
      </c>
      <c r="F599" s="10">
        <v>32</v>
      </c>
    </row>
    <row r="600" spans="1:6">
      <c r="A600" s="10" t="s">
        <v>622</v>
      </c>
      <c r="B600" s="10"/>
      <c r="C600" s="21">
        <v>1.0583445581276349E-3</v>
      </c>
      <c r="D600" s="10">
        <v>70</v>
      </c>
      <c r="E600" s="10">
        <v>144</v>
      </c>
      <c r="F600" s="10">
        <v>22</v>
      </c>
    </row>
    <row r="601" spans="1:6">
      <c r="A601" s="10" t="s">
        <v>623</v>
      </c>
      <c r="B601" s="10">
        <v>114</v>
      </c>
      <c r="C601" s="21">
        <v>1.9244327709396342E-3</v>
      </c>
      <c r="D601" s="10">
        <v>42</v>
      </c>
      <c r="E601" s="10">
        <v>117</v>
      </c>
      <c r="F601" s="10">
        <v>38</v>
      </c>
    </row>
    <row r="602" spans="1:6">
      <c r="A602" s="10" t="s">
        <v>624</v>
      </c>
      <c r="B602" s="10">
        <v>576</v>
      </c>
      <c r="C602" s="21">
        <v>1.8839650646760204E-3</v>
      </c>
      <c r="D602" s="10">
        <v>86</v>
      </c>
      <c r="E602" s="10">
        <v>157</v>
      </c>
      <c r="F602" s="10">
        <v>28</v>
      </c>
    </row>
    <row r="603" spans="1:6">
      <c r="A603" s="10" t="s">
        <v>625</v>
      </c>
      <c r="B603" s="10">
        <v>579</v>
      </c>
      <c r="C603" s="21">
        <v>1.2568173220802073E-3</v>
      </c>
      <c r="D603" s="10">
        <v>107</v>
      </c>
      <c r="E603" s="10">
        <v>179</v>
      </c>
      <c r="F603" s="10">
        <v>19</v>
      </c>
    </row>
    <row r="604" spans="1:6">
      <c r="A604" s="10" t="s">
        <v>626</v>
      </c>
      <c r="B604" s="10">
        <v>85</v>
      </c>
      <c r="C604" s="21">
        <v>1.3496970485346832E-3</v>
      </c>
      <c r="D604" s="10">
        <v>73</v>
      </c>
      <c r="E604" s="10">
        <v>150</v>
      </c>
      <c r="F604" s="10">
        <v>29</v>
      </c>
    </row>
    <row r="605" spans="1:6">
      <c r="A605" s="10" t="s">
        <v>627</v>
      </c>
      <c r="B605" s="10">
        <v>68</v>
      </c>
      <c r="C605" s="21">
        <v>1.7835145898871738E-3</v>
      </c>
      <c r="D605" s="10">
        <v>115</v>
      </c>
      <c r="E605" s="10">
        <v>158</v>
      </c>
      <c r="F605" s="10">
        <v>29</v>
      </c>
    </row>
    <row r="606" spans="1:6">
      <c r="A606" s="10" t="s">
        <v>629</v>
      </c>
      <c r="B606" s="10">
        <v>98</v>
      </c>
      <c r="C606" s="21">
        <v>5.1070402355257892E-3</v>
      </c>
      <c r="D606" s="10">
        <v>97</v>
      </c>
      <c r="E606" s="10">
        <v>150</v>
      </c>
      <c r="F606" s="10">
        <v>37</v>
      </c>
    </row>
    <row r="607" spans="1:6">
      <c r="A607" s="10" t="s">
        <v>630</v>
      </c>
      <c r="B607" s="10">
        <v>80</v>
      </c>
      <c r="C607" s="21">
        <v>1.3777217048856824E-5</v>
      </c>
      <c r="D607" s="10">
        <v>104</v>
      </c>
      <c r="E607" s="10">
        <v>222</v>
      </c>
      <c r="F607" s="10">
        <v>2</v>
      </c>
    </row>
    <row r="608" spans="1:6">
      <c r="A608" s="10" t="s">
        <v>631</v>
      </c>
      <c r="B608" s="10">
        <v>124</v>
      </c>
      <c r="C608" s="21">
        <v>1.3913311901432436E-3</v>
      </c>
      <c r="D608" s="10">
        <v>37</v>
      </c>
      <c r="E608" s="10">
        <v>140</v>
      </c>
      <c r="F608" s="10">
        <v>26</v>
      </c>
    </row>
    <row r="609" spans="1:6">
      <c r="A609" s="10" t="s">
        <v>632</v>
      </c>
      <c r="B609" s="10">
        <v>136</v>
      </c>
      <c r="C609" s="21">
        <v>1.9233226179038593E-3</v>
      </c>
      <c r="D609" s="10">
        <v>77</v>
      </c>
      <c r="E609" s="10">
        <v>102</v>
      </c>
      <c r="F609" s="10">
        <v>32</v>
      </c>
    </row>
    <row r="610" spans="1:6">
      <c r="A610" s="10" t="s">
        <v>633</v>
      </c>
      <c r="B610" s="10">
        <v>97</v>
      </c>
      <c r="C610" s="21">
        <v>1.3013304101209665E-3</v>
      </c>
      <c r="D610" s="10">
        <v>72</v>
      </c>
      <c r="E610" s="10">
        <v>127</v>
      </c>
      <c r="F610" s="10">
        <v>21</v>
      </c>
    </row>
    <row r="611" spans="1:6">
      <c r="A611" s="10" t="s">
        <v>634</v>
      </c>
      <c r="B611" s="10">
        <v>120</v>
      </c>
      <c r="C611" s="21">
        <v>8.0693689733780504E-4</v>
      </c>
      <c r="D611" s="10">
        <v>60</v>
      </c>
      <c r="E611" s="10">
        <v>154</v>
      </c>
      <c r="F611" s="10">
        <v>15</v>
      </c>
    </row>
    <row r="612" spans="1:6">
      <c r="A612" s="10" t="s">
        <v>635</v>
      </c>
      <c r="B612" s="10">
        <v>142</v>
      </c>
      <c r="C612" s="21">
        <v>1.7188008872500893E-3</v>
      </c>
      <c r="D612" s="10">
        <v>82</v>
      </c>
      <c r="E612" s="10">
        <v>153</v>
      </c>
      <c r="F612" s="10">
        <v>33</v>
      </c>
    </row>
    <row r="613" spans="1:6">
      <c r="A613" s="10" t="s">
        <v>636</v>
      </c>
      <c r="B613" s="10">
        <v>102</v>
      </c>
      <c r="C613" s="21">
        <v>2.0133549035410529E-3</v>
      </c>
      <c r="D613" s="10">
        <v>97</v>
      </c>
      <c r="E613" s="10">
        <v>154</v>
      </c>
      <c r="F613" s="10">
        <v>27</v>
      </c>
    </row>
    <row r="614" spans="1:6">
      <c r="A614" s="10" t="s">
        <v>637</v>
      </c>
      <c r="B614" s="10">
        <v>84</v>
      </c>
      <c r="C614" s="21">
        <v>1.5600780015197564E-3</v>
      </c>
      <c r="D614" s="10">
        <v>87</v>
      </c>
      <c r="E614" s="10">
        <v>127</v>
      </c>
      <c r="F614" s="10">
        <v>29</v>
      </c>
    </row>
    <row r="615" spans="1:6">
      <c r="A615" s="10" t="s">
        <v>638</v>
      </c>
      <c r="B615" s="10">
        <v>104</v>
      </c>
      <c r="C615" s="21">
        <v>3.0169166803655279E-3</v>
      </c>
      <c r="D615" s="10">
        <v>61</v>
      </c>
      <c r="E615" s="10">
        <v>81</v>
      </c>
      <c r="F615" s="10">
        <v>47</v>
      </c>
    </row>
    <row r="616" spans="1:6">
      <c r="A616" s="10" t="s">
        <v>639</v>
      </c>
      <c r="B616" s="10">
        <v>106</v>
      </c>
      <c r="C616" s="21">
        <v>1.3339493144649858E-3</v>
      </c>
      <c r="D616" s="10">
        <v>51</v>
      </c>
      <c r="E616" s="10">
        <v>168</v>
      </c>
      <c r="F616" s="10">
        <v>19</v>
      </c>
    </row>
    <row r="617" spans="1:6">
      <c r="A617" s="10" t="s">
        <v>640</v>
      </c>
      <c r="B617" s="10">
        <v>128</v>
      </c>
      <c r="C617" s="21">
        <v>6.7168223840495371E-4</v>
      </c>
      <c r="D617" s="10">
        <v>53</v>
      </c>
      <c r="E617" s="10">
        <v>149</v>
      </c>
      <c r="F617" s="10">
        <v>23</v>
      </c>
    </row>
    <row r="618" spans="1:6">
      <c r="A618" s="10" t="s">
        <v>641</v>
      </c>
      <c r="B618" s="10">
        <v>98</v>
      </c>
      <c r="C618" s="21">
        <v>1.4214120544219862E-3</v>
      </c>
      <c r="D618" s="10">
        <v>68</v>
      </c>
      <c r="E618" s="10">
        <v>142</v>
      </c>
      <c r="F618" s="10">
        <v>26</v>
      </c>
    </row>
    <row r="619" spans="1:6">
      <c r="A619" s="10" t="s">
        <v>642</v>
      </c>
      <c r="B619" s="10">
        <v>76</v>
      </c>
      <c r="C619" s="21">
        <v>1.543723827899442E-3</v>
      </c>
      <c r="D619" s="10">
        <v>78</v>
      </c>
      <c r="E619" s="10">
        <v>126</v>
      </c>
      <c r="F619" s="10">
        <v>29</v>
      </c>
    </row>
    <row r="620" spans="1:6">
      <c r="A620" s="10" t="s">
        <v>643</v>
      </c>
      <c r="B620" s="10">
        <v>206</v>
      </c>
      <c r="C620" s="21">
        <v>8.8765317915685262E-4</v>
      </c>
      <c r="D620" s="10">
        <v>45</v>
      </c>
      <c r="E620" s="10">
        <v>145</v>
      </c>
      <c r="F620" s="10">
        <v>17</v>
      </c>
    </row>
    <row r="621" spans="1:6">
      <c r="A621" s="10" t="s">
        <v>644</v>
      </c>
      <c r="B621" s="10">
        <v>114</v>
      </c>
      <c r="C621" s="21">
        <v>1.3569854922031235E-3</v>
      </c>
      <c r="D621" s="10">
        <v>56</v>
      </c>
      <c r="E621" s="10">
        <v>161</v>
      </c>
      <c r="F621" s="10">
        <v>13</v>
      </c>
    </row>
    <row r="622" spans="1:6">
      <c r="A622" s="10" t="s">
        <v>645</v>
      </c>
      <c r="B622" s="10">
        <v>71</v>
      </c>
      <c r="C622" s="21">
        <v>2.4943552268314796E-3</v>
      </c>
      <c r="D622" s="10">
        <v>50</v>
      </c>
      <c r="E622" s="10">
        <v>138</v>
      </c>
      <c r="F622" s="10">
        <v>45</v>
      </c>
    </row>
    <row r="623" spans="1:6">
      <c r="A623" s="10" t="s">
        <v>646</v>
      </c>
      <c r="B623" s="10">
        <v>121</v>
      </c>
      <c r="C623" s="21">
        <v>2.6897896577926838E-3</v>
      </c>
      <c r="D623" s="10">
        <v>64</v>
      </c>
      <c r="E623" s="10">
        <v>111</v>
      </c>
      <c r="F623" s="10">
        <v>50</v>
      </c>
    </row>
    <row r="624" spans="1:6">
      <c r="A624" s="10" t="s">
        <v>647</v>
      </c>
      <c r="B624" s="10">
        <v>99</v>
      </c>
      <c r="C624" s="21">
        <v>5.0810894198339196E-4</v>
      </c>
      <c r="D624" s="10">
        <v>138</v>
      </c>
      <c r="E624" s="10">
        <v>184</v>
      </c>
      <c r="F624" s="10">
        <v>12</v>
      </c>
    </row>
    <row r="625" spans="1:6">
      <c r="A625" s="10" t="s">
        <v>648</v>
      </c>
      <c r="B625" s="10">
        <v>185</v>
      </c>
      <c r="C625" s="21">
        <v>7.2092874289690439E-4</v>
      </c>
      <c r="D625" s="10">
        <v>64</v>
      </c>
      <c r="E625" s="10">
        <v>111</v>
      </c>
      <c r="F625" s="10">
        <v>27</v>
      </c>
    </row>
    <row r="626" spans="1:6">
      <c r="A626" s="10" t="s">
        <v>649</v>
      </c>
      <c r="B626" s="10">
        <v>52</v>
      </c>
      <c r="C626" s="21">
        <v>1.9661390309548854E-3</v>
      </c>
      <c r="D626" s="10">
        <v>68</v>
      </c>
      <c r="E626" s="10">
        <v>136</v>
      </c>
      <c r="F626" s="10">
        <v>50</v>
      </c>
    </row>
    <row r="627" spans="1:6">
      <c r="A627" s="10" t="s">
        <v>651</v>
      </c>
      <c r="B627" s="10">
        <v>68</v>
      </c>
      <c r="C627" s="21">
        <v>2.373009776526019E-3</v>
      </c>
      <c r="D627" s="10">
        <v>36</v>
      </c>
      <c r="E627" s="10">
        <v>96</v>
      </c>
      <c r="F627" s="10">
        <v>34</v>
      </c>
    </row>
    <row r="628" spans="1:6">
      <c r="A628" s="10" t="s">
        <v>652</v>
      </c>
      <c r="B628" s="10">
        <v>194</v>
      </c>
      <c r="C628" s="21">
        <v>5.1965596296481581E-5</v>
      </c>
      <c r="D628" s="10">
        <v>68</v>
      </c>
      <c r="E628" s="10">
        <v>196</v>
      </c>
      <c r="F628" s="10">
        <v>7</v>
      </c>
    </row>
    <row r="629" spans="1:6">
      <c r="A629" s="10" t="s">
        <v>653</v>
      </c>
      <c r="B629" s="10">
        <v>133</v>
      </c>
      <c r="C629" s="21">
        <v>2.7221242926362388E-3</v>
      </c>
      <c r="D629" s="10">
        <v>40</v>
      </c>
      <c r="E629" s="10">
        <v>126</v>
      </c>
      <c r="F629" s="10">
        <v>50</v>
      </c>
    </row>
    <row r="630" spans="1:6">
      <c r="A630" s="10" t="s">
        <v>654</v>
      </c>
      <c r="B630" s="10">
        <v>126</v>
      </c>
      <c r="C630" s="21">
        <v>2.0142103799001732E-3</v>
      </c>
      <c r="D630" s="10">
        <v>35</v>
      </c>
      <c r="E630" s="10">
        <v>109</v>
      </c>
      <c r="F630" s="10">
        <v>35</v>
      </c>
    </row>
    <row r="631" spans="1:6">
      <c r="A631" s="10" t="s">
        <v>655</v>
      </c>
      <c r="B631" s="10">
        <v>226</v>
      </c>
      <c r="C631" s="21">
        <v>2.2587317923246147E-3</v>
      </c>
      <c r="D631" s="10">
        <v>78</v>
      </c>
      <c r="E631" s="10">
        <v>145</v>
      </c>
      <c r="F631" s="10">
        <v>33</v>
      </c>
    </row>
    <row r="632" spans="1:6">
      <c r="A632" s="10" t="s">
        <v>656</v>
      </c>
      <c r="B632" s="10">
        <v>74</v>
      </c>
      <c r="C632" s="21">
        <v>1.3084648166145425E-3</v>
      </c>
      <c r="D632" s="10">
        <v>75</v>
      </c>
      <c r="E632" s="10">
        <v>167</v>
      </c>
      <c r="F632" s="10">
        <v>24</v>
      </c>
    </row>
    <row r="633" spans="1:6">
      <c r="A633" s="10" t="s">
        <v>657</v>
      </c>
      <c r="B633" s="10">
        <v>54</v>
      </c>
      <c r="C633" s="21">
        <v>6.8158685435039173E-4</v>
      </c>
      <c r="D633" s="10">
        <v>78</v>
      </c>
      <c r="E633" s="10">
        <v>178</v>
      </c>
      <c r="F633" s="10">
        <v>24</v>
      </c>
    </row>
    <row r="634" spans="1:6">
      <c r="A634" s="10" t="s">
        <v>658</v>
      </c>
      <c r="B634" s="10">
        <v>88</v>
      </c>
      <c r="C634" s="21">
        <v>1.3716215018994343E-3</v>
      </c>
      <c r="D634" s="10">
        <v>79</v>
      </c>
      <c r="E634" s="10">
        <v>170</v>
      </c>
      <c r="F634" s="10">
        <v>24</v>
      </c>
    </row>
    <row r="635" spans="1:6">
      <c r="A635" s="10" t="s">
        <v>659</v>
      </c>
      <c r="B635" s="10">
        <v>104</v>
      </c>
      <c r="C635" s="21">
        <v>1.0180375759588193E-3</v>
      </c>
      <c r="D635" s="10">
        <v>81</v>
      </c>
      <c r="E635" s="10">
        <v>165</v>
      </c>
      <c r="F635" s="10">
        <v>21</v>
      </c>
    </row>
    <row r="636" spans="1:6">
      <c r="A636" s="10" t="s">
        <v>660</v>
      </c>
      <c r="B636" s="10">
        <v>123</v>
      </c>
      <c r="C636" s="21">
        <v>2.7257415691996079E-4</v>
      </c>
      <c r="D636" s="10">
        <v>89</v>
      </c>
      <c r="E636" s="10">
        <v>218</v>
      </c>
      <c r="F636" s="10">
        <v>14</v>
      </c>
    </row>
    <row r="637" spans="1:6">
      <c r="A637" s="10" t="s">
        <v>661</v>
      </c>
      <c r="B637" s="10">
        <v>87</v>
      </c>
      <c r="C637" s="21">
        <v>2.9019112780128958E-3</v>
      </c>
      <c r="D637" s="10">
        <v>98</v>
      </c>
      <c r="E637" s="10">
        <v>176</v>
      </c>
      <c r="F637" s="10">
        <v>21</v>
      </c>
    </row>
    <row r="638" spans="1:6">
      <c r="A638" s="10" t="s">
        <v>662</v>
      </c>
      <c r="B638" s="10">
        <v>71</v>
      </c>
      <c r="C638" s="21">
        <v>1.9123614890860761E-3</v>
      </c>
      <c r="D638" s="10">
        <v>44</v>
      </c>
      <c r="E638" s="10">
        <v>80</v>
      </c>
      <c r="F638" s="10">
        <v>57</v>
      </c>
    </row>
    <row r="639" spans="1:6">
      <c r="A639" s="10" t="s">
        <v>663</v>
      </c>
      <c r="B639" s="10">
        <v>129</v>
      </c>
      <c r="C639" s="21">
        <v>1.4198806480747598E-3</v>
      </c>
      <c r="D639" s="10">
        <v>58</v>
      </c>
      <c r="E639" s="10">
        <v>120</v>
      </c>
      <c r="F639" s="10">
        <v>25</v>
      </c>
    </row>
    <row r="640" spans="1:6">
      <c r="A640" s="10" t="s">
        <v>664</v>
      </c>
      <c r="B640" s="10">
        <v>311</v>
      </c>
      <c r="C640" s="21">
        <v>1.4235788888124525E-3</v>
      </c>
      <c r="D640" s="10">
        <v>15</v>
      </c>
      <c r="E640" s="10">
        <v>116</v>
      </c>
      <c r="F640" s="10">
        <v>32</v>
      </c>
    </row>
    <row r="641" spans="1:6">
      <c r="A641" s="10" t="s">
        <v>665</v>
      </c>
      <c r="B641" s="10">
        <v>177</v>
      </c>
      <c r="C641" s="21">
        <v>1.2373032425846344E-3</v>
      </c>
      <c r="D641" s="10">
        <v>67</v>
      </c>
      <c r="E641" s="10">
        <v>139</v>
      </c>
      <c r="F641" s="10">
        <v>23</v>
      </c>
    </row>
    <row r="642" spans="1:6">
      <c r="A642" s="10" t="s">
        <v>666</v>
      </c>
      <c r="B642" s="10"/>
      <c r="C642" s="21">
        <v>1.1426898254894753E-3</v>
      </c>
      <c r="D642" s="10">
        <v>82</v>
      </c>
      <c r="E642" s="10">
        <v>163</v>
      </c>
      <c r="F642" s="10">
        <v>28</v>
      </c>
    </row>
    <row r="643" spans="1:6">
      <c r="A643" s="10" t="s">
        <v>667</v>
      </c>
      <c r="B643" s="10">
        <v>203</v>
      </c>
      <c r="C643" s="21">
        <v>1.1297116562729271E-3</v>
      </c>
      <c r="D643" s="10">
        <v>92</v>
      </c>
      <c r="E643" s="10">
        <v>178</v>
      </c>
      <c r="F643" s="10">
        <v>21</v>
      </c>
    </row>
    <row r="644" spans="1:6">
      <c r="A644" s="10" t="s">
        <v>668</v>
      </c>
      <c r="B644" s="10">
        <v>43</v>
      </c>
      <c r="C644" s="21">
        <v>1.6629633433017975E-3</v>
      </c>
      <c r="D644" s="10">
        <v>97</v>
      </c>
      <c r="E644" s="10">
        <v>155</v>
      </c>
      <c r="F644" s="10">
        <v>26</v>
      </c>
    </row>
    <row r="645" spans="1:6">
      <c r="A645" s="10" t="s">
        <v>669</v>
      </c>
      <c r="B645" s="10">
        <v>62</v>
      </c>
      <c r="C645" s="21">
        <v>1.6849419614151314E-3</v>
      </c>
      <c r="D645" s="10">
        <v>112</v>
      </c>
      <c r="E645" s="10">
        <v>177</v>
      </c>
      <c r="F645" s="10">
        <v>28</v>
      </c>
    </row>
    <row r="646" spans="1:6">
      <c r="A646" s="10" t="s">
        <v>670</v>
      </c>
      <c r="B646" s="10">
        <v>96</v>
      </c>
      <c r="C646" s="21">
        <v>5.8927935206429954E-4</v>
      </c>
      <c r="D646" s="10">
        <v>53</v>
      </c>
      <c r="E646" s="10">
        <v>152</v>
      </c>
      <c r="F646" s="10">
        <v>10</v>
      </c>
    </row>
    <row r="647" spans="1:6">
      <c r="A647" s="10" t="s">
        <v>671</v>
      </c>
      <c r="B647" s="10">
        <v>119</v>
      </c>
      <c r="C647" s="21">
        <v>1.5102163140849971E-3</v>
      </c>
      <c r="D647" s="10">
        <v>62</v>
      </c>
      <c r="E647" s="10">
        <v>131</v>
      </c>
      <c r="F647" s="10">
        <v>21</v>
      </c>
    </row>
    <row r="648" spans="1:6">
      <c r="A648" s="10" t="s">
        <v>672</v>
      </c>
      <c r="B648" s="10">
        <v>234</v>
      </c>
      <c r="C648" s="21">
        <v>2.003214586291113E-3</v>
      </c>
      <c r="D648" s="10">
        <v>30</v>
      </c>
      <c r="E648" s="10">
        <v>59</v>
      </c>
      <c r="F648" s="10">
        <v>56</v>
      </c>
    </row>
    <row r="649" spans="1:6">
      <c r="A649" s="10" t="s">
        <v>673</v>
      </c>
      <c r="B649" s="10">
        <v>182</v>
      </c>
      <c r="C649" s="21">
        <v>1.8699847393746805E-3</v>
      </c>
      <c r="D649" s="10">
        <v>52</v>
      </c>
      <c r="E649" s="10">
        <v>148</v>
      </c>
      <c r="F649" s="10">
        <v>35</v>
      </c>
    </row>
    <row r="650" spans="1:6">
      <c r="A650" s="10" t="s">
        <v>674</v>
      </c>
      <c r="B650" s="10">
        <v>43</v>
      </c>
      <c r="C650" s="21">
        <v>1.1140493975313795E-3</v>
      </c>
      <c r="D650" s="10">
        <v>110</v>
      </c>
      <c r="E650" s="10">
        <v>201</v>
      </c>
      <c r="F650" s="10">
        <v>23</v>
      </c>
    </row>
    <row r="651" spans="1:6">
      <c r="A651" s="10" t="s">
        <v>675</v>
      </c>
      <c r="B651" s="10">
        <v>73</v>
      </c>
      <c r="C651" s="21">
        <v>9.235927332861178E-4</v>
      </c>
      <c r="D651" s="10">
        <v>83</v>
      </c>
      <c r="E651" s="10">
        <v>186</v>
      </c>
      <c r="F651" s="10">
        <v>14</v>
      </c>
    </row>
    <row r="652" spans="1:6">
      <c r="A652" s="10" t="s">
        <v>676</v>
      </c>
      <c r="B652" s="10">
        <v>52</v>
      </c>
      <c r="C652" s="21">
        <v>9.1452848364951243E-4</v>
      </c>
      <c r="D652" s="10">
        <v>98</v>
      </c>
      <c r="E652" s="10">
        <v>191</v>
      </c>
      <c r="F652" s="10">
        <v>29</v>
      </c>
    </row>
    <row r="653" spans="1:6">
      <c r="A653" s="10" t="s">
        <v>677</v>
      </c>
      <c r="B653" s="10">
        <v>141</v>
      </c>
      <c r="C653" s="21">
        <v>7.9524527268505236E-4</v>
      </c>
      <c r="D653" s="10">
        <v>86</v>
      </c>
      <c r="E653" s="10">
        <v>166</v>
      </c>
      <c r="F653" s="10">
        <v>22</v>
      </c>
    </row>
    <row r="654" spans="1:6">
      <c r="A654" s="10" t="s">
        <v>678</v>
      </c>
      <c r="B654" s="10">
        <v>187</v>
      </c>
      <c r="C654" s="21">
        <v>6.1338297487642263E-4</v>
      </c>
      <c r="D654" s="10">
        <v>94</v>
      </c>
      <c r="E654" s="10">
        <v>187</v>
      </c>
      <c r="F654" s="10">
        <v>25</v>
      </c>
    </row>
    <row r="655" spans="1:6">
      <c r="A655" s="10" t="s">
        <v>679</v>
      </c>
      <c r="B655" s="10">
        <v>33</v>
      </c>
      <c r="C655" s="21">
        <v>1.8941122618604588E-3</v>
      </c>
      <c r="D655" s="10">
        <v>43</v>
      </c>
      <c r="E655" s="10">
        <v>143</v>
      </c>
      <c r="F655" s="10">
        <v>44</v>
      </c>
    </row>
    <row r="656" spans="1:6">
      <c r="A656" s="10" t="s">
        <v>680</v>
      </c>
      <c r="B656" s="10">
        <v>58</v>
      </c>
      <c r="C656" s="21">
        <v>1.3986906220521955E-3</v>
      </c>
      <c r="D656" s="10">
        <v>35</v>
      </c>
      <c r="E656" s="10">
        <v>113</v>
      </c>
      <c r="F656" s="10">
        <v>32</v>
      </c>
    </row>
    <row r="657" spans="1:6">
      <c r="A657" s="10" t="s">
        <v>681</v>
      </c>
      <c r="B657" s="10">
        <v>120</v>
      </c>
      <c r="C657" s="21">
        <v>1.7651255227039862E-3</v>
      </c>
      <c r="D657" s="10">
        <v>87</v>
      </c>
      <c r="E657" s="10">
        <v>106</v>
      </c>
      <c r="F657" s="10">
        <v>28</v>
      </c>
    </row>
    <row r="658" spans="1:6">
      <c r="A658" s="10" t="s">
        <v>682</v>
      </c>
      <c r="B658" s="10">
        <v>107</v>
      </c>
      <c r="C658" s="21">
        <v>9.5327513530995739E-5</v>
      </c>
      <c r="D658" s="10">
        <v>102</v>
      </c>
      <c r="E658" s="10">
        <v>194</v>
      </c>
      <c r="F658" s="10">
        <v>17</v>
      </c>
    </row>
    <row r="659" spans="1:6">
      <c r="A659" s="10" t="s">
        <v>683</v>
      </c>
      <c r="B659" s="10">
        <v>57</v>
      </c>
      <c r="C659" s="21">
        <v>4.8145100249820258E-4</v>
      </c>
      <c r="D659" s="10">
        <v>93</v>
      </c>
      <c r="E659" s="10">
        <v>216</v>
      </c>
      <c r="F659" s="10">
        <v>22</v>
      </c>
    </row>
    <row r="660" spans="1:6">
      <c r="A660" s="10" t="s">
        <v>684</v>
      </c>
      <c r="B660" s="10">
        <v>50</v>
      </c>
      <c r="C660" s="21">
        <v>7.6744666331988337E-4</v>
      </c>
      <c r="D660" s="10">
        <v>53</v>
      </c>
      <c r="E660" s="10">
        <v>122</v>
      </c>
      <c r="F660" s="10">
        <v>32</v>
      </c>
    </row>
    <row r="661" spans="1:6">
      <c r="A661" s="10" t="s">
        <v>685</v>
      </c>
      <c r="B661" s="10">
        <v>75</v>
      </c>
      <c r="C661" s="21">
        <v>1.9668115049834758E-3</v>
      </c>
      <c r="D661" s="10">
        <v>94</v>
      </c>
      <c r="E661" s="10">
        <v>159</v>
      </c>
      <c r="F661" s="10">
        <v>33</v>
      </c>
    </row>
    <row r="662" spans="1:6">
      <c r="A662" s="10" t="s">
        <v>686</v>
      </c>
      <c r="B662" s="10">
        <v>250</v>
      </c>
      <c r="C662" s="21">
        <v>2.3092915220357139E-3</v>
      </c>
      <c r="D662" s="10">
        <v>58</v>
      </c>
      <c r="E662" s="10">
        <v>147</v>
      </c>
      <c r="F662" s="10">
        <v>18</v>
      </c>
    </row>
    <row r="663" spans="1:6">
      <c r="A663" s="10" t="s">
        <v>687</v>
      </c>
      <c r="B663" s="10">
        <v>104</v>
      </c>
      <c r="C663" s="21">
        <v>1.4454814719909673E-3</v>
      </c>
      <c r="D663" s="10">
        <v>26</v>
      </c>
      <c r="E663" s="10">
        <v>100</v>
      </c>
      <c r="F663" s="10">
        <v>33</v>
      </c>
    </row>
    <row r="664" spans="1:6">
      <c r="A664" s="10" t="s">
        <v>688</v>
      </c>
      <c r="B664" s="10">
        <v>58</v>
      </c>
      <c r="C664" s="21">
        <v>8.3860147491108964E-4</v>
      </c>
      <c r="D664" s="10">
        <v>111</v>
      </c>
      <c r="E664" s="10">
        <v>205</v>
      </c>
      <c r="F664" s="10">
        <v>29</v>
      </c>
    </row>
    <row r="665" spans="1:6">
      <c r="A665" s="10" t="s">
        <v>689</v>
      </c>
      <c r="B665" s="10">
        <v>83</v>
      </c>
      <c r="C665" s="21">
        <v>1.0111311626965444E-3</v>
      </c>
      <c r="D665" s="10">
        <v>84</v>
      </c>
      <c r="E665" s="10">
        <v>170</v>
      </c>
      <c r="F665" s="10">
        <v>36</v>
      </c>
    </row>
    <row r="666" spans="1:6">
      <c r="A666" s="10" t="s">
        <v>690</v>
      </c>
      <c r="B666" s="10">
        <v>51</v>
      </c>
      <c r="C666" s="21">
        <v>1.0690427444627483E-3</v>
      </c>
      <c r="D666" s="10">
        <v>104</v>
      </c>
      <c r="E666" s="10">
        <v>164</v>
      </c>
      <c r="F666" s="10">
        <v>33</v>
      </c>
    </row>
    <row r="667" spans="1:6">
      <c r="A667" s="10" t="s">
        <v>691</v>
      </c>
      <c r="B667" s="10">
        <v>47</v>
      </c>
      <c r="C667" s="21">
        <v>9.4381244674807564E-4</v>
      </c>
      <c r="D667" s="10">
        <v>61</v>
      </c>
      <c r="E667" s="10">
        <v>114</v>
      </c>
      <c r="F667" s="10">
        <v>35</v>
      </c>
    </row>
    <row r="668" spans="1:6">
      <c r="A668" s="10" t="s">
        <v>692</v>
      </c>
      <c r="B668" s="10">
        <v>114</v>
      </c>
      <c r="C668" s="21">
        <v>2.6786639616444654E-3</v>
      </c>
      <c r="D668" s="10">
        <v>41</v>
      </c>
      <c r="E668" s="10">
        <v>113</v>
      </c>
      <c r="F668" s="10">
        <v>27</v>
      </c>
    </row>
    <row r="669" spans="1:6">
      <c r="A669" s="10" t="s">
        <v>693</v>
      </c>
      <c r="B669" s="10">
        <v>64</v>
      </c>
      <c r="C669" s="21">
        <v>4.5165284057089244E-5</v>
      </c>
      <c r="D669" s="10">
        <v>95</v>
      </c>
      <c r="E669" s="10">
        <v>186</v>
      </c>
      <c r="F669" s="10">
        <v>14</v>
      </c>
    </row>
    <row r="670" spans="1:6">
      <c r="A670" s="10" t="s">
        <v>694</v>
      </c>
      <c r="B670" s="10">
        <v>50</v>
      </c>
      <c r="C670" s="21">
        <v>1.9366485536107321E-3</v>
      </c>
      <c r="D670" s="10">
        <v>111</v>
      </c>
      <c r="E670" s="10">
        <v>146</v>
      </c>
      <c r="F670" s="10">
        <v>43</v>
      </c>
    </row>
    <row r="671" spans="1:6">
      <c r="A671" s="10" t="s">
        <v>695</v>
      </c>
      <c r="B671" s="10">
        <v>30</v>
      </c>
      <c r="C671" s="21">
        <v>8.7796873972812686E-4</v>
      </c>
      <c r="D671" s="10">
        <v>76</v>
      </c>
      <c r="E671" s="10">
        <v>157</v>
      </c>
      <c r="F671" s="10">
        <v>42</v>
      </c>
    </row>
    <row r="672" spans="1:6">
      <c r="A672" s="10" t="s">
        <v>696</v>
      </c>
      <c r="B672" s="10">
        <v>89</v>
      </c>
      <c r="C672" s="21">
        <v>1.4252914288792992E-3</v>
      </c>
      <c r="D672" s="10">
        <v>105</v>
      </c>
      <c r="E672" s="10">
        <v>161</v>
      </c>
      <c r="F672" s="10">
        <v>34</v>
      </c>
    </row>
    <row r="673" spans="1:6">
      <c r="A673" s="10" t="s">
        <v>697</v>
      </c>
      <c r="B673" s="10">
        <v>51</v>
      </c>
      <c r="C673" s="21">
        <v>1.2479773904986093E-3</v>
      </c>
      <c r="D673" s="10">
        <v>126</v>
      </c>
      <c r="E673" s="10">
        <v>204</v>
      </c>
      <c r="F673" s="10">
        <v>21</v>
      </c>
    </row>
    <row r="674" spans="1:6">
      <c r="A674" s="10" t="s">
        <v>698</v>
      </c>
      <c r="B674" s="10">
        <v>93</v>
      </c>
      <c r="C674" s="21">
        <v>2.5893057931747712E-3</v>
      </c>
      <c r="D674" s="10">
        <v>87</v>
      </c>
      <c r="E674" s="10">
        <v>137</v>
      </c>
      <c r="F674" s="10">
        <v>14</v>
      </c>
    </row>
    <row r="675" spans="1:6">
      <c r="A675" s="10" t="s">
        <v>699</v>
      </c>
      <c r="B675" s="10">
        <v>57</v>
      </c>
      <c r="C675" s="21">
        <v>1.056842027736018E-3</v>
      </c>
      <c r="D675" s="10">
        <v>84</v>
      </c>
      <c r="E675" s="10">
        <v>171</v>
      </c>
      <c r="F675" s="10">
        <v>30</v>
      </c>
    </row>
    <row r="676" spans="1:6">
      <c r="A676" s="10" t="s">
        <v>700</v>
      </c>
      <c r="B676" s="10">
        <v>116</v>
      </c>
      <c r="C676" s="21">
        <v>1.8186504109473851E-3</v>
      </c>
      <c r="D676" s="10">
        <v>90</v>
      </c>
      <c r="E676" s="10">
        <v>134</v>
      </c>
      <c r="F676" s="10">
        <v>27</v>
      </c>
    </row>
    <row r="677" spans="1:6">
      <c r="A677" s="10" t="s">
        <v>701</v>
      </c>
      <c r="B677" s="10">
        <v>56</v>
      </c>
      <c r="C677" s="21">
        <v>8.833030129086789E-4</v>
      </c>
      <c r="D677" s="10">
        <v>154</v>
      </c>
      <c r="E677" s="10">
        <v>190</v>
      </c>
      <c r="F677" s="10">
        <v>25</v>
      </c>
    </row>
    <row r="678" spans="1:6">
      <c r="A678" s="10" t="s">
        <v>702</v>
      </c>
      <c r="B678" s="10">
        <v>61</v>
      </c>
      <c r="C678" s="21">
        <v>1.2269376151985776E-3</v>
      </c>
      <c r="D678" s="10">
        <v>66</v>
      </c>
      <c r="E678" s="10">
        <v>112</v>
      </c>
      <c r="F678" s="10">
        <v>34</v>
      </c>
    </row>
    <row r="679" spans="1:6">
      <c r="A679" s="10" t="s">
        <v>703</v>
      </c>
      <c r="B679" s="10">
        <v>66</v>
      </c>
      <c r="C679" s="21">
        <v>2.5233127493796823E-4</v>
      </c>
      <c r="D679" s="10">
        <v>66</v>
      </c>
      <c r="E679" s="10">
        <v>150</v>
      </c>
      <c r="F679" s="10">
        <v>34</v>
      </c>
    </row>
    <row r="680" spans="1:6">
      <c r="A680" s="10" t="s">
        <v>704</v>
      </c>
      <c r="B680" s="10">
        <v>43</v>
      </c>
      <c r="C680" s="21">
        <v>3.8625191213990571E-3</v>
      </c>
      <c r="D680" s="10">
        <v>96</v>
      </c>
      <c r="E680" s="10">
        <v>110</v>
      </c>
      <c r="F680" s="10">
        <v>55</v>
      </c>
    </row>
    <row r="681" spans="1:6">
      <c r="A681" s="10" t="s">
        <v>705</v>
      </c>
      <c r="B681" s="10">
        <v>100</v>
      </c>
      <c r="C681" s="21">
        <v>4.9504093667417733E-4</v>
      </c>
      <c r="D681" s="10">
        <v>77</v>
      </c>
      <c r="E681" s="10">
        <v>130</v>
      </c>
      <c r="F681" s="10">
        <v>18</v>
      </c>
    </row>
    <row r="682" spans="1:6">
      <c r="A682" s="10" t="s">
        <v>706</v>
      </c>
      <c r="B682" s="10">
        <v>90</v>
      </c>
      <c r="C682" s="21">
        <v>8.3996249918305175E-4</v>
      </c>
      <c r="D682" s="10">
        <v>64</v>
      </c>
      <c r="E682" s="10">
        <v>167</v>
      </c>
      <c r="F682" s="10">
        <v>16</v>
      </c>
    </row>
    <row r="683" spans="1:6">
      <c r="A683" s="10" t="s">
        <v>707</v>
      </c>
      <c r="B683" s="10">
        <v>112</v>
      </c>
      <c r="C683" s="21">
        <v>1.0221200699612198E-3</v>
      </c>
      <c r="D683" s="10">
        <v>73</v>
      </c>
      <c r="E683" s="10">
        <v>160</v>
      </c>
      <c r="F683" s="10">
        <v>19</v>
      </c>
    </row>
  </sheetData>
  <phoneticPr fontId="2"/>
  <conditionalFormatting sqref="I8:N1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4247-7490-4AAA-AB22-8A9232538757}">
  <sheetPr>
    <tabColor rgb="FFFF0000"/>
  </sheetPr>
  <dimension ref="A1:D61"/>
  <sheetViews>
    <sheetView topLeftCell="A44" workbookViewId="0">
      <selection activeCell="B62" sqref="B62"/>
    </sheetView>
  </sheetViews>
  <sheetFormatPr defaultRowHeight="18.75"/>
  <cols>
    <col min="1" max="18" width="3.75" customWidth="1"/>
  </cols>
  <sheetData>
    <row r="1" spans="1:4">
      <c r="A1">
        <v>1</v>
      </c>
      <c r="B1" t="s">
        <v>777</v>
      </c>
    </row>
    <row r="2" spans="1:4">
      <c r="B2" t="s">
        <v>778</v>
      </c>
    </row>
    <row r="3" spans="1:4">
      <c r="B3" t="s">
        <v>779</v>
      </c>
    </row>
    <row r="4" spans="1:4">
      <c r="C4" t="s">
        <v>780</v>
      </c>
    </row>
    <row r="5" spans="1:4">
      <c r="C5" t="s">
        <v>781</v>
      </c>
    </row>
    <row r="6" spans="1:4">
      <c r="B6" t="s">
        <v>782</v>
      </c>
    </row>
    <row r="7" spans="1:4">
      <c r="B7" t="s">
        <v>785</v>
      </c>
    </row>
    <row r="8" spans="1:4">
      <c r="C8">
        <v>1</v>
      </c>
      <c r="D8" t="s">
        <v>783</v>
      </c>
    </row>
    <row r="9" spans="1:4">
      <c r="C9">
        <v>2</v>
      </c>
      <c r="D9" t="s">
        <v>784</v>
      </c>
    </row>
    <row r="11" spans="1:4">
      <c r="A11">
        <v>2</v>
      </c>
      <c r="B11" t="s">
        <v>786</v>
      </c>
    </row>
    <row r="12" spans="1:4">
      <c r="B12" t="s">
        <v>787</v>
      </c>
    </row>
    <row r="13" spans="1:4">
      <c r="B13" t="s">
        <v>788</v>
      </c>
    </row>
    <row r="14" spans="1:4">
      <c r="C14" t="s">
        <v>789</v>
      </c>
    </row>
    <row r="15" spans="1:4">
      <c r="B15" t="s">
        <v>790</v>
      </c>
    </row>
    <row r="16" spans="1:4">
      <c r="C16">
        <v>1</v>
      </c>
      <c r="D16" t="s">
        <v>791</v>
      </c>
    </row>
    <row r="17" spans="1:4">
      <c r="C17">
        <v>2</v>
      </c>
      <c r="D17" t="s">
        <v>792</v>
      </c>
    </row>
    <row r="18" spans="1:4">
      <c r="D18" t="s">
        <v>793</v>
      </c>
    </row>
    <row r="20" spans="1:4">
      <c r="A20">
        <v>3</v>
      </c>
      <c r="B20" t="s">
        <v>794</v>
      </c>
    </row>
    <row r="21" spans="1:4">
      <c r="B21" t="s">
        <v>795</v>
      </c>
    </row>
    <row r="22" spans="1:4">
      <c r="B22" t="s">
        <v>796</v>
      </c>
    </row>
    <row r="23" spans="1:4">
      <c r="B23" t="s">
        <v>797</v>
      </c>
    </row>
    <row r="24" spans="1:4">
      <c r="B24" t="s">
        <v>798</v>
      </c>
    </row>
    <row r="25" spans="1:4">
      <c r="B25" s="23" t="s">
        <v>799</v>
      </c>
    </row>
    <row r="27" spans="1:4">
      <c r="A27">
        <v>4</v>
      </c>
      <c r="B27" t="s">
        <v>800</v>
      </c>
    </row>
    <row r="28" spans="1:4">
      <c r="B28" t="s">
        <v>801</v>
      </c>
    </row>
    <row r="29" spans="1:4">
      <c r="B29" t="s">
        <v>804</v>
      </c>
    </row>
    <row r="30" spans="1:4">
      <c r="C30">
        <v>1</v>
      </c>
      <c r="D30" t="s">
        <v>803</v>
      </c>
    </row>
    <row r="31" spans="1:4">
      <c r="C31">
        <v>2</v>
      </c>
      <c r="D31" t="s">
        <v>802</v>
      </c>
    </row>
    <row r="32" spans="1:4">
      <c r="B32" t="s">
        <v>805</v>
      </c>
    </row>
    <row r="33" spans="1:4">
      <c r="B33" t="s">
        <v>806</v>
      </c>
    </row>
    <row r="34" spans="1:4">
      <c r="C34">
        <v>1</v>
      </c>
      <c r="D34" t="s">
        <v>807</v>
      </c>
    </row>
    <row r="35" spans="1:4">
      <c r="C35">
        <v>2</v>
      </c>
      <c r="D35" t="s">
        <v>808</v>
      </c>
    </row>
    <row r="36" spans="1:4">
      <c r="C36">
        <v>3</v>
      </c>
      <c r="D36" t="s">
        <v>809</v>
      </c>
    </row>
    <row r="37" spans="1:4">
      <c r="B37" t="s">
        <v>810</v>
      </c>
    </row>
    <row r="38" spans="1:4">
      <c r="C38" t="s">
        <v>811</v>
      </c>
    </row>
    <row r="39" spans="1:4">
      <c r="B39" t="s">
        <v>814</v>
      </c>
    </row>
    <row r="40" spans="1:4">
      <c r="C40" t="s">
        <v>812</v>
      </c>
    </row>
    <row r="41" spans="1:4">
      <c r="C41" t="s">
        <v>813</v>
      </c>
    </row>
    <row r="42" spans="1:4">
      <c r="C42" t="s">
        <v>815</v>
      </c>
    </row>
    <row r="43" spans="1:4">
      <c r="C43" t="s">
        <v>816</v>
      </c>
    </row>
    <row r="45" spans="1:4">
      <c r="A45">
        <v>5</v>
      </c>
      <c r="B45" t="s">
        <v>817</v>
      </c>
    </row>
    <row r="46" spans="1:4">
      <c r="B46" t="s">
        <v>818</v>
      </c>
    </row>
    <row r="47" spans="1:4">
      <c r="C47">
        <v>1</v>
      </c>
      <c r="D47" t="s">
        <v>819</v>
      </c>
    </row>
    <row r="48" spans="1:4">
      <c r="C48">
        <v>2</v>
      </c>
      <c r="D48" t="s">
        <v>820</v>
      </c>
    </row>
    <row r="49" spans="2:4">
      <c r="C49" t="s">
        <v>821</v>
      </c>
    </row>
    <row r="50" spans="2:4">
      <c r="B50" t="s">
        <v>826</v>
      </c>
    </row>
    <row r="51" spans="2:4">
      <c r="C51" t="s">
        <v>822</v>
      </c>
    </row>
    <row r="52" spans="2:4">
      <c r="B52" t="s">
        <v>827</v>
      </c>
    </row>
    <row r="53" spans="2:4">
      <c r="C53">
        <v>1</v>
      </c>
      <c r="D53" t="s">
        <v>823</v>
      </c>
    </row>
    <row r="54" spans="2:4">
      <c r="C54">
        <v>2</v>
      </c>
      <c r="D54" t="s">
        <v>824</v>
      </c>
    </row>
    <row r="55" spans="2:4">
      <c r="C55">
        <v>3</v>
      </c>
      <c r="D55" t="s">
        <v>825</v>
      </c>
    </row>
    <row r="56" spans="2:4">
      <c r="C56">
        <v>4</v>
      </c>
      <c r="D56" t="s">
        <v>828</v>
      </c>
    </row>
    <row r="57" spans="2:4">
      <c r="D57" t="s">
        <v>829</v>
      </c>
    </row>
    <row r="58" spans="2:4">
      <c r="B58" t="s">
        <v>830</v>
      </c>
    </row>
    <row r="59" spans="2:4">
      <c r="C59" t="s">
        <v>831</v>
      </c>
    </row>
    <row r="60" spans="2:4">
      <c r="B60" s="23" t="s">
        <v>832</v>
      </c>
    </row>
    <row r="61" spans="2:4">
      <c r="B61" t="s">
        <v>833</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2CDC-A485-4871-B173-5E7686E504DB}">
  <dimension ref="A1:F136"/>
  <sheetViews>
    <sheetView topLeftCell="A27" workbookViewId="0">
      <selection activeCell="E49" sqref="E49"/>
    </sheetView>
  </sheetViews>
  <sheetFormatPr defaultColWidth="12.25" defaultRowHeight="19.5"/>
  <cols>
    <col min="1" max="1" width="10.125" style="10" bestFit="1" customWidth="1"/>
    <col min="2" max="2" width="10.125" style="10" customWidth="1"/>
    <col min="3" max="4" width="12.25" style="10"/>
    <col min="5" max="5" width="36.5" style="24" customWidth="1"/>
    <col min="6" max="6" width="12.25" style="25"/>
    <col min="7" max="16384" width="12.25" style="10"/>
  </cols>
  <sheetData>
    <row r="1" spans="1:6">
      <c r="A1" s="10" t="s">
        <v>3</v>
      </c>
      <c r="B1" s="10" t="s">
        <v>834</v>
      </c>
      <c r="C1" s="10" t="s">
        <v>8</v>
      </c>
    </row>
    <row r="2" spans="1:6">
      <c r="A2" s="10" t="s">
        <v>38</v>
      </c>
      <c r="B2" s="10" t="s">
        <v>39</v>
      </c>
      <c r="C2" s="10">
        <v>85</v>
      </c>
      <c r="E2" s="24" t="s">
        <v>835</v>
      </c>
    </row>
    <row r="3" spans="1:6">
      <c r="A3" s="10" t="s">
        <v>40</v>
      </c>
      <c r="B3" s="10" t="s">
        <v>39</v>
      </c>
      <c r="C3" s="10">
        <v>86</v>
      </c>
    </row>
    <row r="4" spans="1:6">
      <c r="A4" s="10" t="s">
        <v>51</v>
      </c>
      <c r="B4" s="10" t="s">
        <v>39</v>
      </c>
      <c r="C4" s="10">
        <v>84</v>
      </c>
      <c r="E4" s="26" t="s">
        <v>836</v>
      </c>
    </row>
    <row r="5" spans="1:6">
      <c r="A5" s="10" t="s">
        <v>52</v>
      </c>
      <c r="B5" s="10" t="s">
        <v>39</v>
      </c>
      <c r="C5" s="10">
        <v>82</v>
      </c>
      <c r="E5" s="26" t="s">
        <v>837</v>
      </c>
    </row>
    <row r="6" spans="1:6">
      <c r="A6" s="10" t="s">
        <v>59</v>
      </c>
      <c r="B6" s="10" t="s">
        <v>39</v>
      </c>
      <c r="C6" s="10">
        <v>109</v>
      </c>
    </row>
    <row r="7" spans="1:6">
      <c r="A7" s="10" t="s">
        <v>60</v>
      </c>
      <c r="B7" s="10" t="s">
        <v>39</v>
      </c>
      <c r="C7" s="10">
        <v>48</v>
      </c>
      <c r="E7" s="26" t="s">
        <v>838</v>
      </c>
    </row>
    <row r="8" spans="1:6">
      <c r="A8" s="10" t="s">
        <v>65</v>
      </c>
      <c r="B8" s="10" t="s">
        <v>39</v>
      </c>
      <c r="C8" s="10">
        <v>93</v>
      </c>
      <c r="E8" s="27" t="s">
        <v>839</v>
      </c>
      <c r="F8" s="28">
        <f>AVERAGE(C2:C136)</f>
        <v>75.844444444444449</v>
      </c>
    </row>
    <row r="9" spans="1:6">
      <c r="A9" s="10" t="s">
        <v>68</v>
      </c>
      <c r="B9" s="10" t="s">
        <v>39</v>
      </c>
      <c r="C9" s="10">
        <v>95</v>
      </c>
    </row>
    <row r="10" spans="1:6">
      <c r="A10" s="10" t="s">
        <v>72</v>
      </c>
      <c r="B10" s="10" t="s">
        <v>39</v>
      </c>
      <c r="C10" s="10">
        <v>42</v>
      </c>
    </row>
    <row r="11" spans="1:6">
      <c r="A11" s="10" t="s">
        <v>76</v>
      </c>
      <c r="B11" s="10" t="s">
        <v>39</v>
      </c>
      <c r="C11" s="10">
        <v>79</v>
      </c>
      <c r="E11" s="26" t="s">
        <v>840</v>
      </c>
    </row>
    <row r="12" spans="1:6">
      <c r="A12" s="10" t="s">
        <v>79</v>
      </c>
      <c r="B12" s="10" t="s">
        <v>39</v>
      </c>
      <c r="C12" s="10">
        <v>72</v>
      </c>
      <c r="E12" s="27" t="s">
        <v>841</v>
      </c>
      <c r="F12" s="28">
        <f>_xlfn.STDEV.S(C2:C136)</f>
        <v>22.072089036334109</v>
      </c>
    </row>
    <row r="13" spans="1:6">
      <c r="A13" s="10" t="s">
        <v>80</v>
      </c>
      <c r="B13" s="10" t="s">
        <v>39</v>
      </c>
      <c r="C13" s="10">
        <v>86</v>
      </c>
    </row>
    <row r="14" spans="1:6">
      <c r="A14" s="10" t="s">
        <v>85</v>
      </c>
      <c r="B14" s="10" t="s">
        <v>39</v>
      </c>
      <c r="C14" s="10">
        <v>119</v>
      </c>
    </row>
    <row r="15" spans="1:6">
      <c r="A15" s="10" t="s">
        <v>92</v>
      </c>
      <c r="B15" s="10" t="s">
        <v>39</v>
      </c>
      <c r="C15" s="10">
        <v>48</v>
      </c>
      <c r="E15" s="26" t="s">
        <v>842</v>
      </c>
    </row>
    <row r="16" spans="1:6">
      <c r="A16" s="10" t="s">
        <v>93</v>
      </c>
      <c r="B16" s="10" t="s">
        <v>39</v>
      </c>
      <c r="C16" s="10">
        <v>63</v>
      </c>
      <c r="E16" s="27" t="s">
        <v>843</v>
      </c>
      <c r="F16" s="29">
        <f>COUNT(C2:C136)</f>
        <v>135</v>
      </c>
    </row>
    <row r="17" spans="1:6">
      <c r="A17" s="10" t="s">
        <v>95</v>
      </c>
      <c r="B17" s="10" t="s">
        <v>39</v>
      </c>
      <c r="C17" s="10">
        <v>60</v>
      </c>
    </row>
    <row r="18" spans="1:6">
      <c r="A18" s="10" t="s">
        <v>96</v>
      </c>
      <c r="B18" s="10" t="s">
        <v>39</v>
      </c>
      <c r="C18" s="10">
        <v>60</v>
      </c>
    </row>
    <row r="19" spans="1:6">
      <c r="A19" s="10" t="s">
        <v>102</v>
      </c>
      <c r="B19" s="10" t="s">
        <v>39</v>
      </c>
      <c r="C19" s="10">
        <v>51</v>
      </c>
      <c r="E19" s="26" t="s">
        <v>844</v>
      </c>
    </row>
    <row r="20" spans="1:6">
      <c r="A20" s="10" t="s">
        <v>103</v>
      </c>
      <c r="B20" s="10" t="s">
        <v>39</v>
      </c>
      <c r="C20" s="10">
        <v>79</v>
      </c>
      <c r="E20" s="30" t="s">
        <v>845</v>
      </c>
    </row>
    <row r="21" spans="1:6">
      <c r="A21" s="10" t="s">
        <v>105</v>
      </c>
      <c r="B21" s="10" t="s">
        <v>39</v>
      </c>
      <c r="C21" s="10">
        <v>47</v>
      </c>
    </row>
    <row r="22" spans="1:6">
      <c r="A22" s="10" t="s">
        <v>109</v>
      </c>
      <c r="B22" s="10" t="s">
        <v>39</v>
      </c>
      <c r="C22" s="10">
        <v>106</v>
      </c>
      <c r="E22" s="24" t="s">
        <v>846</v>
      </c>
      <c r="F22" s="25">
        <v>70</v>
      </c>
    </row>
    <row r="23" spans="1:6">
      <c r="A23" s="10" t="s">
        <v>119</v>
      </c>
      <c r="B23" s="10" t="s">
        <v>39</v>
      </c>
      <c r="C23" s="10">
        <v>58</v>
      </c>
      <c r="E23" s="24" t="s">
        <v>847</v>
      </c>
    </row>
    <row r="24" spans="1:6">
      <c r="A24" s="10" t="s">
        <v>123</v>
      </c>
      <c r="B24" s="10" t="s">
        <v>39</v>
      </c>
      <c r="C24" s="10">
        <v>88</v>
      </c>
      <c r="E24" s="27" t="s">
        <v>848</v>
      </c>
      <c r="F24" s="28">
        <f>F8-F22</f>
        <v>5.8444444444444485</v>
      </c>
    </row>
    <row r="25" spans="1:6">
      <c r="A25" s="10" t="s">
        <v>126</v>
      </c>
      <c r="B25" s="10" t="s">
        <v>39</v>
      </c>
      <c r="C25" s="10">
        <v>51</v>
      </c>
    </row>
    <row r="26" spans="1:6">
      <c r="A26" s="10" t="s">
        <v>128</v>
      </c>
      <c r="B26" s="10" t="s">
        <v>39</v>
      </c>
      <c r="C26" s="10">
        <v>36</v>
      </c>
      <c r="E26" s="24" t="s">
        <v>849</v>
      </c>
    </row>
    <row r="27" spans="1:6">
      <c r="A27" s="10" t="s">
        <v>129</v>
      </c>
      <c r="B27" s="10" t="s">
        <v>39</v>
      </c>
      <c r="C27" s="10">
        <v>72</v>
      </c>
      <c r="E27" s="27" t="s">
        <v>850</v>
      </c>
      <c r="F27" s="28">
        <f>F12/SQRT(F16)</f>
        <v>1.8996629611939848</v>
      </c>
    </row>
    <row r="28" spans="1:6">
      <c r="A28" s="10" t="s">
        <v>137</v>
      </c>
      <c r="B28" s="10" t="s">
        <v>39</v>
      </c>
      <c r="C28" s="10">
        <v>60</v>
      </c>
    </row>
    <row r="29" spans="1:6">
      <c r="A29" s="10" t="s">
        <v>138</v>
      </c>
      <c r="B29" s="10" t="s">
        <v>39</v>
      </c>
      <c r="C29" s="10">
        <v>90</v>
      </c>
      <c r="E29" s="27" t="s">
        <v>851</v>
      </c>
      <c r="F29" s="28">
        <f>F24/F27</f>
        <v>3.0765691408601619</v>
      </c>
    </row>
    <row r="30" spans="1:6">
      <c r="A30" s="10" t="s">
        <v>141</v>
      </c>
      <c r="B30" s="10" t="s">
        <v>39</v>
      </c>
      <c r="C30" s="10">
        <v>78</v>
      </c>
    </row>
    <row r="31" spans="1:6">
      <c r="A31" s="10" t="s">
        <v>143</v>
      </c>
      <c r="B31" s="10" t="s">
        <v>39</v>
      </c>
      <c r="C31" s="10">
        <v>90</v>
      </c>
    </row>
    <row r="32" spans="1:6">
      <c r="A32" s="10" t="s">
        <v>144</v>
      </c>
      <c r="B32" s="10" t="s">
        <v>39</v>
      </c>
      <c r="C32" s="10">
        <v>105</v>
      </c>
      <c r="E32" s="26" t="s">
        <v>852</v>
      </c>
    </row>
    <row r="33" spans="1:6">
      <c r="A33" s="10" t="s">
        <v>153</v>
      </c>
      <c r="B33" s="10" t="s">
        <v>39</v>
      </c>
      <c r="C33" s="10">
        <v>61</v>
      </c>
      <c r="E33" s="26"/>
    </row>
    <row r="34" spans="1:6">
      <c r="A34" s="10" t="s">
        <v>157</v>
      </c>
      <c r="B34" s="10" t="s">
        <v>39</v>
      </c>
      <c r="C34" s="10">
        <v>68</v>
      </c>
      <c r="E34" s="27" t="s">
        <v>853</v>
      </c>
      <c r="F34" s="29">
        <f>F16-1</f>
        <v>134</v>
      </c>
    </row>
    <row r="35" spans="1:6">
      <c r="A35" s="10" t="s">
        <v>158</v>
      </c>
      <c r="B35" s="10" t="s">
        <v>39</v>
      </c>
      <c r="C35" s="10">
        <v>107</v>
      </c>
      <c r="E35" s="27" t="s">
        <v>854</v>
      </c>
      <c r="F35" s="31">
        <f>_xlfn.T.DIST(F29, F34, TRUE)</f>
        <v>0.99873035497776275</v>
      </c>
    </row>
    <row r="36" spans="1:6">
      <c r="A36" s="10" t="s">
        <v>162</v>
      </c>
      <c r="B36" s="10" t="s">
        <v>39</v>
      </c>
      <c r="C36" s="10">
        <v>109</v>
      </c>
    </row>
    <row r="37" spans="1:6">
      <c r="A37" s="10" t="s">
        <v>170</v>
      </c>
      <c r="B37" s="10" t="s">
        <v>39</v>
      </c>
      <c r="C37" s="10">
        <v>92</v>
      </c>
    </row>
    <row r="38" spans="1:6">
      <c r="A38" s="10" t="s">
        <v>175</v>
      </c>
      <c r="B38" s="10" t="s">
        <v>39</v>
      </c>
      <c r="C38" s="10">
        <v>60</v>
      </c>
      <c r="E38" s="26" t="s">
        <v>855</v>
      </c>
    </row>
    <row r="39" spans="1:6">
      <c r="A39" s="10" t="s">
        <v>178</v>
      </c>
      <c r="B39" s="10" t="s">
        <v>39</v>
      </c>
      <c r="C39" s="10">
        <v>62</v>
      </c>
      <c r="E39" s="30" t="s">
        <v>856</v>
      </c>
    </row>
    <row r="40" spans="1:6">
      <c r="A40" s="10" t="s">
        <v>181</v>
      </c>
      <c r="B40" s="10" t="s">
        <v>39</v>
      </c>
      <c r="C40" s="10">
        <v>98</v>
      </c>
    </row>
    <row r="41" spans="1:6">
      <c r="A41" s="10" t="s">
        <v>190</v>
      </c>
      <c r="B41" s="10" t="s">
        <v>39</v>
      </c>
      <c r="C41" s="10">
        <v>59</v>
      </c>
      <c r="E41" s="27" t="s">
        <v>857</v>
      </c>
      <c r="F41" s="32">
        <f>1-F35</f>
        <v>1.2696450222372535E-3</v>
      </c>
    </row>
    <row r="42" spans="1:6">
      <c r="A42" s="10" t="s">
        <v>197</v>
      </c>
      <c r="B42" s="10" t="s">
        <v>39</v>
      </c>
      <c r="C42" s="10">
        <v>74</v>
      </c>
    </row>
    <row r="43" spans="1:6">
      <c r="A43" s="10" t="s">
        <v>204</v>
      </c>
      <c r="B43" s="10" t="s">
        <v>39</v>
      </c>
      <c r="C43" s="10">
        <v>89</v>
      </c>
    </row>
    <row r="44" spans="1:6">
      <c r="A44" s="10" t="s">
        <v>210</v>
      </c>
      <c r="B44" s="10" t="s">
        <v>39</v>
      </c>
      <c r="C44" s="10">
        <v>62</v>
      </c>
      <c r="E44" s="26" t="s">
        <v>858</v>
      </c>
    </row>
    <row r="45" spans="1:6">
      <c r="A45" s="10" t="s">
        <v>213</v>
      </c>
      <c r="B45" s="10" t="s">
        <v>39</v>
      </c>
      <c r="C45" s="10">
        <v>58</v>
      </c>
      <c r="E45" s="24" t="s">
        <v>859</v>
      </c>
    </row>
    <row r="46" spans="1:6">
      <c r="A46" s="10" t="s">
        <v>216</v>
      </c>
      <c r="B46" s="10" t="s">
        <v>39</v>
      </c>
      <c r="C46" s="10">
        <v>71</v>
      </c>
    </row>
    <row r="47" spans="1:6">
      <c r="A47" s="10" t="s">
        <v>225</v>
      </c>
      <c r="B47" s="10" t="s">
        <v>39</v>
      </c>
      <c r="C47" s="10">
        <v>71</v>
      </c>
      <c r="E47" s="24" t="s">
        <v>860</v>
      </c>
    </row>
    <row r="48" spans="1:6">
      <c r="A48" s="10" t="s">
        <v>229</v>
      </c>
      <c r="B48" s="10" t="s">
        <v>39</v>
      </c>
      <c r="C48" s="10">
        <v>98</v>
      </c>
      <c r="E48" s="24" t="s">
        <v>861</v>
      </c>
    </row>
    <row r="49" spans="1:5">
      <c r="A49" s="10" t="s">
        <v>234</v>
      </c>
      <c r="B49" s="10" t="s">
        <v>39</v>
      </c>
      <c r="C49" s="10">
        <v>64</v>
      </c>
      <c r="E49" s="30"/>
    </row>
    <row r="50" spans="1:5">
      <c r="A50" s="10" t="s">
        <v>238</v>
      </c>
      <c r="B50" s="10" t="s">
        <v>39</v>
      </c>
      <c r="C50" s="10">
        <v>51</v>
      </c>
    </row>
    <row r="51" spans="1:5">
      <c r="A51" s="10" t="s">
        <v>247</v>
      </c>
      <c r="B51" s="10" t="s">
        <v>39</v>
      </c>
      <c r="C51" s="10">
        <v>76</v>
      </c>
    </row>
    <row r="52" spans="1:5">
      <c r="A52" s="10" t="s">
        <v>253</v>
      </c>
      <c r="B52" s="10" t="s">
        <v>39</v>
      </c>
      <c r="C52" s="10">
        <v>78</v>
      </c>
    </row>
    <row r="53" spans="1:5">
      <c r="A53" s="10" t="s">
        <v>263</v>
      </c>
      <c r="B53" s="10" t="s">
        <v>39</v>
      </c>
      <c r="C53" s="10">
        <v>53</v>
      </c>
    </row>
    <row r="54" spans="1:5">
      <c r="A54" s="10" t="s">
        <v>272</v>
      </c>
      <c r="B54" s="10" t="s">
        <v>39</v>
      </c>
      <c r="C54" s="10">
        <v>80</v>
      </c>
    </row>
    <row r="55" spans="1:5">
      <c r="A55" s="10" t="s">
        <v>276</v>
      </c>
      <c r="B55" s="10" t="s">
        <v>39</v>
      </c>
      <c r="C55" s="10">
        <v>44</v>
      </c>
    </row>
    <row r="56" spans="1:5">
      <c r="A56" s="10" t="s">
        <v>281</v>
      </c>
      <c r="B56" s="10" t="s">
        <v>39</v>
      </c>
      <c r="C56" s="10">
        <v>106</v>
      </c>
    </row>
    <row r="57" spans="1:5">
      <c r="A57" s="10" t="s">
        <v>289</v>
      </c>
      <c r="B57" s="10" t="s">
        <v>39</v>
      </c>
      <c r="C57" s="10">
        <v>75</v>
      </c>
    </row>
    <row r="58" spans="1:5">
      <c r="A58" s="10" t="s">
        <v>294</v>
      </c>
      <c r="B58" s="10" t="s">
        <v>39</v>
      </c>
      <c r="C58" s="10">
        <v>67</v>
      </c>
    </row>
    <row r="59" spans="1:5">
      <c r="A59" s="10" t="s">
        <v>298</v>
      </c>
      <c r="B59" s="10" t="s">
        <v>39</v>
      </c>
      <c r="C59" s="10">
        <v>79</v>
      </c>
    </row>
    <row r="60" spans="1:5">
      <c r="A60" s="10" t="s">
        <v>303</v>
      </c>
      <c r="B60" s="10" t="s">
        <v>39</v>
      </c>
      <c r="C60" s="10">
        <v>73</v>
      </c>
    </row>
    <row r="61" spans="1:5">
      <c r="A61" s="10" t="s">
        <v>307</v>
      </c>
      <c r="B61" s="10" t="s">
        <v>39</v>
      </c>
      <c r="C61" s="10">
        <v>85</v>
      </c>
    </row>
    <row r="62" spans="1:5">
      <c r="A62" s="10" t="s">
        <v>311</v>
      </c>
      <c r="B62" s="10" t="s">
        <v>39</v>
      </c>
      <c r="C62" s="10">
        <v>44</v>
      </c>
    </row>
    <row r="63" spans="1:5">
      <c r="A63" s="10" t="s">
        <v>320</v>
      </c>
      <c r="B63" s="10" t="s">
        <v>39</v>
      </c>
      <c r="C63" s="10">
        <v>39</v>
      </c>
    </row>
    <row r="64" spans="1:5">
      <c r="A64" s="10" t="s">
        <v>325</v>
      </c>
      <c r="B64" s="10" t="s">
        <v>39</v>
      </c>
      <c r="C64" s="10">
        <v>67</v>
      </c>
    </row>
    <row r="65" spans="1:3">
      <c r="A65" s="10" t="s">
        <v>326</v>
      </c>
      <c r="B65" s="10" t="s">
        <v>39</v>
      </c>
      <c r="C65" s="10">
        <v>56</v>
      </c>
    </row>
    <row r="66" spans="1:3">
      <c r="A66" s="10" t="s">
        <v>331</v>
      </c>
      <c r="B66" s="10" t="s">
        <v>39</v>
      </c>
      <c r="C66" s="10">
        <v>40</v>
      </c>
    </row>
    <row r="67" spans="1:3">
      <c r="A67" s="10" t="s">
        <v>349</v>
      </c>
      <c r="B67" s="10" t="s">
        <v>39</v>
      </c>
      <c r="C67" s="10">
        <v>39</v>
      </c>
    </row>
    <row r="68" spans="1:3">
      <c r="A68" s="10" t="s">
        <v>355</v>
      </c>
      <c r="B68" s="10" t="s">
        <v>39</v>
      </c>
      <c r="C68" s="10">
        <v>23</v>
      </c>
    </row>
    <row r="69" spans="1:3">
      <c r="A69" s="10" t="s">
        <v>357</v>
      </c>
      <c r="B69" s="10" t="s">
        <v>39</v>
      </c>
      <c r="C69" s="10">
        <v>101</v>
      </c>
    </row>
    <row r="70" spans="1:3">
      <c r="A70" s="10" t="s">
        <v>358</v>
      </c>
      <c r="B70" s="10" t="s">
        <v>39</v>
      </c>
      <c r="C70" s="10">
        <v>29</v>
      </c>
    </row>
    <row r="71" spans="1:3">
      <c r="A71" s="10" t="s">
        <v>364</v>
      </c>
      <c r="B71" s="10" t="s">
        <v>39</v>
      </c>
      <c r="C71" s="10">
        <v>82</v>
      </c>
    </row>
    <row r="72" spans="1:3">
      <c r="A72" s="10" t="s">
        <v>365</v>
      </c>
      <c r="B72" s="10" t="s">
        <v>39</v>
      </c>
      <c r="C72" s="10">
        <v>42</v>
      </c>
    </row>
    <row r="73" spans="1:3">
      <c r="A73" s="10" t="s">
        <v>371</v>
      </c>
      <c r="B73" s="10" t="s">
        <v>39</v>
      </c>
      <c r="C73" s="10">
        <v>59</v>
      </c>
    </row>
    <row r="74" spans="1:3">
      <c r="A74" s="10" t="s">
        <v>372</v>
      </c>
      <c r="B74" s="10" t="s">
        <v>39</v>
      </c>
      <c r="C74" s="10">
        <v>78</v>
      </c>
    </row>
    <row r="75" spans="1:3">
      <c r="A75" s="10" t="s">
        <v>379</v>
      </c>
      <c r="B75" s="10" t="s">
        <v>39</v>
      </c>
      <c r="C75" s="10">
        <v>83</v>
      </c>
    </row>
    <row r="76" spans="1:3">
      <c r="A76" s="10" t="s">
        <v>380</v>
      </c>
      <c r="B76" s="10" t="s">
        <v>39</v>
      </c>
      <c r="C76" s="10">
        <v>47</v>
      </c>
    </row>
    <row r="77" spans="1:3">
      <c r="A77" s="10" t="s">
        <v>385</v>
      </c>
      <c r="B77" s="10" t="s">
        <v>39</v>
      </c>
      <c r="C77" s="10">
        <v>81</v>
      </c>
    </row>
    <row r="78" spans="1:3">
      <c r="A78" s="10" t="s">
        <v>389</v>
      </c>
      <c r="B78" s="10" t="s">
        <v>39</v>
      </c>
      <c r="C78" s="10">
        <v>25</v>
      </c>
    </row>
    <row r="79" spans="1:3">
      <c r="A79" s="10" t="s">
        <v>395</v>
      </c>
      <c r="B79" s="10" t="s">
        <v>39</v>
      </c>
      <c r="C79" s="10">
        <v>65</v>
      </c>
    </row>
    <row r="80" spans="1:3">
      <c r="A80" s="10" t="s">
        <v>396</v>
      </c>
      <c r="B80" s="10" t="s">
        <v>39</v>
      </c>
      <c r="C80" s="10">
        <v>107</v>
      </c>
    </row>
    <row r="81" spans="1:3">
      <c r="A81" s="10" t="s">
        <v>399</v>
      </c>
      <c r="B81" s="10" t="s">
        <v>39</v>
      </c>
      <c r="C81" s="10">
        <v>48</v>
      </c>
    </row>
    <row r="82" spans="1:3">
      <c r="A82" s="10" t="s">
        <v>400</v>
      </c>
      <c r="B82" s="10" t="s">
        <v>39</v>
      </c>
      <c r="C82" s="10">
        <v>83</v>
      </c>
    </row>
    <row r="83" spans="1:3">
      <c r="A83" s="10" t="s">
        <v>406</v>
      </c>
      <c r="B83" s="10" t="s">
        <v>39</v>
      </c>
      <c r="C83" s="10">
        <v>91</v>
      </c>
    </row>
    <row r="84" spans="1:3">
      <c r="A84" s="10" t="s">
        <v>407</v>
      </c>
      <c r="B84" s="10" t="s">
        <v>39</v>
      </c>
      <c r="C84" s="10">
        <v>53</v>
      </c>
    </row>
    <row r="85" spans="1:3">
      <c r="A85" s="10" t="s">
        <v>413</v>
      </c>
      <c r="B85" s="10" t="s">
        <v>39</v>
      </c>
      <c r="C85" s="10">
        <v>94</v>
      </c>
    </row>
    <row r="86" spans="1:3">
      <c r="A86" s="10" t="s">
        <v>421</v>
      </c>
      <c r="B86" s="10" t="s">
        <v>39</v>
      </c>
      <c r="C86" s="10">
        <v>86</v>
      </c>
    </row>
    <row r="87" spans="1:3">
      <c r="A87" s="10" t="s">
        <v>422</v>
      </c>
      <c r="B87" s="10" t="s">
        <v>39</v>
      </c>
      <c r="C87" s="10">
        <v>90</v>
      </c>
    </row>
    <row r="88" spans="1:3">
      <c r="A88" s="10" t="s">
        <v>428</v>
      </c>
      <c r="B88" s="10" t="s">
        <v>39</v>
      </c>
      <c r="C88" s="10">
        <v>93</v>
      </c>
    </row>
    <row r="89" spans="1:3">
      <c r="A89" s="10" t="s">
        <v>429</v>
      </c>
      <c r="B89" s="10" t="s">
        <v>39</v>
      </c>
      <c r="C89" s="10">
        <v>81</v>
      </c>
    </row>
    <row r="90" spans="1:3">
      <c r="A90" s="10" t="s">
        <v>433</v>
      </c>
      <c r="B90" s="10" t="s">
        <v>39</v>
      </c>
      <c r="C90" s="10">
        <v>66</v>
      </c>
    </row>
    <row r="91" spans="1:3">
      <c r="A91" s="10" t="s">
        <v>437</v>
      </c>
      <c r="B91" s="10" t="s">
        <v>39</v>
      </c>
      <c r="C91" s="10">
        <v>104</v>
      </c>
    </row>
    <row r="92" spans="1:3">
      <c r="A92" s="10" t="s">
        <v>438</v>
      </c>
      <c r="B92" s="10" t="s">
        <v>39</v>
      </c>
      <c r="C92" s="10">
        <v>88</v>
      </c>
    </row>
    <row r="93" spans="1:3">
      <c r="A93" s="10" t="s">
        <v>443</v>
      </c>
      <c r="B93" s="10" t="s">
        <v>39</v>
      </c>
      <c r="C93" s="10">
        <v>45</v>
      </c>
    </row>
    <row r="94" spans="1:3">
      <c r="A94" s="10" t="s">
        <v>444</v>
      </c>
      <c r="B94" s="10" t="s">
        <v>39</v>
      </c>
      <c r="C94" s="10">
        <v>42</v>
      </c>
    </row>
    <row r="95" spans="1:3">
      <c r="A95" s="10" t="s">
        <v>449</v>
      </c>
      <c r="B95" s="10" t="s">
        <v>39</v>
      </c>
      <c r="C95" s="10">
        <v>128</v>
      </c>
    </row>
    <row r="96" spans="1:3">
      <c r="A96" s="10" t="s">
        <v>455</v>
      </c>
      <c r="B96" s="10" t="s">
        <v>39</v>
      </c>
      <c r="C96" s="10">
        <v>75</v>
      </c>
    </row>
    <row r="97" spans="1:3">
      <c r="A97" s="10" t="s">
        <v>456</v>
      </c>
      <c r="B97" s="10" t="s">
        <v>39</v>
      </c>
      <c r="C97" s="10">
        <v>49</v>
      </c>
    </row>
    <row r="98" spans="1:3">
      <c r="A98" s="10" t="s">
        <v>461</v>
      </c>
      <c r="B98" s="10" t="s">
        <v>39</v>
      </c>
      <c r="C98" s="10">
        <v>74</v>
      </c>
    </row>
    <row r="99" spans="1:3">
      <c r="A99" s="10" t="s">
        <v>465</v>
      </c>
      <c r="B99" s="10" t="s">
        <v>39</v>
      </c>
      <c r="C99" s="10">
        <v>97</v>
      </c>
    </row>
    <row r="100" spans="1:3">
      <c r="A100" s="10" t="s">
        <v>466</v>
      </c>
      <c r="B100" s="10" t="s">
        <v>39</v>
      </c>
      <c r="C100" s="10">
        <v>58</v>
      </c>
    </row>
    <row r="101" spans="1:3">
      <c r="A101" s="10" t="s">
        <v>473</v>
      </c>
      <c r="B101" s="10" t="s">
        <v>39</v>
      </c>
      <c r="C101" s="10">
        <v>78</v>
      </c>
    </row>
    <row r="102" spans="1:3">
      <c r="A102" s="10" t="s">
        <v>480</v>
      </c>
      <c r="B102" s="10" t="s">
        <v>39</v>
      </c>
      <c r="C102" s="10">
        <v>112</v>
      </c>
    </row>
    <row r="103" spans="1:3">
      <c r="A103" s="10" t="s">
        <v>481</v>
      </c>
      <c r="B103" s="10" t="s">
        <v>39</v>
      </c>
      <c r="C103" s="10">
        <v>114</v>
      </c>
    </row>
    <row r="104" spans="1:3">
      <c r="A104" s="10" t="s">
        <v>487</v>
      </c>
      <c r="B104" s="10" t="s">
        <v>39</v>
      </c>
      <c r="C104" s="10">
        <v>94</v>
      </c>
    </row>
    <row r="105" spans="1:3">
      <c r="A105" s="10" t="s">
        <v>488</v>
      </c>
      <c r="B105" s="10" t="s">
        <v>39</v>
      </c>
      <c r="C105" s="10">
        <v>98</v>
      </c>
    </row>
    <row r="106" spans="1:3">
      <c r="A106" s="10" t="s">
        <v>496</v>
      </c>
      <c r="B106" s="10" t="s">
        <v>39</v>
      </c>
      <c r="C106" s="10">
        <v>65</v>
      </c>
    </row>
    <row r="107" spans="1:3">
      <c r="A107" s="10" t="s">
        <v>497</v>
      </c>
      <c r="B107" s="10" t="s">
        <v>39</v>
      </c>
      <c r="C107" s="10">
        <v>67</v>
      </c>
    </row>
    <row r="108" spans="1:3">
      <c r="A108" s="10" t="s">
        <v>500</v>
      </c>
      <c r="B108" s="10" t="s">
        <v>39</v>
      </c>
      <c r="C108" s="10">
        <v>88</v>
      </c>
    </row>
    <row r="109" spans="1:3">
      <c r="A109" s="10" t="s">
        <v>507</v>
      </c>
      <c r="B109" s="10" t="s">
        <v>39</v>
      </c>
      <c r="C109" s="10">
        <v>85</v>
      </c>
    </row>
    <row r="110" spans="1:3">
      <c r="A110" s="10" t="s">
        <v>511</v>
      </c>
      <c r="B110" s="10" t="s">
        <v>39</v>
      </c>
      <c r="C110" s="10">
        <v>88</v>
      </c>
    </row>
    <row r="111" spans="1:3">
      <c r="A111" s="10" t="s">
        <v>512</v>
      </c>
      <c r="B111" s="10" t="s">
        <v>39</v>
      </c>
      <c r="C111" s="10">
        <v>80</v>
      </c>
    </row>
    <row r="112" spans="1:3">
      <c r="A112" s="10" t="s">
        <v>517</v>
      </c>
      <c r="B112" s="10" t="s">
        <v>39</v>
      </c>
      <c r="C112" s="10">
        <v>89</v>
      </c>
    </row>
    <row r="113" spans="1:3">
      <c r="A113" s="10" t="s">
        <v>518</v>
      </c>
      <c r="B113" s="10" t="s">
        <v>39</v>
      </c>
      <c r="C113" s="10">
        <v>78</v>
      </c>
    </row>
    <row r="114" spans="1:3">
      <c r="A114" s="10" t="s">
        <v>524</v>
      </c>
      <c r="B114" s="10" t="s">
        <v>39</v>
      </c>
      <c r="C114" s="10">
        <v>67</v>
      </c>
    </row>
    <row r="115" spans="1:3">
      <c r="A115" s="10" t="s">
        <v>525</v>
      </c>
      <c r="B115" s="10" t="s">
        <v>39</v>
      </c>
      <c r="C115" s="10">
        <v>105</v>
      </c>
    </row>
    <row r="116" spans="1:3">
      <c r="A116" s="10" t="s">
        <v>532</v>
      </c>
      <c r="B116" s="10" t="s">
        <v>39</v>
      </c>
      <c r="C116" s="10">
        <v>93</v>
      </c>
    </row>
    <row r="117" spans="1:3">
      <c r="A117" s="10" t="s">
        <v>541</v>
      </c>
      <c r="B117" s="10" t="s">
        <v>39</v>
      </c>
      <c r="C117" s="10">
        <v>76</v>
      </c>
    </row>
    <row r="118" spans="1:3">
      <c r="A118" s="10" t="s">
        <v>542</v>
      </c>
      <c r="B118" s="10" t="s">
        <v>39</v>
      </c>
      <c r="C118" s="10">
        <v>81</v>
      </c>
    </row>
    <row r="119" spans="1:3">
      <c r="A119" s="10" t="s">
        <v>546</v>
      </c>
      <c r="B119" s="10" t="s">
        <v>39</v>
      </c>
      <c r="C119" s="10">
        <v>90</v>
      </c>
    </row>
    <row r="120" spans="1:3">
      <c r="A120" s="10" t="s">
        <v>551</v>
      </c>
      <c r="B120" s="10" t="s">
        <v>39</v>
      </c>
      <c r="C120" s="10">
        <v>114</v>
      </c>
    </row>
    <row r="121" spans="1:3">
      <c r="A121" s="10" t="s">
        <v>556</v>
      </c>
      <c r="B121" s="10" t="s">
        <v>39</v>
      </c>
      <c r="C121" s="10">
        <v>89</v>
      </c>
    </row>
    <row r="122" spans="1:3">
      <c r="A122" s="10" t="s">
        <v>561</v>
      </c>
      <c r="B122" s="10" t="s">
        <v>39</v>
      </c>
      <c r="C122" s="10">
        <v>73</v>
      </c>
    </row>
    <row r="123" spans="1:3">
      <c r="A123" s="10" t="s">
        <v>567</v>
      </c>
      <c r="B123" s="10" t="s">
        <v>39</v>
      </c>
      <c r="C123" s="10">
        <v>89</v>
      </c>
    </row>
    <row r="124" spans="1:3">
      <c r="A124" s="10" t="s">
        <v>574</v>
      </c>
      <c r="B124" s="10" t="s">
        <v>39</v>
      </c>
      <c r="C124" s="10">
        <v>42</v>
      </c>
    </row>
    <row r="125" spans="1:3">
      <c r="A125" s="10" t="s">
        <v>583</v>
      </c>
      <c r="B125" s="10" t="s">
        <v>39</v>
      </c>
      <c r="C125" s="10">
        <v>68</v>
      </c>
    </row>
    <row r="126" spans="1:3">
      <c r="A126" s="10" t="s">
        <v>589</v>
      </c>
      <c r="B126" s="10" t="s">
        <v>39</v>
      </c>
      <c r="C126" s="10">
        <v>128</v>
      </c>
    </row>
    <row r="127" spans="1:3">
      <c r="A127" s="10" t="s">
        <v>596</v>
      </c>
      <c r="B127" s="10" t="s">
        <v>39</v>
      </c>
      <c r="C127" s="10">
        <v>78</v>
      </c>
    </row>
    <row r="128" spans="1:3">
      <c r="A128" s="10" t="s">
        <v>597</v>
      </c>
      <c r="B128" s="10" t="s">
        <v>39</v>
      </c>
      <c r="C128" s="10">
        <v>103</v>
      </c>
    </row>
    <row r="129" spans="1:3">
      <c r="A129" s="10" t="s">
        <v>600</v>
      </c>
      <c r="B129" s="10" t="s">
        <v>39</v>
      </c>
      <c r="C129" s="10">
        <v>61</v>
      </c>
    </row>
    <row r="130" spans="1:3">
      <c r="A130" s="10" t="s">
        <v>601</v>
      </c>
      <c r="B130" s="10" t="s">
        <v>39</v>
      </c>
      <c r="C130" s="10">
        <v>109</v>
      </c>
    </row>
    <row r="131" spans="1:3">
      <c r="A131" s="10" t="s">
        <v>606</v>
      </c>
      <c r="B131" s="10" t="s">
        <v>39</v>
      </c>
      <c r="C131" s="10">
        <v>48</v>
      </c>
    </row>
    <row r="132" spans="1:3">
      <c r="A132" s="10" t="s">
        <v>607</v>
      </c>
      <c r="B132" s="10" t="s">
        <v>39</v>
      </c>
      <c r="C132" s="10">
        <v>93</v>
      </c>
    </row>
    <row r="133" spans="1:3">
      <c r="A133" s="10" t="s">
        <v>612</v>
      </c>
      <c r="B133" s="10" t="s">
        <v>39</v>
      </c>
      <c r="C133" s="10">
        <v>75</v>
      </c>
    </row>
    <row r="134" spans="1:3">
      <c r="A134" s="10" t="s">
        <v>619</v>
      </c>
      <c r="B134" s="10" t="s">
        <v>39</v>
      </c>
      <c r="C134" s="10">
        <v>84</v>
      </c>
    </row>
    <row r="135" spans="1:3">
      <c r="A135" s="10" t="s">
        <v>624</v>
      </c>
      <c r="B135" s="10" t="s">
        <v>39</v>
      </c>
      <c r="C135" s="10">
        <v>86</v>
      </c>
    </row>
    <row r="136" spans="1:3">
      <c r="A136" s="10" t="s">
        <v>625</v>
      </c>
      <c r="B136" s="10" t="s">
        <v>39</v>
      </c>
      <c r="C136" s="10">
        <v>107</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1A26B-C943-46AD-A000-D87586407F60}">
  <dimension ref="B2:J41"/>
  <sheetViews>
    <sheetView workbookViewId="0">
      <selection activeCell="G17" sqref="G17"/>
    </sheetView>
  </sheetViews>
  <sheetFormatPr defaultColWidth="12.25" defaultRowHeight="18.75"/>
  <cols>
    <col min="1" max="6" width="12.25" style="10"/>
    <col min="7" max="7" width="14.375" style="10" customWidth="1"/>
    <col min="8" max="16384" width="12.25" style="10"/>
  </cols>
  <sheetData>
    <row r="2" spans="2:10" ht="19.5">
      <c r="G2" s="24" t="s">
        <v>864</v>
      </c>
    </row>
    <row r="3" spans="2:10">
      <c r="B3" s="33" t="s">
        <v>3</v>
      </c>
      <c r="C3" s="33" t="s">
        <v>8</v>
      </c>
      <c r="D3" s="33" t="s">
        <v>3</v>
      </c>
      <c r="E3" s="33" t="s">
        <v>8</v>
      </c>
      <c r="G3" t="s">
        <v>865</v>
      </c>
      <c r="H3"/>
      <c r="I3"/>
    </row>
    <row r="4" spans="2:10" ht="20.25" thickBot="1">
      <c r="B4" s="34"/>
      <c r="C4" s="35" t="s">
        <v>862</v>
      </c>
      <c r="D4" s="34"/>
      <c r="E4" s="35" t="s">
        <v>863</v>
      </c>
      <c r="G4"/>
      <c r="H4"/>
      <c r="I4"/>
    </row>
    <row r="5" spans="2:10" ht="19.5">
      <c r="B5" s="36" t="s">
        <v>300</v>
      </c>
      <c r="C5" s="36">
        <v>93</v>
      </c>
      <c r="D5" s="36" t="s">
        <v>187</v>
      </c>
      <c r="E5" s="36">
        <v>83</v>
      </c>
      <c r="G5" s="8"/>
      <c r="H5" s="8" t="s">
        <v>866</v>
      </c>
      <c r="I5" s="8" t="s">
        <v>867</v>
      </c>
    </row>
    <row r="6" spans="2:10" ht="19.5">
      <c r="B6" s="36" t="s">
        <v>318</v>
      </c>
      <c r="C6" s="36">
        <v>159</v>
      </c>
      <c r="D6" s="36" t="s">
        <v>195</v>
      </c>
      <c r="E6" s="36">
        <v>79</v>
      </c>
      <c r="G6" t="s">
        <v>717</v>
      </c>
      <c r="H6">
        <v>74.4375</v>
      </c>
      <c r="I6">
        <v>86.648648648648646</v>
      </c>
    </row>
    <row r="7" spans="2:10" ht="19.5">
      <c r="B7" s="36" t="s">
        <v>321</v>
      </c>
      <c r="C7" s="36">
        <v>38</v>
      </c>
      <c r="D7" s="36" t="s">
        <v>201</v>
      </c>
      <c r="E7" s="36">
        <v>87</v>
      </c>
      <c r="G7" t="s">
        <v>722</v>
      </c>
      <c r="H7">
        <v>848.38306451612902</v>
      </c>
      <c r="I7">
        <v>379.73423423423407</v>
      </c>
    </row>
    <row r="8" spans="2:10" ht="19.5">
      <c r="B8" s="36" t="s">
        <v>341</v>
      </c>
      <c r="C8" s="36">
        <v>96</v>
      </c>
      <c r="D8" s="36" t="s">
        <v>207</v>
      </c>
      <c r="E8" s="36">
        <v>68</v>
      </c>
      <c r="G8" t="s">
        <v>868</v>
      </c>
      <c r="H8">
        <v>32</v>
      </c>
      <c r="I8">
        <v>37</v>
      </c>
    </row>
    <row r="9" spans="2:10" ht="19.5">
      <c r="B9" s="36" t="s">
        <v>346</v>
      </c>
      <c r="C9" s="36">
        <v>106</v>
      </c>
      <c r="D9" s="36" t="s">
        <v>215</v>
      </c>
      <c r="E9" s="36">
        <v>71</v>
      </c>
      <c r="G9" t="s">
        <v>869</v>
      </c>
      <c r="H9">
        <v>0</v>
      </c>
      <c r="I9"/>
    </row>
    <row r="10" spans="2:10" ht="19.5">
      <c r="B10" s="36" t="s">
        <v>356</v>
      </c>
      <c r="C10" s="36">
        <v>97</v>
      </c>
      <c r="D10" s="36" t="s">
        <v>223</v>
      </c>
      <c r="E10" s="36">
        <v>127</v>
      </c>
      <c r="G10" t="s">
        <v>870</v>
      </c>
      <c r="H10">
        <v>53</v>
      </c>
      <c r="I10"/>
    </row>
    <row r="11" spans="2:10" ht="19.5">
      <c r="B11" s="36" t="s">
        <v>361</v>
      </c>
      <c r="C11" s="36">
        <v>82</v>
      </c>
      <c r="D11" s="36" t="s">
        <v>250</v>
      </c>
      <c r="E11" s="36">
        <v>109</v>
      </c>
      <c r="G11" t="s">
        <v>871</v>
      </c>
      <c r="H11">
        <v>-2.0136307459670517</v>
      </c>
      <c r="I11"/>
    </row>
    <row r="12" spans="2:10" ht="19.5">
      <c r="B12" s="36" t="s">
        <v>367</v>
      </c>
      <c r="C12" s="36">
        <v>88</v>
      </c>
      <c r="D12" s="36" t="s">
        <v>265</v>
      </c>
      <c r="E12" s="36">
        <v>62</v>
      </c>
      <c r="G12" t="s">
        <v>872</v>
      </c>
      <c r="H12">
        <v>2.4568986143169446E-2</v>
      </c>
      <c r="I12"/>
    </row>
    <row r="13" spans="2:10" ht="19.5">
      <c r="B13" s="36" t="s">
        <v>382</v>
      </c>
      <c r="C13" s="36">
        <v>49</v>
      </c>
      <c r="D13" s="36" t="s">
        <v>268</v>
      </c>
      <c r="E13" s="36">
        <v>73</v>
      </c>
      <c r="G13" t="s">
        <v>873</v>
      </c>
      <c r="H13">
        <v>1.6741162367030993</v>
      </c>
      <c r="I13"/>
    </row>
    <row r="14" spans="2:10" ht="19.5">
      <c r="B14" s="36" t="s">
        <v>392</v>
      </c>
      <c r="C14" s="36">
        <v>45</v>
      </c>
      <c r="D14" s="36" t="s">
        <v>279</v>
      </c>
      <c r="E14" s="36">
        <v>81</v>
      </c>
      <c r="G14" t="s">
        <v>874</v>
      </c>
      <c r="H14">
        <v>4.9137972286338892E-2</v>
      </c>
      <c r="I14"/>
      <c r="J14" s="10" t="s">
        <v>876</v>
      </c>
    </row>
    <row r="15" spans="2:10" ht="20.25" thickBot="1">
      <c r="B15" s="36" t="s">
        <v>397</v>
      </c>
      <c r="C15" s="36">
        <v>104</v>
      </c>
      <c r="D15" s="36" t="s">
        <v>288</v>
      </c>
      <c r="E15" s="36">
        <v>56</v>
      </c>
      <c r="G15" s="7" t="s">
        <v>875</v>
      </c>
      <c r="H15" s="7">
        <v>2.0057459953178696</v>
      </c>
      <c r="I15" s="7"/>
    </row>
    <row r="16" spans="2:10" ht="19.5">
      <c r="B16" s="36" t="s">
        <v>403</v>
      </c>
      <c r="C16" s="36">
        <v>93</v>
      </c>
      <c r="D16" s="36" t="s">
        <v>291</v>
      </c>
      <c r="E16" s="36">
        <v>78</v>
      </c>
    </row>
    <row r="17" spans="2:7" ht="19.5">
      <c r="B17" s="36" t="s">
        <v>409</v>
      </c>
      <c r="C17" s="36">
        <v>78</v>
      </c>
      <c r="D17" s="36" t="s">
        <v>309</v>
      </c>
      <c r="E17" s="36">
        <v>67</v>
      </c>
      <c r="G17" s="10" t="s">
        <v>877</v>
      </c>
    </row>
    <row r="18" spans="2:7" ht="19.5">
      <c r="B18" s="36" t="s">
        <v>416</v>
      </c>
      <c r="C18" s="36">
        <v>47</v>
      </c>
      <c r="D18" s="36" t="s">
        <v>322</v>
      </c>
      <c r="E18" s="36">
        <v>68</v>
      </c>
    </row>
    <row r="19" spans="2:7" ht="19.5">
      <c r="B19" s="36" t="s">
        <v>425</v>
      </c>
      <c r="C19" s="36">
        <v>38</v>
      </c>
      <c r="D19" s="36" t="s">
        <v>328</v>
      </c>
      <c r="E19" s="36">
        <v>95</v>
      </c>
    </row>
    <row r="20" spans="2:7" ht="19.5">
      <c r="B20" s="36" t="s">
        <v>430</v>
      </c>
      <c r="C20" s="36">
        <v>71</v>
      </c>
      <c r="D20" s="36" t="s">
        <v>334</v>
      </c>
      <c r="E20" s="36">
        <v>64</v>
      </c>
    </row>
    <row r="21" spans="2:7" ht="19.5">
      <c r="B21" s="36" t="s">
        <v>435</v>
      </c>
      <c r="C21" s="36">
        <v>59</v>
      </c>
      <c r="D21" s="36" t="s">
        <v>342</v>
      </c>
      <c r="E21" s="36">
        <v>66</v>
      </c>
    </row>
    <row r="22" spans="2:7" ht="19.5">
      <c r="B22" s="36" t="s">
        <v>440</v>
      </c>
      <c r="C22" s="36">
        <v>79</v>
      </c>
      <c r="D22" s="36" t="s">
        <v>347</v>
      </c>
      <c r="E22" s="36">
        <v>107</v>
      </c>
    </row>
    <row r="23" spans="2:7" ht="19.5">
      <c r="B23" s="36" t="s">
        <v>452</v>
      </c>
      <c r="C23" s="36">
        <v>46</v>
      </c>
      <c r="D23" s="37" t="s">
        <v>144</v>
      </c>
      <c r="E23" s="36">
        <v>105</v>
      </c>
    </row>
    <row r="24" spans="2:7" ht="19.5">
      <c r="B24" s="36" t="s">
        <v>459</v>
      </c>
      <c r="C24" s="36">
        <v>126</v>
      </c>
      <c r="D24" s="36" t="s">
        <v>362</v>
      </c>
      <c r="E24" s="36">
        <v>56</v>
      </c>
    </row>
    <row r="25" spans="2:7" ht="19.5">
      <c r="B25" s="36" t="s">
        <v>463</v>
      </c>
      <c r="C25" s="36">
        <v>90</v>
      </c>
      <c r="D25" s="37" t="s">
        <v>162</v>
      </c>
      <c r="E25" s="37">
        <v>109</v>
      </c>
    </row>
    <row r="26" spans="2:7" ht="19.5">
      <c r="B26" s="36" t="s">
        <v>468</v>
      </c>
      <c r="C26" s="36">
        <v>75</v>
      </c>
      <c r="D26" s="37" t="s">
        <v>85</v>
      </c>
      <c r="E26" s="37">
        <v>119</v>
      </c>
    </row>
    <row r="27" spans="2:7" ht="19.5">
      <c r="B27" s="36" t="s">
        <v>476</v>
      </c>
      <c r="C27" s="36">
        <v>39</v>
      </c>
      <c r="D27" s="38" t="s">
        <v>393</v>
      </c>
      <c r="E27" s="38">
        <v>102</v>
      </c>
    </row>
    <row r="28" spans="2:7" ht="19.5">
      <c r="B28" s="36" t="s">
        <v>491</v>
      </c>
      <c r="C28" s="36">
        <v>77</v>
      </c>
      <c r="D28" s="38" t="s">
        <v>410</v>
      </c>
      <c r="E28" s="38">
        <v>82</v>
      </c>
    </row>
    <row r="29" spans="2:7" ht="19.5">
      <c r="B29" s="36" t="s">
        <v>502</v>
      </c>
      <c r="C29" s="36">
        <v>100</v>
      </c>
      <c r="D29" s="38" t="s">
        <v>418</v>
      </c>
      <c r="E29" s="38">
        <v>95</v>
      </c>
    </row>
    <row r="30" spans="2:7" ht="19.5">
      <c r="B30" s="36" t="s">
        <v>520</v>
      </c>
      <c r="C30" s="36">
        <v>57</v>
      </c>
      <c r="D30" s="38" t="s">
        <v>453</v>
      </c>
      <c r="E30" s="38">
        <v>93</v>
      </c>
    </row>
    <row r="31" spans="2:7" ht="19.5">
      <c r="B31" s="36" t="s">
        <v>564</v>
      </c>
      <c r="C31" s="36">
        <v>77</v>
      </c>
      <c r="D31" s="38" t="s">
        <v>460</v>
      </c>
      <c r="E31" s="38">
        <v>66</v>
      </c>
    </row>
    <row r="32" spans="2:7" ht="19.5">
      <c r="B32" s="36" t="s">
        <v>570</v>
      </c>
      <c r="C32" s="36">
        <v>51</v>
      </c>
      <c r="D32" s="37" t="s">
        <v>109</v>
      </c>
      <c r="E32" s="37">
        <v>106</v>
      </c>
    </row>
    <row r="33" spans="2:5" ht="19.5">
      <c r="B33" s="36" t="s">
        <v>586</v>
      </c>
      <c r="C33" s="36">
        <v>15</v>
      </c>
      <c r="D33" s="37" t="s">
        <v>396</v>
      </c>
      <c r="E33" s="38">
        <v>107</v>
      </c>
    </row>
    <row r="34" spans="2:5" ht="19.5">
      <c r="B34" s="36" t="s">
        <v>592</v>
      </c>
      <c r="C34" s="36">
        <v>74</v>
      </c>
      <c r="D34" s="38" t="s">
        <v>492</v>
      </c>
      <c r="E34" s="38">
        <v>68</v>
      </c>
    </row>
    <row r="35" spans="2:5" ht="19.5">
      <c r="B35" s="36" t="s">
        <v>614</v>
      </c>
      <c r="C35" s="36">
        <v>70</v>
      </c>
      <c r="D35" s="37" t="s">
        <v>158</v>
      </c>
      <c r="E35" s="37">
        <v>107</v>
      </c>
    </row>
    <row r="36" spans="2:5">
      <c r="B36" s="37" t="s">
        <v>30</v>
      </c>
      <c r="C36" s="37">
        <v>63</v>
      </c>
      <c r="D36" s="37" t="s">
        <v>505</v>
      </c>
      <c r="E36" s="37">
        <v>65</v>
      </c>
    </row>
    <row r="37" spans="2:5">
      <c r="B37" s="37"/>
      <c r="C37" s="37"/>
      <c r="D37" s="37" t="s">
        <v>509</v>
      </c>
      <c r="E37" s="37">
        <v>82</v>
      </c>
    </row>
    <row r="38" spans="2:5">
      <c r="B38" s="37"/>
      <c r="C38" s="37"/>
      <c r="D38" s="37" t="s">
        <v>514</v>
      </c>
      <c r="E38" s="37">
        <v>105</v>
      </c>
    </row>
    <row r="39" spans="2:5">
      <c r="B39" s="37"/>
      <c r="C39" s="37"/>
      <c r="D39" s="37" t="s">
        <v>281</v>
      </c>
      <c r="E39" s="37">
        <v>106</v>
      </c>
    </row>
    <row r="40" spans="2:5">
      <c r="B40" s="37"/>
      <c r="C40" s="37"/>
      <c r="D40" s="37" t="s">
        <v>528</v>
      </c>
      <c r="E40" s="37">
        <v>83</v>
      </c>
    </row>
    <row r="41" spans="2:5">
      <c r="B41" s="37"/>
      <c r="C41" s="37"/>
      <c r="D41" s="37" t="s">
        <v>534</v>
      </c>
      <c r="E41" s="37">
        <v>109</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F092-9A59-4325-B385-1E676F2F63DD}">
  <dimension ref="B2:F29"/>
  <sheetViews>
    <sheetView topLeftCell="A3" workbookViewId="0">
      <selection activeCell="D21" sqref="D21"/>
    </sheetView>
  </sheetViews>
  <sheetFormatPr defaultColWidth="12.25" defaultRowHeight="18.75"/>
  <cols>
    <col min="1" max="1" width="12.25" style="10"/>
    <col min="2" max="2" width="14.125" style="10" bestFit="1" customWidth="1"/>
    <col min="3" max="3" width="13" style="10" customWidth="1"/>
    <col min="4" max="4" width="14.875" style="10" customWidth="1"/>
    <col min="5" max="9" width="12.25" style="10"/>
    <col min="10" max="10" width="14.375" style="10" customWidth="1"/>
    <col min="11" max="11" width="13.25" style="10" customWidth="1"/>
    <col min="12" max="16384" width="12.25" style="10"/>
  </cols>
  <sheetData>
    <row r="2" spans="2:6">
      <c r="B2" s="10" t="s">
        <v>878</v>
      </c>
    </row>
    <row r="4" spans="2:6" ht="19.5">
      <c r="B4" s="39" t="s">
        <v>879</v>
      </c>
      <c r="C4" s="40"/>
      <c r="D4" s="40"/>
      <c r="E4" s="40"/>
      <c r="F4" s="40"/>
    </row>
    <row r="5" spans="2:6">
      <c r="B5" s="37"/>
      <c r="C5" s="37" t="s">
        <v>880</v>
      </c>
      <c r="D5" s="37" t="s">
        <v>881</v>
      </c>
      <c r="E5" s="37" t="s">
        <v>882</v>
      </c>
      <c r="F5" s="37" t="s">
        <v>883</v>
      </c>
    </row>
    <row r="6" spans="2:6">
      <c r="B6" s="37" t="s">
        <v>884</v>
      </c>
      <c r="C6" s="41">
        <v>2000</v>
      </c>
      <c r="D6" s="41">
        <f>C6-E6</f>
        <v>1980</v>
      </c>
      <c r="E6" s="41">
        <v>20</v>
      </c>
      <c r="F6" s="42">
        <f>E6/C6</f>
        <v>0.01</v>
      </c>
    </row>
    <row r="7" spans="2:6">
      <c r="B7" s="37" t="s">
        <v>885</v>
      </c>
      <c r="C7" s="41">
        <v>2100</v>
      </c>
      <c r="D7" s="41">
        <f>C7-E7</f>
        <v>2060</v>
      </c>
      <c r="E7" s="41">
        <v>40</v>
      </c>
      <c r="F7" s="42">
        <f>E7/C7</f>
        <v>1.9047619047619049E-2</v>
      </c>
    </row>
    <row r="8" spans="2:6">
      <c r="F8" s="43"/>
    </row>
    <row r="9" spans="2:6">
      <c r="B9" s="10" t="s">
        <v>886</v>
      </c>
    </row>
    <row r="10" spans="2:6">
      <c r="B10" s="33"/>
      <c r="C10" s="33" t="s">
        <v>881</v>
      </c>
      <c r="D10" s="33" t="s">
        <v>882</v>
      </c>
      <c r="E10" s="33" t="s">
        <v>887</v>
      </c>
    </row>
    <row r="11" spans="2:6">
      <c r="B11" s="37" t="s">
        <v>884</v>
      </c>
      <c r="C11" s="37">
        <f>D6</f>
        <v>1980</v>
      </c>
      <c r="D11" s="37">
        <f>E6</f>
        <v>20</v>
      </c>
      <c r="E11" s="37">
        <f>SUM(C11:D11)</f>
        <v>2000</v>
      </c>
    </row>
    <row r="12" spans="2:6">
      <c r="B12" s="37" t="s">
        <v>885</v>
      </c>
      <c r="C12" s="37">
        <f>D7</f>
        <v>2060</v>
      </c>
      <c r="D12" s="37">
        <f>E7</f>
        <v>40</v>
      </c>
      <c r="E12" s="37">
        <f>SUM(C12:D12)</f>
        <v>2100</v>
      </c>
    </row>
    <row r="13" spans="2:6">
      <c r="B13" s="37" t="s">
        <v>887</v>
      </c>
      <c r="C13" s="37">
        <f>SUM(C11:C12)</f>
        <v>4040</v>
      </c>
      <c r="D13" s="37">
        <f>SUM(D11:D12)</f>
        <v>60</v>
      </c>
      <c r="E13" s="37">
        <f>SUM(C13:D13)</f>
        <v>4100</v>
      </c>
    </row>
    <row r="14" spans="2:6">
      <c r="B14" s="37" t="s">
        <v>888</v>
      </c>
      <c r="C14" s="44">
        <f>C13/E13</f>
        <v>0.98536585365853657</v>
      </c>
      <c r="D14" s="44">
        <f>D13/E13</f>
        <v>1.4634146341463415E-2</v>
      </c>
      <c r="E14" s="45">
        <f>SUM(C14:D14)</f>
        <v>1</v>
      </c>
    </row>
    <row r="15" spans="2:6">
      <c r="C15" s="46"/>
      <c r="D15" s="46"/>
      <c r="E15" s="47"/>
    </row>
    <row r="16" spans="2:6">
      <c r="B16" s="10" t="s">
        <v>889</v>
      </c>
      <c r="C16" s="10" t="s">
        <v>894</v>
      </c>
    </row>
    <row r="17" spans="2:5">
      <c r="B17" s="48"/>
      <c r="C17" s="48" t="s">
        <v>881</v>
      </c>
      <c r="D17" s="48" t="s">
        <v>882</v>
      </c>
      <c r="E17" s="48" t="s">
        <v>887</v>
      </c>
    </row>
    <row r="18" spans="2:5">
      <c r="B18" s="37" t="s">
        <v>884</v>
      </c>
      <c r="C18" s="49">
        <f>E11*C14</f>
        <v>1970.7317073170732</v>
      </c>
      <c r="D18" s="49">
        <f>D14*E11</f>
        <v>29.26829268292683</v>
      </c>
      <c r="E18" s="49">
        <f>SUM(C18:D18)</f>
        <v>2000</v>
      </c>
    </row>
    <row r="19" spans="2:5">
      <c r="B19" s="37" t="s">
        <v>885</v>
      </c>
      <c r="C19" s="49">
        <f>E12*C14</f>
        <v>2069.2682926829266</v>
      </c>
      <c r="D19" s="49">
        <f>D14*E12</f>
        <v>30.731707317073173</v>
      </c>
      <c r="E19" s="49">
        <f>SUM(C19:D19)</f>
        <v>2099.9999999999995</v>
      </c>
    </row>
    <row r="20" spans="2:5" ht="19.5">
      <c r="B20" s="37" t="s">
        <v>887</v>
      </c>
      <c r="C20" s="50">
        <f>SUM(C18:C19)</f>
        <v>4040</v>
      </c>
      <c r="D20" s="50">
        <f>SUM(D18:D19)</f>
        <v>60</v>
      </c>
      <c r="E20" s="51">
        <f>SUM(C20:D20)</f>
        <v>4100</v>
      </c>
    </row>
    <row r="21" spans="2:5" ht="19.5">
      <c r="B21" s="37" t="s">
        <v>888</v>
      </c>
      <c r="C21" s="52">
        <f>C20/E20</f>
        <v>0.98536585365853657</v>
      </c>
      <c r="D21" s="52">
        <f>D20/E20</f>
        <v>1.4634146341463415E-2</v>
      </c>
      <c r="E21" s="53">
        <f>SUM(C21:D21)</f>
        <v>1</v>
      </c>
    </row>
    <row r="24" spans="2:5">
      <c r="B24" s="10" t="s">
        <v>890</v>
      </c>
    </row>
    <row r="25" spans="2:5">
      <c r="B25" s="37" t="s">
        <v>891</v>
      </c>
      <c r="C25" s="44">
        <f>_xlfn.CHISQ.TEST(C11:D12,C18:D19)</f>
        <v>1.5887703630711535E-2</v>
      </c>
    </row>
    <row r="26" spans="2:5">
      <c r="B26" s="37" t="s">
        <v>892</v>
      </c>
      <c r="C26" s="54">
        <v>0.05</v>
      </c>
    </row>
    <row r="28" spans="2:5">
      <c r="B28" s="10" t="s">
        <v>893</v>
      </c>
      <c r="C28" s="10" t="s">
        <v>895</v>
      </c>
    </row>
    <row r="29" spans="2:5">
      <c r="C29" s="10" t="s">
        <v>896</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3A40-1548-4F16-84C3-7E1E3F58EDAB}">
  <sheetPr>
    <tabColor rgb="FFFF0000"/>
  </sheetPr>
  <dimension ref="A1"/>
  <sheetViews>
    <sheetView workbookViewId="0">
      <selection activeCell="A3" sqref="A3"/>
    </sheetView>
  </sheetViews>
  <sheetFormatPr defaultRowHeight="18.75"/>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4E0C-142A-4D0D-B489-44A9B2DABA14}">
  <dimension ref="A1:F683"/>
  <sheetViews>
    <sheetView topLeftCell="A657" workbookViewId="0">
      <selection activeCell="C685" sqref="C685"/>
    </sheetView>
  </sheetViews>
  <sheetFormatPr defaultColWidth="12.25" defaultRowHeight="18.75"/>
  <cols>
    <col min="1" max="1" width="10.125" style="10" bestFit="1" customWidth="1"/>
    <col min="2" max="2" width="15.5" style="10" bestFit="1" customWidth="1"/>
    <col min="3" max="3" width="23.375" style="10" customWidth="1"/>
    <col min="4" max="4" width="13.75" style="10" customWidth="1"/>
    <col min="5" max="5" width="15.5" style="10" bestFit="1" customWidth="1"/>
    <col min="6" max="6" width="13.75" style="21" bestFit="1" customWidth="1"/>
    <col min="7" max="16384" width="12.25" style="10"/>
  </cols>
  <sheetData>
    <row r="1" spans="1:6">
      <c r="A1" s="10" t="s">
        <v>897</v>
      </c>
      <c r="B1" s="10" t="s">
        <v>4</v>
      </c>
      <c r="C1" s="10" t="s">
        <v>898</v>
      </c>
    </row>
    <row r="2" spans="1:6">
      <c r="A2" s="10" t="s">
        <v>11</v>
      </c>
      <c r="B2" s="10" t="s">
        <v>12</v>
      </c>
      <c r="C2" s="10" t="str">
        <f>IF(B2="", "青果物", B2)</f>
        <v>その他</v>
      </c>
      <c r="E2" s="10" t="s">
        <v>899</v>
      </c>
    </row>
    <row r="3" spans="1:6">
      <c r="A3" s="10" t="s">
        <v>14</v>
      </c>
      <c r="B3" s="10" t="s">
        <v>12</v>
      </c>
      <c r="C3" s="10" t="str">
        <f t="shared" ref="C3:C66" si="0">IF(B3="", "青果物", B3)</f>
        <v>その他</v>
      </c>
    </row>
    <row r="4" spans="1:6">
      <c r="A4" s="10" t="s">
        <v>15</v>
      </c>
      <c r="B4" s="10" t="s">
        <v>12</v>
      </c>
      <c r="C4" s="10" t="str">
        <f t="shared" si="0"/>
        <v>その他</v>
      </c>
      <c r="E4" s="10" t="s">
        <v>900</v>
      </c>
      <c r="F4" s="55"/>
    </row>
    <row r="5" spans="1:6">
      <c r="A5" s="10" t="s">
        <v>17</v>
      </c>
      <c r="B5" s="10" t="s">
        <v>12</v>
      </c>
      <c r="C5" s="10" t="str">
        <f t="shared" si="0"/>
        <v>その他</v>
      </c>
      <c r="E5" s="10" t="s">
        <v>901</v>
      </c>
      <c r="F5" s="56"/>
    </row>
    <row r="6" spans="1:6">
      <c r="A6" s="10" t="s">
        <v>18</v>
      </c>
      <c r="B6" s="10" t="s">
        <v>12</v>
      </c>
      <c r="C6" s="10" t="str">
        <f t="shared" si="0"/>
        <v>その他</v>
      </c>
      <c r="E6" s="10" t="s">
        <v>902</v>
      </c>
      <c r="F6" s="56"/>
    </row>
    <row r="7" spans="1:6">
      <c r="A7" s="10" t="s">
        <v>19</v>
      </c>
      <c r="B7" s="10" t="s">
        <v>12</v>
      </c>
      <c r="C7" s="10" t="str">
        <f t="shared" si="0"/>
        <v>その他</v>
      </c>
      <c r="F7" s="55"/>
    </row>
    <row r="8" spans="1:6">
      <c r="A8" s="10" t="s">
        <v>21</v>
      </c>
      <c r="B8" s="10" t="s">
        <v>12</v>
      </c>
      <c r="C8" s="10" t="str">
        <f t="shared" si="0"/>
        <v>その他</v>
      </c>
      <c r="E8" s="20" t="s">
        <v>733</v>
      </c>
      <c r="F8" s="10" t="s">
        <v>903</v>
      </c>
    </row>
    <row r="9" spans="1:6">
      <c r="A9" s="10" t="s">
        <v>22</v>
      </c>
      <c r="B9" s="10" t="s">
        <v>12</v>
      </c>
      <c r="C9" s="10" t="str">
        <f t="shared" si="0"/>
        <v>その他</v>
      </c>
      <c r="E9" s="15" t="s">
        <v>39</v>
      </c>
      <c r="F9" s="10">
        <v>136</v>
      </c>
    </row>
    <row r="10" spans="1:6">
      <c r="A10" s="10" t="s">
        <v>23</v>
      </c>
      <c r="B10" s="10" t="s">
        <v>12</v>
      </c>
      <c r="C10" s="10" t="str">
        <f t="shared" si="0"/>
        <v>その他</v>
      </c>
      <c r="E10" s="15" t="s">
        <v>42</v>
      </c>
      <c r="F10" s="10">
        <v>135</v>
      </c>
    </row>
    <row r="11" spans="1:6">
      <c r="A11" s="10" t="s">
        <v>24</v>
      </c>
      <c r="B11" s="10" t="s">
        <v>12</v>
      </c>
      <c r="C11" s="10" t="str">
        <f t="shared" si="0"/>
        <v>その他</v>
      </c>
      <c r="E11" s="15" t="s">
        <v>37</v>
      </c>
      <c r="F11" s="10">
        <v>89</v>
      </c>
    </row>
    <row r="12" spans="1:6">
      <c r="A12" s="10" t="s">
        <v>25</v>
      </c>
      <c r="B12" s="10" t="s">
        <v>12</v>
      </c>
      <c r="C12" s="10" t="str">
        <f t="shared" si="0"/>
        <v>その他</v>
      </c>
      <c r="E12" s="15" t="s">
        <v>737</v>
      </c>
      <c r="F12" s="10">
        <v>72</v>
      </c>
    </row>
    <row r="13" spans="1:6">
      <c r="A13" s="10" t="s">
        <v>26</v>
      </c>
      <c r="B13" s="10" t="s">
        <v>12</v>
      </c>
      <c r="C13" s="10" t="str">
        <f t="shared" si="0"/>
        <v>その他</v>
      </c>
      <c r="E13" s="15" t="s">
        <v>740</v>
      </c>
      <c r="F13" s="10">
        <v>67</v>
      </c>
    </row>
    <row r="14" spans="1:6">
      <c r="A14" s="10" t="s">
        <v>27</v>
      </c>
      <c r="B14" s="10" t="s">
        <v>12</v>
      </c>
      <c r="C14" s="10" t="str">
        <f t="shared" si="0"/>
        <v>その他</v>
      </c>
      <c r="E14" s="15" t="s">
        <v>739</v>
      </c>
      <c r="F14" s="10">
        <v>56</v>
      </c>
    </row>
    <row r="15" spans="1:6">
      <c r="A15" s="10" t="s">
        <v>28</v>
      </c>
      <c r="B15" s="10" t="s">
        <v>12</v>
      </c>
      <c r="C15" s="10" t="str">
        <f t="shared" si="0"/>
        <v>その他</v>
      </c>
      <c r="E15" s="15" t="s">
        <v>628</v>
      </c>
      <c r="F15" s="10">
        <v>45</v>
      </c>
    </row>
    <row r="16" spans="1:6">
      <c r="A16" s="10" t="s">
        <v>29</v>
      </c>
      <c r="B16" s="10" t="s">
        <v>12</v>
      </c>
      <c r="C16" s="10" t="str">
        <f t="shared" si="0"/>
        <v>その他</v>
      </c>
      <c r="E16" s="15" t="s">
        <v>736</v>
      </c>
      <c r="F16" s="10">
        <v>31</v>
      </c>
    </row>
    <row r="17" spans="1:6">
      <c r="A17" s="10" t="s">
        <v>30</v>
      </c>
      <c r="B17" s="10" t="s">
        <v>31</v>
      </c>
      <c r="C17" s="10" t="str">
        <f t="shared" si="0"/>
        <v>缶類</v>
      </c>
      <c r="E17" s="15" t="s">
        <v>734</v>
      </c>
      <c r="F17" s="10">
        <v>23</v>
      </c>
    </row>
    <row r="18" spans="1:6">
      <c r="A18" s="10" t="s">
        <v>33</v>
      </c>
      <c r="B18" s="10" t="s">
        <v>34</v>
      </c>
      <c r="C18" s="10" t="str">
        <f t="shared" si="0"/>
        <v>日用品</v>
      </c>
      <c r="E18" s="15" t="s">
        <v>735</v>
      </c>
      <c r="F18" s="10">
        <v>15</v>
      </c>
    </row>
    <row r="19" spans="1:6">
      <c r="A19" s="10" t="s">
        <v>35</v>
      </c>
      <c r="B19" s="10" t="s">
        <v>34</v>
      </c>
      <c r="C19" s="10" t="str">
        <f t="shared" si="0"/>
        <v>日用品</v>
      </c>
      <c r="E19" s="15" t="s">
        <v>738</v>
      </c>
      <c r="F19" s="10">
        <v>7</v>
      </c>
    </row>
    <row r="20" spans="1:6">
      <c r="A20" s="10" t="s">
        <v>36</v>
      </c>
      <c r="B20" s="10" t="s">
        <v>37</v>
      </c>
      <c r="C20" s="10" t="str">
        <f t="shared" si="0"/>
        <v>冷凍食品</v>
      </c>
      <c r="E20" s="15" t="s">
        <v>741</v>
      </c>
      <c r="F20" s="10"/>
    </row>
    <row r="21" spans="1:6">
      <c r="A21" s="10" t="s">
        <v>38</v>
      </c>
      <c r="B21" s="10" t="s">
        <v>39</v>
      </c>
      <c r="C21" s="10" t="str">
        <f t="shared" si="0"/>
        <v>青果物</v>
      </c>
      <c r="E21" s="15" t="s">
        <v>742</v>
      </c>
      <c r="F21" s="10">
        <v>676</v>
      </c>
    </row>
    <row r="22" spans="1:6">
      <c r="A22" s="10" t="s">
        <v>40</v>
      </c>
      <c r="B22" s="10" t="s">
        <v>39</v>
      </c>
      <c r="C22" s="10" t="str">
        <f t="shared" si="0"/>
        <v>青果物</v>
      </c>
    </row>
    <row r="23" spans="1:6">
      <c r="A23" s="10" t="s">
        <v>41</v>
      </c>
      <c r="B23" s="10" t="s">
        <v>42</v>
      </c>
      <c r="C23" s="10" t="str">
        <f t="shared" si="0"/>
        <v>スナック食品</v>
      </c>
      <c r="E23" s="15"/>
      <c r="F23" s="56"/>
    </row>
    <row r="24" spans="1:6">
      <c r="A24" s="10" t="s">
        <v>43</v>
      </c>
      <c r="B24" s="10" t="s">
        <v>31</v>
      </c>
      <c r="C24" s="10" t="str">
        <f t="shared" si="0"/>
        <v>缶類</v>
      </c>
      <c r="E24" s="15"/>
      <c r="F24" s="10"/>
    </row>
    <row r="25" spans="1:6">
      <c r="A25" s="10" t="s">
        <v>44</v>
      </c>
      <c r="B25" s="10" t="s">
        <v>34</v>
      </c>
      <c r="C25" s="10" t="str">
        <f t="shared" si="0"/>
        <v>日用品</v>
      </c>
      <c r="F25" s="10"/>
    </row>
    <row r="26" spans="1:6">
      <c r="A26" s="10" t="s">
        <v>45</v>
      </c>
      <c r="B26" s="10" t="s">
        <v>37</v>
      </c>
      <c r="C26" s="10" t="str">
        <f t="shared" si="0"/>
        <v>冷凍食品</v>
      </c>
    </row>
    <row r="27" spans="1:6">
      <c r="A27" s="10" t="s">
        <v>46</v>
      </c>
      <c r="C27" s="10" t="str">
        <f t="shared" si="0"/>
        <v>青果物</v>
      </c>
    </row>
    <row r="28" spans="1:6">
      <c r="A28" s="10" t="s">
        <v>47</v>
      </c>
      <c r="B28" s="10" t="s">
        <v>34</v>
      </c>
      <c r="C28" s="10" t="str">
        <f t="shared" si="0"/>
        <v>日用品</v>
      </c>
    </row>
    <row r="29" spans="1:6">
      <c r="A29" s="10" t="s">
        <v>48</v>
      </c>
      <c r="B29" s="10" t="s">
        <v>37</v>
      </c>
      <c r="C29" s="10" t="str">
        <f t="shared" si="0"/>
        <v>冷凍食品</v>
      </c>
    </row>
    <row r="30" spans="1:6">
      <c r="A30" s="10" t="s">
        <v>49</v>
      </c>
      <c r="B30" s="10" t="s">
        <v>50</v>
      </c>
      <c r="C30" s="10" t="str">
        <f t="shared" si="0"/>
        <v>肉類</v>
      </c>
    </row>
    <row r="31" spans="1:6">
      <c r="A31" s="10" t="s">
        <v>51</v>
      </c>
      <c r="B31" s="10" t="s">
        <v>39</v>
      </c>
      <c r="C31" s="10" t="str">
        <f t="shared" si="0"/>
        <v>青果物</v>
      </c>
    </row>
    <row r="32" spans="1:6">
      <c r="A32" s="10" t="s">
        <v>52</v>
      </c>
      <c r="B32" s="10" t="s">
        <v>39</v>
      </c>
      <c r="C32" s="10" t="str">
        <f t="shared" si="0"/>
        <v>青果物</v>
      </c>
    </row>
    <row r="33" spans="1:3">
      <c r="A33" s="10" t="s">
        <v>53</v>
      </c>
      <c r="B33" s="10" t="s">
        <v>42</v>
      </c>
      <c r="C33" s="10" t="str">
        <f t="shared" si="0"/>
        <v>スナック食品</v>
      </c>
    </row>
    <row r="34" spans="1:3">
      <c r="A34" s="10" t="s">
        <v>54</v>
      </c>
      <c r="B34" s="10" t="s">
        <v>42</v>
      </c>
      <c r="C34" s="10" t="str">
        <f t="shared" si="0"/>
        <v>スナック食品</v>
      </c>
    </row>
    <row r="35" spans="1:3">
      <c r="A35" s="10" t="s">
        <v>55</v>
      </c>
      <c r="B35" s="10" t="s">
        <v>31</v>
      </c>
      <c r="C35" s="10" t="str">
        <f t="shared" si="0"/>
        <v>缶類</v>
      </c>
    </row>
    <row r="36" spans="1:3">
      <c r="A36" s="10" t="s">
        <v>56</v>
      </c>
      <c r="B36" s="10" t="s">
        <v>34</v>
      </c>
      <c r="C36" s="10" t="str">
        <f t="shared" si="0"/>
        <v>日用品</v>
      </c>
    </row>
    <row r="37" spans="1:3">
      <c r="A37" s="10" t="s">
        <v>57</v>
      </c>
      <c r="B37" s="10" t="s">
        <v>34</v>
      </c>
      <c r="C37" s="10" t="str">
        <f t="shared" si="0"/>
        <v>日用品</v>
      </c>
    </row>
    <row r="38" spans="1:3">
      <c r="A38" s="10" t="s">
        <v>58</v>
      </c>
      <c r="B38" s="10" t="s">
        <v>37</v>
      </c>
      <c r="C38" s="10" t="str">
        <f t="shared" si="0"/>
        <v>冷凍食品</v>
      </c>
    </row>
    <row r="39" spans="1:3">
      <c r="A39" s="10" t="s">
        <v>59</v>
      </c>
      <c r="B39" s="10" t="s">
        <v>39</v>
      </c>
      <c r="C39" s="10" t="str">
        <f t="shared" si="0"/>
        <v>青果物</v>
      </c>
    </row>
    <row r="40" spans="1:3">
      <c r="A40" s="10" t="s">
        <v>60</v>
      </c>
      <c r="B40" s="10" t="s">
        <v>39</v>
      </c>
      <c r="C40" s="10" t="str">
        <f t="shared" si="0"/>
        <v>青果物</v>
      </c>
    </row>
    <row r="41" spans="1:3">
      <c r="A41" s="10" t="s">
        <v>61</v>
      </c>
      <c r="B41" s="10" t="s">
        <v>42</v>
      </c>
      <c r="C41" s="10" t="str">
        <f t="shared" si="0"/>
        <v>スナック食品</v>
      </c>
    </row>
    <row r="42" spans="1:3">
      <c r="A42" s="10" t="s">
        <v>62</v>
      </c>
      <c r="B42" s="10" t="s">
        <v>31</v>
      </c>
      <c r="C42" s="10" t="str">
        <f t="shared" si="0"/>
        <v>缶類</v>
      </c>
    </row>
    <row r="43" spans="1:3">
      <c r="A43" s="10" t="s">
        <v>63</v>
      </c>
      <c r="B43" s="10" t="s">
        <v>34</v>
      </c>
      <c r="C43" s="10" t="str">
        <f t="shared" si="0"/>
        <v>日用品</v>
      </c>
    </row>
    <row r="44" spans="1:3">
      <c r="A44" s="10" t="s">
        <v>64</v>
      </c>
      <c r="B44" s="10" t="s">
        <v>37</v>
      </c>
      <c r="C44" s="10" t="str">
        <f t="shared" si="0"/>
        <v>冷凍食品</v>
      </c>
    </row>
    <row r="45" spans="1:3">
      <c r="A45" s="10" t="s">
        <v>65</v>
      </c>
      <c r="B45" s="10" t="s">
        <v>39</v>
      </c>
      <c r="C45" s="10" t="str">
        <f t="shared" si="0"/>
        <v>青果物</v>
      </c>
    </row>
    <row r="46" spans="1:3">
      <c r="A46" s="10" t="s">
        <v>66</v>
      </c>
      <c r="B46" s="10" t="s">
        <v>31</v>
      </c>
      <c r="C46" s="10" t="str">
        <f t="shared" si="0"/>
        <v>缶類</v>
      </c>
    </row>
    <row r="47" spans="1:3">
      <c r="A47" s="10" t="s">
        <v>67</v>
      </c>
      <c r="B47" s="10" t="s">
        <v>37</v>
      </c>
      <c r="C47" s="10" t="str">
        <f t="shared" si="0"/>
        <v>冷凍食品</v>
      </c>
    </row>
    <row r="48" spans="1:3">
      <c r="A48" s="10" t="s">
        <v>68</v>
      </c>
      <c r="B48" s="10" t="s">
        <v>39</v>
      </c>
      <c r="C48" s="10" t="str">
        <f t="shared" si="0"/>
        <v>青果物</v>
      </c>
    </row>
    <row r="49" spans="1:3">
      <c r="A49" s="10" t="s">
        <v>69</v>
      </c>
      <c r="B49" s="10" t="s">
        <v>42</v>
      </c>
      <c r="C49" s="10" t="str">
        <f t="shared" si="0"/>
        <v>スナック食品</v>
      </c>
    </row>
    <row r="50" spans="1:3">
      <c r="A50" s="10" t="s">
        <v>70</v>
      </c>
      <c r="B50" s="10" t="s">
        <v>31</v>
      </c>
      <c r="C50" s="10" t="str">
        <f t="shared" si="0"/>
        <v>缶類</v>
      </c>
    </row>
    <row r="51" spans="1:3">
      <c r="A51" s="10" t="s">
        <v>71</v>
      </c>
      <c r="B51" s="10" t="s">
        <v>34</v>
      </c>
      <c r="C51" s="10" t="str">
        <f t="shared" si="0"/>
        <v>日用品</v>
      </c>
    </row>
    <row r="52" spans="1:3">
      <c r="A52" s="10" t="s">
        <v>72</v>
      </c>
      <c r="B52" s="10" t="s">
        <v>39</v>
      </c>
      <c r="C52" s="10" t="str">
        <f t="shared" si="0"/>
        <v>青果物</v>
      </c>
    </row>
    <row r="53" spans="1:3">
      <c r="A53" s="10" t="s">
        <v>73</v>
      </c>
      <c r="B53" s="10" t="s">
        <v>42</v>
      </c>
      <c r="C53" s="10" t="str">
        <f t="shared" si="0"/>
        <v>スナック食品</v>
      </c>
    </row>
    <row r="54" spans="1:3">
      <c r="A54" s="10" t="s">
        <v>74</v>
      </c>
      <c r="B54" s="10" t="s">
        <v>31</v>
      </c>
      <c r="C54" s="10" t="str">
        <f t="shared" si="0"/>
        <v>缶類</v>
      </c>
    </row>
    <row r="55" spans="1:3">
      <c r="A55" s="10" t="s">
        <v>75</v>
      </c>
      <c r="B55" s="10" t="s">
        <v>34</v>
      </c>
      <c r="C55" s="10" t="str">
        <f t="shared" si="0"/>
        <v>日用品</v>
      </c>
    </row>
    <row r="56" spans="1:3">
      <c r="A56" s="10" t="s">
        <v>76</v>
      </c>
      <c r="B56" s="10" t="s">
        <v>39</v>
      </c>
      <c r="C56" s="10" t="str">
        <f t="shared" si="0"/>
        <v>青果物</v>
      </c>
    </row>
    <row r="57" spans="1:3">
      <c r="A57" s="10" t="s">
        <v>77</v>
      </c>
      <c r="B57" s="10" t="s">
        <v>34</v>
      </c>
      <c r="C57" s="10" t="str">
        <f t="shared" si="0"/>
        <v>日用品</v>
      </c>
    </row>
    <row r="58" spans="1:3">
      <c r="A58" s="10" t="s">
        <v>78</v>
      </c>
      <c r="B58" s="10" t="s">
        <v>37</v>
      </c>
      <c r="C58" s="10" t="str">
        <f t="shared" si="0"/>
        <v>冷凍食品</v>
      </c>
    </row>
    <row r="59" spans="1:3">
      <c r="A59" s="10" t="s">
        <v>79</v>
      </c>
      <c r="B59" s="10" t="s">
        <v>39</v>
      </c>
      <c r="C59" s="10" t="str">
        <f t="shared" si="0"/>
        <v>青果物</v>
      </c>
    </row>
    <row r="60" spans="1:3">
      <c r="A60" s="10" t="s">
        <v>80</v>
      </c>
      <c r="B60" s="10" t="s">
        <v>39</v>
      </c>
      <c r="C60" s="10" t="str">
        <f t="shared" si="0"/>
        <v>青果物</v>
      </c>
    </row>
    <row r="61" spans="1:3">
      <c r="A61" s="10" t="s">
        <v>81</v>
      </c>
      <c r="B61" s="10" t="s">
        <v>42</v>
      </c>
      <c r="C61" s="10" t="str">
        <f t="shared" si="0"/>
        <v>スナック食品</v>
      </c>
    </row>
    <row r="62" spans="1:3">
      <c r="A62" s="10" t="s">
        <v>82</v>
      </c>
      <c r="B62" s="10" t="s">
        <v>42</v>
      </c>
      <c r="C62" s="10" t="str">
        <f t="shared" si="0"/>
        <v>スナック食品</v>
      </c>
    </row>
    <row r="63" spans="1:3">
      <c r="A63" s="10" t="s">
        <v>83</v>
      </c>
      <c r="B63" s="10" t="s">
        <v>31</v>
      </c>
      <c r="C63" s="10" t="str">
        <f t="shared" si="0"/>
        <v>缶類</v>
      </c>
    </row>
    <row r="64" spans="1:3">
      <c r="A64" s="10" t="s">
        <v>84</v>
      </c>
      <c r="B64" s="10" t="s">
        <v>34</v>
      </c>
      <c r="C64" s="10" t="str">
        <f t="shared" si="0"/>
        <v>日用品</v>
      </c>
    </row>
    <row r="65" spans="1:3">
      <c r="A65" s="10" t="s">
        <v>85</v>
      </c>
      <c r="B65" s="10" t="s">
        <v>39</v>
      </c>
      <c r="C65" s="10" t="str">
        <f t="shared" si="0"/>
        <v>青果物</v>
      </c>
    </row>
    <row r="66" spans="1:3">
      <c r="A66" s="10" t="s">
        <v>86</v>
      </c>
      <c r="B66" s="10" t="s">
        <v>42</v>
      </c>
      <c r="C66" s="10" t="str">
        <f t="shared" si="0"/>
        <v>スナック食品</v>
      </c>
    </row>
    <row r="67" spans="1:3">
      <c r="A67" s="10" t="s">
        <v>87</v>
      </c>
      <c r="B67" s="10" t="s">
        <v>31</v>
      </c>
      <c r="C67" s="10" t="str">
        <f t="shared" ref="C67:C130" si="1">IF(B67="", "青果物", B67)</f>
        <v>缶類</v>
      </c>
    </row>
    <row r="68" spans="1:3">
      <c r="A68" s="10" t="s">
        <v>88</v>
      </c>
      <c r="B68" s="10" t="s">
        <v>34</v>
      </c>
      <c r="C68" s="10" t="str">
        <f t="shared" si="1"/>
        <v>日用品</v>
      </c>
    </row>
    <row r="69" spans="1:3">
      <c r="A69" s="10" t="s">
        <v>89</v>
      </c>
      <c r="B69" s="10" t="s">
        <v>37</v>
      </c>
      <c r="C69" s="10" t="str">
        <f t="shared" si="1"/>
        <v>冷凍食品</v>
      </c>
    </row>
    <row r="70" spans="1:3">
      <c r="A70" s="10" t="s">
        <v>90</v>
      </c>
      <c r="B70" s="10" t="s">
        <v>37</v>
      </c>
      <c r="C70" s="10" t="str">
        <f t="shared" si="1"/>
        <v>冷凍食品</v>
      </c>
    </row>
    <row r="71" spans="1:3">
      <c r="A71" s="10" t="s">
        <v>91</v>
      </c>
      <c r="B71" s="10" t="s">
        <v>37</v>
      </c>
      <c r="C71" s="10" t="str">
        <f t="shared" si="1"/>
        <v>冷凍食品</v>
      </c>
    </row>
    <row r="72" spans="1:3">
      <c r="A72" s="10" t="s">
        <v>92</v>
      </c>
      <c r="B72" s="10" t="s">
        <v>39</v>
      </c>
      <c r="C72" s="10" t="str">
        <f t="shared" si="1"/>
        <v>青果物</v>
      </c>
    </row>
    <row r="73" spans="1:3">
      <c r="A73" s="10" t="s">
        <v>93</v>
      </c>
      <c r="B73" s="10" t="s">
        <v>39</v>
      </c>
      <c r="C73" s="10" t="str">
        <f t="shared" si="1"/>
        <v>青果物</v>
      </c>
    </row>
    <row r="74" spans="1:3">
      <c r="A74" s="10" t="s">
        <v>94</v>
      </c>
      <c r="B74" s="10" t="s">
        <v>37</v>
      </c>
      <c r="C74" s="10" t="str">
        <f t="shared" si="1"/>
        <v>冷凍食品</v>
      </c>
    </row>
    <row r="75" spans="1:3">
      <c r="A75" s="10" t="s">
        <v>95</v>
      </c>
      <c r="B75" s="10" t="s">
        <v>39</v>
      </c>
      <c r="C75" s="10" t="str">
        <f t="shared" si="1"/>
        <v>青果物</v>
      </c>
    </row>
    <row r="76" spans="1:3">
      <c r="A76" s="10" t="s">
        <v>96</v>
      </c>
      <c r="B76" s="10" t="s">
        <v>39</v>
      </c>
      <c r="C76" s="10" t="str">
        <f t="shared" si="1"/>
        <v>青果物</v>
      </c>
    </row>
    <row r="77" spans="1:3">
      <c r="A77" s="10" t="s">
        <v>97</v>
      </c>
      <c r="B77" s="10" t="s">
        <v>42</v>
      </c>
      <c r="C77" s="10" t="str">
        <f t="shared" si="1"/>
        <v>スナック食品</v>
      </c>
    </row>
    <row r="78" spans="1:3">
      <c r="A78" s="10" t="s">
        <v>98</v>
      </c>
      <c r="B78" s="10" t="s">
        <v>31</v>
      </c>
      <c r="C78" s="10" t="str">
        <f t="shared" si="1"/>
        <v>缶類</v>
      </c>
    </row>
    <row r="79" spans="1:3">
      <c r="A79" s="10" t="s">
        <v>99</v>
      </c>
      <c r="B79" s="10" t="s">
        <v>37</v>
      </c>
      <c r="C79" s="10" t="str">
        <f t="shared" si="1"/>
        <v>冷凍食品</v>
      </c>
    </row>
    <row r="80" spans="1:3">
      <c r="A80" s="10" t="s">
        <v>100</v>
      </c>
      <c r="B80" s="10" t="s">
        <v>42</v>
      </c>
      <c r="C80" s="10" t="str">
        <f t="shared" si="1"/>
        <v>スナック食品</v>
      </c>
    </row>
    <row r="81" spans="1:3">
      <c r="A81" s="10" t="s">
        <v>101</v>
      </c>
      <c r="B81" s="10" t="s">
        <v>37</v>
      </c>
      <c r="C81" s="10" t="str">
        <f t="shared" si="1"/>
        <v>冷凍食品</v>
      </c>
    </row>
    <row r="82" spans="1:3">
      <c r="A82" s="10" t="s">
        <v>102</v>
      </c>
      <c r="B82" s="10" t="s">
        <v>39</v>
      </c>
      <c r="C82" s="10" t="str">
        <f t="shared" si="1"/>
        <v>青果物</v>
      </c>
    </row>
    <row r="83" spans="1:3">
      <c r="A83" s="10" t="s">
        <v>103</v>
      </c>
      <c r="B83" s="10" t="s">
        <v>39</v>
      </c>
      <c r="C83" s="10" t="str">
        <f t="shared" si="1"/>
        <v>青果物</v>
      </c>
    </row>
    <row r="84" spans="1:3">
      <c r="A84" s="10" t="s">
        <v>104</v>
      </c>
      <c r="B84" s="10" t="s">
        <v>42</v>
      </c>
      <c r="C84" s="10" t="str">
        <f t="shared" si="1"/>
        <v>スナック食品</v>
      </c>
    </row>
    <row r="85" spans="1:3">
      <c r="A85" s="10" t="s">
        <v>105</v>
      </c>
      <c r="B85" s="10" t="s">
        <v>39</v>
      </c>
      <c r="C85" s="10" t="str">
        <f t="shared" si="1"/>
        <v>青果物</v>
      </c>
    </row>
    <row r="86" spans="1:3">
      <c r="A86" s="10" t="s">
        <v>106</v>
      </c>
      <c r="B86" s="10" t="s">
        <v>31</v>
      </c>
      <c r="C86" s="10" t="str">
        <f t="shared" si="1"/>
        <v>缶類</v>
      </c>
    </row>
    <row r="87" spans="1:3">
      <c r="A87" s="10" t="s">
        <v>107</v>
      </c>
      <c r="B87" s="10" t="s">
        <v>37</v>
      </c>
      <c r="C87" s="10" t="str">
        <f t="shared" si="1"/>
        <v>冷凍食品</v>
      </c>
    </row>
    <row r="88" spans="1:3">
      <c r="A88" s="10" t="s">
        <v>108</v>
      </c>
      <c r="B88" s="10" t="s">
        <v>37</v>
      </c>
      <c r="C88" s="10" t="str">
        <f t="shared" si="1"/>
        <v>冷凍食品</v>
      </c>
    </row>
    <row r="89" spans="1:3">
      <c r="A89" s="10" t="s">
        <v>109</v>
      </c>
      <c r="B89" s="10" t="s">
        <v>39</v>
      </c>
      <c r="C89" s="10" t="str">
        <f t="shared" si="1"/>
        <v>青果物</v>
      </c>
    </row>
    <row r="90" spans="1:3">
      <c r="A90" s="10" t="s">
        <v>110</v>
      </c>
      <c r="B90" s="10" t="s">
        <v>31</v>
      </c>
      <c r="C90" s="10" t="str">
        <f t="shared" si="1"/>
        <v>缶類</v>
      </c>
    </row>
    <row r="91" spans="1:3">
      <c r="A91" s="10" t="s">
        <v>111</v>
      </c>
      <c r="B91" s="10" t="s">
        <v>34</v>
      </c>
      <c r="C91" s="10" t="str">
        <f t="shared" si="1"/>
        <v>日用品</v>
      </c>
    </row>
    <row r="92" spans="1:3">
      <c r="A92" s="10" t="s">
        <v>112</v>
      </c>
      <c r="B92" s="10" t="s">
        <v>34</v>
      </c>
      <c r="C92" s="10" t="str">
        <f t="shared" si="1"/>
        <v>日用品</v>
      </c>
    </row>
    <row r="93" spans="1:3">
      <c r="A93" s="10" t="s">
        <v>113</v>
      </c>
      <c r="B93" s="10" t="s">
        <v>37</v>
      </c>
      <c r="C93" s="10" t="str">
        <f t="shared" si="1"/>
        <v>冷凍食品</v>
      </c>
    </row>
    <row r="94" spans="1:3">
      <c r="A94" s="10" t="s">
        <v>114</v>
      </c>
      <c r="B94" s="10" t="s">
        <v>42</v>
      </c>
      <c r="C94" s="10" t="str">
        <f t="shared" si="1"/>
        <v>スナック食品</v>
      </c>
    </row>
    <row r="95" spans="1:3">
      <c r="A95" s="10" t="s">
        <v>115</v>
      </c>
      <c r="B95" s="10" t="s">
        <v>31</v>
      </c>
      <c r="C95" s="10" t="str">
        <f t="shared" si="1"/>
        <v>缶類</v>
      </c>
    </row>
    <row r="96" spans="1:3">
      <c r="A96" s="10" t="s">
        <v>116</v>
      </c>
      <c r="B96" s="10" t="s">
        <v>34</v>
      </c>
      <c r="C96" s="10" t="str">
        <f t="shared" si="1"/>
        <v>日用品</v>
      </c>
    </row>
    <row r="97" spans="1:3">
      <c r="A97" s="10" t="s">
        <v>117</v>
      </c>
      <c r="B97" s="10" t="s">
        <v>34</v>
      </c>
      <c r="C97" s="10" t="str">
        <f t="shared" si="1"/>
        <v>日用品</v>
      </c>
    </row>
    <row r="98" spans="1:3">
      <c r="A98" s="10" t="s">
        <v>118</v>
      </c>
      <c r="B98" s="10" t="s">
        <v>37</v>
      </c>
      <c r="C98" s="10" t="str">
        <f t="shared" si="1"/>
        <v>冷凍食品</v>
      </c>
    </row>
    <row r="99" spans="1:3">
      <c r="A99" s="10" t="s">
        <v>119</v>
      </c>
      <c r="B99" s="10" t="s">
        <v>39</v>
      </c>
      <c r="C99" s="10" t="str">
        <f t="shared" si="1"/>
        <v>青果物</v>
      </c>
    </row>
    <row r="100" spans="1:3">
      <c r="A100" s="10" t="s">
        <v>120</v>
      </c>
      <c r="B100" s="10" t="s">
        <v>31</v>
      </c>
      <c r="C100" s="10" t="str">
        <f t="shared" si="1"/>
        <v>缶類</v>
      </c>
    </row>
    <row r="101" spans="1:3">
      <c r="A101" s="10" t="s">
        <v>121</v>
      </c>
      <c r="B101" s="10" t="s">
        <v>37</v>
      </c>
      <c r="C101" s="10" t="str">
        <f t="shared" si="1"/>
        <v>冷凍食品</v>
      </c>
    </row>
    <row r="102" spans="1:3">
      <c r="A102" s="10" t="s">
        <v>122</v>
      </c>
      <c r="C102" s="10" t="str">
        <f t="shared" si="1"/>
        <v>青果物</v>
      </c>
    </row>
    <row r="103" spans="1:3">
      <c r="A103" s="10" t="s">
        <v>123</v>
      </c>
      <c r="B103" s="10" t="s">
        <v>39</v>
      </c>
      <c r="C103" s="10" t="str">
        <f t="shared" si="1"/>
        <v>青果物</v>
      </c>
    </row>
    <row r="104" spans="1:3">
      <c r="A104" s="10" t="s">
        <v>124</v>
      </c>
      <c r="B104" s="10" t="s">
        <v>42</v>
      </c>
      <c r="C104" s="10" t="str">
        <f t="shared" si="1"/>
        <v>スナック食品</v>
      </c>
    </row>
    <row r="105" spans="1:3">
      <c r="A105" s="10" t="s">
        <v>125</v>
      </c>
      <c r="B105" s="10" t="s">
        <v>37</v>
      </c>
      <c r="C105" s="10" t="str">
        <f t="shared" si="1"/>
        <v>冷凍食品</v>
      </c>
    </row>
    <row r="106" spans="1:3">
      <c r="A106" s="10" t="s">
        <v>126</v>
      </c>
      <c r="B106" s="10" t="s">
        <v>39</v>
      </c>
      <c r="C106" s="10" t="str">
        <f t="shared" si="1"/>
        <v>青果物</v>
      </c>
    </row>
    <row r="107" spans="1:3">
      <c r="A107" s="10" t="s">
        <v>127</v>
      </c>
      <c r="B107" s="10" t="s">
        <v>37</v>
      </c>
      <c r="C107" s="10" t="str">
        <f t="shared" si="1"/>
        <v>冷凍食品</v>
      </c>
    </row>
    <row r="108" spans="1:3">
      <c r="A108" s="10" t="s">
        <v>128</v>
      </c>
      <c r="B108" s="10" t="s">
        <v>39</v>
      </c>
      <c r="C108" s="10" t="str">
        <f t="shared" si="1"/>
        <v>青果物</v>
      </c>
    </row>
    <row r="109" spans="1:3">
      <c r="A109" s="10" t="s">
        <v>129</v>
      </c>
      <c r="B109" s="10" t="s">
        <v>39</v>
      </c>
      <c r="C109" s="10" t="str">
        <f t="shared" si="1"/>
        <v>青果物</v>
      </c>
    </row>
    <row r="110" spans="1:3">
      <c r="A110" s="10" t="s">
        <v>130</v>
      </c>
      <c r="B110" s="10" t="s">
        <v>31</v>
      </c>
      <c r="C110" s="10" t="str">
        <f t="shared" si="1"/>
        <v>缶類</v>
      </c>
    </row>
    <row r="111" spans="1:3">
      <c r="A111" s="10" t="s">
        <v>131</v>
      </c>
      <c r="B111" s="10" t="s">
        <v>34</v>
      </c>
      <c r="C111" s="10" t="str">
        <f t="shared" si="1"/>
        <v>日用品</v>
      </c>
    </row>
    <row r="112" spans="1:3">
      <c r="A112" s="10" t="s">
        <v>132</v>
      </c>
      <c r="B112" s="10" t="s">
        <v>42</v>
      </c>
      <c r="C112" s="10" t="str">
        <f t="shared" si="1"/>
        <v>スナック食品</v>
      </c>
    </row>
    <row r="113" spans="1:3">
      <c r="A113" s="10" t="s">
        <v>133</v>
      </c>
      <c r="B113" s="10" t="s">
        <v>31</v>
      </c>
      <c r="C113" s="10" t="str">
        <f t="shared" si="1"/>
        <v>缶類</v>
      </c>
    </row>
    <row r="114" spans="1:3">
      <c r="A114" s="10" t="s">
        <v>134</v>
      </c>
      <c r="B114" s="10" t="s">
        <v>34</v>
      </c>
      <c r="C114" s="10" t="str">
        <f t="shared" si="1"/>
        <v>日用品</v>
      </c>
    </row>
    <row r="115" spans="1:3">
      <c r="A115" s="10" t="s">
        <v>135</v>
      </c>
      <c r="B115" s="10" t="s">
        <v>34</v>
      </c>
      <c r="C115" s="10" t="str">
        <f t="shared" si="1"/>
        <v>日用品</v>
      </c>
    </row>
    <row r="116" spans="1:3">
      <c r="A116" s="10" t="s">
        <v>136</v>
      </c>
      <c r="B116" s="10" t="s">
        <v>37</v>
      </c>
      <c r="C116" s="10" t="str">
        <f t="shared" si="1"/>
        <v>冷凍食品</v>
      </c>
    </row>
    <row r="117" spans="1:3">
      <c r="A117" s="10" t="s">
        <v>137</v>
      </c>
      <c r="B117" s="10" t="s">
        <v>39</v>
      </c>
      <c r="C117" s="10" t="str">
        <f t="shared" si="1"/>
        <v>青果物</v>
      </c>
    </row>
    <row r="118" spans="1:3">
      <c r="A118" s="10" t="s">
        <v>138</v>
      </c>
      <c r="B118" s="10" t="s">
        <v>39</v>
      </c>
      <c r="C118" s="10" t="str">
        <f t="shared" si="1"/>
        <v>青果物</v>
      </c>
    </row>
    <row r="119" spans="1:3">
      <c r="A119" s="10" t="s">
        <v>139</v>
      </c>
      <c r="B119" s="10" t="s">
        <v>42</v>
      </c>
      <c r="C119" s="10" t="str">
        <f t="shared" si="1"/>
        <v>スナック食品</v>
      </c>
    </row>
    <row r="120" spans="1:3">
      <c r="A120" s="10" t="s">
        <v>140</v>
      </c>
      <c r="B120" s="10" t="s">
        <v>37</v>
      </c>
      <c r="C120" s="10" t="str">
        <f t="shared" si="1"/>
        <v>冷凍食品</v>
      </c>
    </row>
    <row r="121" spans="1:3">
      <c r="A121" s="10" t="s">
        <v>141</v>
      </c>
      <c r="B121" s="10" t="s">
        <v>39</v>
      </c>
      <c r="C121" s="10" t="str">
        <f t="shared" si="1"/>
        <v>青果物</v>
      </c>
    </row>
    <row r="122" spans="1:3">
      <c r="A122" s="10" t="s">
        <v>142</v>
      </c>
      <c r="B122" s="10" t="s">
        <v>37</v>
      </c>
      <c r="C122" s="10" t="str">
        <f t="shared" si="1"/>
        <v>冷凍食品</v>
      </c>
    </row>
    <row r="123" spans="1:3">
      <c r="A123" s="10" t="s">
        <v>143</v>
      </c>
      <c r="B123" s="10" t="s">
        <v>39</v>
      </c>
      <c r="C123" s="10" t="str">
        <f t="shared" si="1"/>
        <v>青果物</v>
      </c>
    </row>
    <row r="124" spans="1:3">
      <c r="A124" s="10" t="s">
        <v>144</v>
      </c>
      <c r="B124" s="10" t="s">
        <v>39</v>
      </c>
      <c r="C124" s="10" t="str">
        <f t="shared" si="1"/>
        <v>青果物</v>
      </c>
    </row>
    <row r="125" spans="1:3">
      <c r="A125" s="10" t="s">
        <v>145</v>
      </c>
      <c r="B125" s="10" t="s">
        <v>31</v>
      </c>
      <c r="C125" s="10" t="str">
        <f t="shared" si="1"/>
        <v>缶類</v>
      </c>
    </row>
    <row r="126" spans="1:3">
      <c r="A126" s="10" t="s">
        <v>146</v>
      </c>
      <c r="B126" s="10" t="s">
        <v>37</v>
      </c>
      <c r="C126" s="10" t="str">
        <f t="shared" si="1"/>
        <v>冷凍食品</v>
      </c>
    </row>
    <row r="127" spans="1:3">
      <c r="A127" s="10" t="s">
        <v>147</v>
      </c>
      <c r="B127" s="10" t="s">
        <v>37</v>
      </c>
      <c r="C127" s="10" t="str">
        <f t="shared" si="1"/>
        <v>冷凍食品</v>
      </c>
    </row>
    <row r="128" spans="1:3">
      <c r="A128" s="10" t="s">
        <v>148</v>
      </c>
      <c r="B128" s="10" t="s">
        <v>149</v>
      </c>
      <c r="C128" s="10" t="str">
        <f t="shared" si="1"/>
        <v>魚介類</v>
      </c>
    </row>
    <row r="129" spans="1:3">
      <c r="A129" s="10" t="s">
        <v>150</v>
      </c>
      <c r="B129" s="10" t="s">
        <v>42</v>
      </c>
      <c r="C129" s="10" t="str">
        <f t="shared" si="1"/>
        <v>スナック食品</v>
      </c>
    </row>
    <row r="130" spans="1:3">
      <c r="A130" s="10" t="s">
        <v>151</v>
      </c>
      <c r="B130" s="10" t="s">
        <v>34</v>
      </c>
      <c r="C130" s="10" t="str">
        <f t="shared" si="1"/>
        <v>日用品</v>
      </c>
    </row>
    <row r="131" spans="1:3">
      <c r="A131" s="10" t="s">
        <v>152</v>
      </c>
      <c r="B131" s="10" t="s">
        <v>37</v>
      </c>
      <c r="C131" s="10" t="str">
        <f t="shared" ref="C131:C194" si="2">IF(B131="", "青果物", B131)</f>
        <v>冷凍食品</v>
      </c>
    </row>
    <row r="132" spans="1:3">
      <c r="A132" s="10" t="s">
        <v>153</v>
      </c>
      <c r="B132" s="10" t="s">
        <v>39</v>
      </c>
      <c r="C132" s="10" t="str">
        <f t="shared" si="2"/>
        <v>青果物</v>
      </c>
    </row>
    <row r="133" spans="1:3">
      <c r="A133" s="10" t="s">
        <v>154</v>
      </c>
      <c r="B133" s="10" t="s">
        <v>42</v>
      </c>
      <c r="C133" s="10" t="str">
        <f t="shared" si="2"/>
        <v>スナック食品</v>
      </c>
    </row>
    <row r="134" spans="1:3">
      <c r="A134" s="10" t="s">
        <v>155</v>
      </c>
      <c r="B134" s="10" t="s">
        <v>31</v>
      </c>
      <c r="C134" s="10" t="str">
        <f t="shared" si="2"/>
        <v>缶類</v>
      </c>
    </row>
    <row r="135" spans="1:3">
      <c r="A135" s="10" t="s">
        <v>156</v>
      </c>
      <c r="B135" s="10" t="s">
        <v>37</v>
      </c>
      <c r="C135" s="10" t="str">
        <f t="shared" si="2"/>
        <v>冷凍食品</v>
      </c>
    </row>
    <row r="136" spans="1:3">
      <c r="A136" s="10" t="s">
        <v>157</v>
      </c>
      <c r="B136" s="10" t="s">
        <v>39</v>
      </c>
      <c r="C136" s="10" t="str">
        <f t="shared" si="2"/>
        <v>青果物</v>
      </c>
    </row>
    <row r="137" spans="1:3">
      <c r="A137" s="10" t="s">
        <v>158</v>
      </c>
      <c r="B137" s="10" t="s">
        <v>39</v>
      </c>
      <c r="C137" s="10" t="str">
        <f t="shared" si="2"/>
        <v>青果物</v>
      </c>
    </row>
    <row r="138" spans="1:3">
      <c r="A138" s="10" t="s">
        <v>159</v>
      </c>
      <c r="B138" s="10" t="s">
        <v>42</v>
      </c>
      <c r="C138" s="10" t="str">
        <f t="shared" si="2"/>
        <v>スナック食品</v>
      </c>
    </row>
    <row r="139" spans="1:3">
      <c r="A139" s="10" t="s">
        <v>160</v>
      </c>
      <c r="B139" s="10" t="s">
        <v>31</v>
      </c>
      <c r="C139" s="10" t="str">
        <f t="shared" si="2"/>
        <v>缶類</v>
      </c>
    </row>
    <row r="140" spans="1:3">
      <c r="A140" s="10" t="s">
        <v>161</v>
      </c>
      <c r="B140" s="10" t="s">
        <v>37</v>
      </c>
      <c r="C140" s="10" t="str">
        <f t="shared" si="2"/>
        <v>冷凍食品</v>
      </c>
    </row>
    <row r="141" spans="1:3">
      <c r="A141" s="10" t="s">
        <v>162</v>
      </c>
      <c r="B141" s="10" t="s">
        <v>39</v>
      </c>
      <c r="C141" s="10" t="str">
        <f t="shared" si="2"/>
        <v>青果物</v>
      </c>
    </row>
    <row r="142" spans="1:3">
      <c r="A142" s="10" t="s">
        <v>163</v>
      </c>
      <c r="B142" s="10" t="s">
        <v>42</v>
      </c>
      <c r="C142" s="10" t="str">
        <f t="shared" si="2"/>
        <v>スナック食品</v>
      </c>
    </row>
    <row r="143" spans="1:3">
      <c r="A143" s="10" t="s">
        <v>164</v>
      </c>
      <c r="B143" s="10" t="s">
        <v>31</v>
      </c>
      <c r="C143" s="10" t="str">
        <f t="shared" si="2"/>
        <v>缶類</v>
      </c>
    </row>
    <row r="144" spans="1:3">
      <c r="A144" s="10" t="s">
        <v>165</v>
      </c>
      <c r="B144" s="10" t="s">
        <v>37</v>
      </c>
      <c r="C144" s="10" t="str">
        <f t="shared" si="2"/>
        <v>冷凍食品</v>
      </c>
    </row>
    <row r="145" spans="1:3">
      <c r="A145" s="10" t="s">
        <v>166</v>
      </c>
      <c r="B145" s="10" t="s">
        <v>149</v>
      </c>
      <c r="C145" s="10" t="str">
        <f t="shared" si="2"/>
        <v>魚介類</v>
      </c>
    </row>
    <row r="146" spans="1:3">
      <c r="A146" s="10" t="s">
        <v>167</v>
      </c>
      <c r="B146" s="10" t="s">
        <v>42</v>
      </c>
      <c r="C146" s="10" t="str">
        <f t="shared" si="2"/>
        <v>スナック食品</v>
      </c>
    </row>
    <row r="147" spans="1:3">
      <c r="A147" s="10" t="s">
        <v>168</v>
      </c>
      <c r="B147" s="10" t="s">
        <v>37</v>
      </c>
      <c r="C147" s="10" t="str">
        <f t="shared" si="2"/>
        <v>冷凍食品</v>
      </c>
    </row>
    <row r="148" spans="1:3">
      <c r="A148" s="10" t="s">
        <v>169</v>
      </c>
      <c r="B148" s="10" t="s">
        <v>50</v>
      </c>
      <c r="C148" s="10" t="str">
        <f t="shared" si="2"/>
        <v>肉類</v>
      </c>
    </row>
    <row r="149" spans="1:3">
      <c r="A149" s="10" t="s">
        <v>170</v>
      </c>
      <c r="B149" s="10" t="s">
        <v>39</v>
      </c>
      <c r="C149" s="10" t="str">
        <f t="shared" si="2"/>
        <v>青果物</v>
      </c>
    </row>
    <row r="150" spans="1:3">
      <c r="A150" s="10" t="s">
        <v>171</v>
      </c>
      <c r="B150" s="10" t="s">
        <v>149</v>
      </c>
      <c r="C150" s="10" t="str">
        <f t="shared" si="2"/>
        <v>魚介類</v>
      </c>
    </row>
    <row r="151" spans="1:3">
      <c r="A151" s="10" t="s">
        <v>172</v>
      </c>
      <c r="B151" s="10" t="s">
        <v>42</v>
      </c>
      <c r="C151" s="10" t="str">
        <f t="shared" si="2"/>
        <v>スナック食品</v>
      </c>
    </row>
    <row r="152" spans="1:3">
      <c r="A152" s="10" t="s">
        <v>173</v>
      </c>
      <c r="B152" s="10" t="s">
        <v>31</v>
      </c>
      <c r="C152" s="10" t="str">
        <f t="shared" si="2"/>
        <v>缶類</v>
      </c>
    </row>
    <row r="153" spans="1:3">
      <c r="A153" s="10" t="s">
        <v>174</v>
      </c>
      <c r="B153" s="10" t="s">
        <v>37</v>
      </c>
      <c r="C153" s="10" t="str">
        <f t="shared" si="2"/>
        <v>冷凍食品</v>
      </c>
    </row>
    <row r="154" spans="1:3">
      <c r="A154" s="10" t="s">
        <v>175</v>
      </c>
      <c r="B154" s="10" t="s">
        <v>39</v>
      </c>
      <c r="C154" s="10" t="str">
        <f t="shared" si="2"/>
        <v>青果物</v>
      </c>
    </row>
    <row r="155" spans="1:3">
      <c r="A155" s="10" t="s">
        <v>176</v>
      </c>
      <c r="B155" s="10" t="s">
        <v>42</v>
      </c>
      <c r="C155" s="10" t="str">
        <f t="shared" si="2"/>
        <v>スナック食品</v>
      </c>
    </row>
    <row r="156" spans="1:3">
      <c r="A156" s="10" t="s">
        <v>177</v>
      </c>
      <c r="B156" s="10" t="s">
        <v>37</v>
      </c>
      <c r="C156" s="10" t="str">
        <f t="shared" si="2"/>
        <v>冷凍食品</v>
      </c>
    </row>
    <row r="157" spans="1:3">
      <c r="A157" s="10" t="s">
        <v>178</v>
      </c>
      <c r="B157" s="10" t="s">
        <v>39</v>
      </c>
      <c r="C157" s="10" t="str">
        <f t="shared" si="2"/>
        <v>青果物</v>
      </c>
    </row>
    <row r="158" spans="1:3">
      <c r="A158" s="10" t="s">
        <v>179</v>
      </c>
      <c r="B158" s="10" t="s">
        <v>31</v>
      </c>
      <c r="C158" s="10" t="str">
        <f t="shared" si="2"/>
        <v>缶類</v>
      </c>
    </row>
    <row r="159" spans="1:3">
      <c r="A159" s="10" t="s">
        <v>180</v>
      </c>
      <c r="B159" s="10" t="s">
        <v>37</v>
      </c>
      <c r="C159" s="10" t="str">
        <f t="shared" si="2"/>
        <v>冷凍食品</v>
      </c>
    </row>
    <row r="160" spans="1:3">
      <c r="A160" s="10" t="s">
        <v>181</v>
      </c>
      <c r="B160" s="10" t="s">
        <v>39</v>
      </c>
      <c r="C160" s="10" t="str">
        <f t="shared" si="2"/>
        <v>青果物</v>
      </c>
    </row>
    <row r="161" spans="1:3">
      <c r="A161" s="10" t="s">
        <v>182</v>
      </c>
      <c r="B161" s="10" t="s">
        <v>149</v>
      </c>
      <c r="C161" s="10" t="str">
        <f t="shared" si="2"/>
        <v>魚介類</v>
      </c>
    </row>
    <row r="162" spans="1:3">
      <c r="A162" s="10" t="s">
        <v>183</v>
      </c>
      <c r="B162" s="10" t="s">
        <v>42</v>
      </c>
      <c r="C162" s="10" t="str">
        <f t="shared" si="2"/>
        <v>スナック食品</v>
      </c>
    </row>
    <row r="163" spans="1:3">
      <c r="A163" s="10" t="s">
        <v>184</v>
      </c>
      <c r="B163" s="10" t="s">
        <v>37</v>
      </c>
      <c r="C163" s="10" t="str">
        <f t="shared" si="2"/>
        <v>冷凍食品</v>
      </c>
    </row>
    <row r="164" spans="1:3">
      <c r="A164" s="10" t="s">
        <v>185</v>
      </c>
      <c r="B164" s="10" t="s">
        <v>50</v>
      </c>
      <c r="C164" s="10" t="str">
        <f t="shared" si="2"/>
        <v>肉類</v>
      </c>
    </row>
    <row r="165" spans="1:3">
      <c r="A165" s="10" t="s">
        <v>186</v>
      </c>
      <c r="B165" s="10" t="s">
        <v>149</v>
      </c>
      <c r="C165" s="10" t="str">
        <f t="shared" si="2"/>
        <v>魚介類</v>
      </c>
    </row>
    <row r="166" spans="1:3">
      <c r="A166" s="10" t="s">
        <v>187</v>
      </c>
      <c r="B166" s="10" t="s">
        <v>31</v>
      </c>
      <c r="C166" s="10" t="str">
        <f t="shared" si="2"/>
        <v>缶類</v>
      </c>
    </row>
    <row r="167" spans="1:3">
      <c r="A167" s="10" t="s">
        <v>188</v>
      </c>
      <c r="B167" s="10" t="s">
        <v>37</v>
      </c>
      <c r="C167" s="10" t="str">
        <f t="shared" si="2"/>
        <v>冷凍食品</v>
      </c>
    </row>
    <row r="168" spans="1:3">
      <c r="A168" s="10" t="s">
        <v>189</v>
      </c>
      <c r="B168" s="10" t="s">
        <v>50</v>
      </c>
      <c r="C168" s="10" t="str">
        <f t="shared" si="2"/>
        <v>肉類</v>
      </c>
    </row>
    <row r="169" spans="1:3">
      <c r="A169" s="10" t="s">
        <v>190</v>
      </c>
      <c r="B169" s="10" t="s">
        <v>39</v>
      </c>
      <c r="C169" s="10" t="str">
        <f t="shared" si="2"/>
        <v>青果物</v>
      </c>
    </row>
    <row r="170" spans="1:3">
      <c r="A170" s="10" t="s">
        <v>191</v>
      </c>
      <c r="B170" s="10" t="s">
        <v>42</v>
      </c>
      <c r="C170" s="10" t="str">
        <f t="shared" si="2"/>
        <v>スナック食品</v>
      </c>
    </row>
    <row r="171" spans="1:3">
      <c r="A171" s="10" t="s">
        <v>192</v>
      </c>
      <c r="B171" s="10" t="s">
        <v>42</v>
      </c>
      <c r="C171" s="10" t="str">
        <f t="shared" si="2"/>
        <v>スナック食品</v>
      </c>
    </row>
    <row r="172" spans="1:3">
      <c r="A172" s="10" t="s">
        <v>193</v>
      </c>
      <c r="B172" s="10" t="s">
        <v>37</v>
      </c>
      <c r="C172" s="10" t="str">
        <f t="shared" si="2"/>
        <v>冷凍食品</v>
      </c>
    </row>
    <row r="173" spans="1:3">
      <c r="A173" s="10" t="s">
        <v>194</v>
      </c>
      <c r="B173" s="10" t="s">
        <v>37</v>
      </c>
      <c r="C173" s="10" t="str">
        <f t="shared" si="2"/>
        <v>冷凍食品</v>
      </c>
    </row>
    <row r="174" spans="1:3">
      <c r="A174" s="10" t="s">
        <v>195</v>
      </c>
      <c r="B174" s="10" t="s">
        <v>31</v>
      </c>
      <c r="C174" s="10" t="str">
        <f t="shared" si="2"/>
        <v>缶類</v>
      </c>
    </row>
    <row r="175" spans="1:3">
      <c r="A175" s="10" t="s">
        <v>196</v>
      </c>
      <c r="B175" s="10" t="s">
        <v>37</v>
      </c>
      <c r="C175" s="10" t="str">
        <f t="shared" si="2"/>
        <v>冷凍食品</v>
      </c>
    </row>
    <row r="176" spans="1:3">
      <c r="A176" s="10" t="s">
        <v>197</v>
      </c>
      <c r="B176" s="10" t="s">
        <v>39</v>
      </c>
      <c r="C176" s="10" t="str">
        <f t="shared" si="2"/>
        <v>青果物</v>
      </c>
    </row>
    <row r="177" spans="1:3">
      <c r="A177" s="10" t="s">
        <v>198</v>
      </c>
      <c r="B177" s="10" t="s">
        <v>37</v>
      </c>
      <c r="C177" s="10" t="str">
        <f t="shared" si="2"/>
        <v>冷凍食品</v>
      </c>
    </row>
    <row r="178" spans="1:3">
      <c r="A178" s="10" t="s">
        <v>199</v>
      </c>
      <c r="B178" s="10" t="s">
        <v>50</v>
      </c>
      <c r="C178" s="10" t="str">
        <f t="shared" si="2"/>
        <v>肉類</v>
      </c>
    </row>
    <row r="179" spans="1:3">
      <c r="A179" s="10" t="s">
        <v>200</v>
      </c>
      <c r="B179" s="10" t="s">
        <v>42</v>
      </c>
      <c r="C179" s="10" t="str">
        <f t="shared" si="2"/>
        <v>スナック食品</v>
      </c>
    </row>
    <row r="180" spans="1:3">
      <c r="A180" s="10" t="s">
        <v>201</v>
      </c>
      <c r="B180" s="10" t="s">
        <v>31</v>
      </c>
      <c r="C180" s="10" t="str">
        <f t="shared" si="2"/>
        <v>缶類</v>
      </c>
    </row>
    <row r="181" spans="1:3">
      <c r="A181" s="10" t="s">
        <v>202</v>
      </c>
      <c r="B181" s="10" t="s">
        <v>37</v>
      </c>
      <c r="C181" s="10" t="str">
        <f t="shared" si="2"/>
        <v>冷凍食品</v>
      </c>
    </row>
    <row r="182" spans="1:3">
      <c r="A182" s="10" t="s">
        <v>203</v>
      </c>
      <c r="B182" s="10" t="s">
        <v>50</v>
      </c>
      <c r="C182" s="10" t="str">
        <f t="shared" si="2"/>
        <v>肉類</v>
      </c>
    </row>
    <row r="183" spans="1:3">
      <c r="A183" s="10" t="s">
        <v>204</v>
      </c>
      <c r="B183" s="10" t="s">
        <v>39</v>
      </c>
      <c r="C183" s="10" t="str">
        <f t="shared" si="2"/>
        <v>青果物</v>
      </c>
    </row>
    <row r="184" spans="1:3">
      <c r="A184" s="10" t="s">
        <v>205</v>
      </c>
      <c r="B184" s="10" t="s">
        <v>42</v>
      </c>
      <c r="C184" s="10" t="str">
        <f t="shared" si="2"/>
        <v>スナック食品</v>
      </c>
    </row>
    <row r="185" spans="1:3">
      <c r="A185" s="10" t="s">
        <v>206</v>
      </c>
      <c r="B185" s="10" t="s">
        <v>42</v>
      </c>
      <c r="C185" s="10" t="str">
        <f t="shared" si="2"/>
        <v>スナック食品</v>
      </c>
    </row>
    <row r="186" spans="1:3">
      <c r="A186" s="10" t="s">
        <v>207</v>
      </c>
      <c r="B186" s="10" t="s">
        <v>31</v>
      </c>
      <c r="C186" s="10" t="str">
        <f t="shared" si="2"/>
        <v>缶類</v>
      </c>
    </row>
    <row r="187" spans="1:3">
      <c r="A187" s="10" t="s">
        <v>208</v>
      </c>
      <c r="B187" s="10" t="s">
        <v>34</v>
      </c>
      <c r="C187" s="10" t="str">
        <f t="shared" si="2"/>
        <v>日用品</v>
      </c>
    </row>
    <row r="188" spans="1:3">
      <c r="A188" s="10" t="s">
        <v>209</v>
      </c>
      <c r="B188" s="10" t="s">
        <v>37</v>
      </c>
      <c r="C188" s="10" t="str">
        <f t="shared" si="2"/>
        <v>冷凍食品</v>
      </c>
    </row>
    <row r="189" spans="1:3">
      <c r="A189" s="10" t="s">
        <v>210</v>
      </c>
      <c r="B189" s="10" t="s">
        <v>39</v>
      </c>
      <c r="C189" s="10" t="str">
        <f t="shared" si="2"/>
        <v>青果物</v>
      </c>
    </row>
    <row r="190" spans="1:3">
      <c r="A190" s="10" t="s">
        <v>211</v>
      </c>
      <c r="B190" s="10" t="s">
        <v>42</v>
      </c>
      <c r="C190" s="10" t="str">
        <f t="shared" si="2"/>
        <v>スナック食品</v>
      </c>
    </row>
    <row r="191" spans="1:3">
      <c r="A191" s="10" t="s">
        <v>212</v>
      </c>
      <c r="B191" s="10" t="s">
        <v>37</v>
      </c>
      <c r="C191" s="10" t="str">
        <f t="shared" si="2"/>
        <v>冷凍食品</v>
      </c>
    </row>
    <row r="192" spans="1:3">
      <c r="A192" s="10" t="s">
        <v>213</v>
      </c>
      <c r="B192" s="10" t="s">
        <v>39</v>
      </c>
      <c r="C192" s="10" t="str">
        <f t="shared" si="2"/>
        <v>青果物</v>
      </c>
    </row>
    <row r="193" spans="1:3">
      <c r="A193" s="10" t="s">
        <v>214</v>
      </c>
      <c r="B193" s="10" t="s">
        <v>42</v>
      </c>
      <c r="C193" s="10" t="str">
        <f t="shared" si="2"/>
        <v>スナック食品</v>
      </c>
    </row>
    <row r="194" spans="1:3">
      <c r="A194" s="10" t="s">
        <v>215</v>
      </c>
      <c r="B194" s="10" t="s">
        <v>31</v>
      </c>
      <c r="C194" s="10" t="str">
        <f t="shared" si="2"/>
        <v>缶類</v>
      </c>
    </row>
    <row r="195" spans="1:3">
      <c r="A195" s="10" t="s">
        <v>216</v>
      </c>
      <c r="B195" s="10" t="s">
        <v>39</v>
      </c>
      <c r="C195" s="10" t="str">
        <f t="shared" ref="C195:C258" si="3">IF(B195="", "青果物", B195)</f>
        <v>青果物</v>
      </c>
    </row>
    <row r="196" spans="1:3">
      <c r="A196" s="10" t="s">
        <v>217</v>
      </c>
      <c r="B196" s="10" t="s">
        <v>149</v>
      </c>
      <c r="C196" s="10" t="str">
        <f t="shared" si="3"/>
        <v>魚介類</v>
      </c>
    </row>
    <row r="197" spans="1:3">
      <c r="A197" s="10" t="s">
        <v>218</v>
      </c>
      <c r="B197" s="10" t="s">
        <v>50</v>
      </c>
      <c r="C197" s="10" t="str">
        <f t="shared" si="3"/>
        <v>肉類</v>
      </c>
    </row>
    <row r="198" spans="1:3">
      <c r="A198" s="10" t="s">
        <v>219</v>
      </c>
      <c r="B198" s="10" t="s">
        <v>42</v>
      </c>
      <c r="C198" s="10" t="str">
        <f t="shared" si="3"/>
        <v>スナック食品</v>
      </c>
    </row>
    <row r="199" spans="1:3">
      <c r="A199" s="10" t="s">
        <v>220</v>
      </c>
      <c r="B199" s="10" t="s">
        <v>34</v>
      </c>
      <c r="C199" s="10" t="str">
        <f t="shared" si="3"/>
        <v>日用品</v>
      </c>
    </row>
    <row r="200" spans="1:3">
      <c r="A200" s="10" t="s">
        <v>221</v>
      </c>
      <c r="B200" s="10" t="s">
        <v>42</v>
      </c>
      <c r="C200" s="10" t="str">
        <f t="shared" si="3"/>
        <v>スナック食品</v>
      </c>
    </row>
    <row r="201" spans="1:3">
      <c r="A201" s="10" t="s">
        <v>222</v>
      </c>
      <c r="B201" s="10" t="s">
        <v>42</v>
      </c>
      <c r="C201" s="10" t="str">
        <f t="shared" si="3"/>
        <v>スナック食品</v>
      </c>
    </row>
    <row r="202" spans="1:3">
      <c r="A202" s="10" t="s">
        <v>223</v>
      </c>
      <c r="B202" s="10" t="s">
        <v>31</v>
      </c>
      <c r="C202" s="10" t="str">
        <f t="shared" si="3"/>
        <v>缶類</v>
      </c>
    </row>
    <row r="203" spans="1:3">
      <c r="A203" s="10" t="s">
        <v>224</v>
      </c>
      <c r="B203" s="10" t="s">
        <v>37</v>
      </c>
      <c r="C203" s="10" t="str">
        <f t="shared" si="3"/>
        <v>冷凍食品</v>
      </c>
    </row>
    <row r="204" spans="1:3">
      <c r="A204" s="10" t="s">
        <v>225</v>
      </c>
      <c r="B204" s="10" t="s">
        <v>39</v>
      </c>
      <c r="C204" s="10" t="str">
        <f t="shared" si="3"/>
        <v>青果物</v>
      </c>
    </row>
    <row r="205" spans="1:3">
      <c r="A205" s="10" t="s">
        <v>226</v>
      </c>
      <c r="B205" s="10" t="s">
        <v>42</v>
      </c>
      <c r="C205" s="10" t="str">
        <f t="shared" si="3"/>
        <v>スナック食品</v>
      </c>
    </row>
    <row r="206" spans="1:3">
      <c r="A206" s="10" t="s">
        <v>227</v>
      </c>
      <c r="B206" s="10" t="s">
        <v>42</v>
      </c>
      <c r="C206" s="10" t="str">
        <f t="shared" si="3"/>
        <v>スナック食品</v>
      </c>
    </row>
    <row r="207" spans="1:3">
      <c r="A207" s="10" t="s">
        <v>228</v>
      </c>
      <c r="B207" s="10" t="s">
        <v>37</v>
      </c>
      <c r="C207" s="10" t="str">
        <f t="shared" si="3"/>
        <v>冷凍食品</v>
      </c>
    </row>
    <row r="208" spans="1:3">
      <c r="A208" s="10" t="s">
        <v>229</v>
      </c>
      <c r="B208" s="10" t="s">
        <v>39</v>
      </c>
      <c r="C208" s="10" t="str">
        <f t="shared" si="3"/>
        <v>青果物</v>
      </c>
    </row>
    <row r="209" spans="1:3">
      <c r="A209" s="10" t="s">
        <v>230</v>
      </c>
      <c r="B209" s="10" t="s">
        <v>149</v>
      </c>
      <c r="C209" s="10" t="str">
        <f t="shared" si="3"/>
        <v>魚介類</v>
      </c>
    </row>
    <row r="210" spans="1:3">
      <c r="A210" s="10" t="s">
        <v>231</v>
      </c>
      <c r="B210" s="10" t="s">
        <v>42</v>
      </c>
      <c r="C210" s="10" t="str">
        <f t="shared" si="3"/>
        <v>スナック食品</v>
      </c>
    </row>
    <row r="211" spans="1:3">
      <c r="A211" s="10" t="s">
        <v>232</v>
      </c>
      <c r="B211" s="10" t="s">
        <v>37</v>
      </c>
      <c r="C211" s="10" t="str">
        <f t="shared" si="3"/>
        <v>冷凍食品</v>
      </c>
    </row>
    <row r="212" spans="1:3">
      <c r="A212" s="10" t="s">
        <v>233</v>
      </c>
      <c r="B212" s="10" t="s">
        <v>50</v>
      </c>
      <c r="C212" s="10" t="str">
        <f t="shared" si="3"/>
        <v>肉類</v>
      </c>
    </row>
    <row r="213" spans="1:3">
      <c r="A213" s="10" t="s">
        <v>234</v>
      </c>
      <c r="B213" s="10" t="s">
        <v>39</v>
      </c>
      <c r="C213" s="10" t="str">
        <f t="shared" si="3"/>
        <v>青果物</v>
      </c>
    </row>
    <row r="214" spans="1:3">
      <c r="A214" s="10" t="s">
        <v>235</v>
      </c>
      <c r="B214" s="10" t="s">
        <v>42</v>
      </c>
      <c r="C214" s="10" t="str">
        <f t="shared" si="3"/>
        <v>スナック食品</v>
      </c>
    </row>
    <row r="215" spans="1:3">
      <c r="A215" s="10" t="s">
        <v>236</v>
      </c>
      <c r="B215" s="10" t="s">
        <v>34</v>
      </c>
      <c r="C215" s="10" t="str">
        <f t="shared" si="3"/>
        <v>日用品</v>
      </c>
    </row>
    <row r="216" spans="1:3">
      <c r="A216" s="10" t="s">
        <v>237</v>
      </c>
      <c r="B216" s="10" t="s">
        <v>37</v>
      </c>
      <c r="C216" s="10" t="str">
        <f t="shared" si="3"/>
        <v>冷凍食品</v>
      </c>
    </row>
    <row r="217" spans="1:3">
      <c r="A217" s="10" t="s">
        <v>238</v>
      </c>
      <c r="B217" s="10" t="s">
        <v>39</v>
      </c>
      <c r="C217" s="10" t="str">
        <f t="shared" si="3"/>
        <v>青果物</v>
      </c>
    </row>
    <row r="218" spans="1:3">
      <c r="A218" s="10" t="s">
        <v>239</v>
      </c>
      <c r="B218" s="10" t="s">
        <v>42</v>
      </c>
      <c r="C218" s="10" t="str">
        <f t="shared" si="3"/>
        <v>スナック食品</v>
      </c>
    </row>
    <row r="219" spans="1:3">
      <c r="A219" s="10" t="s">
        <v>240</v>
      </c>
      <c r="B219" s="10" t="s">
        <v>42</v>
      </c>
      <c r="C219" s="10" t="str">
        <f t="shared" si="3"/>
        <v>スナック食品</v>
      </c>
    </row>
    <row r="220" spans="1:3">
      <c r="A220" s="10" t="s">
        <v>241</v>
      </c>
      <c r="B220" s="10" t="s">
        <v>50</v>
      </c>
      <c r="C220" s="10" t="str">
        <f t="shared" si="3"/>
        <v>肉類</v>
      </c>
    </row>
    <row r="221" spans="1:3">
      <c r="A221" s="10" t="s">
        <v>242</v>
      </c>
      <c r="B221" s="10" t="s">
        <v>37</v>
      </c>
      <c r="C221" s="10" t="str">
        <f t="shared" si="3"/>
        <v>冷凍食品</v>
      </c>
    </row>
    <row r="222" spans="1:3">
      <c r="A222" s="10" t="s">
        <v>243</v>
      </c>
      <c r="B222" s="10" t="s">
        <v>39</v>
      </c>
      <c r="C222" s="10" t="str">
        <f t="shared" si="3"/>
        <v>青果物</v>
      </c>
    </row>
    <row r="223" spans="1:3">
      <c r="A223" s="10" t="s">
        <v>244</v>
      </c>
      <c r="B223" s="10" t="s">
        <v>42</v>
      </c>
      <c r="C223" s="10" t="str">
        <f t="shared" si="3"/>
        <v>スナック食品</v>
      </c>
    </row>
    <row r="224" spans="1:3">
      <c r="A224" s="10" t="s">
        <v>245</v>
      </c>
      <c r="B224" s="10" t="s">
        <v>50</v>
      </c>
      <c r="C224" s="10" t="str">
        <f t="shared" si="3"/>
        <v>肉類</v>
      </c>
    </row>
    <row r="225" spans="1:3">
      <c r="A225" s="10" t="s">
        <v>246</v>
      </c>
      <c r="B225" s="10" t="s">
        <v>37</v>
      </c>
      <c r="C225" s="10" t="str">
        <f t="shared" si="3"/>
        <v>冷凍食品</v>
      </c>
    </row>
    <row r="226" spans="1:3">
      <c r="A226" s="10" t="s">
        <v>247</v>
      </c>
      <c r="B226" s="10" t="s">
        <v>39</v>
      </c>
      <c r="C226" s="10" t="str">
        <f t="shared" si="3"/>
        <v>青果物</v>
      </c>
    </row>
    <row r="227" spans="1:3">
      <c r="A227" s="10" t="s">
        <v>248</v>
      </c>
      <c r="B227" s="10" t="s">
        <v>42</v>
      </c>
      <c r="C227" s="10" t="str">
        <f t="shared" si="3"/>
        <v>スナック食品</v>
      </c>
    </row>
    <row r="228" spans="1:3">
      <c r="A228" s="10" t="s">
        <v>249</v>
      </c>
      <c r="B228" s="10" t="s">
        <v>42</v>
      </c>
      <c r="C228" s="10" t="str">
        <f t="shared" si="3"/>
        <v>スナック食品</v>
      </c>
    </row>
    <row r="229" spans="1:3">
      <c r="A229" s="10" t="s">
        <v>250</v>
      </c>
      <c r="B229" s="10" t="s">
        <v>31</v>
      </c>
      <c r="C229" s="10" t="str">
        <f t="shared" si="3"/>
        <v>缶類</v>
      </c>
    </row>
    <row r="230" spans="1:3">
      <c r="A230" s="10" t="s">
        <v>251</v>
      </c>
      <c r="B230" s="10" t="s">
        <v>37</v>
      </c>
      <c r="C230" s="10" t="str">
        <f t="shared" si="3"/>
        <v>冷凍食品</v>
      </c>
    </row>
    <row r="231" spans="1:3">
      <c r="A231" s="10" t="s">
        <v>252</v>
      </c>
      <c r="B231" s="10" t="s">
        <v>37</v>
      </c>
      <c r="C231" s="10" t="str">
        <f t="shared" si="3"/>
        <v>冷凍食品</v>
      </c>
    </row>
    <row r="232" spans="1:3">
      <c r="A232" s="10" t="s">
        <v>253</v>
      </c>
      <c r="B232" s="10" t="s">
        <v>39</v>
      </c>
      <c r="C232" s="10" t="str">
        <f t="shared" si="3"/>
        <v>青果物</v>
      </c>
    </row>
    <row r="233" spans="1:3">
      <c r="A233" s="10" t="s">
        <v>254</v>
      </c>
      <c r="B233" s="10" t="s">
        <v>34</v>
      </c>
      <c r="C233" s="10" t="str">
        <f t="shared" si="3"/>
        <v>日用品</v>
      </c>
    </row>
    <row r="234" spans="1:3">
      <c r="A234" s="10" t="s">
        <v>255</v>
      </c>
      <c r="B234" s="10" t="s">
        <v>37</v>
      </c>
      <c r="C234" s="10" t="str">
        <f t="shared" si="3"/>
        <v>冷凍食品</v>
      </c>
    </row>
    <row r="235" spans="1:3">
      <c r="A235" s="10" t="s">
        <v>256</v>
      </c>
      <c r="B235" s="10" t="s">
        <v>42</v>
      </c>
      <c r="C235" s="10" t="str">
        <f t="shared" si="3"/>
        <v>スナック食品</v>
      </c>
    </row>
    <row r="236" spans="1:3">
      <c r="A236" s="10" t="s">
        <v>257</v>
      </c>
      <c r="B236" s="10" t="s">
        <v>42</v>
      </c>
      <c r="C236" s="10" t="str">
        <f t="shared" si="3"/>
        <v>スナック食品</v>
      </c>
    </row>
    <row r="237" spans="1:3">
      <c r="A237" s="10" t="s">
        <v>258</v>
      </c>
      <c r="B237" s="10" t="s">
        <v>50</v>
      </c>
      <c r="C237" s="10" t="str">
        <f t="shared" si="3"/>
        <v>肉類</v>
      </c>
    </row>
    <row r="238" spans="1:3">
      <c r="A238" s="10" t="s">
        <v>259</v>
      </c>
      <c r="B238" s="10" t="s">
        <v>37</v>
      </c>
      <c r="C238" s="10" t="str">
        <f t="shared" si="3"/>
        <v>冷凍食品</v>
      </c>
    </row>
    <row r="239" spans="1:3">
      <c r="A239" s="10" t="s">
        <v>260</v>
      </c>
      <c r="C239" s="10" t="str">
        <f t="shared" si="3"/>
        <v>青果物</v>
      </c>
    </row>
    <row r="240" spans="1:3">
      <c r="A240" s="10" t="s">
        <v>261</v>
      </c>
      <c r="B240" s="10" t="s">
        <v>42</v>
      </c>
      <c r="C240" s="10" t="str">
        <f t="shared" si="3"/>
        <v>スナック食品</v>
      </c>
    </row>
    <row r="241" spans="1:3">
      <c r="A241" s="10" t="s">
        <v>262</v>
      </c>
      <c r="B241" s="10" t="s">
        <v>42</v>
      </c>
      <c r="C241" s="10" t="str">
        <f t="shared" si="3"/>
        <v>スナック食品</v>
      </c>
    </row>
    <row r="242" spans="1:3">
      <c r="A242" s="10" t="s">
        <v>263</v>
      </c>
      <c r="B242" s="10" t="s">
        <v>39</v>
      </c>
      <c r="C242" s="10" t="str">
        <f t="shared" si="3"/>
        <v>青果物</v>
      </c>
    </row>
    <row r="243" spans="1:3">
      <c r="A243" s="10" t="s">
        <v>264</v>
      </c>
      <c r="B243" s="10" t="s">
        <v>42</v>
      </c>
      <c r="C243" s="10" t="str">
        <f t="shared" si="3"/>
        <v>スナック食品</v>
      </c>
    </row>
    <row r="244" spans="1:3">
      <c r="A244" s="10" t="s">
        <v>265</v>
      </c>
      <c r="B244" s="10" t="s">
        <v>31</v>
      </c>
      <c r="C244" s="10" t="str">
        <f t="shared" si="3"/>
        <v>缶類</v>
      </c>
    </row>
    <row r="245" spans="1:3">
      <c r="A245" s="10" t="s">
        <v>266</v>
      </c>
      <c r="B245" s="10" t="s">
        <v>42</v>
      </c>
      <c r="C245" s="10" t="str">
        <f t="shared" si="3"/>
        <v>スナック食品</v>
      </c>
    </row>
    <row r="246" spans="1:3">
      <c r="A246" s="10" t="s">
        <v>267</v>
      </c>
      <c r="B246" s="10" t="s">
        <v>42</v>
      </c>
      <c r="C246" s="10" t="str">
        <f t="shared" si="3"/>
        <v>スナック食品</v>
      </c>
    </row>
    <row r="247" spans="1:3">
      <c r="A247" s="10" t="s">
        <v>268</v>
      </c>
      <c r="B247" s="10" t="s">
        <v>31</v>
      </c>
      <c r="C247" s="10" t="str">
        <f t="shared" si="3"/>
        <v>缶類</v>
      </c>
    </row>
    <row r="248" spans="1:3">
      <c r="A248" s="10" t="s">
        <v>269</v>
      </c>
      <c r="B248" s="10" t="s">
        <v>34</v>
      </c>
      <c r="C248" s="10" t="str">
        <f t="shared" si="3"/>
        <v>日用品</v>
      </c>
    </row>
    <row r="249" spans="1:3">
      <c r="A249" s="10" t="s">
        <v>270</v>
      </c>
      <c r="B249" s="10" t="s">
        <v>37</v>
      </c>
      <c r="C249" s="10" t="str">
        <f t="shared" si="3"/>
        <v>冷凍食品</v>
      </c>
    </row>
    <row r="250" spans="1:3">
      <c r="A250" s="10" t="s">
        <v>271</v>
      </c>
      <c r="B250" s="10" t="s">
        <v>50</v>
      </c>
      <c r="C250" s="10" t="str">
        <f t="shared" si="3"/>
        <v>肉類</v>
      </c>
    </row>
    <row r="251" spans="1:3">
      <c r="A251" s="10" t="s">
        <v>272</v>
      </c>
      <c r="B251" s="10" t="s">
        <v>39</v>
      </c>
      <c r="C251" s="10" t="str">
        <f t="shared" si="3"/>
        <v>青果物</v>
      </c>
    </row>
    <row r="252" spans="1:3">
      <c r="A252" s="10" t="s">
        <v>273</v>
      </c>
      <c r="B252" s="10" t="s">
        <v>42</v>
      </c>
      <c r="C252" s="10" t="str">
        <f t="shared" si="3"/>
        <v>スナック食品</v>
      </c>
    </row>
    <row r="253" spans="1:3">
      <c r="A253" s="10" t="s">
        <v>274</v>
      </c>
      <c r="B253" s="10" t="s">
        <v>42</v>
      </c>
      <c r="C253" s="10" t="str">
        <f t="shared" si="3"/>
        <v>スナック食品</v>
      </c>
    </row>
    <row r="254" spans="1:3">
      <c r="A254" s="10" t="s">
        <v>275</v>
      </c>
      <c r="B254" s="10" t="s">
        <v>37</v>
      </c>
      <c r="C254" s="10" t="str">
        <f t="shared" si="3"/>
        <v>冷凍食品</v>
      </c>
    </row>
    <row r="255" spans="1:3">
      <c r="A255" s="10" t="s">
        <v>276</v>
      </c>
      <c r="B255" s="10" t="s">
        <v>39</v>
      </c>
      <c r="C255" s="10" t="str">
        <f t="shared" si="3"/>
        <v>青果物</v>
      </c>
    </row>
    <row r="256" spans="1:3">
      <c r="A256" s="10" t="s">
        <v>277</v>
      </c>
      <c r="B256" s="10" t="s">
        <v>50</v>
      </c>
      <c r="C256" s="10" t="str">
        <f t="shared" si="3"/>
        <v>肉類</v>
      </c>
    </row>
    <row r="257" spans="1:3">
      <c r="A257" s="10" t="s">
        <v>278</v>
      </c>
      <c r="B257" s="10" t="s">
        <v>42</v>
      </c>
      <c r="C257" s="10" t="str">
        <f t="shared" si="3"/>
        <v>スナック食品</v>
      </c>
    </row>
    <row r="258" spans="1:3">
      <c r="A258" s="10" t="s">
        <v>279</v>
      </c>
      <c r="B258" s="10" t="s">
        <v>31</v>
      </c>
      <c r="C258" s="10" t="str">
        <f t="shared" si="3"/>
        <v>缶類</v>
      </c>
    </row>
    <row r="259" spans="1:3">
      <c r="A259" s="10" t="s">
        <v>280</v>
      </c>
      <c r="B259" s="10" t="s">
        <v>50</v>
      </c>
      <c r="C259" s="10" t="str">
        <f t="shared" ref="C259:C322" si="4">IF(B259="", "青果物", B259)</f>
        <v>肉類</v>
      </c>
    </row>
    <row r="260" spans="1:3">
      <c r="A260" s="10" t="s">
        <v>281</v>
      </c>
      <c r="B260" s="10" t="s">
        <v>39</v>
      </c>
      <c r="C260" s="10" t="str">
        <f t="shared" si="4"/>
        <v>青果物</v>
      </c>
    </row>
    <row r="261" spans="1:3">
      <c r="A261" s="10" t="s">
        <v>282</v>
      </c>
      <c r="B261" s="10" t="s">
        <v>42</v>
      </c>
      <c r="C261" s="10" t="str">
        <f t="shared" si="4"/>
        <v>スナック食品</v>
      </c>
    </row>
    <row r="262" spans="1:3">
      <c r="A262" s="10" t="s">
        <v>283</v>
      </c>
      <c r="B262" s="10" t="s">
        <v>42</v>
      </c>
      <c r="C262" s="10" t="str">
        <f t="shared" si="4"/>
        <v>スナック食品</v>
      </c>
    </row>
    <row r="263" spans="1:3">
      <c r="A263" s="10" t="s">
        <v>284</v>
      </c>
      <c r="B263" s="10" t="s">
        <v>50</v>
      </c>
      <c r="C263" s="10" t="str">
        <f t="shared" si="4"/>
        <v>肉類</v>
      </c>
    </row>
    <row r="264" spans="1:3">
      <c r="A264" s="10" t="s">
        <v>285</v>
      </c>
      <c r="B264" s="10" t="s">
        <v>42</v>
      </c>
      <c r="C264" s="10" t="str">
        <f t="shared" si="4"/>
        <v>スナック食品</v>
      </c>
    </row>
    <row r="265" spans="1:3">
      <c r="A265" s="10" t="s">
        <v>286</v>
      </c>
      <c r="B265" s="10" t="s">
        <v>34</v>
      </c>
      <c r="C265" s="10" t="str">
        <f t="shared" si="4"/>
        <v>日用品</v>
      </c>
    </row>
    <row r="266" spans="1:3">
      <c r="A266" s="10" t="s">
        <v>287</v>
      </c>
      <c r="B266" s="10" t="s">
        <v>42</v>
      </c>
      <c r="C266" s="10" t="str">
        <f t="shared" si="4"/>
        <v>スナック食品</v>
      </c>
    </row>
    <row r="267" spans="1:3">
      <c r="A267" s="10" t="s">
        <v>288</v>
      </c>
      <c r="B267" s="10" t="s">
        <v>31</v>
      </c>
      <c r="C267" s="10" t="str">
        <f t="shared" si="4"/>
        <v>缶類</v>
      </c>
    </row>
    <row r="268" spans="1:3">
      <c r="A268" s="10" t="s">
        <v>289</v>
      </c>
      <c r="B268" s="10" t="s">
        <v>39</v>
      </c>
      <c r="C268" s="10" t="str">
        <f t="shared" si="4"/>
        <v>青果物</v>
      </c>
    </row>
    <row r="269" spans="1:3">
      <c r="A269" s="10" t="s">
        <v>290</v>
      </c>
      <c r="B269" s="10" t="s">
        <v>42</v>
      </c>
      <c r="C269" s="10" t="str">
        <f t="shared" si="4"/>
        <v>スナック食品</v>
      </c>
    </row>
    <row r="270" spans="1:3">
      <c r="A270" s="10" t="s">
        <v>291</v>
      </c>
      <c r="B270" s="10" t="s">
        <v>31</v>
      </c>
      <c r="C270" s="10" t="str">
        <f t="shared" si="4"/>
        <v>缶類</v>
      </c>
    </row>
    <row r="271" spans="1:3">
      <c r="A271" s="10" t="s">
        <v>292</v>
      </c>
      <c r="B271" s="10" t="s">
        <v>50</v>
      </c>
      <c r="C271" s="10" t="str">
        <f t="shared" si="4"/>
        <v>肉類</v>
      </c>
    </row>
    <row r="272" spans="1:3">
      <c r="A272" s="10" t="s">
        <v>293</v>
      </c>
      <c r="B272" s="10" t="s">
        <v>37</v>
      </c>
      <c r="C272" s="10" t="str">
        <f t="shared" si="4"/>
        <v>冷凍食品</v>
      </c>
    </row>
    <row r="273" spans="1:3">
      <c r="A273" s="10" t="s">
        <v>294</v>
      </c>
      <c r="B273" s="10" t="s">
        <v>39</v>
      </c>
      <c r="C273" s="10" t="str">
        <f t="shared" si="4"/>
        <v>青果物</v>
      </c>
    </row>
    <row r="274" spans="1:3">
      <c r="A274" s="10" t="s">
        <v>295</v>
      </c>
      <c r="B274" s="10" t="s">
        <v>42</v>
      </c>
      <c r="C274" s="10" t="str">
        <f t="shared" si="4"/>
        <v>スナック食品</v>
      </c>
    </row>
    <row r="275" spans="1:3">
      <c r="A275" s="10" t="s">
        <v>296</v>
      </c>
      <c r="B275" s="10" t="s">
        <v>42</v>
      </c>
      <c r="C275" s="10" t="str">
        <f t="shared" si="4"/>
        <v>スナック食品</v>
      </c>
    </row>
    <row r="276" spans="1:3">
      <c r="A276" s="10" t="s">
        <v>297</v>
      </c>
      <c r="B276" s="10" t="s">
        <v>50</v>
      </c>
      <c r="C276" s="10" t="str">
        <f t="shared" si="4"/>
        <v>肉類</v>
      </c>
    </row>
    <row r="277" spans="1:3">
      <c r="A277" s="10" t="s">
        <v>298</v>
      </c>
      <c r="B277" s="10" t="s">
        <v>39</v>
      </c>
      <c r="C277" s="10" t="str">
        <f t="shared" si="4"/>
        <v>青果物</v>
      </c>
    </row>
    <row r="278" spans="1:3">
      <c r="A278" s="10" t="s">
        <v>299</v>
      </c>
      <c r="B278" s="10" t="s">
        <v>42</v>
      </c>
      <c r="C278" s="10" t="str">
        <f t="shared" si="4"/>
        <v>スナック食品</v>
      </c>
    </row>
    <row r="279" spans="1:3">
      <c r="A279" s="10" t="s">
        <v>300</v>
      </c>
      <c r="B279" s="10" t="s">
        <v>301</v>
      </c>
      <c r="C279" s="10" t="str">
        <f t="shared" si="4"/>
        <v>パン類</v>
      </c>
    </row>
    <row r="280" spans="1:3">
      <c r="A280" s="10" t="s">
        <v>302</v>
      </c>
      <c r="B280" s="10" t="s">
        <v>50</v>
      </c>
      <c r="C280" s="10" t="str">
        <f t="shared" si="4"/>
        <v>肉類</v>
      </c>
    </row>
    <row r="281" spans="1:3">
      <c r="A281" s="10" t="s">
        <v>303</v>
      </c>
      <c r="B281" s="10" t="s">
        <v>39</v>
      </c>
      <c r="C281" s="10" t="str">
        <f t="shared" si="4"/>
        <v>青果物</v>
      </c>
    </row>
    <row r="282" spans="1:3">
      <c r="A282" s="10" t="s">
        <v>304</v>
      </c>
      <c r="B282" s="10" t="s">
        <v>42</v>
      </c>
      <c r="C282" s="10" t="str">
        <f t="shared" si="4"/>
        <v>スナック食品</v>
      </c>
    </row>
    <row r="283" spans="1:3">
      <c r="A283" s="10" t="s">
        <v>305</v>
      </c>
      <c r="B283" s="10" t="s">
        <v>42</v>
      </c>
      <c r="C283" s="10" t="str">
        <f t="shared" si="4"/>
        <v>スナック食品</v>
      </c>
    </row>
    <row r="284" spans="1:3">
      <c r="A284" s="10" t="s">
        <v>306</v>
      </c>
      <c r="B284" s="10" t="s">
        <v>50</v>
      </c>
      <c r="C284" s="10" t="str">
        <f t="shared" si="4"/>
        <v>肉類</v>
      </c>
    </row>
    <row r="285" spans="1:3">
      <c r="A285" s="10" t="s">
        <v>307</v>
      </c>
      <c r="B285" s="10" t="s">
        <v>39</v>
      </c>
      <c r="C285" s="10" t="str">
        <f t="shared" si="4"/>
        <v>青果物</v>
      </c>
    </row>
    <row r="286" spans="1:3">
      <c r="A286" s="10" t="s">
        <v>308</v>
      </c>
      <c r="B286" s="10" t="s">
        <v>42</v>
      </c>
      <c r="C286" s="10" t="str">
        <f t="shared" si="4"/>
        <v>スナック食品</v>
      </c>
    </row>
    <row r="287" spans="1:3">
      <c r="A287" s="10" t="s">
        <v>309</v>
      </c>
      <c r="B287" s="10" t="s">
        <v>31</v>
      </c>
      <c r="C287" s="10" t="str">
        <f t="shared" si="4"/>
        <v>缶類</v>
      </c>
    </row>
    <row r="288" spans="1:3">
      <c r="A288" s="10" t="s">
        <v>310</v>
      </c>
      <c r="B288" s="10" t="s">
        <v>37</v>
      </c>
      <c r="C288" s="10" t="str">
        <f t="shared" si="4"/>
        <v>冷凍食品</v>
      </c>
    </row>
    <row r="289" spans="1:3">
      <c r="A289" s="10" t="s">
        <v>311</v>
      </c>
      <c r="B289" s="10" t="s">
        <v>39</v>
      </c>
      <c r="C289" s="10" t="str">
        <f t="shared" si="4"/>
        <v>青果物</v>
      </c>
    </row>
    <row r="290" spans="1:3">
      <c r="A290" s="10" t="s">
        <v>312</v>
      </c>
      <c r="B290" s="10" t="s">
        <v>42</v>
      </c>
      <c r="C290" s="10" t="str">
        <f t="shared" si="4"/>
        <v>スナック食品</v>
      </c>
    </row>
    <row r="291" spans="1:3">
      <c r="A291" s="10" t="s">
        <v>313</v>
      </c>
      <c r="B291" s="10" t="s">
        <v>42</v>
      </c>
      <c r="C291" s="10" t="str">
        <f t="shared" si="4"/>
        <v>スナック食品</v>
      </c>
    </row>
    <row r="292" spans="1:3">
      <c r="A292" s="10" t="s">
        <v>314</v>
      </c>
      <c r="B292" s="10" t="s">
        <v>50</v>
      </c>
      <c r="C292" s="10" t="str">
        <f t="shared" si="4"/>
        <v>肉類</v>
      </c>
    </row>
    <row r="293" spans="1:3">
      <c r="A293" s="10" t="s">
        <v>315</v>
      </c>
      <c r="B293" s="10" t="s">
        <v>37</v>
      </c>
      <c r="C293" s="10" t="str">
        <f t="shared" si="4"/>
        <v>冷凍食品</v>
      </c>
    </row>
    <row r="294" spans="1:3">
      <c r="A294" s="10" t="s">
        <v>316</v>
      </c>
      <c r="B294" s="10" t="s">
        <v>42</v>
      </c>
      <c r="C294" s="10" t="str">
        <f t="shared" si="4"/>
        <v>スナック食品</v>
      </c>
    </row>
    <row r="295" spans="1:3">
      <c r="A295" s="10" t="s">
        <v>317</v>
      </c>
      <c r="B295" s="10" t="s">
        <v>42</v>
      </c>
      <c r="C295" s="10" t="str">
        <f t="shared" si="4"/>
        <v>スナック食品</v>
      </c>
    </row>
    <row r="296" spans="1:3">
      <c r="A296" s="10" t="s">
        <v>318</v>
      </c>
      <c r="B296" s="10" t="s">
        <v>301</v>
      </c>
      <c r="C296" s="10" t="str">
        <f t="shared" si="4"/>
        <v>パン類</v>
      </c>
    </row>
    <row r="297" spans="1:3">
      <c r="A297" s="10" t="s">
        <v>319</v>
      </c>
      <c r="B297" s="10" t="s">
        <v>50</v>
      </c>
      <c r="C297" s="10" t="str">
        <f t="shared" si="4"/>
        <v>肉類</v>
      </c>
    </row>
    <row r="298" spans="1:3">
      <c r="A298" s="10" t="s">
        <v>320</v>
      </c>
      <c r="B298" s="10" t="s">
        <v>39</v>
      </c>
      <c r="C298" s="10" t="str">
        <f t="shared" si="4"/>
        <v>青果物</v>
      </c>
    </row>
    <row r="299" spans="1:3">
      <c r="A299" s="10" t="s">
        <v>321</v>
      </c>
      <c r="B299" s="10" t="s">
        <v>301</v>
      </c>
      <c r="C299" s="10" t="str">
        <f t="shared" si="4"/>
        <v>パン類</v>
      </c>
    </row>
    <row r="300" spans="1:3">
      <c r="A300" s="10" t="s">
        <v>322</v>
      </c>
      <c r="B300" s="10" t="s">
        <v>31</v>
      </c>
      <c r="C300" s="10" t="str">
        <f t="shared" si="4"/>
        <v>缶類</v>
      </c>
    </row>
    <row r="301" spans="1:3">
      <c r="A301" s="10" t="s">
        <v>323</v>
      </c>
      <c r="B301" s="10" t="s">
        <v>50</v>
      </c>
      <c r="C301" s="10" t="str">
        <f t="shared" si="4"/>
        <v>肉類</v>
      </c>
    </row>
    <row r="302" spans="1:3">
      <c r="A302" s="10" t="s">
        <v>324</v>
      </c>
      <c r="B302" s="10" t="s">
        <v>37</v>
      </c>
      <c r="C302" s="10" t="str">
        <f t="shared" si="4"/>
        <v>冷凍食品</v>
      </c>
    </row>
    <row r="303" spans="1:3">
      <c r="A303" s="10" t="s">
        <v>325</v>
      </c>
      <c r="B303" s="10" t="s">
        <v>39</v>
      </c>
      <c r="C303" s="10" t="str">
        <f t="shared" si="4"/>
        <v>青果物</v>
      </c>
    </row>
    <row r="304" spans="1:3">
      <c r="A304" s="10" t="s">
        <v>326</v>
      </c>
      <c r="B304" s="10" t="s">
        <v>39</v>
      </c>
      <c r="C304" s="10" t="str">
        <f t="shared" si="4"/>
        <v>青果物</v>
      </c>
    </row>
    <row r="305" spans="1:3">
      <c r="A305" s="10" t="s">
        <v>327</v>
      </c>
      <c r="B305" s="10" t="s">
        <v>42</v>
      </c>
      <c r="C305" s="10" t="str">
        <f t="shared" si="4"/>
        <v>スナック食品</v>
      </c>
    </row>
    <row r="306" spans="1:3">
      <c r="A306" s="10" t="s">
        <v>328</v>
      </c>
      <c r="B306" s="10" t="s">
        <v>31</v>
      </c>
      <c r="C306" s="10" t="str">
        <f t="shared" si="4"/>
        <v>缶類</v>
      </c>
    </row>
    <row r="307" spans="1:3">
      <c r="A307" s="10" t="s">
        <v>329</v>
      </c>
      <c r="B307" s="10" t="s">
        <v>50</v>
      </c>
      <c r="C307" s="10" t="str">
        <f t="shared" si="4"/>
        <v>肉類</v>
      </c>
    </row>
    <row r="308" spans="1:3">
      <c r="A308" s="10" t="s">
        <v>330</v>
      </c>
      <c r="B308" s="10" t="s">
        <v>37</v>
      </c>
      <c r="C308" s="10" t="str">
        <f t="shared" si="4"/>
        <v>冷凍食品</v>
      </c>
    </row>
    <row r="309" spans="1:3">
      <c r="A309" s="10" t="s">
        <v>331</v>
      </c>
      <c r="B309" s="10" t="s">
        <v>39</v>
      </c>
      <c r="C309" s="10" t="str">
        <f t="shared" si="4"/>
        <v>青果物</v>
      </c>
    </row>
    <row r="310" spans="1:3">
      <c r="A310" s="10" t="s">
        <v>332</v>
      </c>
      <c r="B310" s="10" t="s">
        <v>42</v>
      </c>
      <c r="C310" s="10" t="str">
        <f t="shared" si="4"/>
        <v>スナック食品</v>
      </c>
    </row>
    <row r="311" spans="1:3">
      <c r="A311" s="10" t="s">
        <v>333</v>
      </c>
      <c r="B311" s="10" t="s">
        <v>42</v>
      </c>
      <c r="C311" s="10" t="str">
        <f t="shared" si="4"/>
        <v>スナック食品</v>
      </c>
    </row>
    <row r="312" spans="1:3">
      <c r="A312" s="10" t="s">
        <v>334</v>
      </c>
      <c r="B312" s="10" t="s">
        <v>31</v>
      </c>
      <c r="C312" s="10" t="str">
        <f t="shared" si="4"/>
        <v>缶類</v>
      </c>
    </row>
    <row r="313" spans="1:3">
      <c r="A313" s="10" t="s">
        <v>335</v>
      </c>
      <c r="B313" s="10" t="s">
        <v>50</v>
      </c>
      <c r="C313" s="10" t="str">
        <f t="shared" si="4"/>
        <v>肉類</v>
      </c>
    </row>
    <row r="314" spans="1:3">
      <c r="A314" s="10" t="s">
        <v>336</v>
      </c>
      <c r="B314" s="10" t="s">
        <v>37</v>
      </c>
      <c r="C314" s="10" t="str">
        <f t="shared" si="4"/>
        <v>冷凍食品</v>
      </c>
    </row>
    <row r="315" spans="1:3">
      <c r="A315" s="10" t="s">
        <v>337</v>
      </c>
      <c r="B315" s="10" t="s">
        <v>42</v>
      </c>
      <c r="C315" s="10" t="str">
        <f t="shared" si="4"/>
        <v>スナック食品</v>
      </c>
    </row>
    <row r="316" spans="1:3">
      <c r="A316" s="10" t="s">
        <v>338</v>
      </c>
      <c r="B316" s="10" t="s">
        <v>37</v>
      </c>
      <c r="C316" s="10" t="str">
        <f t="shared" si="4"/>
        <v>冷凍食品</v>
      </c>
    </row>
    <row r="317" spans="1:3">
      <c r="A317" s="10" t="s">
        <v>339</v>
      </c>
      <c r="B317" s="10" t="s">
        <v>42</v>
      </c>
      <c r="C317" s="10" t="str">
        <f t="shared" si="4"/>
        <v>スナック食品</v>
      </c>
    </row>
    <row r="318" spans="1:3">
      <c r="A318" s="10" t="s">
        <v>340</v>
      </c>
      <c r="B318" s="10" t="s">
        <v>42</v>
      </c>
      <c r="C318" s="10" t="str">
        <f t="shared" si="4"/>
        <v>スナック食品</v>
      </c>
    </row>
    <row r="319" spans="1:3">
      <c r="A319" s="10" t="s">
        <v>341</v>
      </c>
      <c r="B319" s="10" t="s">
        <v>301</v>
      </c>
      <c r="C319" s="10" t="str">
        <f t="shared" si="4"/>
        <v>パン類</v>
      </c>
    </row>
    <row r="320" spans="1:3">
      <c r="A320" s="10" t="s">
        <v>342</v>
      </c>
      <c r="B320" s="10" t="s">
        <v>31</v>
      </c>
      <c r="C320" s="10" t="str">
        <f t="shared" si="4"/>
        <v>缶類</v>
      </c>
    </row>
    <row r="321" spans="1:3">
      <c r="A321" s="10" t="s">
        <v>343</v>
      </c>
      <c r="B321" s="10" t="s">
        <v>50</v>
      </c>
      <c r="C321" s="10" t="str">
        <f t="shared" si="4"/>
        <v>肉類</v>
      </c>
    </row>
    <row r="322" spans="1:3">
      <c r="A322" s="10" t="s">
        <v>344</v>
      </c>
      <c r="B322" s="10" t="s">
        <v>42</v>
      </c>
      <c r="C322" s="10" t="str">
        <f t="shared" si="4"/>
        <v>スナック食品</v>
      </c>
    </row>
    <row r="323" spans="1:3">
      <c r="A323" s="10" t="s">
        <v>345</v>
      </c>
      <c r="B323" s="10" t="s">
        <v>42</v>
      </c>
      <c r="C323" s="10" t="str">
        <f t="shared" ref="C323:C386" si="5">IF(B323="", "青果物", B323)</f>
        <v>スナック食品</v>
      </c>
    </row>
    <row r="324" spans="1:3">
      <c r="A324" s="10" t="s">
        <v>346</v>
      </c>
      <c r="B324" s="10" t="s">
        <v>301</v>
      </c>
      <c r="C324" s="10" t="str">
        <f t="shared" si="5"/>
        <v>パン類</v>
      </c>
    </row>
    <row r="325" spans="1:3">
      <c r="A325" s="10" t="s">
        <v>347</v>
      </c>
      <c r="B325" s="10" t="s">
        <v>31</v>
      </c>
      <c r="C325" s="10" t="str">
        <f t="shared" si="5"/>
        <v>缶類</v>
      </c>
    </row>
    <row r="326" spans="1:3">
      <c r="A326" s="10" t="s">
        <v>348</v>
      </c>
      <c r="B326" s="10" t="s">
        <v>50</v>
      </c>
      <c r="C326" s="10" t="str">
        <f t="shared" si="5"/>
        <v>肉類</v>
      </c>
    </row>
    <row r="327" spans="1:3">
      <c r="A327" s="10" t="s">
        <v>349</v>
      </c>
      <c r="B327" s="10" t="s">
        <v>39</v>
      </c>
      <c r="C327" s="10" t="str">
        <f t="shared" si="5"/>
        <v>青果物</v>
      </c>
    </row>
    <row r="328" spans="1:3">
      <c r="A328" s="10" t="s">
        <v>350</v>
      </c>
      <c r="B328" s="10" t="s">
        <v>42</v>
      </c>
      <c r="C328" s="10" t="str">
        <f t="shared" si="5"/>
        <v>スナック食品</v>
      </c>
    </row>
    <row r="329" spans="1:3">
      <c r="A329" s="10" t="s">
        <v>351</v>
      </c>
      <c r="B329" s="10" t="s">
        <v>31</v>
      </c>
      <c r="C329" s="10" t="str">
        <f t="shared" si="5"/>
        <v>缶類</v>
      </c>
    </row>
    <row r="330" spans="1:3">
      <c r="A330" s="10" t="s">
        <v>352</v>
      </c>
      <c r="B330" s="10" t="s">
        <v>50</v>
      </c>
      <c r="C330" s="10" t="str">
        <f t="shared" si="5"/>
        <v>肉類</v>
      </c>
    </row>
    <row r="331" spans="1:3">
      <c r="A331" s="10" t="s">
        <v>353</v>
      </c>
      <c r="B331" s="10" t="s">
        <v>42</v>
      </c>
      <c r="C331" s="10" t="str">
        <f t="shared" si="5"/>
        <v>スナック食品</v>
      </c>
    </row>
    <row r="332" spans="1:3">
      <c r="A332" s="10" t="s">
        <v>354</v>
      </c>
      <c r="B332" s="10" t="s">
        <v>37</v>
      </c>
      <c r="C332" s="10" t="str">
        <f t="shared" si="5"/>
        <v>冷凍食品</v>
      </c>
    </row>
    <row r="333" spans="1:3">
      <c r="A333" s="10" t="s">
        <v>355</v>
      </c>
      <c r="B333" s="10" t="s">
        <v>39</v>
      </c>
      <c r="C333" s="10" t="str">
        <f t="shared" si="5"/>
        <v>青果物</v>
      </c>
    </row>
    <row r="334" spans="1:3">
      <c r="A334" s="10" t="s">
        <v>356</v>
      </c>
      <c r="B334" s="10" t="s">
        <v>301</v>
      </c>
      <c r="C334" s="10" t="str">
        <f t="shared" si="5"/>
        <v>パン類</v>
      </c>
    </row>
    <row r="335" spans="1:3">
      <c r="A335" s="10" t="s">
        <v>357</v>
      </c>
      <c r="B335" s="10" t="s">
        <v>39</v>
      </c>
      <c r="C335" s="10" t="str">
        <f t="shared" si="5"/>
        <v>青果物</v>
      </c>
    </row>
    <row r="336" spans="1:3">
      <c r="A336" s="10" t="s">
        <v>358</v>
      </c>
      <c r="B336" s="10" t="s">
        <v>39</v>
      </c>
      <c r="C336" s="10" t="str">
        <f t="shared" si="5"/>
        <v>青果物</v>
      </c>
    </row>
    <row r="337" spans="1:3">
      <c r="A337" s="10" t="s">
        <v>359</v>
      </c>
      <c r="B337" s="10" t="s">
        <v>42</v>
      </c>
      <c r="C337" s="10" t="str">
        <f t="shared" si="5"/>
        <v>スナック食品</v>
      </c>
    </row>
    <row r="338" spans="1:3">
      <c r="A338" s="10" t="s">
        <v>360</v>
      </c>
      <c r="B338" s="10" t="s">
        <v>42</v>
      </c>
      <c r="C338" s="10" t="str">
        <f t="shared" si="5"/>
        <v>スナック食品</v>
      </c>
    </row>
    <row r="339" spans="1:3">
      <c r="A339" s="10" t="s">
        <v>361</v>
      </c>
      <c r="B339" s="10" t="s">
        <v>301</v>
      </c>
      <c r="C339" s="10" t="str">
        <f t="shared" si="5"/>
        <v>パン類</v>
      </c>
    </row>
    <row r="340" spans="1:3">
      <c r="A340" s="10" t="s">
        <v>362</v>
      </c>
      <c r="B340" s="10" t="s">
        <v>31</v>
      </c>
      <c r="C340" s="10" t="str">
        <f t="shared" si="5"/>
        <v>缶類</v>
      </c>
    </row>
    <row r="341" spans="1:3">
      <c r="A341" s="10" t="s">
        <v>363</v>
      </c>
      <c r="B341" s="10" t="s">
        <v>50</v>
      </c>
      <c r="C341" s="10" t="str">
        <f t="shared" si="5"/>
        <v>肉類</v>
      </c>
    </row>
    <row r="342" spans="1:3">
      <c r="A342" s="10" t="s">
        <v>364</v>
      </c>
      <c r="B342" s="10" t="s">
        <v>39</v>
      </c>
      <c r="C342" s="10" t="str">
        <f t="shared" si="5"/>
        <v>青果物</v>
      </c>
    </row>
    <row r="343" spans="1:3">
      <c r="A343" s="10" t="s">
        <v>365</v>
      </c>
      <c r="B343" s="10" t="s">
        <v>39</v>
      </c>
      <c r="C343" s="10" t="str">
        <f t="shared" si="5"/>
        <v>青果物</v>
      </c>
    </row>
    <row r="344" spans="1:3">
      <c r="A344" s="10" t="s">
        <v>366</v>
      </c>
      <c r="B344" s="10" t="s">
        <v>42</v>
      </c>
      <c r="C344" s="10" t="str">
        <f t="shared" si="5"/>
        <v>スナック食品</v>
      </c>
    </row>
    <row r="345" spans="1:3">
      <c r="A345" s="10" t="s">
        <v>367</v>
      </c>
      <c r="B345" s="10" t="s">
        <v>301</v>
      </c>
      <c r="C345" s="10" t="str">
        <f t="shared" si="5"/>
        <v>パン類</v>
      </c>
    </row>
    <row r="346" spans="1:3">
      <c r="A346" s="10" t="s">
        <v>368</v>
      </c>
      <c r="B346" s="10" t="s">
        <v>31</v>
      </c>
      <c r="C346" s="10" t="str">
        <f t="shared" si="5"/>
        <v>缶類</v>
      </c>
    </row>
    <row r="347" spans="1:3">
      <c r="A347" s="10" t="s">
        <v>369</v>
      </c>
      <c r="B347" s="10" t="s">
        <v>34</v>
      </c>
      <c r="C347" s="10" t="str">
        <f t="shared" si="5"/>
        <v>日用品</v>
      </c>
    </row>
    <row r="348" spans="1:3">
      <c r="A348" s="10" t="s">
        <v>370</v>
      </c>
      <c r="B348" s="10" t="s">
        <v>37</v>
      </c>
      <c r="C348" s="10" t="str">
        <f t="shared" si="5"/>
        <v>冷凍食品</v>
      </c>
    </row>
    <row r="349" spans="1:3">
      <c r="A349" s="10" t="s">
        <v>371</v>
      </c>
      <c r="B349" s="10" t="s">
        <v>39</v>
      </c>
      <c r="C349" s="10" t="str">
        <f t="shared" si="5"/>
        <v>青果物</v>
      </c>
    </row>
    <row r="350" spans="1:3">
      <c r="A350" s="10" t="s">
        <v>372</v>
      </c>
      <c r="B350" s="10" t="s">
        <v>39</v>
      </c>
      <c r="C350" s="10" t="str">
        <f t="shared" si="5"/>
        <v>青果物</v>
      </c>
    </row>
    <row r="351" spans="1:3">
      <c r="A351" s="10" t="s">
        <v>373</v>
      </c>
      <c r="B351" s="10" t="s">
        <v>42</v>
      </c>
      <c r="C351" s="10" t="str">
        <f t="shared" si="5"/>
        <v>スナック食品</v>
      </c>
    </row>
    <row r="352" spans="1:3">
      <c r="A352" s="10" t="s">
        <v>374</v>
      </c>
      <c r="B352" s="10" t="s">
        <v>50</v>
      </c>
      <c r="C352" s="10" t="str">
        <f t="shared" si="5"/>
        <v>肉類</v>
      </c>
    </row>
    <row r="353" spans="1:3">
      <c r="A353" s="10" t="s">
        <v>375</v>
      </c>
      <c r="B353" s="10" t="s">
        <v>37</v>
      </c>
      <c r="C353" s="10" t="str">
        <f t="shared" si="5"/>
        <v>冷凍食品</v>
      </c>
    </row>
    <row r="354" spans="1:3">
      <c r="A354" s="10" t="s">
        <v>376</v>
      </c>
      <c r="B354" s="10" t="s">
        <v>42</v>
      </c>
      <c r="C354" s="10" t="str">
        <f t="shared" si="5"/>
        <v>スナック食品</v>
      </c>
    </row>
    <row r="355" spans="1:3">
      <c r="A355" s="10" t="s">
        <v>377</v>
      </c>
      <c r="B355" s="10" t="s">
        <v>50</v>
      </c>
      <c r="C355" s="10" t="str">
        <f t="shared" si="5"/>
        <v>肉類</v>
      </c>
    </row>
    <row r="356" spans="1:3">
      <c r="A356" s="10" t="s">
        <v>378</v>
      </c>
      <c r="B356" s="10" t="s">
        <v>37</v>
      </c>
      <c r="C356" s="10" t="str">
        <f t="shared" si="5"/>
        <v>冷凍食品</v>
      </c>
    </row>
    <row r="357" spans="1:3">
      <c r="A357" s="10" t="s">
        <v>379</v>
      </c>
      <c r="B357" s="10" t="s">
        <v>39</v>
      </c>
      <c r="C357" s="10" t="str">
        <f t="shared" si="5"/>
        <v>青果物</v>
      </c>
    </row>
    <row r="358" spans="1:3">
      <c r="A358" s="10" t="s">
        <v>380</v>
      </c>
      <c r="B358" s="10" t="s">
        <v>39</v>
      </c>
      <c r="C358" s="10" t="str">
        <f t="shared" si="5"/>
        <v>青果物</v>
      </c>
    </row>
    <row r="359" spans="1:3">
      <c r="A359" s="10" t="s">
        <v>381</v>
      </c>
      <c r="B359" s="10" t="s">
        <v>42</v>
      </c>
      <c r="C359" s="10" t="str">
        <f t="shared" si="5"/>
        <v>スナック食品</v>
      </c>
    </row>
    <row r="360" spans="1:3">
      <c r="A360" s="10" t="s">
        <v>382</v>
      </c>
      <c r="B360" s="10" t="s">
        <v>301</v>
      </c>
      <c r="C360" s="10" t="str">
        <f t="shared" si="5"/>
        <v>パン類</v>
      </c>
    </row>
    <row r="361" spans="1:3">
      <c r="A361" s="10" t="s">
        <v>383</v>
      </c>
      <c r="B361" s="10" t="s">
        <v>31</v>
      </c>
      <c r="C361" s="10" t="str">
        <f t="shared" si="5"/>
        <v>缶類</v>
      </c>
    </row>
    <row r="362" spans="1:3">
      <c r="A362" s="10" t="s">
        <v>384</v>
      </c>
      <c r="B362" s="10" t="s">
        <v>37</v>
      </c>
      <c r="C362" s="10" t="str">
        <f t="shared" si="5"/>
        <v>冷凍食品</v>
      </c>
    </row>
    <row r="363" spans="1:3">
      <c r="A363" s="10" t="s">
        <v>385</v>
      </c>
      <c r="B363" s="10" t="s">
        <v>39</v>
      </c>
      <c r="C363" s="10" t="str">
        <f t="shared" si="5"/>
        <v>青果物</v>
      </c>
    </row>
    <row r="364" spans="1:3">
      <c r="A364" s="10" t="s">
        <v>386</v>
      </c>
      <c r="B364" s="10" t="s">
        <v>42</v>
      </c>
      <c r="C364" s="10" t="str">
        <f t="shared" si="5"/>
        <v>スナック食品</v>
      </c>
    </row>
    <row r="365" spans="1:3">
      <c r="A365" s="10" t="s">
        <v>387</v>
      </c>
      <c r="B365" s="10" t="s">
        <v>34</v>
      </c>
      <c r="C365" s="10" t="str">
        <f t="shared" si="5"/>
        <v>日用品</v>
      </c>
    </row>
    <row r="366" spans="1:3">
      <c r="A366" s="10" t="s">
        <v>388</v>
      </c>
      <c r="B366" s="10" t="s">
        <v>50</v>
      </c>
      <c r="C366" s="10" t="str">
        <f t="shared" si="5"/>
        <v>肉類</v>
      </c>
    </row>
    <row r="367" spans="1:3">
      <c r="A367" s="10" t="s">
        <v>389</v>
      </c>
      <c r="B367" s="10" t="s">
        <v>39</v>
      </c>
      <c r="C367" s="10" t="str">
        <f t="shared" si="5"/>
        <v>青果物</v>
      </c>
    </row>
    <row r="368" spans="1:3">
      <c r="A368" s="10" t="s">
        <v>390</v>
      </c>
      <c r="B368" s="10" t="s">
        <v>42</v>
      </c>
      <c r="C368" s="10" t="str">
        <f t="shared" si="5"/>
        <v>スナック食品</v>
      </c>
    </row>
    <row r="369" spans="1:3">
      <c r="A369" s="10" t="s">
        <v>391</v>
      </c>
      <c r="B369" s="10" t="s">
        <v>42</v>
      </c>
      <c r="C369" s="10" t="str">
        <f t="shared" si="5"/>
        <v>スナック食品</v>
      </c>
    </row>
    <row r="370" spans="1:3">
      <c r="A370" s="10" t="s">
        <v>392</v>
      </c>
      <c r="B370" s="10" t="s">
        <v>301</v>
      </c>
      <c r="C370" s="10" t="str">
        <f t="shared" si="5"/>
        <v>パン類</v>
      </c>
    </row>
    <row r="371" spans="1:3">
      <c r="A371" s="10" t="s">
        <v>393</v>
      </c>
      <c r="B371" s="10" t="s">
        <v>31</v>
      </c>
      <c r="C371" s="10" t="str">
        <f t="shared" si="5"/>
        <v>缶類</v>
      </c>
    </row>
    <row r="372" spans="1:3">
      <c r="A372" s="10" t="s">
        <v>394</v>
      </c>
      <c r="B372" s="10" t="s">
        <v>50</v>
      </c>
      <c r="C372" s="10" t="str">
        <f t="shared" si="5"/>
        <v>肉類</v>
      </c>
    </row>
    <row r="373" spans="1:3">
      <c r="A373" s="10" t="s">
        <v>395</v>
      </c>
      <c r="B373" s="10" t="s">
        <v>39</v>
      </c>
      <c r="C373" s="10" t="str">
        <f t="shared" si="5"/>
        <v>青果物</v>
      </c>
    </row>
    <row r="374" spans="1:3">
      <c r="A374" s="10" t="s">
        <v>396</v>
      </c>
      <c r="B374" s="10" t="s">
        <v>39</v>
      </c>
      <c r="C374" s="10" t="str">
        <f t="shared" si="5"/>
        <v>青果物</v>
      </c>
    </row>
    <row r="375" spans="1:3">
      <c r="A375" s="10" t="s">
        <v>397</v>
      </c>
      <c r="B375" s="10" t="s">
        <v>301</v>
      </c>
      <c r="C375" s="10" t="str">
        <f t="shared" si="5"/>
        <v>パン類</v>
      </c>
    </row>
    <row r="376" spans="1:3">
      <c r="A376" s="10" t="s">
        <v>398</v>
      </c>
      <c r="B376" s="10" t="s">
        <v>37</v>
      </c>
      <c r="C376" s="10" t="str">
        <f t="shared" si="5"/>
        <v>冷凍食品</v>
      </c>
    </row>
    <row r="377" spans="1:3">
      <c r="A377" s="10" t="s">
        <v>399</v>
      </c>
      <c r="B377" s="10" t="s">
        <v>39</v>
      </c>
      <c r="C377" s="10" t="str">
        <f t="shared" si="5"/>
        <v>青果物</v>
      </c>
    </row>
    <row r="378" spans="1:3">
      <c r="A378" s="10" t="s">
        <v>400</v>
      </c>
      <c r="B378" s="10" t="s">
        <v>39</v>
      </c>
      <c r="C378" s="10" t="str">
        <f t="shared" si="5"/>
        <v>青果物</v>
      </c>
    </row>
    <row r="379" spans="1:3">
      <c r="A379" s="10" t="s">
        <v>401</v>
      </c>
      <c r="B379" s="10" t="s">
        <v>42</v>
      </c>
      <c r="C379" s="10" t="str">
        <f t="shared" si="5"/>
        <v>スナック食品</v>
      </c>
    </row>
    <row r="380" spans="1:3">
      <c r="A380" s="10" t="s">
        <v>402</v>
      </c>
      <c r="B380" s="10" t="s">
        <v>42</v>
      </c>
      <c r="C380" s="10" t="str">
        <f t="shared" si="5"/>
        <v>スナック食品</v>
      </c>
    </row>
    <row r="381" spans="1:3">
      <c r="A381" s="10" t="s">
        <v>403</v>
      </c>
      <c r="B381" s="10" t="s">
        <v>301</v>
      </c>
      <c r="C381" s="10" t="str">
        <f t="shared" si="5"/>
        <v>パン類</v>
      </c>
    </row>
    <row r="382" spans="1:3">
      <c r="A382" s="10" t="s">
        <v>404</v>
      </c>
      <c r="B382" s="10" t="s">
        <v>50</v>
      </c>
      <c r="C382" s="10" t="str">
        <f t="shared" si="5"/>
        <v>肉類</v>
      </c>
    </row>
    <row r="383" spans="1:3">
      <c r="A383" s="10" t="s">
        <v>405</v>
      </c>
      <c r="B383" s="10" t="s">
        <v>37</v>
      </c>
      <c r="C383" s="10" t="str">
        <f t="shared" si="5"/>
        <v>冷凍食品</v>
      </c>
    </row>
    <row r="384" spans="1:3">
      <c r="A384" s="10" t="s">
        <v>406</v>
      </c>
      <c r="B384" s="10" t="s">
        <v>39</v>
      </c>
      <c r="C384" s="10" t="str">
        <f t="shared" si="5"/>
        <v>青果物</v>
      </c>
    </row>
    <row r="385" spans="1:3">
      <c r="A385" s="10" t="s">
        <v>407</v>
      </c>
      <c r="B385" s="10" t="s">
        <v>39</v>
      </c>
      <c r="C385" s="10" t="str">
        <f t="shared" si="5"/>
        <v>青果物</v>
      </c>
    </row>
    <row r="386" spans="1:3">
      <c r="A386" s="10" t="s">
        <v>408</v>
      </c>
      <c r="B386" s="10" t="s">
        <v>42</v>
      </c>
      <c r="C386" s="10" t="str">
        <f t="shared" si="5"/>
        <v>スナック食品</v>
      </c>
    </row>
    <row r="387" spans="1:3">
      <c r="A387" s="10" t="s">
        <v>409</v>
      </c>
      <c r="B387" s="10" t="s">
        <v>301</v>
      </c>
      <c r="C387" s="10" t="str">
        <f t="shared" ref="C387:C450" si="6">IF(B387="", "青果物", B387)</f>
        <v>パン類</v>
      </c>
    </row>
    <row r="388" spans="1:3">
      <c r="A388" s="10" t="s">
        <v>410</v>
      </c>
      <c r="B388" s="10" t="s">
        <v>31</v>
      </c>
      <c r="C388" s="10" t="str">
        <f t="shared" si="6"/>
        <v>缶類</v>
      </c>
    </row>
    <row r="389" spans="1:3">
      <c r="A389" s="10" t="s">
        <v>411</v>
      </c>
      <c r="B389" s="10" t="s">
        <v>34</v>
      </c>
      <c r="C389" s="10" t="str">
        <f t="shared" si="6"/>
        <v>日用品</v>
      </c>
    </row>
    <row r="390" spans="1:3">
      <c r="A390" s="10" t="s">
        <v>412</v>
      </c>
      <c r="B390" s="10" t="s">
        <v>50</v>
      </c>
      <c r="C390" s="10" t="str">
        <f t="shared" si="6"/>
        <v>肉類</v>
      </c>
    </row>
    <row r="391" spans="1:3">
      <c r="A391" s="10" t="s">
        <v>413</v>
      </c>
      <c r="B391" s="10" t="s">
        <v>39</v>
      </c>
      <c r="C391" s="10" t="str">
        <f t="shared" si="6"/>
        <v>青果物</v>
      </c>
    </row>
    <row r="392" spans="1:3">
      <c r="A392" s="10" t="s">
        <v>414</v>
      </c>
      <c r="B392" s="10" t="s">
        <v>42</v>
      </c>
      <c r="C392" s="10" t="str">
        <f t="shared" si="6"/>
        <v>スナック食品</v>
      </c>
    </row>
    <row r="393" spans="1:3">
      <c r="A393" s="10" t="s">
        <v>415</v>
      </c>
      <c r="B393" s="10" t="s">
        <v>42</v>
      </c>
      <c r="C393" s="10" t="str">
        <f t="shared" si="6"/>
        <v>スナック食品</v>
      </c>
    </row>
    <row r="394" spans="1:3">
      <c r="A394" s="10" t="s">
        <v>416</v>
      </c>
      <c r="B394" s="10" t="s">
        <v>301</v>
      </c>
      <c r="C394" s="10" t="str">
        <f t="shared" si="6"/>
        <v>パン類</v>
      </c>
    </row>
    <row r="395" spans="1:3">
      <c r="A395" s="10" t="s">
        <v>417</v>
      </c>
      <c r="B395" s="10" t="s">
        <v>37</v>
      </c>
      <c r="C395" s="10" t="str">
        <f t="shared" si="6"/>
        <v>冷凍食品</v>
      </c>
    </row>
    <row r="396" spans="1:3">
      <c r="A396" s="10" t="s">
        <v>418</v>
      </c>
      <c r="B396" s="10" t="s">
        <v>31</v>
      </c>
      <c r="C396" s="10" t="str">
        <f t="shared" si="6"/>
        <v>缶類</v>
      </c>
    </row>
    <row r="397" spans="1:3">
      <c r="A397" s="10" t="s">
        <v>419</v>
      </c>
      <c r="B397" s="10" t="s">
        <v>34</v>
      </c>
      <c r="C397" s="10" t="str">
        <f t="shared" si="6"/>
        <v>日用品</v>
      </c>
    </row>
    <row r="398" spans="1:3">
      <c r="A398" s="10" t="s">
        <v>420</v>
      </c>
      <c r="B398" s="10" t="s">
        <v>37</v>
      </c>
      <c r="C398" s="10" t="str">
        <f t="shared" si="6"/>
        <v>冷凍食品</v>
      </c>
    </row>
    <row r="399" spans="1:3">
      <c r="A399" s="10" t="s">
        <v>421</v>
      </c>
      <c r="B399" s="10" t="s">
        <v>39</v>
      </c>
      <c r="C399" s="10" t="str">
        <f t="shared" si="6"/>
        <v>青果物</v>
      </c>
    </row>
    <row r="400" spans="1:3">
      <c r="A400" s="10" t="s">
        <v>422</v>
      </c>
      <c r="B400" s="10" t="s">
        <v>39</v>
      </c>
      <c r="C400" s="10" t="str">
        <f t="shared" si="6"/>
        <v>青果物</v>
      </c>
    </row>
    <row r="401" spans="1:3">
      <c r="A401" s="10" t="s">
        <v>423</v>
      </c>
      <c r="B401" s="10" t="s">
        <v>42</v>
      </c>
      <c r="C401" s="10" t="str">
        <f t="shared" si="6"/>
        <v>スナック食品</v>
      </c>
    </row>
    <row r="402" spans="1:3">
      <c r="A402" s="10" t="s">
        <v>424</v>
      </c>
      <c r="C402" s="10" t="str">
        <f t="shared" si="6"/>
        <v>青果物</v>
      </c>
    </row>
    <row r="403" spans="1:3">
      <c r="A403" s="10" t="s">
        <v>425</v>
      </c>
      <c r="B403" s="10" t="s">
        <v>301</v>
      </c>
      <c r="C403" s="10" t="str">
        <f t="shared" si="6"/>
        <v>パン類</v>
      </c>
    </row>
    <row r="404" spans="1:3">
      <c r="A404" s="10" t="s">
        <v>426</v>
      </c>
      <c r="B404" s="10" t="s">
        <v>50</v>
      </c>
      <c r="C404" s="10" t="str">
        <f t="shared" si="6"/>
        <v>肉類</v>
      </c>
    </row>
    <row r="405" spans="1:3">
      <c r="A405" s="10" t="s">
        <v>427</v>
      </c>
      <c r="B405" s="10" t="s">
        <v>37</v>
      </c>
      <c r="C405" s="10" t="str">
        <f t="shared" si="6"/>
        <v>冷凍食品</v>
      </c>
    </row>
    <row r="406" spans="1:3">
      <c r="A406" s="10" t="s">
        <v>428</v>
      </c>
      <c r="B406" s="10" t="s">
        <v>39</v>
      </c>
      <c r="C406" s="10" t="str">
        <f t="shared" si="6"/>
        <v>青果物</v>
      </c>
    </row>
    <row r="407" spans="1:3">
      <c r="A407" s="10" t="s">
        <v>429</v>
      </c>
      <c r="B407" s="10" t="s">
        <v>39</v>
      </c>
      <c r="C407" s="10" t="str">
        <f t="shared" si="6"/>
        <v>青果物</v>
      </c>
    </row>
    <row r="408" spans="1:3">
      <c r="A408" s="10" t="s">
        <v>430</v>
      </c>
      <c r="B408" s="10" t="s">
        <v>301</v>
      </c>
      <c r="C408" s="10" t="str">
        <f t="shared" si="6"/>
        <v>パン類</v>
      </c>
    </row>
    <row r="409" spans="1:3">
      <c r="A409" s="10" t="s">
        <v>431</v>
      </c>
      <c r="B409" s="10" t="s">
        <v>50</v>
      </c>
      <c r="C409" s="10" t="str">
        <f t="shared" si="6"/>
        <v>肉類</v>
      </c>
    </row>
    <row r="410" spans="1:3">
      <c r="A410" s="10" t="s">
        <v>432</v>
      </c>
      <c r="B410" s="10" t="s">
        <v>37</v>
      </c>
      <c r="C410" s="10" t="str">
        <f t="shared" si="6"/>
        <v>冷凍食品</v>
      </c>
    </row>
    <row r="411" spans="1:3">
      <c r="A411" s="10" t="s">
        <v>433</v>
      </c>
      <c r="B411" s="10" t="s">
        <v>39</v>
      </c>
      <c r="C411" s="10" t="str">
        <f t="shared" si="6"/>
        <v>青果物</v>
      </c>
    </row>
    <row r="412" spans="1:3">
      <c r="A412" s="10" t="s">
        <v>434</v>
      </c>
      <c r="B412" s="10" t="s">
        <v>42</v>
      </c>
      <c r="C412" s="10" t="str">
        <f t="shared" si="6"/>
        <v>スナック食品</v>
      </c>
    </row>
    <row r="413" spans="1:3">
      <c r="A413" s="10" t="s">
        <v>435</v>
      </c>
      <c r="B413" s="10" t="s">
        <v>301</v>
      </c>
      <c r="C413" s="10" t="str">
        <f t="shared" si="6"/>
        <v>パン類</v>
      </c>
    </row>
    <row r="414" spans="1:3">
      <c r="A414" s="10" t="s">
        <v>436</v>
      </c>
      <c r="B414" s="10" t="s">
        <v>50</v>
      </c>
      <c r="C414" s="10" t="str">
        <f t="shared" si="6"/>
        <v>肉類</v>
      </c>
    </row>
    <row r="415" spans="1:3">
      <c r="A415" s="10" t="s">
        <v>437</v>
      </c>
      <c r="B415" s="10" t="s">
        <v>39</v>
      </c>
      <c r="C415" s="10" t="str">
        <f t="shared" si="6"/>
        <v>青果物</v>
      </c>
    </row>
    <row r="416" spans="1:3">
      <c r="A416" s="10" t="s">
        <v>438</v>
      </c>
      <c r="B416" s="10" t="s">
        <v>39</v>
      </c>
      <c r="C416" s="10" t="str">
        <f t="shared" si="6"/>
        <v>青果物</v>
      </c>
    </row>
    <row r="417" spans="1:3">
      <c r="A417" s="10" t="s">
        <v>439</v>
      </c>
      <c r="B417" s="10" t="s">
        <v>42</v>
      </c>
      <c r="C417" s="10" t="str">
        <f t="shared" si="6"/>
        <v>スナック食品</v>
      </c>
    </row>
    <row r="418" spans="1:3">
      <c r="A418" s="10" t="s">
        <v>440</v>
      </c>
      <c r="B418" s="10" t="s">
        <v>301</v>
      </c>
      <c r="C418" s="10" t="str">
        <f t="shared" si="6"/>
        <v>パン類</v>
      </c>
    </row>
    <row r="419" spans="1:3">
      <c r="A419" s="10" t="s">
        <v>441</v>
      </c>
      <c r="B419" s="10" t="s">
        <v>34</v>
      </c>
      <c r="C419" s="10" t="str">
        <f t="shared" si="6"/>
        <v>日用品</v>
      </c>
    </row>
    <row r="420" spans="1:3">
      <c r="A420" s="10" t="s">
        <v>442</v>
      </c>
      <c r="B420" s="10" t="s">
        <v>37</v>
      </c>
      <c r="C420" s="10" t="str">
        <f t="shared" si="6"/>
        <v>冷凍食品</v>
      </c>
    </row>
    <row r="421" spans="1:3">
      <c r="A421" s="10" t="s">
        <v>443</v>
      </c>
      <c r="B421" s="10" t="s">
        <v>39</v>
      </c>
      <c r="C421" s="10" t="str">
        <f t="shared" si="6"/>
        <v>青果物</v>
      </c>
    </row>
    <row r="422" spans="1:3">
      <c r="A422" s="10" t="s">
        <v>444</v>
      </c>
      <c r="B422" s="10" t="s">
        <v>39</v>
      </c>
      <c r="C422" s="10" t="str">
        <f t="shared" si="6"/>
        <v>青果物</v>
      </c>
    </row>
    <row r="423" spans="1:3">
      <c r="A423" s="10" t="s">
        <v>445</v>
      </c>
      <c r="B423" s="10" t="s">
        <v>42</v>
      </c>
      <c r="C423" s="10" t="str">
        <f t="shared" si="6"/>
        <v>スナック食品</v>
      </c>
    </row>
    <row r="424" spans="1:3">
      <c r="A424" s="10" t="s">
        <v>446</v>
      </c>
      <c r="B424" s="10" t="s">
        <v>42</v>
      </c>
      <c r="C424" s="10" t="str">
        <f t="shared" si="6"/>
        <v>スナック食品</v>
      </c>
    </row>
    <row r="425" spans="1:3">
      <c r="A425" s="10" t="s">
        <v>447</v>
      </c>
      <c r="B425" s="10" t="s">
        <v>34</v>
      </c>
      <c r="C425" s="10" t="str">
        <f t="shared" si="6"/>
        <v>日用品</v>
      </c>
    </row>
    <row r="426" spans="1:3">
      <c r="A426" s="10" t="s">
        <v>448</v>
      </c>
      <c r="B426" s="10" t="s">
        <v>50</v>
      </c>
      <c r="C426" s="10" t="str">
        <f t="shared" si="6"/>
        <v>肉類</v>
      </c>
    </row>
    <row r="427" spans="1:3">
      <c r="A427" s="10" t="s">
        <v>449</v>
      </c>
      <c r="B427" s="10" t="s">
        <v>39</v>
      </c>
      <c r="C427" s="10" t="str">
        <f t="shared" si="6"/>
        <v>青果物</v>
      </c>
    </row>
    <row r="428" spans="1:3">
      <c r="A428" s="10" t="s">
        <v>450</v>
      </c>
      <c r="B428" s="10" t="s">
        <v>37</v>
      </c>
      <c r="C428" s="10" t="str">
        <f t="shared" si="6"/>
        <v>冷凍食品</v>
      </c>
    </row>
    <row r="429" spans="1:3">
      <c r="A429" s="10" t="s">
        <v>451</v>
      </c>
      <c r="B429" s="10" t="s">
        <v>42</v>
      </c>
      <c r="C429" s="10" t="str">
        <f t="shared" si="6"/>
        <v>スナック食品</v>
      </c>
    </row>
    <row r="430" spans="1:3">
      <c r="A430" s="10" t="s">
        <v>452</v>
      </c>
      <c r="B430" s="10" t="s">
        <v>301</v>
      </c>
      <c r="C430" s="10" t="str">
        <f t="shared" si="6"/>
        <v>パン類</v>
      </c>
    </row>
    <row r="431" spans="1:3">
      <c r="A431" s="10" t="s">
        <v>453</v>
      </c>
      <c r="B431" s="10" t="s">
        <v>31</v>
      </c>
      <c r="C431" s="10" t="str">
        <f t="shared" si="6"/>
        <v>缶類</v>
      </c>
    </row>
    <row r="432" spans="1:3">
      <c r="A432" s="10" t="s">
        <v>454</v>
      </c>
      <c r="B432" s="10" t="s">
        <v>34</v>
      </c>
      <c r="C432" s="10" t="str">
        <f t="shared" si="6"/>
        <v>日用品</v>
      </c>
    </row>
    <row r="433" spans="1:3">
      <c r="A433" s="10" t="s">
        <v>455</v>
      </c>
      <c r="B433" s="10" t="s">
        <v>39</v>
      </c>
      <c r="C433" s="10" t="str">
        <f t="shared" si="6"/>
        <v>青果物</v>
      </c>
    </row>
    <row r="434" spans="1:3">
      <c r="A434" s="10" t="s">
        <v>456</v>
      </c>
      <c r="B434" s="10" t="s">
        <v>39</v>
      </c>
      <c r="C434" s="10" t="str">
        <f t="shared" si="6"/>
        <v>青果物</v>
      </c>
    </row>
    <row r="435" spans="1:3">
      <c r="A435" s="10" t="s">
        <v>457</v>
      </c>
      <c r="B435" s="10" t="s">
        <v>42</v>
      </c>
      <c r="C435" s="10" t="str">
        <f t="shared" si="6"/>
        <v>スナック食品</v>
      </c>
    </row>
    <row r="436" spans="1:3">
      <c r="A436" s="10" t="s">
        <v>458</v>
      </c>
      <c r="B436" s="10" t="s">
        <v>42</v>
      </c>
      <c r="C436" s="10" t="str">
        <f t="shared" si="6"/>
        <v>スナック食品</v>
      </c>
    </row>
    <row r="437" spans="1:3">
      <c r="A437" s="10" t="s">
        <v>459</v>
      </c>
      <c r="B437" s="10" t="s">
        <v>301</v>
      </c>
      <c r="C437" s="10" t="str">
        <f t="shared" si="6"/>
        <v>パン類</v>
      </c>
    </row>
    <row r="438" spans="1:3">
      <c r="A438" s="10" t="s">
        <v>460</v>
      </c>
      <c r="B438" s="10" t="s">
        <v>31</v>
      </c>
      <c r="C438" s="10" t="str">
        <f t="shared" si="6"/>
        <v>缶類</v>
      </c>
    </row>
    <row r="439" spans="1:3">
      <c r="A439" s="10" t="s">
        <v>461</v>
      </c>
      <c r="B439" s="10" t="s">
        <v>39</v>
      </c>
      <c r="C439" s="10" t="str">
        <f t="shared" si="6"/>
        <v>青果物</v>
      </c>
    </row>
    <row r="440" spans="1:3">
      <c r="A440" s="10" t="s">
        <v>462</v>
      </c>
      <c r="B440" s="10" t="s">
        <v>42</v>
      </c>
      <c r="C440" s="10" t="str">
        <f t="shared" si="6"/>
        <v>スナック食品</v>
      </c>
    </row>
    <row r="441" spans="1:3">
      <c r="A441" s="10" t="s">
        <v>463</v>
      </c>
      <c r="B441" s="10" t="s">
        <v>301</v>
      </c>
      <c r="C441" s="10" t="str">
        <f t="shared" si="6"/>
        <v>パン類</v>
      </c>
    </row>
    <row r="442" spans="1:3">
      <c r="A442" s="10" t="s">
        <v>464</v>
      </c>
      <c r="B442" s="10" t="s">
        <v>34</v>
      </c>
      <c r="C442" s="10" t="str">
        <f t="shared" si="6"/>
        <v>日用品</v>
      </c>
    </row>
    <row r="443" spans="1:3">
      <c r="A443" s="10" t="s">
        <v>465</v>
      </c>
      <c r="B443" s="10" t="s">
        <v>39</v>
      </c>
      <c r="C443" s="10" t="str">
        <f t="shared" si="6"/>
        <v>青果物</v>
      </c>
    </row>
    <row r="444" spans="1:3">
      <c r="A444" s="10" t="s">
        <v>466</v>
      </c>
      <c r="B444" s="10" t="s">
        <v>39</v>
      </c>
      <c r="C444" s="10" t="str">
        <f t="shared" si="6"/>
        <v>青果物</v>
      </c>
    </row>
    <row r="445" spans="1:3">
      <c r="A445" s="10" t="s">
        <v>467</v>
      </c>
      <c r="B445" s="10" t="s">
        <v>42</v>
      </c>
      <c r="C445" s="10" t="str">
        <f t="shared" si="6"/>
        <v>スナック食品</v>
      </c>
    </row>
    <row r="446" spans="1:3">
      <c r="A446" s="10" t="s">
        <v>468</v>
      </c>
      <c r="B446" s="10" t="s">
        <v>301</v>
      </c>
      <c r="C446" s="10" t="str">
        <f t="shared" si="6"/>
        <v>パン類</v>
      </c>
    </row>
    <row r="447" spans="1:3">
      <c r="A447" s="10" t="s">
        <v>469</v>
      </c>
      <c r="B447" s="10" t="s">
        <v>31</v>
      </c>
      <c r="C447" s="10" t="str">
        <f t="shared" si="6"/>
        <v>缶類</v>
      </c>
    </row>
    <row r="448" spans="1:3">
      <c r="A448" s="10" t="s">
        <v>470</v>
      </c>
      <c r="B448" s="10" t="s">
        <v>34</v>
      </c>
      <c r="C448" s="10" t="str">
        <f t="shared" si="6"/>
        <v>日用品</v>
      </c>
    </row>
    <row r="449" spans="1:3">
      <c r="A449" s="10" t="s">
        <v>471</v>
      </c>
      <c r="B449" s="10" t="s">
        <v>50</v>
      </c>
      <c r="C449" s="10" t="str">
        <f t="shared" si="6"/>
        <v>肉類</v>
      </c>
    </row>
    <row r="450" spans="1:3">
      <c r="A450" s="10" t="s">
        <v>472</v>
      </c>
      <c r="B450" s="10" t="s">
        <v>37</v>
      </c>
      <c r="C450" s="10" t="str">
        <f t="shared" si="6"/>
        <v>冷凍食品</v>
      </c>
    </row>
    <row r="451" spans="1:3">
      <c r="A451" s="10" t="s">
        <v>473</v>
      </c>
      <c r="B451" s="10" t="s">
        <v>39</v>
      </c>
      <c r="C451" s="10" t="str">
        <f t="shared" ref="C451:C514" si="7">IF(B451="", "青果物", B451)</f>
        <v>青果物</v>
      </c>
    </row>
    <row r="452" spans="1:3">
      <c r="A452" s="10" t="s">
        <v>474</v>
      </c>
      <c r="B452" s="10" t="s">
        <v>42</v>
      </c>
      <c r="C452" s="10" t="str">
        <f t="shared" si="7"/>
        <v>スナック食品</v>
      </c>
    </row>
    <row r="453" spans="1:3">
      <c r="A453" s="10" t="s">
        <v>475</v>
      </c>
      <c r="B453" s="10" t="s">
        <v>42</v>
      </c>
      <c r="C453" s="10" t="str">
        <f t="shared" si="7"/>
        <v>スナック食品</v>
      </c>
    </row>
    <row r="454" spans="1:3">
      <c r="A454" s="10" t="s">
        <v>476</v>
      </c>
      <c r="B454" s="10" t="s">
        <v>301</v>
      </c>
      <c r="C454" s="10" t="str">
        <f t="shared" si="7"/>
        <v>パン類</v>
      </c>
    </row>
    <row r="455" spans="1:3">
      <c r="A455" s="10" t="s">
        <v>477</v>
      </c>
      <c r="B455" s="10" t="s">
        <v>31</v>
      </c>
      <c r="C455" s="10" t="str">
        <f t="shared" si="7"/>
        <v>缶類</v>
      </c>
    </row>
    <row r="456" spans="1:3">
      <c r="A456" s="10" t="s">
        <v>478</v>
      </c>
      <c r="B456" s="10" t="s">
        <v>34</v>
      </c>
      <c r="C456" s="10" t="str">
        <f t="shared" si="7"/>
        <v>日用品</v>
      </c>
    </row>
    <row r="457" spans="1:3">
      <c r="A457" s="10" t="s">
        <v>479</v>
      </c>
      <c r="B457" s="10" t="s">
        <v>50</v>
      </c>
      <c r="C457" s="10" t="str">
        <f t="shared" si="7"/>
        <v>肉類</v>
      </c>
    </row>
    <row r="458" spans="1:3">
      <c r="A458" s="10" t="s">
        <v>480</v>
      </c>
      <c r="B458" s="10" t="s">
        <v>39</v>
      </c>
      <c r="C458" s="10" t="str">
        <f t="shared" si="7"/>
        <v>青果物</v>
      </c>
    </row>
    <row r="459" spans="1:3">
      <c r="A459" s="10" t="s">
        <v>481</v>
      </c>
      <c r="B459" s="10" t="s">
        <v>39</v>
      </c>
      <c r="C459" s="10" t="str">
        <f t="shared" si="7"/>
        <v>青果物</v>
      </c>
    </row>
    <row r="460" spans="1:3">
      <c r="A460" s="10" t="s">
        <v>482</v>
      </c>
      <c r="B460" s="10" t="s">
        <v>42</v>
      </c>
      <c r="C460" s="10" t="str">
        <f t="shared" si="7"/>
        <v>スナック食品</v>
      </c>
    </row>
    <row r="461" spans="1:3">
      <c r="A461" s="10" t="s">
        <v>483</v>
      </c>
      <c r="C461" s="10" t="str">
        <f t="shared" si="7"/>
        <v>青果物</v>
      </c>
    </row>
    <row r="462" spans="1:3">
      <c r="A462" s="10" t="s">
        <v>484</v>
      </c>
      <c r="B462" s="10" t="s">
        <v>34</v>
      </c>
      <c r="C462" s="10" t="str">
        <f t="shared" si="7"/>
        <v>日用品</v>
      </c>
    </row>
    <row r="463" spans="1:3">
      <c r="A463" s="10" t="s">
        <v>485</v>
      </c>
      <c r="B463" s="10" t="s">
        <v>50</v>
      </c>
      <c r="C463" s="10" t="str">
        <f t="shared" si="7"/>
        <v>肉類</v>
      </c>
    </row>
    <row r="464" spans="1:3">
      <c r="A464" s="10" t="s">
        <v>486</v>
      </c>
      <c r="B464" s="10" t="s">
        <v>37</v>
      </c>
      <c r="C464" s="10" t="str">
        <f t="shared" si="7"/>
        <v>冷凍食品</v>
      </c>
    </row>
    <row r="465" spans="1:3">
      <c r="A465" s="10" t="s">
        <v>487</v>
      </c>
      <c r="B465" s="10" t="s">
        <v>39</v>
      </c>
      <c r="C465" s="10" t="str">
        <f t="shared" si="7"/>
        <v>青果物</v>
      </c>
    </row>
    <row r="466" spans="1:3">
      <c r="A466" s="10" t="s">
        <v>488</v>
      </c>
      <c r="B466" s="10" t="s">
        <v>39</v>
      </c>
      <c r="C466" s="10" t="str">
        <f t="shared" si="7"/>
        <v>青果物</v>
      </c>
    </row>
    <row r="467" spans="1:3">
      <c r="A467" s="10" t="s">
        <v>489</v>
      </c>
      <c r="B467" s="10" t="s">
        <v>42</v>
      </c>
      <c r="C467" s="10" t="str">
        <f t="shared" si="7"/>
        <v>スナック食品</v>
      </c>
    </row>
    <row r="468" spans="1:3">
      <c r="A468" s="10" t="s">
        <v>490</v>
      </c>
      <c r="B468" s="10" t="s">
        <v>42</v>
      </c>
      <c r="C468" s="10" t="str">
        <f t="shared" si="7"/>
        <v>スナック食品</v>
      </c>
    </row>
    <row r="469" spans="1:3">
      <c r="A469" s="10" t="s">
        <v>491</v>
      </c>
      <c r="B469" s="10" t="s">
        <v>301</v>
      </c>
      <c r="C469" s="10" t="str">
        <f t="shared" si="7"/>
        <v>パン類</v>
      </c>
    </row>
    <row r="470" spans="1:3">
      <c r="A470" s="10" t="s">
        <v>492</v>
      </c>
      <c r="B470" s="10" t="s">
        <v>31</v>
      </c>
      <c r="C470" s="10" t="str">
        <f t="shared" si="7"/>
        <v>缶類</v>
      </c>
    </row>
    <row r="471" spans="1:3">
      <c r="A471" s="10" t="s">
        <v>493</v>
      </c>
      <c r="B471" s="10" t="s">
        <v>34</v>
      </c>
      <c r="C471" s="10" t="str">
        <f t="shared" si="7"/>
        <v>日用品</v>
      </c>
    </row>
    <row r="472" spans="1:3">
      <c r="A472" s="10" t="s">
        <v>494</v>
      </c>
      <c r="B472" s="10" t="s">
        <v>50</v>
      </c>
      <c r="C472" s="10" t="str">
        <f t="shared" si="7"/>
        <v>肉類</v>
      </c>
    </row>
    <row r="473" spans="1:3">
      <c r="A473" s="10" t="s">
        <v>495</v>
      </c>
      <c r="B473" s="10" t="s">
        <v>37</v>
      </c>
      <c r="C473" s="10" t="str">
        <f t="shared" si="7"/>
        <v>冷凍食品</v>
      </c>
    </row>
    <row r="474" spans="1:3">
      <c r="A474" s="10" t="s">
        <v>496</v>
      </c>
      <c r="B474" s="10" t="s">
        <v>39</v>
      </c>
      <c r="C474" s="10" t="str">
        <f t="shared" si="7"/>
        <v>青果物</v>
      </c>
    </row>
    <row r="475" spans="1:3">
      <c r="A475" s="10" t="s">
        <v>497</v>
      </c>
      <c r="B475" s="10" t="s">
        <v>39</v>
      </c>
      <c r="C475" s="10" t="str">
        <f t="shared" si="7"/>
        <v>青果物</v>
      </c>
    </row>
    <row r="476" spans="1:3">
      <c r="A476" s="10" t="s">
        <v>498</v>
      </c>
      <c r="B476" s="10" t="s">
        <v>31</v>
      </c>
      <c r="C476" s="10" t="str">
        <f t="shared" si="7"/>
        <v>缶類</v>
      </c>
    </row>
    <row r="477" spans="1:3">
      <c r="A477" s="10" t="s">
        <v>499</v>
      </c>
      <c r="B477" s="10" t="s">
        <v>50</v>
      </c>
      <c r="C477" s="10" t="str">
        <f t="shared" si="7"/>
        <v>肉類</v>
      </c>
    </row>
    <row r="478" spans="1:3">
      <c r="A478" s="10" t="s">
        <v>500</v>
      </c>
      <c r="B478" s="10" t="s">
        <v>39</v>
      </c>
      <c r="C478" s="10" t="str">
        <f t="shared" si="7"/>
        <v>青果物</v>
      </c>
    </row>
    <row r="479" spans="1:3">
      <c r="A479" s="10" t="s">
        <v>501</v>
      </c>
      <c r="B479" s="10" t="s">
        <v>42</v>
      </c>
      <c r="C479" s="10" t="str">
        <f t="shared" si="7"/>
        <v>スナック食品</v>
      </c>
    </row>
    <row r="480" spans="1:3">
      <c r="A480" s="10" t="s">
        <v>502</v>
      </c>
      <c r="B480" s="10" t="s">
        <v>301</v>
      </c>
      <c r="C480" s="10" t="str">
        <f t="shared" si="7"/>
        <v>パン類</v>
      </c>
    </row>
    <row r="481" spans="1:3">
      <c r="A481" s="10" t="s">
        <v>503</v>
      </c>
      <c r="B481" s="10" t="s">
        <v>34</v>
      </c>
      <c r="C481" s="10" t="str">
        <f t="shared" si="7"/>
        <v>日用品</v>
      </c>
    </row>
    <row r="482" spans="1:3">
      <c r="A482" s="10" t="s">
        <v>504</v>
      </c>
      <c r="B482" s="10" t="s">
        <v>37</v>
      </c>
      <c r="C482" s="10" t="str">
        <f t="shared" si="7"/>
        <v>冷凍食品</v>
      </c>
    </row>
    <row r="483" spans="1:3">
      <c r="A483" s="10" t="s">
        <v>505</v>
      </c>
      <c r="B483" s="10" t="s">
        <v>31</v>
      </c>
      <c r="C483" s="10" t="str">
        <f t="shared" si="7"/>
        <v>缶類</v>
      </c>
    </row>
    <row r="484" spans="1:3">
      <c r="A484" s="10" t="s">
        <v>506</v>
      </c>
      <c r="B484" s="10" t="s">
        <v>34</v>
      </c>
      <c r="C484" s="10" t="str">
        <f t="shared" si="7"/>
        <v>日用品</v>
      </c>
    </row>
    <row r="485" spans="1:3">
      <c r="A485" s="10" t="s">
        <v>507</v>
      </c>
      <c r="B485" s="10" t="s">
        <v>39</v>
      </c>
      <c r="C485" s="10" t="str">
        <f t="shared" si="7"/>
        <v>青果物</v>
      </c>
    </row>
    <row r="486" spans="1:3">
      <c r="A486" s="10" t="s">
        <v>508</v>
      </c>
      <c r="B486" s="10" t="s">
        <v>42</v>
      </c>
      <c r="C486" s="10" t="str">
        <f t="shared" si="7"/>
        <v>スナック食品</v>
      </c>
    </row>
    <row r="487" spans="1:3">
      <c r="A487" s="10" t="s">
        <v>509</v>
      </c>
      <c r="B487" s="10" t="s">
        <v>31</v>
      </c>
      <c r="C487" s="10" t="str">
        <f t="shared" si="7"/>
        <v>缶類</v>
      </c>
    </row>
    <row r="488" spans="1:3">
      <c r="A488" s="10" t="s">
        <v>510</v>
      </c>
      <c r="B488" s="10" t="s">
        <v>50</v>
      </c>
      <c r="C488" s="10" t="str">
        <f t="shared" si="7"/>
        <v>肉類</v>
      </c>
    </row>
    <row r="489" spans="1:3">
      <c r="A489" s="10" t="s">
        <v>511</v>
      </c>
      <c r="B489" s="10" t="s">
        <v>39</v>
      </c>
      <c r="C489" s="10" t="str">
        <f t="shared" si="7"/>
        <v>青果物</v>
      </c>
    </row>
    <row r="490" spans="1:3">
      <c r="A490" s="10" t="s">
        <v>512</v>
      </c>
      <c r="B490" s="10" t="s">
        <v>39</v>
      </c>
      <c r="C490" s="10" t="str">
        <f t="shared" si="7"/>
        <v>青果物</v>
      </c>
    </row>
    <row r="491" spans="1:3">
      <c r="A491" s="10" t="s">
        <v>513</v>
      </c>
      <c r="B491" s="10" t="s">
        <v>42</v>
      </c>
      <c r="C491" s="10" t="str">
        <f t="shared" si="7"/>
        <v>スナック食品</v>
      </c>
    </row>
    <row r="492" spans="1:3">
      <c r="A492" s="10" t="s">
        <v>514</v>
      </c>
      <c r="B492" s="10" t="s">
        <v>31</v>
      </c>
      <c r="C492" s="10" t="str">
        <f t="shared" si="7"/>
        <v>缶類</v>
      </c>
    </row>
    <row r="493" spans="1:3">
      <c r="A493" s="10" t="s">
        <v>515</v>
      </c>
      <c r="B493" s="10" t="s">
        <v>34</v>
      </c>
      <c r="C493" s="10" t="str">
        <f t="shared" si="7"/>
        <v>日用品</v>
      </c>
    </row>
    <row r="494" spans="1:3">
      <c r="A494" s="10" t="s">
        <v>516</v>
      </c>
      <c r="B494" s="10" t="s">
        <v>37</v>
      </c>
      <c r="C494" s="10" t="str">
        <f t="shared" si="7"/>
        <v>冷凍食品</v>
      </c>
    </row>
    <row r="495" spans="1:3">
      <c r="A495" s="10" t="s">
        <v>517</v>
      </c>
      <c r="B495" s="10" t="s">
        <v>39</v>
      </c>
      <c r="C495" s="10" t="str">
        <f t="shared" si="7"/>
        <v>青果物</v>
      </c>
    </row>
    <row r="496" spans="1:3">
      <c r="A496" s="10" t="s">
        <v>518</v>
      </c>
      <c r="B496" s="10" t="s">
        <v>39</v>
      </c>
      <c r="C496" s="10" t="str">
        <f t="shared" si="7"/>
        <v>青果物</v>
      </c>
    </row>
    <row r="497" spans="1:3">
      <c r="A497" s="10" t="s">
        <v>519</v>
      </c>
      <c r="B497" s="10" t="s">
        <v>42</v>
      </c>
      <c r="C497" s="10" t="str">
        <f t="shared" si="7"/>
        <v>スナック食品</v>
      </c>
    </row>
    <row r="498" spans="1:3">
      <c r="A498" s="10" t="s">
        <v>520</v>
      </c>
      <c r="B498" s="10" t="s">
        <v>301</v>
      </c>
      <c r="C498" s="10" t="str">
        <f t="shared" si="7"/>
        <v>パン類</v>
      </c>
    </row>
    <row r="499" spans="1:3">
      <c r="A499" s="10" t="s">
        <v>521</v>
      </c>
      <c r="B499" s="10" t="s">
        <v>31</v>
      </c>
      <c r="C499" s="10" t="str">
        <f t="shared" si="7"/>
        <v>缶類</v>
      </c>
    </row>
    <row r="500" spans="1:3">
      <c r="A500" s="10" t="s">
        <v>522</v>
      </c>
      <c r="B500" s="10" t="s">
        <v>50</v>
      </c>
      <c r="C500" s="10" t="str">
        <f t="shared" si="7"/>
        <v>肉類</v>
      </c>
    </row>
    <row r="501" spans="1:3">
      <c r="A501" s="10" t="s">
        <v>523</v>
      </c>
      <c r="B501" s="10" t="s">
        <v>37</v>
      </c>
      <c r="C501" s="10" t="str">
        <f t="shared" si="7"/>
        <v>冷凍食品</v>
      </c>
    </row>
    <row r="502" spans="1:3">
      <c r="A502" s="10" t="s">
        <v>524</v>
      </c>
      <c r="B502" s="10" t="s">
        <v>39</v>
      </c>
      <c r="C502" s="10" t="str">
        <f t="shared" si="7"/>
        <v>青果物</v>
      </c>
    </row>
    <row r="503" spans="1:3">
      <c r="A503" s="10" t="s">
        <v>525</v>
      </c>
      <c r="B503" s="10" t="s">
        <v>39</v>
      </c>
      <c r="C503" s="10" t="str">
        <f t="shared" si="7"/>
        <v>青果物</v>
      </c>
    </row>
    <row r="504" spans="1:3">
      <c r="A504" s="10" t="s">
        <v>526</v>
      </c>
      <c r="B504" s="10" t="s">
        <v>42</v>
      </c>
      <c r="C504" s="10" t="str">
        <f t="shared" si="7"/>
        <v>スナック食品</v>
      </c>
    </row>
    <row r="505" spans="1:3">
      <c r="A505" s="10" t="s">
        <v>527</v>
      </c>
      <c r="B505" s="10" t="s">
        <v>42</v>
      </c>
      <c r="C505" s="10" t="str">
        <f t="shared" si="7"/>
        <v>スナック食品</v>
      </c>
    </row>
    <row r="506" spans="1:3">
      <c r="A506" s="10" t="s">
        <v>528</v>
      </c>
      <c r="B506" s="10" t="s">
        <v>31</v>
      </c>
      <c r="C506" s="10" t="str">
        <f t="shared" si="7"/>
        <v>缶類</v>
      </c>
    </row>
    <row r="507" spans="1:3">
      <c r="A507" s="10" t="s">
        <v>529</v>
      </c>
      <c r="B507" s="10" t="s">
        <v>34</v>
      </c>
      <c r="C507" s="10" t="str">
        <f t="shared" si="7"/>
        <v>日用品</v>
      </c>
    </row>
    <row r="508" spans="1:3">
      <c r="A508" s="10" t="s">
        <v>530</v>
      </c>
      <c r="B508" s="10" t="s">
        <v>50</v>
      </c>
      <c r="C508" s="10" t="str">
        <f t="shared" si="7"/>
        <v>肉類</v>
      </c>
    </row>
    <row r="509" spans="1:3">
      <c r="A509" s="10" t="s">
        <v>531</v>
      </c>
      <c r="B509" s="10" t="s">
        <v>37</v>
      </c>
      <c r="C509" s="10" t="str">
        <f t="shared" si="7"/>
        <v>冷凍食品</v>
      </c>
    </row>
    <row r="510" spans="1:3">
      <c r="A510" s="10" t="s">
        <v>532</v>
      </c>
      <c r="B510" s="10" t="s">
        <v>39</v>
      </c>
      <c r="C510" s="10" t="str">
        <f t="shared" si="7"/>
        <v>青果物</v>
      </c>
    </row>
    <row r="511" spans="1:3">
      <c r="A511" s="10" t="s">
        <v>533</v>
      </c>
      <c r="B511" s="10" t="s">
        <v>42</v>
      </c>
      <c r="C511" s="10" t="str">
        <f t="shared" si="7"/>
        <v>スナック食品</v>
      </c>
    </row>
    <row r="512" spans="1:3">
      <c r="A512" s="10" t="s">
        <v>534</v>
      </c>
      <c r="B512" s="10" t="s">
        <v>31</v>
      </c>
      <c r="C512" s="10" t="str">
        <f t="shared" si="7"/>
        <v>缶類</v>
      </c>
    </row>
    <row r="513" spans="1:3">
      <c r="A513" s="10" t="s">
        <v>535</v>
      </c>
      <c r="B513" s="10" t="s">
        <v>34</v>
      </c>
      <c r="C513" s="10" t="str">
        <f t="shared" si="7"/>
        <v>日用品</v>
      </c>
    </row>
    <row r="514" spans="1:3">
      <c r="A514" s="10" t="s">
        <v>536</v>
      </c>
      <c r="B514" s="10" t="s">
        <v>50</v>
      </c>
      <c r="C514" s="10" t="str">
        <f t="shared" si="7"/>
        <v>肉類</v>
      </c>
    </row>
    <row r="515" spans="1:3">
      <c r="A515" s="10" t="s">
        <v>537</v>
      </c>
      <c r="B515" s="10" t="s">
        <v>42</v>
      </c>
      <c r="C515" s="10" t="str">
        <f t="shared" ref="C515:C578" si="8">IF(B515="", "青果物", B515)</f>
        <v>スナック食品</v>
      </c>
    </row>
    <row r="516" spans="1:3">
      <c r="A516" s="10" t="s">
        <v>538</v>
      </c>
      <c r="B516" s="10" t="s">
        <v>31</v>
      </c>
      <c r="C516" s="10" t="str">
        <f t="shared" si="8"/>
        <v>缶類</v>
      </c>
    </row>
    <row r="517" spans="1:3">
      <c r="A517" s="10" t="s">
        <v>539</v>
      </c>
      <c r="B517" s="10" t="s">
        <v>50</v>
      </c>
      <c r="C517" s="10" t="str">
        <f t="shared" si="8"/>
        <v>肉類</v>
      </c>
    </row>
    <row r="518" spans="1:3">
      <c r="A518" s="10" t="s">
        <v>540</v>
      </c>
      <c r="B518" s="10" t="s">
        <v>37</v>
      </c>
      <c r="C518" s="10" t="str">
        <f t="shared" si="8"/>
        <v>冷凍食品</v>
      </c>
    </row>
    <row r="519" spans="1:3">
      <c r="A519" s="10" t="s">
        <v>541</v>
      </c>
      <c r="B519" s="10" t="s">
        <v>39</v>
      </c>
      <c r="C519" s="10" t="str">
        <f t="shared" si="8"/>
        <v>青果物</v>
      </c>
    </row>
    <row r="520" spans="1:3">
      <c r="A520" s="10" t="s">
        <v>542</v>
      </c>
      <c r="B520" s="10" t="s">
        <v>39</v>
      </c>
      <c r="C520" s="10" t="str">
        <f t="shared" si="8"/>
        <v>青果物</v>
      </c>
    </row>
    <row r="521" spans="1:3">
      <c r="A521" s="10" t="s">
        <v>543</v>
      </c>
      <c r="B521" s="10" t="s">
        <v>31</v>
      </c>
      <c r="C521" s="10" t="str">
        <f t="shared" si="8"/>
        <v>缶類</v>
      </c>
    </row>
    <row r="522" spans="1:3">
      <c r="A522" s="10" t="s">
        <v>544</v>
      </c>
      <c r="B522" s="10" t="s">
        <v>50</v>
      </c>
      <c r="C522" s="10" t="str">
        <f t="shared" si="8"/>
        <v>肉類</v>
      </c>
    </row>
    <row r="523" spans="1:3">
      <c r="A523" s="10" t="s">
        <v>545</v>
      </c>
      <c r="B523" s="10" t="s">
        <v>37</v>
      </c>
      <c r="C523" s="10" t="str">
        <f t="shared" si="8"/>
        <v>冷凍食品</v>
      </c>
    </row>
    <row r="524" spans="1:3">
      <c r="A524" s="10" t="s">
        <v>546</v>
      </c>
      <c r="B524" s="10" t="s">
        <v>39</v>
      </c>
      <c r="C524" s="10" t="str">
        <f t="shared" si="8"/>
        <v>青果物</v>
      </c>
    </row>
    <row r="525" spans="1:3">
      <c r="A525" s="10" t="s">
        <v>547</v>
      </c>
      <c r="B525" s="10" t="s">
        <v>42</v>
      </c>
      <c r="C525" s="10" t="str">
        <f t="shared" si="8"/>
        <v>スナック食品</v>
      </c>
    </row>
    <row r="526" spans="1:3">
      <c r="A526" s="10" t="s">
        <v>548</v>
      </c>
      <c r="B526" s="10" t="s">
        <v>42</v>
      </c>
      <c r="C526" s="10" t="str">
        <f t="shared" si="8"/>
        <v>スナック食品</v>
      </c>
    </row>
    <row r="527" spans="1:3">
      <c r="A527" s="10" t="s">
        <v>549</v>
      </c>
      <c r="B527" s="10" t="s">
        <v>31</v>
      </c>
      <c r="C527" s="10" t="str">
        <f t="shared" si="8"/>
        <v>缶類</v>
      </c>
    </row>
    <row r="528" spans="1:3">
      <c r="A528" s="10" t="s">
        <v>550</v>
      </c>
      <c r="B528" s="10" t="s">
        <v>50</v>
      </c>
      <c r="C528" s="10" t="str">
        <f t="shared" si="8"/>
        <v>肉類</v>
      </c>
    </row>
    <row r="529" spans="1:3">
      <c r="A529" s="10" t="s">
        <v>551</v>
      </c>
      <c r="B529" s="10" t="s">
        <v>39</v>
      </c>
      <c r="C529" s="10" t="str">
        <f t="shared" si="8"/>
        <v>青果物</v>
      </c>
    </row>
    <row r="530" spans="1:3">
      <c r="A530" s="10" t="s">
        <v>552</v>
      </c>
      <c r="B530" s="10" t="s">
        <v>42</v>
      </c>
      <c r="C530" s="10" t="str">
        <f t="shared" si="8"/>
        <v>スナック食品</v>
      </c>
    </row>
    <row r="531" spans="1:3">
      <c r="A531" s="10" t="s">
        <v>553</v>
      </c>
      <c r="B531" s="10" t="s">
        <v>31</v>
      </c>
      <c r="C531" s="10" t="str">
        <f t="shared" si="8"/>
        <v>缶類</v>
      </c>
    </row>
    <row r="532" spans="1:3">
      <c r="A532" s="10" t="s">
        <v>554</v>
      </c>
      <c r="B532" s="10" t="s">
        <v>34</v>
      </c>
      <c r="C532" s="10" t="str">
        <f t="shared" si="8"/>
        <v>日用品</v>
      </c>
    </row>
    <row r="533" spans="1:3">
      <c r="A533" s="10" t="s">
        <v>555</v>
      </c>
      <c r="B533" s="10" t="s">
        <v>37</v>
      </c>
      <c r="C533" s="10" t="str">
        <f t="shared" si="8"/>
        <v>冷凍食品</v>
      </c>
    </row>
    <row r="534" spans="1:3">
      <c r="A534" s="10" t="s">
        <v>556</v>
      </c>
      <c r="B534" s="10" t="s">
        <v>39</v>
      </c>
      <c r="C534" s="10" t="str">
        <f t="shared" si="8"/>
        <v>青果物</v>
      </c>
    </row>
    <row r="535" spans="1:3">
      <c r="A535" s="10" t="s">
        <v>557</v>
      </c>
      <c r="B535" s="10" t="s">
        <v>42</v>
      </c>
      <c r="C535" s="10" t="str">
        <f t="shared" si="8"/>
        <v>スナック食品</v>
      </c>
    </row>
    <row r="536" spans="1:3">
      <c r="A536" s="10" t="s">
        <v>558</v>
      </c>
      <c r="B536" s="10" t="s">
        <v>42</v>
      </c>
      <c r="C536" s="10" t="str">
        <f t="shared" si="8"/>
        <v>スナック食品</v>
      </c>
    </row>
    <row r="537" spans="1:3">
      <c r="A537" s="10" t="s">
        <v>559</v>
      </c>
      <c r="B537" s="10" t="s">
        <v>31</v>
      </c>
      <c r="C537" s="10" t="str">
        <f t="shared" si="8"/>
        <v>缶類</v>
      </c>
    </row>
    <row r="538" spans="1:3">
      <c r="A538" s="10" t="s">
        <v>560</v>
      </c>
      <c r="B538" s="10" t="s">
        <v>50</v>
      </c>
      <c r="C538" s="10" t="str">
        <f t="shared" si="8"/>
        <v>肉類</v>
      </c>
    </row>
    <row r="539" spans="1:3">
      <c r="A539" s="10" t="s">
        <v>561</v>
      </c>
      <c r="B539" s="10" t="s">
        <v>39</v>
      </c>
      <c r="C539" s="10" t="str">
        <f t="shared" si="8"/>
        <v>青果物</v>
      </c>
    </row>
    <row r="540" spans="1:3">
      <c r="A540" s="10" t="s">
        <v>562</v>
      </c>
      <c r="B540" s="10" t="s">
        <v>42</v>
      </c>
      <c r="C540" s="10" t="str">
        <f t="shared" si="8"/>
        <v>スナック食品</v>
      </c>
    </row>
    <row r="541" spans="1:3">
      <c r="A541" s="10" t="s">
        <v>563</v>
      </c>
      <c r="B541" s="10" t="s">
        <v>42</v>
      </c>
      <c r="C541" s="10" t="str">
        <f t="shared" si="8"/>
        <v>スナック食品</v>
      </c>
    </row>
    <row r="542" spans="1:3">
      <c r="A542" s="10" t="s">
        <v>564</v>
      </c>
      <c r="B542" s="10" t="s">
        <v>301</v>
      </c>
      <c r="C542" s="10" t="str">
        <f t="shared" si="8"/>
        <v>パン類</v>
      </c>
    </row>
    <row r="543" spans="1:3">
      <c r="A543" s="10" t="s">
        <v>565</v>
      </c>
      <c r="B543" s="10" t="s">
        <v>31</v>
      </c>
      <c r="C543" s="10" t="str">
        <f t="shared" si="8"/>
        <v>缶類</v>
      </c>
    </row>
    <row r="544" spans="1:3">
      <c r="A544" s="10" t="s">
        <v>566</v>
      </c>
      <c r="B544" s="10" t="s">
        <v>34</v>
      </c>
      <c r="C544" s="10" t="str">
        <f t="shared" si="8"/>
        <v>日用品</v>
      </c>
    </row>
    <row r="545" spans="1:3">
      <c r="A545" s="10" t="s">
        <v>567</v>
      </c>
      <c r="B545" s="10" t="s">
        <v>39</v>
      </c>
      <c r="C545" s="10" t="str">
        <f t="shared" si="8"/>
        <v>青果物</v>
      </c>
    </row>
    <row r="546" spans="1:3">
      <c r="A546" s="10" t="s">
        <v>568</v>
      </c>
      <c r="B546" s="10" t="s">
        <v>42</v>
      </c>
      <c r="C546" s="10" t="str">
        <f t="shared" si="8"/>
        <v>スナック食品</v>
      </c>
    </row>
    <row r="547" spans="1:3">
      <c r="A547" s="10" t="s">
        <v>569</v>
      </c>
      <c r="B547" s="10" t="s">
        <v>42</v>
      </c>
      <c r="C547" s="10" t="str">
        <f t="shared" si="8"/>
        <v>スナック食品</v>
      </c>
    </row>
    <row r="548" spans="1:3">
      <c r="A548" s="10" t="s">
        <v>570</v>
      </c>
      <c r="B548" s="10" t="s">
        <v>301</v>
      </c>
      <c r="C548" s="10" t="str">
        <f t="shared" si="8"/>
        <v>パン類</v>
      </c>
    </row>
    <row r="549" spans="1:3">
      <c r="A549" s="10" t="s">
        <v>571</v>
      </c>
      <c r="B549" s="10" t="s">
        <v>34</v>
      </c>
      <c r="C549" s="10" t="str">
        <f t="shared" si="8"/>
        <v>日用品</v>
      </c>
    </row>
    <row r="550" spans="1:3">
      <c r="A550" s="10" t="s">
        <v>572</v>
      </c>
      <c r="B550" s="10" t="s">
        <v>50</v>
      </c>
      <c r="C550" s="10" t="str">
        <f t="shared" si="8"/>
        <v>肉類</v>
      </c>
    </row>
    <row r="551" spans="1:3">
      <c r="A551" s="10" t="s">
        <v>573</v>
      </c>
      <c r="B551" s="10" t="s">
        <v>37</v>
      </c>
      <c r="C551" s="10" t="str">
        <f t="shared" si="8"/>
        <v>冷凍食品</v>
      </c>
    </row>
    <row r="552" spans="1:3">
      <c r="A552" s="10" t="s">
        <v>574</v>
      </c>
      <c r="B552" s="10" t="s">
        <v>39</v>
      </c>
      <c r="C552" s="10" t="str">
        <f t="shared" si="8"/>
        <v>青果物</v>
      </c>
    </row>
    <row r="553" spans="1:3">
      <c r="A553" s="10" t="s">
        <v>575</v>
      </c>
      <c r="C553" s="10" t="str">
        <f t="shared" si="8"/>
        <v>青果物</v>
      </c>
    </row>
    <row r="554" spans="1:3">
      <c r="A554" s="10" t="s">
        <v>576</v>
      </c>
      <c r="B554" s="10" t="s">
        <v>42</v>
      </c>
      <c r="C554" s="10" t="str">
        <f t="shared" si="8"/>
        <v>スナック食品</v>
      </c>
    </row>
    <row r="555" spans="1:3">
      <c r="A555" s="10" t="s">
        <v>577</v>
      </c>
      <c r="B555" s="10" t="s">
        <v>34</v>
      </c>
      <c r="C555" s="10" t="str">
        <f t="shared" si="8"/>
        <v>日用品</v>
      </c>
    </row>
    <row r="556" spans="1:3">
      <c r="A556" s="10" t="s">
        <v>578</v>
      </c>
      <c r="B556" s="10" t="s">
        <v>37</v>
      </c>
      <c r="C556" s="10" t="str">
        <f t="shared" si="8"/>
        <v>冷凍食品</v>
      </c>
    </row>
    <row r="557" spans="1:3">
      <c r="A557" s="10" t="s">
        <v>579</v>
      </c>
      <c r="B557" s="10" t="s">
        <v>42</v>
      </c>
      <c r="C557" s="10" t="str">
        <f t="shared" si="8"/>
        <v>スナック食品</v>
      </c>
    </row>
    <row r="558" spans="1:3">
      <c r="A558" s="10" t="s">
        <v>580</v>
      </c>
      <c r="B558" s="10" t="s">
        <v>31</v>
      </c>
      <c r="C558" s="10" t="str">
        <f t="shared" si="8"/>
        <v>缶類</v>
      </c>
    </row>
    <row r="559" spans="1:3">
      <c r="A559" s="10" t="s">
        <v>581</v>
      </c>
      <c r="B559" s="10" t="s">
        <v>34</v>
      </c>
      <c r="C559" s="10" t="str">
        <f t="shared" si="8"/>
        <v>日用品</v>
      </c>
    </row>
    <row r="560" spans="1:3">
      <c r="A560" s="10" t="s">
        <v>582</v>
      </c>
      <c r="B560" s="10" t="s">
        <v>34</v>
      </c>
      <c r="C560" s="10" t="str">
        <f t="shared" si="8"/>
        <v>日用品</v>
      </c>
    </row>
    <row r="561" spans="1:3">
      <c r="A561" s="10" t="s">
        <v>583</v>
      </c>
      <c r="B561" s="10" t="s">
        <v>39</v>
      </c>
      <c r="C561" s="10" t="str">
        <f t="shared" si="8"/>
        <v>青果物</v>
      </c>
    </row>
    <row r="562" spans="1:3">
      <c r="A562" s="10" t="s">
        <v>584</v>
      </c>
      <c r="B562" s="10" t="s">
        <v>42</v>
      </c>
      <c r="C562" s="10" t="str">
        <f t="shared" si="8"/>
        <v>スナック食品</v>
      </c>
    </row>
    <row r="563" spans="1:3">
      <c r="A563" s="10" t="s">
        <v>585</v>
      </c>
      <c r="B563" s="10" t="s">
        <v>42</v>
      </c>
      <c r="C563" s="10" t="str">
        <f t="shared" si="8"/>
        <v>スナック食品</v>
      </c>
    </row>
    <row r="564" spans="1:3">
      <c r="A564" s="10" t="s">
        <v>586</v>
      </c>
      <c r="B564" s="10" t="s">
        <v>301</v>
      </c>
      <c r="C564" s="10" t="str">
        <f t="shared" si="8"/>
        <v>パン類</v>
      </c>
    </row>
    <row r="565" spans="1:3">
      <c r="A565" s="10" t="s">
        <v>587</v>
      </c>
      <c r="B565" s="10" t="s">
        <v>31</v>
      </c>
      <c r="C565" s="10" t="str">
        <f t="shared" si="8"/>
        <v>缶類</v>
      </c>
    </row>
    <row r="566" spans="1:3">
      <c r="A566" s="10" t="s">
        <v>588</v>
      </c>
      <c r="B566" s="10" t="s">
        <v>50</v>
      </c>
      <c r="C566" s="10" t="str">
        <f t="shared" si="8"/>
        <v>肉類</v>
      </c>
    </row>
    <row r="567" spans="1:3">
      <c r="A567" s="10" t="s">
        <v>589</v>
      </c>
      <c r="B567" s="10" t="s">
        <v>39</v>
      </c>
      <c r="C567" s="10" t="str">
        <f t="shared" si="8"/>
        <v>青果物</v>
      </c>
    </row>
    <row r="568" spans="1:3">
      <c r="A568" s="10" t="s">
        <v>590</v>
      </c>
      <c r="B568" s="10" t="s">
        <v>42</v>
      </c>
      <c r="C568" s="10" t="str">
        <f t="shared" si="8"/>
        <v>スナック食品</v>
      </c>
    </row>
    <row r="569" spans="1:3">
      <c r="A569" s="10" t="s">
        <v>591</v>
      </c>
      <c r="B569" s="10" t="s">
        <v>42</v>
      </c>
      <c r="C569" s="10" t="str">
        <f t="shared" si="8"/>
        <v>スナック食品</v>
      </c>
    </row>
    <row r="570" spans="1:3">
      <c r="A570" s="10" t="s">
        <v>592</v>
      </c>
      <c r="B570" s="10" t="s">
        <v>301</v>
      </c>
      <c r="C570" s="10" t="str">
        <f t="shared" si="8"/>
        <v>パン類</v>
      </c>
    </row>
    <row r="571" spans="1:3">
      <c r="A571" s="10" t="s">
        <v>593</v>
      </c>
      <c r="B571" s="10" t="s">
        <v>31</v>
      </c>
      <c r="C571" s="10" t="str">
        <f t="shared" si="8"/>
        <v>缶類</v>
      </c>
    </row>
    <row r="572" spans="1:3">
      <c r="A572" s="10" t="s">
        <v>594</v>
      </c>
      <c r="B572" s="10" t="s">
        <v>34</v>
      </c>
      <c r="C572" s="10" t="str">
        <f t="shared" si="8"/>
        <v>日用品</v>
      </c>
    </row>
    <row r="573" spans="1:3">
      <c r="A573" s="10" t="s">
        <v>595</v>
      </c>
      <c r="B573" s="10" t="s">
        <v>50</v>
      </c>
      <c r="C573" s="10" t="str">
        <f t="shared" si="8"/>
        <v>肉類</v>
      </c>
    </row>
    <row r="574" spans="1:3">
      <c r="A574" s="10" t="s">
        <v>596</v>
      </c>
      <c r="B574" s="10" t="s">
        <v>39</v>
      </c>
      <c r="C574" s="10" t="str">
        <f t="shared" si="8"/>
        <v>青果物</v>
      </c>
    </row>
    <row r="575" spans="1:3">
      <c r="A575" s="10" t="s">
        <v>597</v>
      </c>
      <c r="B575" s="10" t="s">
        <v>39</v>
      </c>
      <c r="C575" s="10" t="str">
        <f t="shared" si="8"/>
        <v>青果物</v>
      </c>
    </row>
    <row r="576" spans="1:3">
      <c r="A576" s="10" t="s">
        <v>598</v>
      </c>
      <c r="B576" s="10" t="s">
        <v>31</v>
      </c>
      <c r="C576" s="10" t="str">
        <f t="shared" si="8"/>
        <v>缶類</v>
      </c>
    </row>
    <row r="577" spans="1:3">
      <c r="A577" s="10" t="s">
        <v>599</v>
      </c>
      <c r="B577" s="10" t="s">
        <v>34</v>
      </c>
      <c r="C577" s="10" t="str">
        <f t="shared" si="8"/>
        <v>日用品</v>
      </c>
    </row>
    <row r="578" spans="1:3">
      <c r="A578" s="10" t="s">
        <v>600</v>
      </c>
      <c r="B578" s="10" t="s">
        <v>39</v>
      </c>
      <c r="C578" s="10" t="str">
        <f t="shared" si="8"/>
        <v>青果物</v>
      </c>
    </row>
    <row r="579" spans="1:3">
      <c r="A579" s="10" t="s">
        <v>601</v>
      </c>
      <c r="B579" s="10" t="s">
        <v>39</v>
      </c>
      <c r="C579" s="10" t="str">
        <f t="shared" ref="C579:C642" si="9">IF(B579="", "青果物", B579)</f>
        <v>青果物</v>
      </c>
    </row>
    <row r="580" spans="1:3">
      <c r="A580" s="10" t="s">
        <v>602</v>
      </c>
      <c r="B580" s="10" t="s">
        <v>42</v>
      </c>
      <c r="C580" s="10" t="str">
        <f t="shared" si="9"/>
        <v>スナック食品</v>
      </c>
    </row>
    <row r="581" spans="1:3">
      <c r="A581" s="10" t="s">
        <v>603</v>
      </c>
      <c r="B581" s="10" t="s">
        <v>34</v>
      </c>
      <c r="C581" s="10" t="str">
        <f t="shared" si="9"/>
        <v>日用品</v>
      </c>
    </row>
    <row r="582" spans="1:3">
      <c r="A582" s="10" t="s">
        <v>604</v>
      </c>
      <c r="B582" s="10" t="s">
        <v>34</v>
      </c>
      <c r="C582" s="10" t="str">
        <f t="shared" si="9"/>
        <v>日用品</v>
      </c>
    </row>
    <row r="583" spans="1:3">
      <c r="A583" s="10" t="s">
        <v>605</v>
      </c>
      <c r="B583" s="10" t="s">
        <v>37</v>
      </c>
      <c r="C583" s="10" t="str">
        <f t="shared" si="9"/>
        <v>冷凍食品</v>
      </c>
    </row>
    <row r="584" spans="1:3">
      <c r="A584" s="10" t="s">
        <v>606</v>
      </c>
      <c r="B584" s="10" t="s">
        <v>39</v>
      </c>
      <c r="C584" s="10" t="str">
        <f t="shared" si="9"/>
        <v>青果物</v>
      </c>
    </row>
    <row r="585" spans="1:3">
      <c r="A585" s="10" t="s">
        <v>607</v>
      </c>
      <c r="B585" s="10" t="s">
        <v>39</v>
      </c>
      <c r="C585" s="10" t="str">
        <f t="shared" si="9"/>
        <v>青果物</v>
      </c>
    </row>
    <row r="586" spans="1:3">
      <c r="A586" s="10" t="s">
        <v>608</v>
      </c>
      <c r="B586" s="10" t="s">
        <v>42</v>
      </c>
      <c r="C586" s="10" t="str">
        <f t="shared" si="9"/>
        <v>スナック食品</v>
      </c>
    </row>
    <row r="587" spans="1:3">
      <c r="A587" s="10" t="s">
        <v>609</v>
      </c>
      <c r="B587" s="10" t="s">
        <v>42</v>
      </c>
      <c r="C587" s="10" t="str">
        <f t="shared" si="9"/>
        <v>スナック食品</v>
      </c>
    </row>
    <row r="588" spans="1:3">
      <c r="A588" s="10" t="s">
        <v>610</v>
      </c>
      <c r="B588" s="10" t="s">
        <v>31</v>
      </c>
      <c r="C588" s="10" t="str">
        <f t="shared" si="9"/>
        <v>缶類</v>
      </c>
    </row>
    <row r="589" spans="1:3">
      <c r="A589" s="10" t="s">
        <v>611</v>
      </c>
      <c r="B589" s="10" t="s">
        <v>34</v>
      </c>
      <c r="C589" s="10" t="str">
        <f t="shared" si="9"/>
        <v>日用品</v>
      </c>
    </row>
    <row r="590" spans="1:3">
      <c r="A590" s="10" t="s">
        <v>612</v>
      </c>
      <c r="B590" s="10" t="s">
        <v>39</v>
      </c>
      <c r="C590" s="10" t="str">
        <f t="shared" si="9"/>
        <v>青果物</v>
      </c>
    </row>
    <row r="591" spans="1:3">
      <c r="A591" s="10" t="s">
        <v>613</v>
      </c>
      <c r="B591" s="10" t="s">
        <v>42</v>
      </c>
      <c r="C591" s="10" t="str">
        <f t="shared" si="9"/>
        <v>スナック食品</v>
      </c>
    </row>
    <row r="592" spans="1:3">
      <c r="A592" s="10" t="s">
        <v>614</v>
      </c>
      <c r="B592" s="10" t="s">
        <v>301</v>
      </c>
      <c r="C592" s="10" t="str">
        <f t="shared" si="9"/>
        <v>パン類</v>
      </c>
    </row>
    <row r="593" spans="1:3">
      <c r="A593" s="10" t="s">
        <v>615</v>
      </c>
      <c r="B593" s="10" t="s">
        <v>31</v>
      </c>
      <c r="C593" s="10" t="str">
        <f t="shared" si="9"/>
        <v>缶類</v>
      </c>
    </row>
    <row r="594" spans="1:3">
      <c r="A594" s="10" t="s">
        <v>616</v>
      </c>
      <c r="B594" s="10" t="s">
        <v>34</v>
      </c>
      <c r="C594" s="10" t="str">
        <f t="shared" si="9"/>
        <v>日用品</v>
      </c>
    </row>
    <row r="595" spans="1:3">
      <c r="A595" s="10" t="s">
        <v>617</v>
      </c>
      <c r="B595" s="10" t="s">
        <v>50</v>
      </c>
      <c r="C595" s="10" t="str">
        <f t="shared" si="9"/>
        <v>肉類</v>
      </c>
    </row>
    <row r="596" spans="1:3">
      <c r="A596" s="10" t="s">
        <v>618</v>
      </c>
      <c r="B596" s="10" t="s">
        <v>37</v>
      </c>
      <c r="C596" s="10" t="str">
        <f t="shared" si="9"/>
        <v>冷凍食品</v>
      </c>
    </row>
    <row r="597" spans="1:3">
      <c r="A597" s="10" t="s">
        <v>619</v>
      </c>
      <c r="B597" s="10" t="s">
        <v>39</v>
      </c>
      <c r="C597" s="10" t="str">
        <f t="shared" si="9"/>
        <v>青果物</v>
      </c>
    </row>
    <row r="598" spans="1:3">
      <c r="A598" s="10" t="s">
        <v>620</v>
      </c>
      <c r="B598" s="10" t="s">
        <v>31</v>
      </c>
      <c r="C598" s="10" t="str">
        <f t="shared" si="9"/>
        <v>缶類</v>
      </c>
    </row>
    <row r="599" spans="1:3">
      <c r="A599" s="10" t="s">
        <v>621</v>
      </c>
      <c r="B599" s="10" t="s">
        <v>34</v>
      </c>
      <c r="C599" s="10" t="str">
        <f t="shared" si="9"/>
        <v>日用品</v>
      </c>
    </row>
    <row r="600" spans="1:3">
      <c r="A600" s="10" t="s">
        <v>622</v>
      </c>
      <c r="B600" s="10" t="s">
        <v>50</v>
      </c>
      <c r="C600" s="10" t="str">
        <f t="shared" si="9"/>
        <v>肉類</v>
      </c>
    </row>
    <row r="601" spans="1:3">
      <c r="A601" s="10" t="s">
        <v>623</v>
      </c>
      <c r="B601" s="10" t="s">
        <v>37</v>
      </c>
      <c r="C601" s="10" t="str">
        <f t="shared" si="9"/>
        <v>冷凍食品</v>
      </c>
    </row>
    <row r="602" spans="1:3">
      <c r="A602" s="10" t="s">
        <v>624</v>
      </c>
      <c r="B602" s="10" t="s">
        <v>39</v>
      </c>
      <c r="C602" s="10" t="str">
        <f t="shared" si="9"/>
        <v>青果物</v>
      </c>
    </row>
    <row r="603" spans="1:3">
      <c r="A603" s="10" t="s">
        <v>625</v>
      </c>
      <c r="B603" s="10" t="s">
        <v>39</v>
      </c>
      <c r="C603" s="10" t="str">
        <f t="shared" si="9"/>
        <v>青果物</v>
      </c>
    </row>
    <row r="604" spans="1:3">
      <c r="A604" s="10" t="s">
        <v>626</v>
      </c>
      <c r="B604" s="10" t="s">
        <v>42</v>
      </c>
      <c r="C604" s="10" t="str">
        <f t="shared" si="9"/>
        <v>スナック食品</v>
      </c>
    </row>
    <row r="605" spans="1:3">
      <c r="A605" s="10" t="s">
        <v>627</v>
      </c>
      <c r="B605" s="10" t="s">
        <v>628</v>
      </c>
      <c r="C605" s="10" t="str">
        <f t="shared" si="9"/>
        <v>ソフトドリンク</v>
      </c>
    </row>
    <row r="606" spans="1:3">
      <c r="A606" s="10" t="s">
        <v>629</v>
      </c>
      <c r="B606" s="10" t="s">
        <v>628</v>
      </c>
      <c r="C606" s="10" t="str">
        <f t="shared" si="9"/>
        <v>ソフトドリンク</v>
      </c>
    </row>
    <row r="607" spans="1:3">
      <c r="A607" s="10" t="s">
        <v>630</v>
      </c>
      <c r="B607" s="10" t="s">
        <v>628</v>
      </c>
      <c r="C607" s="10" t="str">
        <f t="shared" si="9"/>
        <v>ソフトドリンク</v>
      </c>
    </row>
    <row r="608" spans="1:3">
      <c r="A608" s="10" t="s">
        <v>631</v>
      </c>
      <c r="B608" s="10" t="s">
        <v>628</v>
      </c>
      <c r="C608" s="10" t="str">
        <f t="shared" si="9"/>
        <v>ソフトドリンク</v>
      </c>
    </row>
    <row r="609" spans="1:3">
      <c r="A609" s="10" t="s">
        <v>632</v>
      </c>
      <c r="B609" s="10" t="s">
        <v>628</v>
      </c>
      <c r="C609" s="10" t="str">
        <f t="shared" si="9"/>
        <v>ソフトドリンク</v>
      </c>
    </row>
    <row r="610" spans="1:3">
      <c r="A610" s="10" t="s">
        <v>633</v>
      </c>
      <c r="B610" s="10" t="s">
        <v>628</v>
      </c>
      <c r="C610" s="10" t="str">
        <f t="shared" si="9"/>
        <v>ソフトドリンク</v>
      </c>
    </row>
    <row r="611" spans="1:3">
      <c r="A611" s="10" t="s">
        <v>634</v>
      </c>
      <c r="B611" s="10" t="s">
        <v>628</v>
      </c>
      <c r="C611" s="10" t="str">
        <f t="shared" si="9"/>
        <v>ソフトドリンク</v>
      </c>
    </row>
    <row r="612" spans="1:3">
      <c r="A612" s="10" t="s">
        <v>635</v>
      </c>
      <c r="B612" s="10" t="s">
        <v>628</v>
      </c>
      <c r="C612" s="10" t="str">
        <f t="shared" si="9"/>
        <v>ソフトドリンク</v>
      </c>
    </row>
    <row r="613" spans="1:3">
      <c r="A613" s="10" t="s">
        <v>636</v>
      </c>
      <c r="B613" s="10" t="s">
        <v>628</v>
      </c>
      <c r="C613" s="10" t="str">
        <f t="shared" si="9"/>
        <v>ソフトドリンク</v>
      </c>
    </row>
    <row r="614" spans="1:3">
      <c r="A614" s="10" t="s">
        <v>637</v>
      </c>
      <c r="B614" s="10" t="s">
        <v>628</v>
      </c>
      <c r="C614" s="10" t="str">
        <f t="shared" si="9"/>
        <v>ソフトドリンク</v>
      </c>
    </row>
    <row r="615" spans="1:3">
      <c r="A615" s="10" t="s">
        <v>638</v>
      </c>
      <c r="B615" s="10" t="s">
        <v>628</v>
      </c>
      <c r="C615" s="10" t="str">
        <f t="shared" si="9"/>
        <v>ソフトドリンク</v>
      </c>
    </row>
    <row r="616" spans="1:3">
      <c r="A616" s="10" t="s">
        <v>639</v>
      </c>
      <c r="B616" s="10" t="s">
        <v>628</v>
      </c>
      <c r="C616" s="10" t="str">
        <f t="shared" si="9"/>
        <v>ソフトドリンク</v>
      </c>
    </row>
    <row r="617" spans="1:3">
      <c r="A617" s="10" t="s">
        <v>640</v>
      </c>
      <c r="B617" s="10" t="s">
        <v>628</v>
      </c>
      <c r="C617" s="10" t="str">
        <f t="shared" si="9"/>
        <v>ソフトドリンク</v>
      </c>
    </row>
    <row r="618" spans="1:3">
      <c r="A618" s="10" t="s">
        <v>641</v>
      </c>
      <c r="B618" s="10" t="s">
        <v>628</v>
      </c>
      <c r="C618" s="10" t="str">
        <f t="shared" si="9"/>
        <v>ソフトドリンク</v>
      </c>
    </row>
    <row r="619" spans="1:3">
      <c r="A619" s="10" t="s">
        <v>642</v>
      </c>
      <c r="B619" s="10" t="s">
        <v>628</v>
      </c>
      <c r="C619" s="10" t="str">
        <f t="shared" si="9"/>
        <v>ソフトドリンク</v>
      </c>
    </row>
    <row r="620" spans="1:3">
      <c r="A620" s="10" t="s">
        <v>643</v>
      </c>
      <c r="B620" s="10" t="s">
        <v>34</v>
      </c>
      <c r="C620" s="10" t="str">
        <f t="shared" si="9"/>
        <v>日用品</v>
      </c>
    </row>
    <row r="621" spans="1:3">
      <c r="A621" s="10" t="s">
        <v>644</v>
      </c>
      <c r="B621" s="10" t="s">
        <v>628</v>
      </c>
      <c r="C621" s="10" t="str">
        <f t="shared" si="9"/>
        <v>ソフトドリンク</v>
      </c>
    </row>
    <row r="622" spans="1:3">
      <c r="A622" s="10" t="s">
        <v>645</v>
      </c>
      <c r="B622" s="10" t="s">
        <v>628</v>
      </c>
      <c r="C622" s="10" t="str">
        <f t="shared" si="9"/>
        <v>ソフトドリンク</v>
      </c>
    </row>
    <row r="623" spans="1:3">
      <c r="A623" s="10" t="s">
        <v>646</v>
      </c>
      <c r="B623" s="10" t="s">
        <v>628</v>
      </c>
      <c r="C623" s="10" t="str">
        <f t="shared" si="9"/>
        <v>ソフトドリンク</v>
      </c>
    </row>
    <row r="624" spans="1:3">
      <c r="A624" s="10" t="s">
        <v>647</v>
      </c>
      <c r="B624" s="10" t="s">
        <v>628</v>
      </c>
      <c r="C624" s="10" t="str">
        <f t="shared" si="9"/>
        <v>ソフトドリンク</v>
      </c>
    </row>
    <row r="625" spans="1:4">
      <c r="A625" s="10" t="s">
        <v>648</v>
      </c>
      <c r="B625" s="10" t="s">
        <v>34</v>
      </c>
      <c r="C625" s="10" t="str">
        <f t="shared" si="9"/>
        <v>日用品</v>
      </c>
    </row>
    <row r="626" spans="1:4">
      <c r="A626" s="10" t="s">
        <v>649</v>
      </c>
      <c r="B626" s="10" t="s">
        <v>650</v>
      </c>
      <c r="C626" s="10" t="str">
        <f t="shared" si="9"/>
        <v>アルコール類</v>
      </c>
    </row>
    <row r="627" spans="1:4">
      <c r="A627" s="10" t="s">
        <v>651</v>
      </c>
      <c r="B627" s="10" t="s">
        <v>628</v>
      </c>
      <c r="C627" s="10" t="str">
        <f t="shared" si="9"/>
        <v>ソフトドリンク</v>
      </c>
    </row>
    <row r="628" spans="1:4">
      <c r="A628" s="10" t="s">
        <v>652</v>
      </c>
      <c r="B628" s="10" t="s">
        <v>34</v>
      </c>
      <c r="C628" s="10" t="str">
        <f t="shared" si="9"/>
        <v>日用品</v>
      </c>
    </row>
    <row r="629" spans="1:4">
      <c r="A629" s="10" t="s">
        <v>653</v>
      </c>
      <c r="B629" s="10" t="s">
        <v>628</v>
      </c>
      <c r="C629" s="10" t="str">
        <f t="shared" si="9"/>
        <v>ソフトドリンク</v>
      </c>
    </row>
    <row r="630" spans="1:4">
      <c r="A630" s="10" t="s">
        <v>654</v>
      </c>
      <c r="B630" s="10" t="s">
        <v>628</v>
      </c>
      <c r="C630" s="10" t="str">
        <f t="shared" si="9"/>
        <v>ソフトドリンク</v>
      </c>
    </row>
    <row r="631" spans="1:4">
      <c r="A631" s="10" t="s">
        <v>655</v>
      </c>
      <c r="B631" s="10" t="s">
        <v>34</v>
      </c>
      <c r="C631" s="10" t="str">
        <f t="shared" si="9"/>
        <v>日用品</v>
      </c>
    </row>
    <row r="632" spans="1:4">
      <c r="A632" s="10" t="s">
        <v>656</v>
      </c>
      <c r="B632" s="10" t="s">
        <v>628</v>
      </c>
      <c r="C632" s="10" t="str">
        <f t="shared" si="9"/>
        <v>ソフトドリンク</v>
      </c>
    </row>
    <row r="633" spans="1:4">
      <c r="A633" s="10" t="s">
        <v>657</v>
      </c>
      <c r="B633" s="10" t="s">
        <v>650</v>
      </c>
      <c r="C633" s="10" t="str">
        <f t="shared" si="9"/>
        <v>アルコール類</v>
      </c>
    </row>
    <row r="634" spans="1:4">
      <c r="A634" s="10" t="s">
        <v>658</v>
      </c>
      <c r="B634" s="10" t="s">
        <v>628</v>
      </c>
      <c r="C634" s="10" t="str">
        <f t="shared" si="9"/>
        <v>ソフトドリンク</v>
      </c>
    </row>
    <row r="635" spans="1:4">
      <c r="A635" s="10" t="s">
        <v>659</v>
      </c>
      <c r="B635" s="10" t="s">
        <v>628</v>
      </c>
      <c r="C635" s="10" t="str">
        <f t="shared" si="9"/>
        <v>ソフトドリンク</v>
      </c>
    </row>
    <row r="636" spans="1:4" ht="19.5">
      <c r="A636" s="10" t="s">
        <v>660</v>
      </c>
      <c r="B636" s="10" t="s">
        <v>628</v>
      </c>
      <c r="C636" s="10" t="str">
        <f t="shared" si="9"/>
        <v>ソフトドリンク</v>
      </c>
      <c r="D636" s="11"/>
    </row>
    <row r="637" spans="1:4">
      <c r="A637" s="10" t="s">
        <v>661</v>
      </c>
      <c r="B637" s="10" t="s">
        <v>628</v>
      </c>
      <c r="C637" s="10" t="str">
        <f t="shared" si="9"/>
        <v>ソフトドリンク</v>
      </c>
    </row>
    <row r="638" spans="1:4">
      <c r="A638" s="10" t="s">
        <v>662</v>
      </c>
      <c r="B638" s="10" t="s">
        <v>650</v>
      </c>
      <c r="C638" s="10" t="str">
        <f t="shared" si="9"/>
        <v>アルコール類</v>
      </c>
    </row>
    <row r="639" spans="1:4">
      <c r="A639" s="10" t="s">
        <v>663</v>
      </c>
      <c r="B639" s="10" t="s">
        <v>628</v>
      </c>
      <c r="C639" s="10" t="str">
        <f t="shared" si="9"/>
        <v>ソフトドリンク</v>
      </c>
    </row>
    <row r="640" spans="1:4">
      <c r="A640" s="10" t="s">
        <v>664</v>
      </c>
      <c r="B640" s="10" t="s">
        <v>34</v>
      </c>
      <c r="C640" s="10" t="str">
        <f t="shared" si="9"/>
        <v>日用品</v>
      </c>
    </row>
    <row r="641" spans="1:6">
      <c r="A641" s="10" t="s">
        <v>665</v>
      </c>
      <c r="B641" s="10" t="s">
        <v>34</v>
      </c>
      <c r="C641" s="10" t="str">
        <f t="shared" si="9"/>
        <v>日用品</v>
      </c>
    </row>
    <row r="642" spans="1:6">
      <c r="A642" s="10" t="s">
        <v>666</v>
      </c>
      <c r="B642" s="10" t="s">
        <v>628</v>
      </c>
      <c r="C642" s="10" t="str">
        <f t="shared" si="9"/>
        <v>ソフトドリンク</v>
      </c>
    </row>
    <row r="643" spans="1:6">
      <c r="A643" s="10" t="s">
        <v>667</v>
      </c>
      <c r="B643" s="10" t="s">
        <v>34</v>
      </c>
      <c r="C643" s="10" t="str">
        <f t="shared" ref="C643:C683" si="10">IF(B643="", "青果物", B643)</f>
        <v>日用品</v>
      </c>
    </row>
    <row r="644" spans="1:6">
      <c r="A644" s="10" t="s">
        <v>668</v>
      </c>
      <c r="B644" s="10" t="s">
        <v>650</v>
      </c>
      <c r="C644" s="10" t="str">
        <f t="shared" si="10"/>
        <v>アルコール類</v>
      </c>
    </row>
    <row r="645" spans="1:6">
      <c r="A645" s="10" t="s">
        <v>669</v>
      </c>
      <c r="B645" s="10" t="s">
        <v>650</v>
      </c>
      <c r="C645" s="10" t="str">
        <f t="shared" si="10"/>
        <v>アルコール類</v>
      </c>
    </row>
    <row r="646" spans="1:6">
      <c r="A646" s="10" t="s">
        <v>670</v>
      </c>
      <c r="B646" s="10" t="s">
        <v>628</v>
      </c>
      <c r="C646" s="10" t="str">
        <f t="shared" si="10"/>
        <v>ソフトドリンク</v>
      </c>
    </row>
    <row r="647" spans="1:6">
      <c r="A647" s="10" t="s">
        <v>671</v>
      </c>
      <c r="B647" s="10" t="s">
        <v>628</v>
      </c>
      <c r="C647" s="10" t="str">
        <f t="shared" si="10"/>
        <v>ソフトドリンク</v>
      </c>
    </row>
    <row r="648" spans="1:6">
      <c r="A648" s="10" t="s">
        <v>672</v>
      </c>
      <c r="B648" s="10" t="s">
        <v>34</v>
      </c>
      <c r="C648" s="10" t="str">
        <f t="shared" si="10"/>
        <v>日用品</v>
      </c>
    </row>
    <row r="649" spans="1:6">
      <c r="A649" s="10" t="s">
        <v>673</v>
      </c>
      <c r="B649" s="10" t="s">
        <v>34</v>
      </c>
      <c r="C649" s="10" t="str">
        <f t="shared" si="10"/>
        <v>日用品</v>
      </c>
    </row>
    <row r="650" spans="1:6">
      <c r="A650" s="10" t="s">
        <v>674</v>
      </c>
      <c r="B650" s="10" t="s">
        <v>650</v>
      </c>
      <c r="C650" s="10" t="str">
        <f t="shared" si="10"/>
        <v>アルコール類</v>
      </c>
    </row>
    <row r="651" spans="1:6">
      <c r="A651" s="10" t="s">
        <v>675</v>
      </c>
      <c r="B651" s="10" t="s">
        <v>628</v>
      </c>
      <c r="C651" s="10" t="str">
        <f t="shared" si="10"/>
        <v>ソフトドリンク</v>
      </c>
    </row>
    <row r="652" spans="1:6">
      <c r="A652" s="10" t="s">
        <v>676</v>
      </c>
      <c r="B652" s="10" t="s">
        <v>650</v>
      </c>
      <c r="C652" s="10" t="str">
        <f t="shared" si="10"/>
        <v>アルコール類</v>
      </c>
      <c r="F652" s="10"/>
    </row>
    <row r="653" spans="1:6">
      <c r="A653" s="10" t="s">
        <v>677</v>
      </c>
      <c r="B653" s="10" t="s">
        <v>628</v>
      </c>
      <c r="C653" s="10" t="str">
        <f t="shared" si="10"/>
        <v>ソフトドリンク</v>
      </c>
      <c r="F653" s="10"/>
    </row>
    <row r="654" spans="1:6">
      <c r="A654" s="10" t="s">
        <v>678</v>
      </c>
      <c r="B654" s="10" t="s">
        <v>34</v>
      </c>
      <c r="C654" s="10" t="str">
        <f t="shared" si="10"/>
        <v>日用品</v>
      </c>
      <c r="F654" s="10"/>
    </row>
    <row r="655" spans="1:6">
      <c r="A655" s="10" t="s">
        <v>679</v>
      </c>
      <c r="B655" s="10" t="s">
        <v>650</v>
      </c>
      <c r="C655" s="10" t="str">
        <f t="shared" si="10"/>
        <v>アルコール類</v>
      </c>
      <c r="F655" s="10"/>
    </row>
    <row r="656" spans="1:6">
      <c r="A656" s="10" t="s">
        <v>680</v>
      </c>
      <c r="B656" s="10" t="s">
        <v>650</v>
      </c>
      <c r="C656" s="10" t="str">
        <f t="shared" si="10"/>
        <v>アルコール類</v>
      </c>
      <c r="F656" s="10"/>
    </row>
    <row r="657" spans="1:6">
      <c r="A657" s="10" t="s">
        <v>681</v>
      </c>
      <c r="B657" s="10" t="s">
        <v>628</v>
      </c>
      <c r="C657" s="10" t="str">
        <f t="shared" si="10"/>
        <v>ソフトドリンク</v>
      </c>
      <c r="F657" s="10"/>
    </row>
    <row r="658" spans="1:6">
      <c r="A658" s="10" t="s">
        <v>682</v>
      </c>
      <c r="B658" s="10" t="s">
        <v>628</v>
      </c>
      <c r="C658" s="10" t="str">
        <f t="shared" si="10"/>
        <v>ソフトドリンク</v>
      </c>
      <c r="F658" s="10"/>
    </row>
    <row r="659" spans="1:6">
      <c r="A659" s="10" t="s">
        <v>683</v>
      </c>
      <c r="B659" s="10" t="s">
        <v>650</v>
      </c>
      <c r="C659" s="10" t="str">
        <f t="shared" si="10"/>
        <v>アルコール類</v>
      </c>
      <c r="F659" s="10"/>
    </row>
    <row r="660" spans="1:6">
      <c r="A660" s="10" t="s">
        <v>684</v>
      </c>
      <c r="B660" s="10" t="s">
        <v>650</v>
      </c>
      <c r="C660" s="10" t="str">
        <f t="shared" si="10"/>
        <v>アルコール類</v>
      </c>
      <c r="F660" s="10"/>
    </row>
    <row r="661" spans="1:6">
      <c r="A661" s="10" t="s">
        <v>685</v>
      </c>
      <c r="B661" s="10" t="s">
        <v>628</v>
      </c>
      <c r="C661" s="10" t="str">
        <f t="shared" si="10"/>
        <v>ソフトドリンク</v>
      </c>
      <c r="F661" s="10"/>
    </row>
    <row r="662" spans="1:6">
      <c r="A662" s="10" t="s">
        <v>686</v>
      </c>
      <c r="B662" s="10" t="s">
        <v>34</v>
      </c>
      <c r="C662" s="10" t="str">
        <f t="shared" si="10"/>
        <v>日用品</v>
      </c>
      <c r="F662" s="10"/>
    </row>
    <row r="663" spans="1:6">
      <c r="A663" s="10" t="s">
        <v>687</v>
      </c>
      <c r="B663" s="10" t="s">
        <v>628</v>
      </c>
      <c r="C663" s="10" t="str">
        <f t="shared" si="10"/>
        <v>ソフトドリンク</v>
      </c>
      <c r="F663" s="10"/>
    </row>
    <row r="664" spans="1:6">
      <c r="A664" s="10" t="s">
        <v>688</v>
      </c>
      <c r="B664" s="10" t="s">
        <v>650</v>
      </c>
      <c r="C664" s="10" t="str">
        <f t="shared" si="10"/>
        <v>アルコール類</v>
      </c>
      <c r="F664" s="10"/>
    </row>
    <row r="665" spans="1:6">
      <c r="A665" s="10" t="s">
        <v>689</v>
      </c>
      <c r="B665" s="10" t="s">
        <v>628</v>
      </c>
      <c r="C665" s="10" t="str">
        <f t="shared" si="10"/>
        <v>ソフトドリンク</v>
      </c>
      <c r="F665" s="10"/>
    </row>
    <row r="666" spans="1:6">
      <c r="A666" s="10" t="s">
        <v>690</v>
      </c>
      <c r="B666" s="10" t="s">
        <v>650</v>
      </c>
      <c r="C666" s="10" t="str">
        <f t="shared" si="10"/>
        <v>アルコール類</v>
      </c>
      <c r="F666" s="10"/>
    </row>
    <row r="667" spans="1:6">
      <c r="A667" s="10" t="s">
        <v>691</v>
      </c>
      <c r="B667" s="10" t="s">
        <v>650</v>
      </c>
      <c r="C667" s="10" t="str">
        <f t="shared" si="10"/>
        <v>アルコール類</v>
      </c>
      <c r="F667" s="10"/>
    </row>
    <row r="668" spans="1:6">
      <c r="A668" s="10" t="s">
        <v>692</v>
      </c>
      <c r="B668" s="10" t="s">
        <v>628</v>
      </c>
      <c r="C668" s="10" t="str">
        <f t="shared" si="10"/>
        <v>ソフトドリンク</v>
      </c>
      <c r="F668" s="10"/>
    </row>
    <row r="669" spans="1:6">
      <c r="A669" s="10" t="s">
        <v>693</v>
      </c>
      <c r="B669" s="10" t="s">
        <v>650</v>
      </c>
      <c r="C669" s="10" t="str">
        <f t="shared" si="10"/>
        <v>アルコール類</v>
      </c>
      <c r="F669" s="10"/>
    </row>
    <row r="670" spans="1:6">
      <c r="A670" s="10" t="s">
        <v>694</v>
      </c>
      <c r="B670" s="10" t="s">
        <v>650</v>
      </c>
      <c r="C670" s="10" t="str">
        <f t="shared" si="10"/>
        <v>アルコール類</v>
      </c>
    </row>
    <row r="671" spans="1:6" ht="19.5">
      <c r="A671" s="10" t="s">
        <v>695</v>
      </c>
      <c r="B671" s="10" t="s">
        <v>650</v>
      </c>
      <c r="C671" s="10" t="str">
        <f t="shared" si="10"/>
        <v>アルコール類</v>
      </c>
      <c r="D671" s="11"/>
    </row>
    <row r="672" spans="1:6">
      <c r="A672" s="10" t="s">
        <v>696</v>
      </c>
      <c r="B672" s="10" t="s">
        <v>628</v>
      </c>
      <c r="C672" s="10" t="str">
        <f t="shared" si="10"/>
        <v>ソフトドリンク</v>
      </c>
    </row>
    <row r="673" spans="1:4">
      <c r="A673" s="10" t="s">
        <v>697</v>
      </c>
      <c r="B673" s="10" t="s">
        <v>650</v>
      </c>
      <c r="C673" s="10" t="str">
        <f t="shared" si="10"/>
        <v>アルコール類</v>
      </c>
    </row>
    <row r="674" spans="1:4" ht="19.5">
      <c r="A674" s="10" t="s">
        <v>698</v>
      </c>
      <c r="B674" s="10" t="s">
        <v>628</v>
      </c>
      <c r="C674" s="10" t="str">
        <f t="shared" si="10"/>
        <v>ソフトドリンク</v>
      </c>
      <c r="D674" s="11"/>
    </row>
    <row r="675" spans="1:4">
      <c r="A675" s="10" t="s">
        <v>699</v>
      </c>
      <c r="B675" s="10" t="s">
        <v>650</v>
      </c>
      <c r="C675" s="10" t="str">
        <f t="shared" si="10"/>
        <v>アルコール類</v>
      </c>
    </row>
    <row r="676" spans="1:4">
      <c r="A676" s="10" t="s">
        <v>700</v>
      </c>
      <c r="B676" s="10" t="s">
        <v>628</v>
      </c>
      <c r="C676" s="10" t="str">
        <f t="shared" si="10"/>
        <v>ソフトドリンク</v>
      </c>
    </row>
    <row r="677" spans="1:4">
      <c r="A677" s="10" t="s">
        <v>701</v>
      </c>
      <c r="B677" s="10" t="s">
        <v>650</v>
      </c>
      <c r="C677" s="10" t="str">
        <f t="shared" si="10"/>
        <v>アルコール類</v>
      </c>
    </row>
    <row r="678" spans="1:4">
      <c r="A678" s="10" t="s">
        <v>702</v>
      </c>
      <c r="B678" s="10" t="s">
        <v>650</v>
      </c>
      <c r="C678" s="10" t="str">
        <f t="shared" si="10"/>
        <v>アルコール類</v>
      </c>
    </row>
    <row r="679" spans="1:4">
      <c r="A679" s="10" t="s">
        <v>703</v>
      </c>
      <c r="B679" s="10" t="s">
        <v>650</v>
      </c>
      <c r="C679" s="10" t="str">
        <f t="shared" si="10"/>
        <v>アルコール類</v>
      </c>
    </row>
    <row r="680" spans="1:4">
      <c r="A680" s="10" t="s">
        <v>704</v>
      </c>
      <c r="B680" s="10" t="s">
        <v>650</v>
      </c>
      <c r="C680" s="10" t="str">
        <f t="shared" si="10"/>
        <v>アルコール類</v>
      </c>
    </row>
    <row r="681" spans="1:4">
      <c r="A681" s="10" t="s">
        <v>705</v>
      </c>
      <c r="B681" s="10" t="s">
        <v>628</v>
      </c>
      <c r="C681" s="10" t="str">
        <f t="shared" si="10"/>
        <v>ソフトドリンク</v>
      </c>
    </row>
    <row r="682" spans="1:4">
      <c r="A682" s="10" t="s">
        <v>706</v>
      </c>
      <c r="B682" s="10" t="s">
        <v>628</v>
      </c>
      <c r="C682" s="10" t="str">
        <f t="shared" si="10"/>
        <v>ソフトドリンク</v>
      </c>
    </row>
    <row r="683" spans="1:4">
      <c r="A683" s="10" t="s">
        <v>707</v>
      </c>
      <c r="B683" s="10" t="s">
        <v>628</v>
      </c>
      <c r="C683" s="10" t="str">
        <f t="shared" si="10"/>
        <v>ソフトドリンク</v>
      </c>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4B35-6996-4C9B-9791-69F6DDEC0521}">
  <dimension ref="A1:F683"/>
  <sheetViews>
    <sheetView workbookViewId="0">
      <selection activeCell="C2" sqref="C2:C683"/>
    </sheetView>
  </sheetViews>
  <sheetFormatPr defaultColWidth="12.25" defaultRowHeight="18.75"/>
  <cols>
    <col min="1" max="1" width="10.125" style="10" bestFit="1" customWidth="1"/>
    <col min="2" max="2" width="8.125" style="10" bestFit="1" customWidth="1"/>
    <col min="3" max="4" width="12.25" style="10"/>
    <col min="5" max="5" width="17.75" style="10" customWidth="1"/>
    <col min="6" max="6" width="12.25" style="56"/>
    <col min="7" max="16384" width="12.25" style="10"/>
  </cols>
  <sheetData>
    <row r="1" spans="1:6">
      <c r="A1" s="10" t="s">
        <v>3</v>
      </c>
      <c r="B1" s="10" t="s">
        <v>6</v>
      </c>
      <c r="C1" s="10" t="s">
        <v>904</v>
      </c>
    </row>
    <row r="2" spans="1:6">
      <c r="A2" s="10" t="s">
        <v>11</v>
      </c>
      <c r="B2" s="10">
        <v>75</v>
      </c>
      <c r="C2" s="10">
        <f>IF(B2="", $F$13, B2)</f>
        <v>75</v>
      </c>
      <c r="E2" s="10" t="s">
        <v>905</v>
      </c>
    </row>
    <row r="3" spans="1:6">
      <c r="A3" s="10" t="s">
        <v>14</v>
      </c>
      <c r="B3" s="10">
        <v>73</v>
      </c>
      <c r="C3" s="10">
        <f t="shared" ref="C3:C66" si="0">IF(B3="", $F$13, B3)</f>
        <v>73</v>
      </c>
    </row>
    <row r="4" spans="1:6">
      <c r="A4" s="10" t="s">
        <v>15</v>
      </c>
      <c r="B4" s="10">
        <v>101</v>
      </c>
      <c r="C4" s="10">
        <f t="shared" si="0"/>
        <v>101</v>
      </c>
      <c r="E4" s="10" t="s">
        <v>900</v>
      </c>
      <c r="F4" s="55">
        <f>COUNTA(A2:A683)</f>
        <v>682</v>
      </c>
    </row>
    <row r="5" spans="1:6">
      <c r="A5" s="10" t="s">
        <v>17</v>
      </c>
      <c r="B5" s="10">
        <v>74</v>
      </c>
      <c r="C5" s="10">
        <f t="shared" si="0"/>
        <v>74</v>
      </c>
      <c r="E5" s="10" t="s">
        <v>901</v>
      </c>
      <c r="F5" s="56">
        <f>COUNTA(B2:B683)</f>
        <v>676</v>
      </c>
    </row>
    <row r="6" spans="1:6">
      <c r="A6" s="10" t="s">
        <v>18</v>
      </c>
      <c r="B6" s="10">
        <v>127</v>
      </c>
      <c r="C6" s="10">
        <f t="shared" si="0"/>
        <v>127</v>
      </c>
      <c r="E6" s="10" t="s">
        <v>902</v>
      </c>
      <c r="F6" s="56">
        <f>F4-F5</f>
        <v>6</v>
      </c>
    </row>
    <row r="7" spans="1:6">
      <c r="A7" s="10" t="s">
        <v>19</v>
      </c>
      <c r="B7" s="10">
        <v>88</v>
      </c>
      <c r="C7" s="10">
        <f t="shared" si="0"/>
        <v>88</v>
      </c>
    </row>
    <row r="8" spans="1:6" ht="19.5" thickBot="1">
      <c r="A8" s="10" t="s">
        <v>21</v>
      </c>
      <c r="B8" s="10">
        <v>86</v>
      </c>
      <c r="C8" s="10">
        <f t="shared" si="0"/>
        <v>86</v>
      </c>
    </row>
    <row r="9" spans="1:6">
      <c r="A9" s="10" t="s">
        <v>22</v>
      </c>
      <c r="B9" s="10">
        <v>102</v>
      </c>
      <c r="C9" s="10">
        <f t="shared" si="0"/>
        <v>102</v>
      </c>
      <c r="E9" s="57" t="s">
        <v>774</v>
      </c>
      <c r="F9" s="57"/>
    </row>
    <row r="10" spans="1:6">
      <c r="A10" s="10" t="s">
        <v>23</v>
      </c>
      <c r="B10" s="10">
        <v>120</v>
      </c>
      <c r="C10" s="10">
        <f t="shared" si="0"/>
        <v>120</v>
      </c>
      <c r="F10" s="10"/>
    </row>
    <row r="11" spans="1:6">
      <c r="A11" s="10" t="s">
        <v>24</v>
      </c>
      <c r="B11" s="10">
        <v>79</v>
      </c>
      <c r="C11" s="10">
        <f t="shared" si="0"/>
        <v>79</v>
      </c>
      <c r="E11" s="10" t="s">
        <v>717</v>
      </c>
      <c r="F11" s="10">
        <v>199.68491124260356</v>
      </c>
    </row>
    <row r="12" spans="1:6">
      <c r="A12" s="10" t="s">
        <v>25</v>
      </c>
      <c r="B12" s="10">
        <v>94</v>
      </c>
      <c r="C12" s="10">
        <f t="shared" si="0"/>
        <v>94</v>
      </c>
      <c r="E12" s="10" t="s">
        <v>718</v>
      </c>
      <c r="F12" s="10">
        <v>6.6267870139121827</v>
      </c>
    </row>
    <row r="13" spans="1:6">
      <c r="A13" s="10" t="s">
        <v>26</v>
      </c>
      <c r="B13" s="10">
        <v>96</v>
      </c>
      <c r="C13" s="10">
        <f t="shared" si="0"/>
        <v>96</v>
      </c>
      <c r="E13" s="10" t="s">
        <v>719</v>
      </c>
      <c r="F13" s="10">
        <v>113</v>
      </c>
    </row>
    <row r="14" spans="1:6">
      <c r="A14" s="10" t="s">
        <v>27</v>
      </c>
      <c r="B14" s="10">
        <v>78</v>
      </c>
      <c r="C14" s="10">
        <f t="shared" si="0"/>
        <v>78</v>
      </c>
      <c r="E14" s="10" t="s">
        <v>720</v>
      </c>
      <c r="F14" s="10">
        <v>108</v>
      </c>
    </row>
    <row r="15" spans="1:6">
      <c r="A15" s="10" t="s">
        <v>28</v>
      </c>
      <c r="B15" s="10">
        <v>86</v>
      </c>
      <c r="C15" s="10">
        <f t="shared" si="0"/>
        <v>86</v>
      </c>
      <c r="E15" s="10" t="s">
        <v>721</v>
      </c>
      <c r="F15" s="10">
        <v>172.29646236171675</v>
      </c>
    </row>
    <row r="16" spans="1:6">
      <c r="A16" s="10" t="s">
        <v>29</v>
      </c>
      <c r="B16" s="10">
        <v>123</v>
      </c>
      <c r="C16" s="10">
        <f t="shared" si="0"/>
        <v>123</v>
      </c>
      <c r="E16" s="10" t="s">
        <v>722</v>
      </c>
      <c r="F16" s="10">
        <v>29686.070942362479</v>
      </c>
    </row>
    <row r="17" spans="1:6">
      <c r="A17" s="10" t="s">
        <v>30</v>
      </c>
      <c r="B17" s="10">
        <v>61</v>
      </c>
      <c r="C17" s="10">
        <f t="shared" si="0"/>
        <v>61</v>
      </c>
      <c r="E17" s="10" t="s">
        <v>723</v>
      </c>
      <c r="F17" s="10">
        <v>0.22393881824545181</v>
      </c>
    </row>
    <row r="18" spans="1:6">
      <c r="A18" s="10" t="s">
        <v>33</v>
      </c>
      <c r="B18" s="10">
        <v>248</v>
      </c>
      <c r="C18" s="10">
        <f t="shared" si="0"/>
        <v>248</v>
      </c>
      <c r="E18" s="10" t="s">
        <v>724</v>
      </c>
      <c r="F18" s="10">
        <v>1.2371898823394301</v>
      </c>
    </row>
    <row r="19" spans="1:6">
      <c r="A19" s="10" t="s">
        <v>35</v>
      </c>
      <c r="B19" s="10">
        <v>247</v>
      </c>
      <c r="C19" s="10">
        <f t="shared" si="0"/>
        <v>247</v>
      </c>
      <c r="E19" s="10" t="s">
        <v>725</v>
      </c>
      <c r="F19" s="10">
        <v>699</v>
      </c>
    </row>
    <row r="20" spans="1:6">
      <c r="A20" s="10" t="s">
        <v>36</v>
      </c>
      <c r="B20" s="10">
        <v>97</v>
      </c>
      <c r="C20" s="10">
        <f t="shared" si="0"/>
        <v>97</v>
      </c>
      <c r="E20" s="10" t="s">
        <v>726</v>
      </c>
      <c r="F20" s="10">
        <v>29</v>
      </c>
    </row>
    <row r="21" spans="1:6">
      <c r="A21" s="10" t="s">
        <v>38</v>
      </c>
      <c r="B21" s="10">
        <v>386</v>
      </c>
      <c r="C21" s="10">
        <f t="shared" si="0"/>
        <v>386</v>
      </c>
      <c r="E21" s="10" t="s">
        <v>727</v>
      </c>
      <c r="F21" s="10">
        <v>728</v>
      </c>
    </row>
    <row r="22" spans="1:6">
      <c r="A22" s="10" t="s">
        <v>40</v>
      </c>
      <c r="B22" s="10">
        <v>595</v>
      </c>
      <c r="C22" s="10">
        <f t="shared" si="0"/>
        <v>595</v>
      </c>
      <c r="E22" s="10" t="s">
        <v>728</v>
      </c>
      <c r="F22" s="10">
        <v>134987</v>
      </c>
    </row>
    <row r="23" spans="1:6" ht="19.5" thickBot="1">
      <c r="A23" s="10" t="s">
        <v>41</v>
      </c>
      <c r="B23" s="10">
        <v>120</v>
      </c>
      <c r="C23" s="10">
        <f t="shared" si="0"/>
        <v>120</v>
      </c>
      <c r="E23" s="58" t="s">
        <v>906</v>
      </c>
      <c r="F23" s="58">
        <v>676</v>
      </c>
    </row>
    <row r="24" spans="1:6">
      <c r="A24" s="10" t="s">
        <v>43</v>
      </c>
      <c r="B24" s="10">
        <v>44</v>
      </c>
      <c r="C24" s="10">
        <f t="shared" si="0"/>
        <v>44</v>
      </c>
    </row>
    <row r="25" spans="1:6">
      <c r="A25" s="10" t="s">
        <v>44</v>
      </c>
      <c r="B25" s="10">
        <v>153</v>
      </c>
      <c r="C25" s="10">
        <f t="shared" si="0"/>
        <v>153</v>
      </c>
    </row>
    <row r="26" spans="1:6">
      <c r="A26" s="10" t="s">
        <v>45</v>
      </c>
      <c r="B26" s="10">
        <v>88</v>
      </c>
      <c r="C26" s="10">
        <f t="shared" si="0"/>
        <v>88</v>
      </c>
    </row>
    <row r="27" spans="1:6">
      <c r="A27" s="10" t="s">
        <v>46</v>
      </c>
      <c r="B27" s="10">
        <v>364</v>
      </c>
      <c r="C27" s="10">
        <f t="shared" si="0"/>
        <v>364</v>
      </c>
    </row>
    <row r="28" spans="1:6">
      <c r="A28" s="10" t="s">
        <v>47</v>
      </c>
      <c r="B28" s="10">
        <v>191</v>
      </c>
      <c r="C28" s="10">
        <f t="shared" si="0"/>
        <v>191</v>
      </c>
    </row>
    <row r="29" spans="1:6">
      <c r="A29" s="10" t="s">
        <v>48</v>
      </c>
      <c r="B29" s="10">
        <v>97</v>
      </c>
      <c r="C29" s="10">
        <f t="shared" si="0"/>
        <v>97</v>
      </c>
    </row>
    <row r="30" spans="1:6">
      <c r="A30" s="10" t="s">
        <v>49</v>
      </c>
      <c r="B30" s="10">
        <v>219</v>
      </c>
      <c r="C30" s="10">
        <f t="shared" si="0"/>
        <v>219</v>
      </c>
    </row>
    <row r="31" spans="1:6">
      <c r="A31" s="10" t="s">
        <v>51</v>
      </c>
      <c r="B31" s="10">
        <v>450</v>
      </c>
      <c r="C31" s="10">
        <f t="shared" si="0"/>
        <v>450</v>
      </c>
    </row>
    <row r="32" spans="1:6">
      <c r="A32" s="10" t="s">
        <v>52</v>
      </c>
      <c r="B32" s="10">
        <v>673</v>
      </c>
      <c r="C32" s="10">
        <f t="shared" si="0"/>
        <v>673</v>
      </c>
    </row>
    <row r="33" spans="1:3">
      <c r="A33" s="10" t="s">
        <v>53</v>
      </c>
      <c r="B33" s="10">
        <v>134</v>
      </c>
      <c r="C33" s="10">
        <f t="shared" si="0"/>
        <v>134</v>
      </c>
    </row>
    <row r="34" spans="1:3">
      <c r="A34" s="10" t="s">
        <v>54</v>
      </c>
      <c r="B34" s="10">
        <v>105</v>
      </c>
      <c r="C34" s="10">
        <f t="shared" si="0"/>
        <v>105</v>
      </c>
    </row>
    <row r="35" spans="1:3">
      <c r="A35" s="10" t="s">
        <v>55</v>
      </c>
      <c r="B35" s="10">
        <v>53</v>
      </c>
      <c r="C35" s="10">
        <f t="shared" si="0"/>
        <v>53</v>
      </c>
    </row>
    <row r="36" spans="1:3">
      <c r="A36" s="10" t="s">
        <v>56</v>
      </c>
      <c r="B36" s="10">
        <v>171</v>
      </c>
      <c r="C36" s="10">
        <f t="shared" si="0"/>
        <v>171</v>
      </c>
    </row>
    <row r="37" spans="1:3">
      <c r="A37" s="10" t="s">
        <v>57</v>
      </c>
      <c r="B37" s="10">
        <v>138</v>
      </c>
      <c r="C37" s="10">
        <f t="shared" si="0"/>
        <v>138</v>
      </c>
    </row>
    <row r="38" spans="1:3">
      <c r="A38" s="10" t="s">
        <v>58</v>
      </c>
      <c r="B38" s="10">
        <v>101</v>
      </c>
      <c r="C38" s="10">
        <f t="shared" si="0"/>
        <v>101</v>
      </c>
    </row>
    <row r="39" spans="1:3">
      <c r="A39" s="10" t="s">
        <v>59</v>
      </c>
      <c r="B39" s="10">
        <v>581</v>
      </c>
      <c r="C39" s="10">
        <f t="shared" si="0"/>
        <v>581</v>
      </c>
    </row>
    <row r="40" spans="1:3">
      <c r="A40" s="10" t="s">
        <v>60</v>
      </c>
      <c r="B40" s="10">
        <v>649</v>
      </c>
      <c r="C40" s="10">
        <f t="shared" si="0"/>
        <v>649</v>
      </c>
    </row>
    <row r="41" spans="1:3">
      <c r="A41" s="10" t="s">
        <v>61</v>
      </c>
      <c r="B41" s="10">
        <v>57</v>
      </c>
      <c r="C41" s="10">
        <f t="shared" si="0"/>
        <v>57</v>
      </c>
    </row>
    <row r="42" spans="1:3">
      <c r="A42" s="10" t="s">
        <v>62</v>
      </c>
      <c r="B42" s="10">
        <v>39</v>
      </c>
      <c r="C42" s="10">
        <f t="shared" si="0"/>
        <v>39</v>
      </c>
    </row>
    <row r="43" spans="1:3">
      <c r="A43" s="10" t="s">
        <v>63</v>
      </c>
      <c r="B43" s="10">
        <v>208</v>
      </c>
      <c r="C43" s="10">
        <f t="shared" si="0"/>
        <v>208</v>
      </c>
    </row>
    <row r="44" spans="1:3">
      <c r="A44" s="10" t="s">
        <v>64</v>
      </c>
      <c r="B44" s="10">
        <v>77</v>
      </c>
      <c r="C44" s="10">
        <f t="shared" si="0"/>
        <v>77</v>
      </c>
    </row>
    <row r="45" spans="1:3">
      <c r="A45" s="10" t="s">
        <v>65</v>
      </c>
      <c r="B45" s="10">
        <v>233</v>
      </c>
      <c r="C45" s="10">
        <f t="shared" si="0"/>
        <v>233</v>
      </c>
    </row>
    <row r="46" spans="1:3">
      <c r="A46" s="10" t="s">
        <v>66</v>
      </c>
      <c r="B46" s="10">
        <v>42</v>
      </c>
      <c r="C46" s="10">
        <f t="shared" si="0"/>
        <v>42</v>
      </c>
    </row>
    <row r="47" spans="1:3">
      <c r="A47" s="10" t="s">
        <v>67</v>
      </c>
      <c r="B47" s="10">
        <v>105</v>
      </c>
      <c r="C47" s="10">
        <f t="shared" si="0"/>
        <v>105</v>
      </c>
    </row>
    <row r="48" spans="1:3">
      <c r="A48" s="10" t="s">
        <v>68</v>
      </c>
      <c r="B48" s="10">
        <v>522</v>
      </c>
      <c r="C48" s="10">
        <f t="shared" si="0"/>
        <v>522</v>
      </c>
    </row>
    <row r="49" spans="1:3">
      <c r="A49" s="10" t="s">
        <v>69</v>
      </c>
      <c r="B49" s="10">
        <v>82</v>
      </c>
      <c r="C49" s="10">
        <f t="shared" si="0"/>
        <v>82</v>
      </c>
    </row>
    <row r="50" spans="1:3">
      <c r="A50" s="10" t="s">
        <v>70</v>
      </c>
      <c r="B50" s="10">
        <v>62</v>
      </c>
      <c r="C50" s="10">
        <f t="shared" si="0"/>
        <v>62</v>
      </c>
    </row>
    <row r="51" spans="1:3">
      <c r="A51" s="10" t="s">
        <v>71</v>
      </c>
      <c r="B51" s="10">
        <v>210</v>
      </c>
      <c r="C51" s="10">
        <f t="shared" si="0"/>
        <v>210</v>
      </c>
    </row>
    <row r="52" spans="1:3">
      <c r="A52" s="10" t="s">
        <v>72</v>
      </c>
      <c r="B52" s="10">
        <v>461</v>
      </c>
      <c r="C52" s="10">
        <f t="shared" si="0"/>
        <v>461</v>
      </c>
    </row>
    <row r="53" spans="1:3">
      <c r="A53" s="10" t="s">
        <v>73</v>
      </c>
      <c r="B53" s="10">
        <v>116</v>
      </c>
      <c r="C53" s="10">
        <f t="shared" si="0"/>
        <v>116</v>
      </c>
    </row>
    <row r="54" spans="1:3">
      <c r="A54" s="10" t="s">
        <v>74</v>
      </c>
      <c r="B54" s="10">
        <v>45</v>
      </c>
      <c r="C54" s="10">
        <f t="shared" si="0"/>
        <v>45</v>
      </c>
    </row>
    <row r="55" spans="1:3">
      <c r="A55" s="10" t="s">
        <v>75</v>
      </c>
      <c r="B55" s="10">
        <v>198</v>
      </c>
      <c r="C55" s="10">
        <f t="shared" si="0"/>
        <v>198</v>
      </c>
    </row>
    <row r="56" spans="1:3">
      <c r="A56" s="10" t="s">
        <v>76</v>
      </c>
      <c r="C56" s="10">
        <f t="shared" si="0"/>
        <v>113</v>
      </c>
    </row>
    <row r="57" spans="1:3">
      <c r="A57" s="10" t="s">
        <v>77</v>
      </c>
      <c r="B57" s="10">
        <v>184</v>
      </c>
      <c r="C57" s="10">
        <f t="shared" si="0"/>
        <v>184</v>
      </c>
    </row>
    <row r="58" spans="1:3">
      <c r="A58" s="10" t="s">
        <v>78</v>
      </c>
      <c r="B58" s="10">
        <v>110</v>
      </c>
      <c r="C58" s="10">
        <f t="shared" si="0"/>
        <v>110</v>
      </c>
    </row>
    <row r="59" spans="1:3">
      <c r="A59" s="10" t="s">
        <v>79</v>
      </c>
      <c r="B59" s="10">
        <v>493</v>
      </c>
      <c r="C59" s="10">
        <f t="shared" si="0"/>
        <v>493</v>
      </c>
    </row>
    <row r="60" spans="1:3">
      <c r="A60" s="10" t="s">
        <v>80</v>
      </c>
      <c r="B60" s="10">
        <v>427</v>
      </c>
      <c r="C60" s="10">
        <f t="shared" si="0"/>
        <v>427</v>
      </c>
    </row>
    <row r="61" spans="1:3">
      <c r="A61" s="10" t="s">
        <v>81</v>
      </c>
      <c r="B61" s="10">
        <v>88</v>
      </c>
      <c r="C61" s="10">
        <f t="shared" si="0"/>
        <v>88</v>
      </c>
    </row>
    <row r="62" spans="1:3">
      <c r="A62" s="10" t="s">
        <v>82</v>
      </c>
      <c r="B62" s="10">
        <v>108</v>
      </c>
      <c r="C62" s="10">
        <f t="shared" si="0"/>
        <v>108</v>
      </c>
    </row>
    <row r="63" spans="1:3">
      <c r="A63" s="10" t="s">
        <v>83</v>
      </c>
      <c r="B63" s="10">
        <v>57</v>
      </c>
      <c r="C63" s="10">
        <f t="shared" si="0"/>
        <v>57</v>
      </c>
    </row>
    <row r="64" spans="1:3">
      <c r="A64" s="10" t="s">
        <v>84</v>
      </c>
      <c r="B64" s="10">
        <v>215</v>
      </c>
      <c r="C64" s="10">
        <f t="shared" si="0"/>
        <v>215</v>
      </c>
    </row>
    <row r="65" spans="1:3">
      <c r="A65" s="10" t="s">
        <v>85</v>
      </c>
      <c r="B65" s="10">
        <v>623</v>
      </c>
      <c r="C65" s="10">
        <f t="shared" si="0"/>
        <v>623</v>
      </c>
    </row>
    <row r="66" spans="1:3">
      <c r="A66" s="10" t="s">
        <v>86</v>
      </c>
      <c r="B66" s="10">
        <v>110</v>
      </c>
      <c r="C66" s="10">
        <f t="shared" si="0"/>
        <v>110</v>
      </c>
    </row>
    <row r="67" spans="1:3">
      <c r="A67" s="10" t="s">
        <v>87</v>
      </c>
      <c r="B67" s="10">
        <v>39</v>
      </c>
      <c r="C67" s="10">
        <f t="shared" ref="C67:C130" si="1">IF(B67="", $F$13, B67)</f>
        <v>39</v>
      </c>
    </row>
    <row r="68" spans="1:3">
      <c r="A68" s="10" t="s">
        <v>88</v>
      </c>
      <c r="B68" s="10">
        <v>131</v>
      </c>
      <c r="C68" s="10">
        <f t="shared" si="1"/>
        <v>131</v>
      </c>
    </row>
    <row r="69" spans="1:3">
      <c r="A69" s="10" t="s">
        <v>89</v>
      </c>
      <c r="B69" s="10">
        <v>66</v>
      </c>
      <c r="C69" s="10">
        <f t="shared" si="1"/>
        <v>66</v>
      </c>
    </row>
    <row r="70" spans="1:3">
      <c r="A70" s="10" t="s">
        <v>90</v>
      </c>
      <c r="B70" s="10">
        <v>103</v>
      </c>
      <c r="C70" s="10">
        <f t="shared" si="1"/>
        <v>103</v>
      </c>
    </row>
    <row r="71" spans="1:3">
      <c r="A71" s="10" t="s">
        <v>91</v>
      </c>
      <c r="B71" s="10">
        <v>75</v>
      </c>
      <c r="C71" s="10">
        <f t="shared" si="1"/>
        <v>75</v>
      </c>
    </row>
    <row r="72" spans="1:3">
      <c r="A72" s="10" t="s">
        <v>92</v>
      </c>
      <c r="B72" s="10">
        <v>523</v>
      </c>
      <c r="C72" s="10">
        <f t="shared" si="1"/>
        <v>523</v>
      </c>
    </row>
    <row r="73" spans="1:3">
      <c r="A73" s="10" t="s">
        <v>93</v>
      </c>
      <c r="B73" s="10">
        <v>353</v>
      </c>
      <c r="C73" s="10">
        <f t="shared" si="1"/>
        <v>353</v>
      </c>
    </row>
    <row r="74" spans="1:3">
      <c r="A74" s="10" t="s">
        <v>94</v>
      </c>
      <c r="B74" s="10">
        <v>106</v>
      </c>
      <c r="C74" s="10">
        <f t="shared" si="1"/>
        <v>106</v>
      </c>
    </row>
    <row r="75" spans="1:3">
      <c r="A75" s="10" t="s">
        <v>95</v>
      </c>
      <c r="B75" s="10">
        <v>564</v>
      </c>
      <c r="C75" s="10">
        <f t="shared" si="1"/>
        <v>564</v>
      </c>
    </row>
    <row r="76" spans="1:3">
      <c r="A76" s="10" t="s">
        <v>96</v>
      </c>
      <c r="B76" s="10">
        <v>428</v>
      </c>
      <c r="C76" s="10">
        <f t="shared" si="1"/>
        <v>428</v>
      </c>
    </row>
    <row r="77" spans="1:3">
      <c r="A77" s="10" t="s">
        <v>97</v>
      </c>
      <c r="B77" s="10">
        <v>114</v>
      </c>
      <c r="C77" s="10">
        <f t="shared" si="1"/>
        <v>114</v>
      </c>
    </row>
    <row r="78" spans="1:3">
      <c r="A78" s="10" t="s">
        <v>98</v>
      </c>
      <c r="B78" s="10">
        <v>41</v>
      </c>
      <c r="C78" s="10">
        <f t="shared" si="1"/>
        <v>41</v>
      </c>
    </row>
    <row r="79" spans="1:3">
      <c r="A79" s="10" t="s">
        <v>99</v>
      </c>
      <c r="B79" s="10">
        <v>115</v>
      </c>
      <c r="C79" s="10">
        <f t="shared" si="1"/>
        <v>115</v>
      </c>
    </row>
    <row r="80" spans="1:3">
      <c r="A80" s="10" t="s">
        <v>100</v>
      </c>
      <c r="B80" s="10">
        <v>120</v>
      </c>
      <c r="C80" s="10">
        <f t="shared" si="1"/>
        <v>120</v>
      </c>
    </row>
    <row r="81" spans="1:3">
      <c r="A81" s="10" t="s">
        <v>101</v>
      </c>
      <c r="B81" s="10">
        <v>121</v>
      </c>
      <c r="C81" s="10">
        <f t="shared" si="1"/>
        <v>121</v>
      </c>
    </row>
    <row r="82" spans="1:3">
      <c r="A82" s="10" t="s">
        <v>102</v>
      </c>
      <c r="B82" s="10">
        <v>613</v>
      </c>
      <c r="C82" s="10">
        <f t="shared" si="1"/>
        <v>613</v>
      </c>
    </row>
    <row r="83" spans="1:3">
      <c r="A83" s="10" t="s">
        <v>103</v>
      </c>
      <c r="B83" s="10">
        <v>457</v>
      </c>
      <c r="C83" s="10">
        <f t="shared" si="1"/>
        <v>457</v>
      </c>
    </row>
    <row r="84" spans="1:3">
      <c r="A84" s="10" t="s">
        <v>104</v>
      </c>
      <c r="B84" s="10">
        <v>121</v>
      </c>
      <c r="C84" s="10">
        <f t="shared" si="1"/>
        <v>121</v>
      </c>
    </row>
    <row r="85" spans="1:3">
      <c r="A85" s="10" t="s">
        <v>105</v>
      </c>
      <c r="B85" s="10">
        <v>534</v>
      </c>
      <c r="C85" s="10">
        <f t="shared" si="1"/>
        <v>534</v>
      </c>
    </row>
    <row r="86" spans="1:3">
      <c r="A86" s="10" t="s">
        <v>106</v>
      </c>
      <c r="B86" s="10">
        <v>69</v>
      </c>
      <c r="C86" s="10">
        <f t="shared" si="1"/>
        <v>69</v>
      </c>
    </row>
    <row r="87" spans="1:3">
      <c r="A87" s="10" t="s">
        <v>107</v>
      </c>
      <c r="B87" s="10">
        <v>106</v>
      </c>
      <c r="C87" s="10">
        <f t="shared" si="1"/>
        <v>106</v>
      </c>
    </row>
    <row r="88" spans="1:3">
      <c r="A88" s="10" t="s">
        <v>108</v>
      </c>
      <c r="B88" s="10">
        <v>118</v>
      </c>
      <c r="C88" s="10">
        <f t="shared" si="1"/>
        <v>118</v>
      </c>
    </row>
    <row r="89" spans="1:3">
      <c r="A89" s="10" t="s">
        <v>109</v>
      </c>
      <c r="B89" s="10">
        <v>344</v>
      </c>
      <c r="C89" s="10">
        <f t="shared" si="1"/>
        <v>344</v>
      </c>
    </row>
    <row r="90" spans="1:3">
      <c r="A90" s="10" t="s">
        <v>110</v>
      </c>
      <c r="B90" s="10">
        <v>59</v>
      </c>
      <c r="C90" s="10">
        <f t="shared" si="1"/>
        <v>59</v>
      </c>
    </row>
    <row r="91" spans="1:3">
      <c r="A91" s="10" t="s">
        <v>111</v>
      </c>
      <c r="B91" s="10">
        <v>232</v>
      </c>
      <c r="C91" s="10">
        <f t="shared" si="1"/>
        <v>232</v>
      </c>
    </row>
    <row r="92" spans="1:3">
      <c r="A92" s="10" t="s">
        <v>112</v>
      </c>
      <c r="B92" s="10">
        <v>206</v>
      </c>
      <c r="C92" s="10">
        <f t="shared" si="1"/>
        <v>206</v>
      </c>
    </row>
    <row r="93" spans="1:3">
      <c r="A93" s="10" t="s">
        <v>113</v>
      </c>
      <c r="B93" s="10">
        <v>114</v>
      </c>
      <c r="C93" s="10">
        <f t="shared" si="1"/>
        <v>114</v>
      </c>
    </row>
    <row r="94" spans="1:3">
      <c r="A94" s="10" t="s">
        <v>114</v>
      </c>
      <c r="B94" s="10">
        <v>99</v>
      </c>
      <c r="C94" s="10">
        <f t="shared" si="1"/>
        <v>99</v>
      </c>
    </row>
    <row r="95" spans="1:3">
      <c r="A95" s="10" t="s">
        <v>115</v>
      </c>
      <c r="B95" s="10">
        <v>40</v>
      </c>
      <c r="C95" s="10">
        <f t="shared" si="1"/>
        <v>40</v>
      </c>
    </row>
    <row r="96" spans="1:3">
      <c r="A96" s="10" t="s">
        <v>116</v>
      </c>
      <c r="B96" s="10">
        <v>223</v>
      </c>
      <c r="C96" s="10">
        <f t="shared" si="1"/>
        <v>223</v>
      </c>
    </row>
    <row r="97" spans="1:3">
      <c r="A97" s="10" t="s">
        <v>117</v>
      </c>
      <c r="B97" s="10">
        <v>161</v>
      </c>
      <c r="C97" s="10">
        <f t="shared" si="1"/>
        <v>161</v>
      </c>
    </row>
    <row r="98" spans="1:3">
      <c r="A98" s="10" t="s">
        <v>118</v>
      </c>
      <c r="B98" s="10">
        <v>87</v>
      </c>
      <c r="C98" s="10">
        <f t="shared" si="1"/>
        <v>87</v>
      </c>
    </row>
    <row r="99" spans="1:3">
      <c r="A99" s="10" t="s">
        <v>119</v>
      </c>
      <c r="B99" s="10">
        <v>549</v>
      </c>
      <c r="C99" s="10">
        <f t="shared" si="1"/>
        <v>549</v>
      </c>
    </row>
    <row r="100" spans="1:3">
      <c r="A100" s="10" t="s">
        <v>120</v>
      </c>
      <c r="B100" s="10">
        <v>45</v>
      </c>
      <c r="C100" s="10">
        <f t="shared" si="1"/>
        <v>45</v>
      </c>
    </row>
    <row r="101" spans="1:3">
      <c r="A101" s="10" t="s">
        <v>121</v>
      </c>
      <c r="B101" s="10">
        <v>101</v>
      </c>
      <c r="C101" s="10">
        <f t="shared" si="1"/>
        <v>101</v>
      </c>
    </row>
    <row r="102" spans="1:3">
      <c r="A102" s="10" t="s">
        <v>122</v>
      </c>
      <c r="B102" s="10">
        <v>635</v>
      </c>
      <c r="C102" s="10">
        <f t="shared" si="1"/>
        <v>635</v>
      </c>
    </row>
    <row r="103" spans="1:3">
      <c r="A103" s="10" t="s">
        <v>123</v>
      </c>
      <c r="B103" s="10">
        <v>404</v>
      </c>
      <c r="C103" s="10">
        <f t="shared" si="1"/>
        <v>404</v>
      </c>
    </row>
    <row r="104" spans="1:3">
      <c r="A104" s="10" t="s">
        <v>124</v>
      </c>
      <c r="B104" s="10">
        <v>130</v>
      </c>
      <c r="C104" s="10">
        <f t="shared" si="1"/>
        <v>130</v>
      </c>
    </row>
    <row r="105" spans="1:3">
      <c r="A105" s="10" t="s">
        <v>125</v>
      </c>
      <c r="B105" s="10">
        <v>135</v>
      </c>
      <c r="C105" s="10">
        <f t="shared" si="1"/>
        <v>135</v>
      </c>
    </row>
    <row r="106" spans="1:3">
      <c r="A106" s="10" t="s">
        <v>126</v>
      </c>
      <c r="B106" s="10">
        <v>509</v>
      </c>
      <c r="C106" s="10">
        <f t="shared" si="1"/>
        <v>509</v>
      </c>
    </row>
    <row r="107" spans="1:3">
      <c r="A107" s="10" t="s">
        <v>127</v>
      </c>
      <c r="B107" s="10">
        <v>77</v>
      </c>
      <c r="C107" s="10">
        <f t="shared" si="1"/>
        <v>77</v>
      </c>
    </row>
    <row r="108" spans="1:3">
      <c r="A108" s="10" t="s">
        <v>128</v>
      </c>
      <c r="B108" s="10">
        <v>439</v>
      </c>
      <c r="C108" s="10">
        <f t="shared" si="1"/>
        <v>439</v>
      </c>
    </row>
    <row r="109" spans="1:3">
      <c r="A109" s="10" t="s">
        <v>129</v>
      </c>
      <c r="B109" s="10">
        <v>457</v>
      </c>
      <c r="C109" s="10">
        <f t="shared" si="1"/>
        <v>457</v>
      </c>
    </row>
    <row r="110" spans="1:3">
      <c r="A110" s="10" t="s">
        <v>130</v>
      </c>
      <c r="B110" s="10">
        <v>45</v>
      </c>
      <c r="C110" s="10">
        <f t="shared" si="1"/>
        <v>45</v>
      </c>
    </row>
    <row r="111" spans="1:3">
      <c r="A111" s="10" t="s">
        <v>131</v>
      </c>
      <c r="B111" s="10">
        <v>263</v>
      </c>
      <c r="C111" s="10">
        <f t="shared" si="1"/>
        <v>263</v>
      </c>
    </row>
    <row r="112" spans="1:3">
      <c r="A112" s="10" t="s">
        <v>132</v>
      </c>
      <c r="B112" s="10">
        <v>96</v>
      </c>
      <c r="C112" s="10">
        <f t="shared" si="1"/>
        <v>96</v>
      </c>
    </row>
    <row r="113" spans="1:3">
      <c r="A113" s="10" t="s">
        <v>133</v>
      </c>
      <c r="B113" s="10">
        <v>36</v>
      </c>
      <c r="C113" s="10">
        <f t="shared" si="1"/>
        <v>36</v>
      </c>
    </row>
    <row r="114" spans="1:3">
      <c r="A114" s="10" t="s">
        <v>134</v>
      </c>
      <c r="B114" s="10">
        <v>160</v>
      </c>
      <c r="C114" s="10">
        <f t="shared" si="1"/>
        <v>160</v>
      </c>
    </row>
    <row r="115" spans="1:3">
      <c r="A115" s="10" t="s">
        <v>135</v>
      </c>
      <c r="B115" s="10">
        <v>46</v>
      </c>
      <c r="C115" s="10">
        <f t="shared" si="1"/>
        <v>46</v>
      </c>
    </row>
    <row r="116" spans="1:3">
      <c r="A116" s="10" t="s">
        <v>136</v>
      </c>
      <c r="B116" s="10">
        <v>90</v>
      </c>
      <c r="C116" s="10">
        <f t="shared" si="1"/>
        <v>90</v>
      </c>
    </row>
    <row r="117" spans="1:3">
      <c r="A117" s="10" t="s">
        <v>137</v>
      </c>
      <c r="B117" s="10">
        <v>538</v>
      </c>
      <c r="C117" s="10">
        <f t="shared" si="1"/>
        <v>538</v>
      </c>
    </row>
    <row r="118" spans="1:3">
      <c r="A118" s="10" t="s">
        <v>138</v>
      </c>
      <c r="B118" s="10">
        <v>568</v>
      </c>
      <c r="C118" s="10">
        <f t="shared" si="1"/>
        <v>568</v>
      </c>
    </row>
    <row r="119" spans="1:3">
      <c r="A119" s="10" t="s">
        <v>139</v>
      </c>
      <c r="B119" s="10">
        <v>101</v>
      </c>
      <c r="C119" s="10">
        <f t="shared" si="1"/>
        <v>101</v>
      </c>
    </row>
    <row r="120" spans="1:3">
      <c r="A120" s="10" t="s">
        <v>140</v>
      </c>
      <c r="C120" s="10">
        <f t="shared" si="1"/>
        <v>113</v>
      </c>
    </row>
    <row r="121" spans="1:3">
      <c r="A121" s="10" t="s">
        <v>141</v>
      </c>
      <c r="B121" s="10">
        <v>728</v>
      </c>
      <c r="C121" s="10">
        <f t="shared" si="1"/>
        <v>728</v>
      </c>
    </row>
    <row r="122" spans="1:3">
      <c r="A122" s="10" t="s">
        <v>142</v>
      </c>
      <c r="B122" s="10">
        <v>82</v>
      </c>
      <c r="C122" s="10">
        <f t="shared" si="1"/>
        <v>82</v>
      </c>
    </row>
    <row r="123" spans="1:3">
      <c r="A123" s="10" t="s">
        <v>143</v>
      </c>
      <c r="B123" s="10">
        <v>312</v>
      </c>
      <c r="C123" s="10">
        <f t="shared" si="1"/>
        <v>312</v>
      </c>
    </row>
    <row r="124" spans="1:3">
      <c r="A124" s="10" t="s">
        <v>144</v>
      </c>
      <c r="B124" s="10">
        <v>438</v>
      </c>
      <c r="C124" s="10">
        <f t="shared" si="1"/>
        <v>438</v>
      </c>
    </row>
    <row r="125" spans="1:3">
      <c r="A125" s="10" t="s">
        <v>145</v>
      </c>
      <c r="B125" s="10">
        <v>62</v>
      </c>
      <c r="C125" s="10">
        <f t="shared" si="1"/>
        <v>62</v>
      </c>
    </row>
    <row r="126" spans="1:3">
      <c r="A126" s="10" t="s">
        <v>146</v>
      </c>
      <c r="B126" s="10">
        <v>80</v>
      </c>
      <c r="C126" s="10">
        <f t="shared" si="1"/>
        <v>80</v>
      </c>
    </row>
    <row r="127" spans="1:3">
      <c r="A127" s="10" t="s">
        <v>147</v>
      </c>
      <c r="B127" s="10">
        <v>109</v>
      </c>
      <c r="C127" s="10">
        <f t="shared" si="1"/>
        <v>109</v>
      </c>
    </row>
    <row r="128" spans="1:3">
      <c r="A128" s="10" t="s">
        <v>148</v>
      </c>
      <c r="B128" s="10">
        <v>94</v>
      </c>
      <c r="C128" s="10">
        <f t="shared" si="1"/>
        <v>94</v>
      </c>
    </row>
    <row r="129" spans="1:3">
      <c r="A129" s="10" t="s">
        <v>150</v>
      </c>
      <c r="B129" s="10">
        <v>108</v>
      </c>
      <c r="C129" s="10">
        <f t="shared" si="1"/>
        <v>108</v>
      </c>
    </row>
    <row r="130" spans="1:3">
      <c r="A130" s="10" t="s">
        <v>151</v>
      </c>
      <c r="B130" s="10">
        <v>112</v>
      </c>
      <c r="C130" s="10">
        <f t="shared" si="1"/>
        <v>112</v>
      </c>
    </row>
    <row r="131" spans="1:3">
      <c r="A131" s="10" t="s">
        <v>152</v>
      </c>
      <c r="B131" s="10">
        <v>142</v>
      </c>
      <c r="C131" s="10">
        <f t="shared" ref="C131:C194" si="2">IF(B131="", $F$13, B131)</f>
        <v>142</v>
      </c>
    </row>
    <row r="132" spans="1:3">
      <c r="A132" s="10" t="s">
        <v>153</v>
      </c>
      <c r="B132" s="10">
        <v>452</v>
      </c>
      <c r="C132" s="10">
        <f t="shared" si="2"/>
        <v>452</v>
      </c>
    </row>
    <row r="133" spans="1:3">
      <c r="A133" s="10" t="s">
        <v>154</v>
      </c>
      <c r="B133" s="10">
        <v>96</v>
      </c>
      <c r="C133" s="10">
        <f t="shared" si="2"/>
        <v>96</v>
      </c>
    </row>
    <row r="134" spans="1:3">
      <c r="A134" s="10" t="s">
        <v>155</v>
      </c>
      <c r="B134" s="10">
        <v>53</v>
      </c>
      <c r="C134" s="10">
        <f t="shared" si="2"/>
        <v>53</v>
      </c>
    </row>
    <row r="135" spans="1:3">
      <c r="A135" s="10" t="s">
        <v>156</v>
      </c>
      <c r="B135" s="10">
        <v>87</v>
      </c>
      <c r="C135" s="10">
        <f t="shared" si="2"/>
        <v>87</v>
      </c>
    </row>
    <row r="136" spans="1:3">
      <c r="A136" s="10" t="s">
        <v>157</v>
      </c>
      <c r="B136" s="10">
        <v>602</v>
      </c>
      <c r="C136" s="10">
        <f t="shared" si="2"/>
        <v>602</v>
      </c>
    </row>
    <row r="137" spans="1:3">
      <c r="A137" s="10" t="s">
        <v>158</v>
      </c>
      <c r="B137" s="10">
        <v>446</v>
      </c>
      <c r="C137" s="10">
        <f t="shared" si="2"/>
        <v>446</v>
      </c>
    </row>
    <row r="138" spans="1:3">
      <c r="A138" s="10" t="s">
        <v>159</v>
      </c>
      <c r="B138" s="10">
        <v>76</v>
      </c>
      <c r="C138" s="10">
        <f t="shared" si="2"/>
        <v>76</v>
      </c>
    </row>
    <row r="139" spans="1:3">
      <c r="A139" s="10" t="s">
        <v>160</v>
      </c>
      <c r="B139" s="10">
        <v>50</v>
      </c>
      <c r="C139" s="10">
        <f t="shared" si="2"/>
        <v>50</v>
      </c>
    </row>
    <row r="140" spans="1:3">
      <c r="A140" s="10" t="s">
        <v>161</v>
      </c>
      <c r="B140" s="10">
        <v>90</v>
      </c>
      <c r="C140" s="10">
        <f t="shared" si="2"/>
        <v>90</v>
      </c>
    </row>
    <row r="141" spans="1:3">
      <c r="A141" s="10" t="s">
        <v>162</v>
      </c>
      <c r="B141" s="10">
        <v>601</v>
      </c>
      <c r="C141" s="10">
        <f t="shared" si="2"/>
        <v>601</v>
      </c>
    </row>
    <row r="142" spans="1:3">
      <c r="A142" s="10" t="s">
        <v>163</v>
      </c>
      <c r="B142" s="10">
        <v>131</v>
      </c>
      <c r="C142" s="10">
        <f t="shared" si="2"/>
        <v>131</v>
      </c>
    </row>
    <row r="143" spans="1:3">
      <c r="A143" s="10" t="s">
        <v>164</v>
      </c>
      <c r="B143" s="10">
        <v>55</v>
      </c>
      <c r="C143" s="10">
        <f t="shared" si="2"/>
        <v>55</v>
      </c>
    </row>
    <row r="144" spans="1:3">
      <c r="A144" s="10" t="s">
        <v>165</v>
      </c>
      <c r="B144" s="10">
        <v>71</v>
      </c>
      <c r="C144" s="10">
        <f t="shared" si="2"/>
        <v>71</v>
      </c>
    </row>
    <row r="145" spans="1:3">
      <c r="A145" s="10" t="s">
        <v>166</v>
      </c>
      <c r="B145" s="10">
        <v>95</v>
      </c>
      <c r="C145" s="10">
        <f t="shared" si="2"/>
        <v>95</v>
      </c>
    </row>
    <row r="146" spans="1:3">
      <c r="A146" s="10" t="s">
        <v>167</v>
      </c>
      <c r="B146" s="10">
        <v>65</v>
      </c>
      <c r="C146" s="10">
        <f t="shared" si="2"/>
        <v>65</v>
      </c>
    </row>
    <row r="147" spans="1:3">
      <c r="A147" s="10" t="s">
        <v>168</v>
      </c>
      <c r="B147" s="10">
        <v>113</v>
      </c>
      <c r="C147" s="10">
        <f t="shared" si="2"/>
        <v>113</v>
      </c>
    </row>
    <row r="148" spans="1:3">
      <c r="A148" s="10" t="s">
        <v>169</v>
      </c>
      <c r="B148" s="10">
        <v>327</v>
      </c>
      <c r="C148" s="10">
        <f t="shared" si="2"/>
        <v>327</v>
      </c>
    </row>
    <row r="149" spans="1:3">
      <c r="A149" s="10" t="s">
        <v>170</v>
      </c>
      <c r="B149" s="10">
        <v>402</v>
      </c>
      <c r="C149" s="10">
        <f t="shared" si="2"/>
        <v>402</v>
      </c>
    </row>
    <row r="150" spans="1:3">
      <c r="A150" s="10" t="s">
        <v>171</v>
      </c>
      <c r="B150" s="10">
        <v>133</v>
      </c>
      <c r="C150" s="10">
        <f t="shared" si="2"/>
        <v>133</v>
      </c>
    </row>
    <row r="151" spans="1:3">
      <c r="A151" s="10" t="s">
        <v>172</v>
      </c>
      <c r="B151" s="10">
        <v>94</v>
      </c>
      <c r="C151" s="10">
        <f t="shared" si="2"/>
        <v>94</v>
      </c>
    </row>
    <row r="152" spans="1:3">
      <c r="A152" s="10" t="s">
        <v>173</v>
      </c>
      <c r="B152" s="10">
        <v>41</v>
      </c>
      <c r="C152" s="10">
        <f t="shared" si="2"/>
        <v>41</v>
      </c>
    </row>
    <row r="153" spans="1:3">
      <c r="A153" s="10" t="s">
        <v>174</v>
      </c>
      <c r="B153" s="10">
        <v>94</v>
      </c>
      <c r="C153" s="10">
        <f t="shared" si="2"/>
        <v>94</v>
      </c>
    </row>
    <row r="154" spans="1:3">
      <c r="A154" s="10" t="s">
        <v>175</v>
      </c>
      <c r="B154" s="10">
        <v>459</v>
      </c>
      <c r="C154" s="10">
        <f t="shared" si="2"/>
        <v>459</v>
      </c>
    </row>
    <row r="155" spans="1:3">
      <c r="A155" s="10" t="s">
        <v>176</v>
      </c>
      <c r="B155" s="10">
        <v>89</v>
      </c>
      <c r="C155" s="10">
        <f t="shared" si="2"/>
        <v>89</v>
      </c>
    </row>
    <row r="156" spans="1:3">
      <c r="A156" s="10" t="s">
        <v>177</v>
      </c>
      <c r="B156" s="10">
        <v>99</v>
      </c>
      <c r="C156" s="10">
        <f t="shared" si="2"/>
        <v>99</v>
      </c>
    </row>
    <row r="157" spans="1:3">
      <c r="A157" s="10" t="s">
        <v>178</v>
      </c>
      <c r="B157" s="10">
        <v>511</v>
      </c>
      <c r="C157" s="10">
        <f t="shared" si="2"/>
        <v>511</v>
      </c>
    </row>
    <row r="158" spans="1:3">
      <c r="A158" s="10" t="s">
        <v>179</v>
      </c>
      <c r="B158" s="10">
        <v>56</v>
      </c>
      <c r="C158" s="10">
        <f t="shared" si="2"/>
        <v>56</v>
      </c>
    </row>
    <row r="159" spans="1:3">
      <c r="A159" s="10" t="s">
        <v>180</v>
      </c>
      <c r="B159" s="10">
        <v>135</v>
      </c>
      <c r="C159" s="10">
        <f t="shared" si="2"/>
        <v>135</v>
      </c>
    </row>
    <row r="160" spans="1:3">
      <c r="A160" s="10" t="s">
        <v>181</v>
      </c>
      <c r="B160" s="10">
        <v>396</v>
      </c>
      <c r="C160" s="10">
        <f t="shared" si="2"/>
        <v>396</v>
      </c>
    </row>
    <row r="161" spans="1:3">
      <c r="A161" s="10" t="s">
        <v>182</v>
      </c>
      <c r="B161" s="10">
        <v>124</v>
      </c>
      <c r="C161" s="10">
        <f t="shared" si="2"/>
        <v>124</v>
      </c>
    </row>
    <row r="162" spans="1:3">
      <c r="A162" s="10" t="s">
        <v>183</v>
      </c>
      <c r="B162" s="10">
        <v>85</v>
      </c>
      <c r="C162" s="10">
        <f t="shared" si="2"/>
        <v>85</v>
      </c>
    </row>
    <row r="163" spans="1:3">
      <c r="A163" s="10" t="s">
        <v>184</v>
      </c>
      <c r="B163" s="10">
        <v>148</v>
      </c>
      <c r="C163" s="10">
        <f t="shared" si="2"/>
        <v>148</v>
      </c>
    </row>
    <row r="164" spans="1:3">
      <c r="A164" s="10" t="s">
        <v>185</v>
      </c>
      <c r="B164" s="10">
        <v>154</v>
      </c>
      <c r="C164" s="10">
        <f t="shared" si="2"/>
        <v>154</v>
      </c>
    </row>
    <row r="165" spans="1:3">
      <c r="A165" s="10" t="s">
        <v>186</v>
      </c>
      <c r="B165" s="10">
        <v>108</v>
      </c>
      <c r="C165" s="10">
        <f t="shared" si="2"/>
        <v>108</v>
      </c>
    </row>
    <row r="166" spans="1:3">
      <c r="A166" s="10" t="s">
        <v>187</v>
      </c>
      <c r="B166" s="10">
        <v>41</v>
      </c>
      <c r="C166" s="10">
        <f t="shared" si="2"/>
        <v>41</v>
      </c>
    </row>
    <row r="167" spans="1:3">
      <c r="A167" s="10" t="s">
        <v>188</v>
      </c>
      <c r="B167" s="10">
        <v>130</v>
      </c>
      <c r="C167" s="10">
        <f t="shared" si="2"/>
        <v>130</v>
      </c>
    </row>
    <row r="168" spans="1:3">
      <c r="A168" s="10" t="s">
        <v>189</v>
      </c>
      <c r="B168" s="10">
        <v>267</v>
      </c>
      <c r="C168" s="10">
        <f t="shared" si="2"/>
        <v>267</v>
      </c>
    </row>
    <row r="169" spans="1:3">
      <c r="A169" s="10" t="s">
        <v>190</v>
      </c>
      <c r="B169" s="10">
        <v>367</v>
      </c>
      <c r="C169" s="10">
        <f t="shared" si="2"/>
        <v>367</v>
      </c>
    </row>
    <row r="170" spans="1:3">
      <c r="A170" s="10" t="s">
        <v>191</v>
      </c>
      <c r="B170" s="10">
        <v>107</v>
      </c>
      <c r="C170" s="10">
        <f t="shared" si="2"/>
        <v>107</v>
      </c>
    </row>
    <row r="171" spans="1:3">
      <c r="A171" s="10" t="s">
        <v>192</v>
      </c>
      <c r="B171" s="10">
        <v>119</v>
      </c>
      <c r="C171" s="10">
        <f t="shared" si="2"/>
        <v>119</v>
      </c>
    </row>
    <row r="172" spans="1:3">
      <c r="A172" s="10" t="s">
        <v>193</v>
      </c>
      <c r="B172" s="10">
        <v>76</v>
      </c>
      <c r="C172" s="10">
        <f t="shared" si="2"/>
        <v>76</v>
      </c>
    </row>
    <row r="173" spans="1:3">
      <c r="A173" s="10" t="s">
        <v>194</v>
      </c>
      <c r="B173" s="10">
        <v>93</v>
      </c>
      <c r="C173" s="10">
        <f t="shared" si="2"/>
        <v>93</v>
      </c>
    </row>
    <row r="174" spans="1:3">
      <c r="A174" s="10" t="s">
        <v>195</v>
      </c>
      <c r="B174" s="10">
        <v>41</v>
      </c>
      <c r="C174" s="10">
        <f t="shared" si="2"/>
        <v>41</v>
      </c>
    </row>
    <row r="175" spans="1:3">
      <c r="A175" s="10" t="s">
        <v>196</v>
      </c>
      <c r="B175" s="10">
        <v>110</v>
      </c>
      <c r="C175" s="10">
        <f t="shared" si="2"/>
        <v>110</v>
      </c>
    </row>
    <row r="176" spans="1:3">
      <c r="A176" s="10" t="s">
        <v>197</v>
      </c>
      <c r="B176" s="10">
        <v>574</v>
      </c>
      <c r="C176" s="10">
        <f t="shared" si="2"/>
        <v>574</v>
      </c>
    </row>
    <row r="177" spans="1:3">
      <c r="A177" s="10" t="s">
        <v>198</v>
      </c>
      <c r="B177" s="10">
        <v>110</v>
      </c>
      <c r="C177" s="10">
        <f t="shared" si="2"/>
        <v>110</v>
      </c>
    </row>
    <row r="178" spans="1:3">
      <c r="A178" s="10" t="s">
        <v>199</v>
      </c>
      <c r="B178" s="10">
        <v>253</v>
      </c>
      <c r="C178" s="10">
        <f t="shared" si="2"/>
        <v>253</v>
      </c>
    </row>
    <row r="179" spans="1:3">
      <c r="A179" s="10" t="s">
        <v>200</v>
      </c>
      <c r="B179" s="10">
        <v>84</v>
      </c>
      <c r="C179" s="10">
        <f t="shared" si="2"/>
        <v>84</v>
      </c>
    </row>
    <row r="180" spans="1:3">
      <c r="A180" s="10" t="s">
        <v>201</v>
      </c>
      <c r="B180" s="10">
        <v>41</v>
      </c>
      <c r="C180" s="10">
        <f t="shared" si="2"/>
        <v>41</v>
      </c>
    </row>
    <row r="181" spans="1:3">
      <c r="A181" s="10" t="s">
        <v>202</v>
      </c>
      <c r="B181" s="10">
        <v>96</v>
      </c>
      <c r="C181" s="10">
        <f t="shared" si="2"/>
        <v>96</v>
      </c>
    </row>
    <row r="182" spans="1:3">
      <c r="A182" s="10" t="s">
        <v>203</v>
      </c>
      <c r="B182" s="10">
        <v>45</v>
      </c>
      <c r="C182" s="10">
        <f t="shared" si="2"/>
        <v>45</v>
      </c>
    </row>
    <row r="183" spans="1:3">
      <c r="A183" s="10" t="s">
        <v>204</v>
      </c>
      <c r="B183" s="10">
        <v>341</v>
      </c>
      <c r="C183" s="10">
        <f t="shared" si="2"/>
        <v>341</v>
      </c>
    </row>
    <row r="184" spans="1:3">
      <c r="A184" s="10" t="s">
        <v>205</v>
      </c>
      <c r="B184" s="10">
        <v>89</v>
      </c>
      <c r="C184" s="10">
        <f t="shared" si="2"/>
        <v>89</v>
      </c>
    </row>
    <row r="185" spans="1:3">
      <c r="A185" s="10" t="s">
        <v>206</v>
      </c>
      <c r="B185" s="10">
        <v>98</v>
      </c>
      <c r="C185" s="10">
        <f t="shared" si="2"/>
        <v>98</v>
      </c>
    </row>
    <row r="186" spans="1:3">
      <c r="A186" s="10" t="s">
        <v>207</v>
      </c>
      <c r="B186" s="10">
        <v>69</v>
      </c>
      <c r="C186" s="10">
        <f t="shared" si="2"/>
        <v>69</v>
      </c>
    </row>
    <row r="187" spans="1:3">
      <c r="A187" s="10" t="s">
        <v>208</v>
      </c>
      <c r="B187" s="10">
        <v>122</v>
      </c>
      <c r="C187" s="10">
        <f t="shared" si="2"/>
        <v>122</v>
      </c>
    </row>
    <row r="188" spans="1:3">
      <c r="A188" s="10" t="s">
        <v>209</v>
      </c>
      <c r="B188" s="10">
        <v>83</v>
      </c>
      <c r="C188" s="10">
        <f t="shared" si="2"/>
        <v>83</v>
      </c>
    </row>
    <row r="189" spans="1:3">
      <c r="A189" s="10" t="s">
        <v>210</v>
      </c>
      <c r="B189" s="10">
        <v>348</v>
      </c>
      <c r="C189" s="10">
        <f t="shared" si="2"/>
        <v>348</v>
      </c>
    </row>
    <row r="190" spans="1:3">
      <c r="A190" s="10" t="s">
        <v>211</v>
      </c>
      <c r="B190" s="10">
        <v>108</v>
      </c>
      <c r="C190" s="10">
        <f t="shared" si="2"/>
        <v>108</v>
      </c>
    </row>
    <row r="191" spans="1:3">
      <c r="A191" s="10" t="s">
        <v>212</v>
      </c>
      <c r="B191" s="10">
        <v>112</v>
      </c>
      <c r="C191" s="10">
        <f t="shared" si="2"/>
        <v>112</v>
      </c>
    </row>
    <row r="192" spans="1:3">
      <c r="A192" s="10" t="s">
        <v>213</v>
      </c>
      <c r="B192" s="10">
        <v>518</v>
      </c>
      <c r="C192" s="10">
        <f t="shared" si="2"/>
        <v>518</v>
      </c>
    </row>
    <row r="193" spans="1:3">
      <c r="A193" s="10" t="s">
        <v>214</v>
      </c>
      <c r="B193" s="10">
        <v>72</v>
      </c>
      <c r="C193" s="10">
        <f t="shared" si="2"/>
        <v>72</v>
      </c>
    </row>
    <row r="194" spans="1:3">
      <c r="A194" s="10" t="s">
        <v>215</v>
      </c>
      <c r="B194" s="10">
        <v>36</v>
      </c>
      <c r="C194" s="10">
        <f t="shared" si="2"/>
        <v>36</v>
      </c>
    </row>
    <row r="195" spans="1:3">
      <c r="A195" s="10" t="s">
        <v>216</v>
      </c>
      <c r="B195" s="10">
        <v>620</v>
      </c>
      <c r="C195" s="10">
        <f t="shared" ref="C195:C258" si="3">IF(B195="", $F$13, B195)</f>
        <v>620</v>
      </c>
    </row>
    <row r="196" spans="1:3">
      <c r="A196" s="10" t="s">
        <v>217</v>
      </c>
      <c r="B196" s="10">
        <v>69</v>
      </c>
      <c r="C196" s="10">
        <f t="shared" si="3"/>
        <v>69</v>
      </c>
    </row>
    <row r="197" spans="1:3">
      <c r="A197" s="10" t="s">
        <v>218</v>
      </c>
      <c r="B197" s="10">
        <v>284</v>
      </c>
      <c r="C197" s="10">
        <f t="shared" si="3"/>
        <v>284</v>
      </c>
    </row>
    <row r="198" spans="1:3">
      <c r="A198" s="10" t="s">
        <v>219</v>
      </c>
      <c r="B198" s="10">
        <v>118</v>
      </c>
      <c r="C198" s="10">
        <f t="shared" si="3"/>
        <v>118</v>
      </c>
    </row>
    <row r="199" spans="1:3">
      <c r="A199" s="10" t="s">
        <v>220</v>
      </c>
      <c r="B199" s="10">
        <v>192</v>
      </c>
      <c r="C199" s="10">
        <f t="shared" si="3"/>
        <v>192</v>
      </c>
    </row>
    <row r="200" spans="1:3">
      <c r="A200" s="10" t="s">
        <v>221</v>
      </c>
      <c r="B200" s="10">
        <v>103</v>
      </c>
      <c r="C200" s="10">
        <f t="shared" si="3"/>
        <v>103</v>
      </c>
    </row>
    <row r="201" spans="1:3">
      <c r="A201" s="10" t="s">
        <v>222</v>
      </c>
      <c r="B201" s="10">
        <v>111</v>
      </c>
      <c r="C201" s="10">
        <f t="shared" si="3"/>
        <v>111</v>
      </c>
    </row>
    <row r="202" spans="1:3">
      <c r="A202" s="10" t="s">
        <v>223</v>
      </c>
      <c r="B202" s="10">
        <v>52</v>
      </c>
      <c r="C202" s="10">
        <f t="shared" si="3"/>
        <v>52</v>
      </c>
    </row>
    <row r="203" spans="1:3">
      <c r="A203" s="10" t="s">
        <v>224</v>
      </c>
      <c r="B203" s="10">
        <v>112</v>
      </c>
      <c r="C203" s="10">
        <f t="shared" si="3"/>
        <v>112</v>
      </c>
    </row>
    <row r="204" spans="1:3">
      <c r="A204" s="10" t="s">
        <v>225</v>
      </c>
      <c r="B204" s="10">
        <v>431</v>
      </c>
      <c r="C204" s="10">
        <f t="shared" si="3"/>
        <v>431</v>
      </c>
    </row>
    <row r="205" spans="1:3">
      <c r="A205" s="10" t="s">
        <v>226</v>
      </c>
      <c r="B205" s="10">
        <v>79</v>
      </c>
      <c r="C205" s="10">
        <f t="shared" si="3"/>
        <v>79</v>
      </c>
    </row>
    <row r="206" spans="1:3">
      <c r="A206" s="10" t="s">
        <v>227</v>
      </c>
      <c r="B206" s="10">
        <v>107</v>
      </c>
      <c r="C206" s="10">
        <f t="shared" si="3"/>
        <v>107</v>
      </c>
    </row>
    <row r="207" spans="1:3">
      <c r="A207" s="10" t="s">
        <v>228</v>
      </c>
      <c r="B207" s="10">
        <v>92</v>
      </c>
      <c r="C207" s="10">
        <f t="shared" si="3"/>
        <v>92</v>
      </c>
    </row>
    <row r="208" spans="1:3">
      <c r="A208" s="10" t="s">
        <v>229</v>
      </c>
      <c r="B208" s="10">
        <v>430</v>
      </c>
      <c r="C208" s="10">
        <f t="shared" si="3"/>
        <v>430</v>
      </c>
    </row>
    <row r="209" spans="1:3">
      <c r="A209" s="10" t="s">
        <v>230</v>
      </c>
      <c r="B209" s="10">
        <v>96</v>
      </c>
      <c r="C209" s="10">
        <f t="shared" si="3"/>
        <v>96</v>
      </c>
    </row>
    <row r="210" spans="1:3">
      <c r="A210" s="10" t="s">
        <v>231</v>
      </c>
      <c r="B210" s="10">
        <v>85</v>
      </c>
      <c r="C210" s="10">
        <f t="shared" si="3"/>
        <v>85</v>
      </c>
    </row>
    <row r="211" spans="1:3">
      <c r="A211" s="10" t="s">
        <v>232</v>
      </c>
      <c r="B211" s="10">
        <v>98</v>
      </c>
      <c r="C211" s="10">
        <f t="shared" si="3"/>
        <v>98</v>
      </c>
    </row>
    <row r="212" spans="1:3">
      <c r="A212" s="10" t="s">
        <v>233</v>
      </c>
      <c r="B212" s="10">
        <v>375</v>
      </c>
      <c r="C212" s="10">
        <f t="shared" si="3"/>
        <v>375</v>
      </c>
    </row>
    <row r="213" spans="1:3">
      <c r="A213" s="10" t="s">
        <v>234</v>
      </c>
      <c r="B213" s="10">
        <v>616</v>
      </c>
      <c r="C213" s="10">
        <f t="shared" si="3"/>
        <v>616</v>
      </c>
    </row>
    <row r="214" spans="1:3">
      <c r="A214" s="10" t="s">
        <v>235</v>
      </c>
      <c r="B214" s="10">
        <v>86</v>
      </c>
      <c r="C214" s="10">
        <f t="shared" si="3"/>
        <v>86</v>
      </c>
    </row>
    <row r="215" spans="1:3">
      <c r="A215" s="10" t="s">
        <v>236</v>
      </c>
      <c r="B215" s="10">
        <v>207</v>
      </c>
      <c r="C215" s="10">
        <f t="shared" si="3"/>
        <v>207</v>
      </c>
    </row>
    <row r="216" spans="1:3">
      <c r="A216" s="10" t="s">
        <v>237</v>
      </c>
      <c r="B216" s="10">
        <v>112</v>
      </c>
      <c r="C216" s="10">
        <f t="shared" si="3"/>
        <v>112</v>
      </c>
    </row>
    <row r="217" spans="1:3">
      <c r="A217" s="10" t="s">
        <v>238</v>
      </c>
      <c r="B217" s="10">
        <v>615</v>
      </c>
      <c r="C217" s="10">
        <f t="shared" si="3"/>
        <v>615</v>
      </c>
    </row>
    <row r="218" spans="1:3">
      <c r="A218" s="10" t="s">
        <v>239</v>
      </c>
      <c r="B218" s="10">
        <v>113</v>
      </c>
      <c r="C218" s="10">
        <f t="shared" si="3"/>
        <v>113</v>
      </c>
    </row>
    <row r="219" spans="1:3">
      <c r="A219" s="10" t="s">
        <v>240</v>
      </c>
      <c r="B219" s="10">
        <v>125</v>
      </c>
      <c r="C219" s="10">
        <f t="shared" si="3"/>
        <v>125</v>
      </c>
    </row>
    <row r="220" spans="1:3">
      <c r="A220" s="10" t="s">
        <v>241</v>
      </c>
      <c r="B220" s="10">
        <v>441</v>
      </c>
      <c r="C220" s="10">
        <f t="shared" si="3"/>
        <v>441</v>
      </c>
    </row>
    <row r="221" spans="1:3">
      <c r="A221" s="10" t="s">
        <v>242</v>
      </c>
      <c r="B221" s="10">
        <v>108</v>
      </c>
      <c r="C221" s="10">
        <f t="shared" si="3"/>
        <v>108</v>
      </c>
    </row>
    <row r="222" spans="1:3">
      <c r="A222" s="10" t="s">
        <v>243</v>
      </c>
      <c r="B222" s="10">
        <v>529</v>
      </c>
      <c r="C222" s="10">
        <f t="shared" si="3"/>
        <v>529</v>
      </c>
    </row>
    <row r="223" spans="1:3">
      <c r="A223" s="10" t="s">
        <v>244</v>
      </c>
      <c r="B223" s="10">
        <v>99</v>
      </c>
      <c r="C223" s="10">
        <f t="shared" si="3"/>
        <v>99</v>
      </c>
    </row>
    <row r="224" spans="1:3">
      <c r="A224" s="10" t="s">
        <v>245</v>
      </c>
      <c r="B224" s="10">
        <v>497</v>
      </c>
      <c r="C224" s="10">
        <f t="shared" si="3"/>
        <v>497</v>
      </c>
    </row>
    <row r="225" spans="1:3">
      <c r="A225" s="10" t="s">
        <v>246</v>
      </c>
      <c r="B225" s="10">
        <v>103</v>
      </c>
      <c r="C225" s="10">
        <f t="shared" si="3"/>
        <v>103</v>
      </c>
    </row>
    <row r="226" spans="1:3">
      <c r="A226" s="10" t="s">
        <v>247</v>
      </c>
      <c r="B226" s="10">
        <v>443</v>
      </c>
      <c r="C226" s="10">
        <f t="shared" si="3"/>
        <v>443</v>
      </c>
    </row>
    <row r="227" spans="1:3">
      <c r="A227" s="10" t="s">
        <v>248</v>
      </c>
      <c r="B227" s="10">
        <v>81</v>
      </c>
      <c r="C227" s="10">
        <f t="shared" si="3"/>
        <v>81</v>
      </c>
    </row>
    <row r="228" spans="1:3">
      <c r="A228" s="10" t="s">
        <v>249</v>
      </c>
      <c r="B228" s="10">
        <v>105</v>
      </c>
      <c r="C228" s="10">
        <f t="shared" si="3"/>
        <v>105</v>
      </c>
    </row>
    <row r="229" spans="1:3">
      <c r="A229" s="10" t="s">
        <v>250</v>
      </c>
      <c r="B229" s="10">
        <v>65</v>
      </c>
      <c r="C229" s="10">
        <f t="shared" si="3"/>
        <v>65</v>
      </c>
    </row>
    <row r="230" spans="1:3">
      <c r="A230" s="10" t="s">
        <v>251</v>
      </c>
      <c r="B230" s="10">
        <v>136</v>
      </c>
      <c r="C230" s="10">
        <f t="shared" si="3"/>
        <v>136</v>
      </c>
    </row>
    <row r="231" spans="1:3">
      <c r="A231" s="10" t="s">
        <v>252</v>
      </c>
      <c r="B231" s="10">
        <v>89</v>
      </c>
      <c r="C231" s="10">
        <f t="shared" si="3"/>
        <v>89</v>
      </c>
    </row>
    <row r="232" spans="1:3">
      <c r="A232" s="10" t="s">
        <v>253</v>
      </c>
      <c r="B232" s="10">
        <v>437</v>
      </c>
      <c r="C232" s="10">
        <f t="shared" si="3"/>
        <v>437</v>
      </c>
    </row>
    <row r="233" spans="1:3">
      <c r="A233" s="10" t="s">
        <v>254</v>
      </c>
      <c r="B233" s="10">
        <v>111</v>
      </c>
      <c r="C233" s="10">
        <f t="shared" si="3"/>
        <v>111</v>
      </c>
    </row>
    <row r="234" spans="1:3">
      <c r="A234" s="10" t="s">
        <v>255</v>
      </c>
      <c r="B234" s="10">
        <v>78</v>
      </c>
      <c r="C234" s="10">
        <f t="shared" si="3"/>
        <v>78</v>
      </c>
    </row>
    <row r="235" spans="1:3">
      <c r="A235" s="10" t="s">
        <v>256</v>
      </c>
      <c r="B235" s="10">
        <v>64</v>
      </c>
      <c r="C235" s="10">
        <f t="shared" si="3"/>
        <v>64</v>
      </c>
    </row>
    <row r="236" spans="1:3">
      <c r="A236" s="10" t="s">
        <v>257</v>
      </c>
      <c r="B236" s="10">
        <v>113</v>
      </c>
      <c r="C236" s="10">
        <f t="shared" si="3"/>
        <v>113</v>
      </c>
    </row>
    <row r="237" spans="1:3">
      <c r="A237" s="10" t="s">
        <v>258</v>
      </c>
      <c r="B237" s="10">
        <v>275</v>
      </c>
      <c r="C237" s="10">
        <f t="shared" si="3"/>
        <v>275</v>
      </c>
    </row>
    <row r="238" spans="1:3">
      <c r="A238" s="10" t="s">
        <v>259</v>
      </c>
      <c r="B238" s="10">
        <v>120</v>
      </c>
      <c r="C238" s="10">
        <f t="shared" si="3"/>
        <v>120</v>
      </c>
    </row>
    <row r="239" spans="1:3">
      <c r="A239" s="10" t="s">
        <v>260</v>
      </c>
      <c r="B239" s="10">
        <v>532</v>
      </c>
      <c r="C239" s="10">
        <f t="shared" si="3"/>
        <v>532</v>
      </c>
    </row>
    <row r="240" spans="1:3">
      <c r="A240" s="10" t="s">
        <v>261</v>
      </c>
      <c r="B240" s="10">
        <v>119</v>
      </c>
      <c r="C240" s="10">
        <f t="shared" si="3"/>
        <v>119</v>
      </c>
    </row>
    <row r="241" spans="1:3">
      <c r="A241" s="10" t="s">
        <v>262</v>
      </c>
      <c r="B241" s="10">
        <v>99</v>
      </c>
      <c r="C241" s="10">
        <f t="shared" si="3"/>
        <v>99</v>
      </c>
    </row>
    <row r="242" spans="1:3">
      <c r="A242" s="10" t="s">
        <v>263</v>
      </c>
      <c r="B242" s="10">
        <v>630</v>
      </c>
      <c r="C242" s="10">
        <f t="shared" si="3"/>
        <v>630</v>
      </c>
    </row>
    <row r="243" spans="1:3">
      <c r="A243" s="10" t="s">
        <v>264</v>
      </c>
      <c r="B243" s="10">
        <v>80</v>
      </c>
      <c r="C243" s="10">
        <f t="shared" si="3"/>
        <v>80</v>
      </c>
    </row>
    <row r="244" spans="1:3">
      <c r="A244" s="10" t="s">
        <v>265</v>
      </c>
      <c r="B244" s="10">
        <v>34</v>
      </c>
      <c r="C244" s="10">
        <f t="shared" si="3"/>
        <v>34</v>
      </c>
    </row>
    <row r="245" spans="1:3">
      <c r="A245" s="10" t="s">
        <v>266</v>
      </c>
      <c r="B245" s="10">
        <v>119</v>
      </c>
      <c r="C245" s="10">
        <f t="shared" si="3"/>
        <v>119</v>
      </c>
    </row>
    <row r="246" spans="1:3">
      <c r="A246" s="10" t="s">
        <v>267</v>
      </c>
      <c r="B246" s="10">
        <v>67</v>
      </c>
      <c r="C246" s="10">
        <f t="shared" si="3"/>
        <v>67</v>
      </c>
    </row>
    <row r="247" spans="1:3">
      <c r="A247" s="10" t="s">
        <v>268</v>
      </c>
      <c r="B247" s="10">
        <v>50</v>
      </c>
      <c r="C247" s="10">
        <f t="shared" si="3"/>
        <v>50</v>
      </c>
    </row>
    <row r="248" spans="1:3">
      <c r="A248" s="10" t="s">
        <v>269</v>
      </c>
      <c r="B248" s="10">
        <v>219</v>
      </c>
      <c r="C248" s="10">
        <f t="shared" si="3"/>
        <v>219</v>
      </c>
    </row>
    <row r="249" spans="1:3">
      <c r="A249" s="10" t="s">
        <v>270</v>
      </c>
      <c r="B249" s="10">
        <v>106</v>
      </c>
      <c r="C249" s="10">
        <f t="shared" si="3"/>
        <v>106</v>
      </c>
    </row>
    <row r="250" spans="1:3">
      <c r="A250" s="10" t="s">
        <v>271</v>
      </c>
      <c r="B250" s="10">
        <v>200</v>
      </c>
      <c r="C250" s="10">
        <f t="shared" si="3"/>
        <v>200</v>
      </c>
    </row>
    <row r="251" spans="1:3">
      <c r="A251" s="10" t="s">
        <v>272</v>
      </c>
      <c r="B251" s="10">
        <v>594</v>
      </c>
      <c r="C251" s="10">
        <f t="shared" si="3"/>
        <v>594</v>
      </c>
    </row>
    <row r="252" spans="1:3">
      <c r="A252" s="10" t="s">
        <v>273</v>
      </c>
      <c r="B252" s="10">
        <v>131</v>
      </c>
      <c r="C252" s="10">
        <f t="shared" si="3"/>
        <v>131</v>
      </c>
    </row>
    <row r="253" spans="1:3">
      <c r="A253" s="10" t="s">
        <v>274</v>
      </c>
      <c r="B253" s="10">
        <v>109</v>
      </c>
      <c r="C253" s="10">
        <f t="shared" si="3"/>
        <v>109</v>
      </c>
    </row>
    <row r="254" spans="1:3">
      <c r="A254" s="10" t="s">
        <v>275</v>
      </c>
      <c r="B254" s="10">
        <v>125</v>
      </c>
      <c r="C254" s="10">
        <f t="shared" si="3"/>
        <v>125</v>
      </c>
    </row>
    <row r="255" spans="1:3">
      <c r="A255" s="10" t="s">
        <v>276</v>
      </c>
      <c r="B255" s="10">
        <v>568</v>
      </c>
      <c r="C255" s="10">
        <f t="shared" si="3"/>
        <v>568</v>
      </c>
    </row>
    <row r="256" spans="1:3">
      <c r="A256" s="10" t="s">
        <v>277</v>
      </c>
      <c r="B256" s="10">
        <v>288</v>
      </c>
      <c r="C256" s="10">
        <f t="shared" si="3"/>
        <v>288</v>
      </c>
    </row>
    <row r="257" spans="1:3">
      <c r="A257" s="10" t="s">
        <v>278</v>
      </c>
      <c r="B257" s="10">
        <v>112</v>
      </c>
      <c r="C257" s="10">
        <f t="shared" si="3"/>
        <v>112</v>
      </c>
    </row>
    <row r="258" spans="1:3">
      <c r="A258" s="10" t="s">
        <v>279</v>
      </c>
      <c r="B258" s="10">
        <v>50</v>
      </c>
      <c r="C258" s="10">
        <f t="shared" si="3"/>
        <v>50</v>
      </c>
    </row>
    <row r="259" spans="1:3">
      <c r="A259" s="10" t="s">
        <v>280</v>
      </c>
      <c r="B259" s="10">
        <v>234</v>
      </c>
      <c r="C259" s="10">
        <f t="shared" ref="C259:C322" si="4">IF(B259="", $F$13, B259)</f>
        <v>234</v>
      </c>
    </row>
    <row r="260" spans="1:3">
      <c r="A260" s="10" t="s">
        <v>281</v>
      </c>
      <c r="B260" s="10">
        <v>640</v>
      </c>
      <c r="C260" s="10">
        <f t="shared" si="4"/>
        <v>640</v>
      </c>
    </row>
    <row r="261" spans="1:3">
      <c r="A261" s="10" t="s">
        <v>282</v>
      </c>
      <c r="B261" s="10">
        <v>89</v>
      </c>
      <c r="C261" s="10">
        <f t="shared" si="4"/>
        <v>89</v>
      </c>
    </row>
    <row r="262" spans="1:3">
      <c r="A262" s="10" t="s">
        <v>283</v>
      </c>
      <c r="B262" s="10">
        <v>83</v>
      </c>
      <c r="C262" s="10">
        <f t="shared" si="4"/>
        <v>83</v>
      </c>
    </row>
    <row r="263" spans="1:3">
      <c r="A263" s="10" t="s">
        <v>284</v>
      </c>
      <c r="B263" s="10">
        <v>488</v>
      </c>
      <c r="C263" s="10">
        <f t="shared" si="4"/>
        <v>488</v>
      </c>
    </row>
    <row r="264" spans="1:3">
      <c r="A264" s="10" t="s">
        <v>285</v>
      </c>
      <c r="B264" s="10">
        <v>90</v>
      </c>
      <c r="C264" s="10">
        <f t="shared" si="4"/>
        <v>90</v>
      </c>
    </row>
    <row r="265" spans="1:3">
      <c r="A265" s="10" t="s">
        <v>286</v>
      </c>
      <c r="B265" s="10">
        <v>201</v>
      </c>
      <c r="C265" s="10">
        <f t="shared" si="4"/>
        <v>201</v>
      </c>
    </row>
    <row r="266" spans="1:3">
      <c r="A266" s="10" t="s">
        <v>287</v>
      </c>
      <c r="B266" s="10">
        <v>109</v>
      </c>
      <c r="C266" s="10">
        <f t="shared" si="4"/>
        <v>109</v>
      </c>
    </row>
    <row r="267" spans="1:3">
      <c r="A267" s="10" t="s">
        <v>288</v>
      </c>
      <c r="B267" s="10">
        <v>46</v>
      </c>
      <c r="C267" s="10">
        <f t="shared" si="4"/>
        <v>46</v>
      </c>
    </row>
    <row r="268" spans="1:3">
      <c r="A268" s="10" t="s">
        <v>289</v>
      </c>
      <c r="B268" s="10">
        <v>593</v>
      </c>
      <c r="C268" s="10">
        <f t="shared" si="4"/>
        <v>593</v>
      </c>
    </row>
    <row r="269" spans="1:3">
      <c r="A269" s="10" t="s">
        <v>290</v>
      </c>
      <c r="B269" s="10">
        <v>93</v>
      </c>
      <c r="C269" s="10">
        <f t="shared" si="4"/>
        <v>93</v>
      </c>
    </row>
    <row r="270" spans="1:3">
      <c r="A270" s="10" t="s">
        <v>291</v>
      </c>
      <c r="B270" s="10">
        <v>59</v>
      </c>
      <c r="C270" s="10">
        <f t="shared" si="4"/>
        <v>59</v>
      </c>
    </row>
    <row r="271" spans="1:3">
      <c r="A271" s="10" t="s">
        <v>292</v>
      </c>
      <c r="B271" s="10">
        <v>369</v>
      </c>
      <c r="C271" s="10">
        <f t="shared" si="4"/>
        <v>369</v>
      </c>
    </row>
    <row r="272" spans="1:3">
      <c r="A272" s="10" t="s">
        <v>293</v>
      </c>
      <c r="B272" s="10">
        <v>106</v>
      </c>
      <c r="C272" s="10">
        <f t="shared" si="4"/>
        <v>106</v>
      </c>
    </row>
    <row r="273" spans="1:3">
      <c r="A273" s="10" t="s">
        <v>294</v>
      </c>
      <c r="B273" s="10">
        <v>476</v>
      </c>
      <c r="C273" s="10">
        <f t="shared" si="4"/>
        <v>476</v>
      </c>
    </row>
    <row r="274" spans="1:3">
      <c r="A274" s="10" t="s">
        <v>295</v>
      </c>
      <c r="B274" s="10">
        <v>88</v>
      </c>
      <c r="C274" s="10">
        <f t="shared" si="4"/>
        <v>88</v>
      </c>
    </row>
    <row r="275" spans="1:3">
      <c r="A275" s="10" t="s">
        <v>296</v>
      </c>
      <c r="B275" s="10">
        <v>68</v>
      </c>
      <c r="C275" s="10">
        <f t="shared" si="4"/>
        <v>68</v>
      </c>
    </row>
    <row r="276" spans="1:3">
      <c r="A276" s="10" t="s">
        <v>297</v>
      </c>
      <c r="B276" s="10">
        <v>196</v>
      </c>
      <c r="C276" s="10">
        <f t="shared" si="4"/>
        <v>196</v>
      </c>
    </row>
    <row r="277" spans="1:3">
      <c r="A277" s="10" t="s">
        <v>298</v>
      </c>
      <c r="B277" s="10">
        <v>521</v>
      </c>
      <c r="C277" s="10">
        <f t="shared" si="4"/>
        <v>521</v>
      </c>
    </row>
    <row r="278" spans="1:3">
      <c r="A278" s="10" t="s">
        <v>299</v>
      </c>
      <c r="B278" s="10">
        <v>113</v>
      </c>
      <c r="C278" s="10">
        <f t="shared" si="4"/>
        <v>113</v>
      </c>
    </row>
    <row r="279" spans="1:3">
      <c r="A279" s="10" t="s">
        <v>300</v>
      </c>
      <c r="B279" s="10">
        <v>80</v>
      </c>
      <c r="C279" s="10">
        <f t="shared" si="4"/>
        <v>80</v>
      </c>
    </row>
    <row r="280" spans="1:3">
      <c r="A280" s="10" t="s">
        <v>302</v>
      </c>
      <c r="B280" s="10">
        <v>174</v>
      </c>
      <c r="C280" s="10">
        <f t="shared" si="4"/>
        <v>174</v>
      </c>
    </row>
    <row r="281" spans="1:3">
      <c r="A281" s="10" t="s">
        <v>303</v>
      </c>
      <c r="B281" s="10">
        <v>451</v>
      </c>
      <c r="C281" s="10">
        <f t="shared" si="4"/>
        <v>451</v>
      </c>
    </row>
    <row r="282" spans="1:3">
      <c r="A282" s="10" t="s">
        <v>304</v>
      </c>
      <c r="B282" s="10">
        <v>105</v>
      </c>
      <c r="C282" s="10">
        <f t="shared" si="4"/>
        <v>105</v>
      </c>
    </row>
    <row r="283" spans="1:3">
      <c r="A283" s="10" t="s">
        <v>305</v>
      </c>
      <c r="B283" s="10">
        <v>96</v>
      </c>
      <c r="C283" s="10">
        <f t="shared" si="4"/>
        <v>96</v>
      </c>
    </row>
    <row r="284" spans="1:3">
      <c r="A284" s="10" t="s">
        <v>306</v>
      </c>
      <c r="B284" s="10">
        <v>187</v>
      </c>
      <c r="C284" s="10">
        <f t="shared" si="4"/>
        <v>187</v>
      </c>
    </row>
    <row r="285" spans="1:3">
      <c r="A285" s="10" t="s">
        <v>307</v>
      </c>
      <c r="B285" s="10">
        <v>424</v>
      </c>
      <c r="C285" s="10">
        <f t="shared" si="4"/>
        <v>424</v>
      </c>
    </row>
    <row r="286" spans="1:3">
      <c r="A286" s="10" t="s">
        <v>308</v>
      </c>
      <c r="B286" s="10">
        <v>103</v>
      </c>
      <c r="C286" s="10">
        <f t="shared" si="4"/>
        <v>103</v>
      </c>
    </row>
    <row r="287" spans="1:3">
      <c r="A287" s="10" t="s">
        <v>309</v>
      </c>
      <c r="B287" s="10">
        <v>44</v>
      </c>
      <c r="C287" s="10">
        <f t="shared" si="4"/>
        <v>44</v>
      </c>
    </row>
    <row r="288" spans="1:3">
      <c r="A288" s="10" t="s">
        <v>310</v>
      </c>
      <c r="B288" s="10">
        <v>111</v>
      </c>
      <c r="C288" s="10">
        <f t="shared" si="4"/>
        <v>111</v>
      </c>
    </row>
    <row r="289" spans="1:3">
      <c r="A289" s="10" t="s">
        <v>311</v>
      </c>
      <c r="B289" s="10">
        <v>458</v>
      </c>
      <c r="C289" s="10">
        <f t="shared" si="4"/>
        <v>458</v>
      </c>
    </row>
    <row r="290" spans="1:3">
      <c r="A290" s="10" t="s">
        <v>312</v>
      </c>
      <c r="B290" s="10">
        <v>100</v>
      </c>
      <c r="C290" s="10">
        <f t="shared" si="4"/>
        <v>100</v>
      </c>
    </row>
    <row r="291" spans="1:3">
      <c r="A291" s="10" t="s">
        <v>313</v>
      </c>
      <c r="C291" s="10">
        <f t="shared" si="4"/>
        <v>113</v>
      </c>
    </row>
    <row r="292" spans="1:3">
      <c r="A292" s="10" t="s">
        <v>314</v>
      </c>
      <c r="B292" s="10">
        <v>435</v>
      </c>
      <c r="C292" s="10">
        <f t="shared" si="4"/>
        <v>435</v>
      </c>
    </row>
    <row r="293" spans="1:3">
      <c r="A293" s="10" t="s">
        <v>315</v>
      </c>
      <c r="B293" s="10">
        <v>54</v>
      </c>
      <c r="C293" s="10">
        <f t="shared" si="4"/>
        <v>54</v>
      </c>
    </row>
    <row r="294" spans="1:3">
      <c r="A294" s="10" t="s">
        <v>316</v>
      </c>
      <c r="B294" s="10">
        <v>83</v>
      </c>
      <c r="C294" s="10">
        <f t="shared" si="4"/>
        <v>83</v>
      </c>
    </row>
    <row r="295" spans="1:3">
      <c r="A295" s="10" t="s">
        <v>317</v>
      </c>
      <c r="B295" s="10">
        <v>108</v>
      </c>
      <c r="C295" s="10">
        <f t="shared" si="4"/>
        <v>108</v>
      </c>
    </row>
    <row r="296" spans="1:3">
      <c r="A296" s="10" t="s">
        <v>318</v>
      </c>
      <c r="B296" s="10">
        <v>80</v>
      </c>
      <c r="C296" s="10">
        <f t="shared" si="4"/>
        <v>80</v>
      </c>
    </row>
    <row r="297" spans="1:3">
      <c r="A297" s="10" t="s">
        <v>319</v>
      </c>
      <c r="B297" s="10">
        <v>340</v>
      </c>
      <c r="C297" s="10">
        <f t="shared" si="4"/>
        <v>340</v>
      </c>
    </row>
    <row r="298" spans="1:3">
      <c r="A298" s="10" t="s">
        <v>320</v>
      </c>
      <c r="B298" s="10">
        <v>545</v>
      </c>
      <c r="C298" s="10">
        <f t="shared" si="4"/>
        <v>545</v>
      </c>
    </row>
    <row r="299" spans="1:3">
      <c r="A299" s="10" t="s">
        <v>321</v>
      </c>
      <c r="B299" s="10">
        <v>107</v>
      </c>
      <c r="C299" s="10">
        <f t="shared" si="4"/>
        <v>107</v>
      </c>
    </row>
    <row r="300" spans="1:3">
      <c r="A300" s="10" t="s">
        <v>322</v>
      </c>
      <c r="B300" s="10">
        <v>29</v>
      </c>
      <c r="C300" s="10">
        <f t="shared" si="4"/>
        <v>29</v>
      </c>
    </row>
    <row r="301" spans="1:3">
      <c r="A301" s="10" t="s">
        <v>323</v>
      </c>
      <c r="B301" s="10">
        <v>329</v>
      </c>
      <c r="C301" s="10">
        <f t="shared" si="4"/>
        <v>329</v>
      </c>
    </row>
    <row r="302" spans="1:3">
      <c r="A302" s="10" t="s">
        <v>324</v>
      </c>
      <c r="B302" s="10">
        <v>98</v>
      </c>
      <c r="C302" s="10">
        <f t="shared" si="4"/>
        <v>98</v>
      </c>
    </row>
    <row r="303" spans="1:3">
      <c r="A303" s="10" t="s">
        <v>325</v>
      </c>
      <c r="B303" s="10">
        <v>394</v>
      </c>
      <c r="C303" s="10">
        <f t="shared" si="4"/>
        <v>394</v>
      </c>
    </row>
    <row r="304" spans="1:3">
      <c r="A304" s="10" t="s">
        <v>326</v>
      </c>
      <c r="B304" s="10">
        <v>520</v>
      </c>
      <c r="C304" s="10">
        <f t="shared" si="4"/>
        <v>520</v>
      </c>
    </row>
    <row r="305" spans="1:3">
      <c r="A305" s="10" t="s">
        <v>327</v>
      </c>
      <c r="B305" s="10">
        <v>83</v>
      </c>
      <c r="C305" s="10">
        <f t="shared" si="4"/>
        <v>83</v>
      </c>
    </row>
    <row r="306" spans="1:3">
      <c r="A306" s="10" t="s">
        <v>328</v>
      </c>
      <c r="B306" s="10">
        <v>57</v>
      </c>
      <c r="C306" s="10">
        <f t="shared" si="4"/>
        <v>57</v>
      </c>
    </row>
    <row r="307" spans="1:3">
      <c r="A307" s="10" t="s">
        <v>329</v>
      </c>
      <c r="B307" s="10">
        <v>354</v>
      </c>
      <c r="C307" s="10">
        <f t="shared" si="4"/>
        <v>354</v>
      </c>
    </row>
    <row r="308" spans="1:3">
      <c r="A308" s="10" t="s">
        <v>330</v>
      </c>
      <c r="B308" s="10">
        <v>126</v>
      </c>
      <c r="C308" s="10">
        <f t="shared" si="4"/>
        <v>126</v>
      </c>
    </row>
    <row r="309" spans="1:3">
      <c r="A309" s="10" t="s">
        <v>331</v>
      </c>
      <c r="B309" s="10">
        <v>514</v>
      </c>
      <c r="C309" s="10">
        <f t="shared" si="4"/>
        <v>514</v>
      </c>
    </row>
    <row r="310" spans="1:3">
      <c r="A310" s="10" t="s">
        <v>332</v>
      </c>
      <c r="B310" s="10">
        <v>108</v>
      </c>
      <c r="C310" s="10">
        <f t="shared" si="4"/>
        <v>108</v>
      </c>
    </row>
    <row r="311" spans="1:3">
      <c r="A311" s="10" t="s">
        <v>333</v>
      </c>
      <c r="B311" s="10">
        <v>100</v>
      </c>
      <c r="C311" s="10">
        <f t="shared" si="4"/>
        <v>100</v>
      </c>
    </row>
    <row r="312" spans="1:3">
      <c r="A312" s="10" t="s">
        <v>334</v>
      </c>
      <c r="B312" s="10">
        <v>41</v>
      </c>
      <c r="C312" s="10">
        <f t="shared" si="4"/>
        <v>41</v>
      </c>
    </row>
    <row r="313" spans="1:3">
      <c r="A313" s="10" t="s">
        <v>335</v>
      </c>
      <c r="B313" s="10">
        <v>314</v>
      </c>
      <c r="C313" s="10">
        <f t="shared" si="4"/>
        <v>314</v>
      </c>
    </row>
    <row r="314" spans="1:3">
      <c r="A314" s="10" t="s">
        <v>336</v>
      </c>
      <c r="B314" s="10">
        <v>107</v>
      </c>
      <c r="C314" s="10">
        <f t="shared" si="4"/>
        <v>107</v>
      </c>
    </row>
    <row r="315" spans="1:3">
      <c r="A315" s="10" t="s">
        <v>337</v>
      </c>
      <c r="B315" s="10">
        <v>86</v>
      </c>
      <c r="C315" s="10">
        <f t="shared" si="4"/>
        <v>86</v>
      </c>
    </row>
    <row r="316" spans="1:3">
      <c r="A316" s="10" t="s">
        <v>338</v>
      </c>
      <c r="B316" s="10">
        <v>106</v>
      </c>
      <c r="C316" s="10">
        <f t="shared" si="4"/>
        <v>106</v>
      </c>
    </row>
    <row r="317" spans="1:3">
      <c r="A317" s="10" t="s">
        <v>339</v>
      </c>
      <c r="B317" s="10">
        <v>121</v>
      </c>
      <c r="C317" s="10">
        <f t="shared" si="4"/>
        <v>121</v>
      </c>
    </row>
    <row r="318" spans="1:3">
      <c r="A318" s="10" t="s">
        <v>340</v>
      </c>
      <c r="B318" s="10">
        <v>148</v>
      </c>
      <c r="C318" s="10">
        <f t="shared" si="4"/>
        <v>148</v>
      </c>
    </row>
    <row r="319" spans="1:3">
      <c r="A319" s="10" t="s">
        <v>341</v>
      </c>
      <c r="B319" s="10">
        <v>101</v>
      </c>
      <c r="C319" s="10">
        <f t="shared" si="4"/>
        <v>101</v>
      </c>
    </row>
    <row r="320" spans="1:3">
      <c r="A320" s="10" t="s">
        <v>342</v>
      </c>
      <c r="B320" s="10">
        <v>42</v>
      </c>
      <c r="C320" s="10">
        <f t="shared" si="4"/>
        <v>42</v>
      </c>
    </row>
    <row r="321" spans="1:3">
      <c r="A321" s="10" t="s">
        <v>343</v>
      </c>
      <c r="B321" s="10">
        <v>229</v>
      </c>
      <c r="C321" s="10">
        <f t="shared" si="4"/>
        <v>229</v>
      </c>
    </row>
    <row r="322" spans="1:3">
      <c r="A322" s="10" t="s">
        <v>344</v>
      </c>
      <c r="B322" s="10">
        <v>98</v>
      </c>
      <c r="C322" s="10">
        <f t="shared" si="4"/>
        <v>98</v>
      </c>
    </row>
    <row r="323" spans="1:3">
      <c r="A323" s="10" t="s">
        <v>345</v>
      </c>
      <c r="B323" s="10">
        <v>115</v>
      </c>
      <c r="C323" s="10">
        <f t="shared" ref="C323:C386" si="5">IF(B323="", $F$13, B323)</f>
        <v>115</v>
      </c>
    </row>
    <row r="324" spans="1:3">
      <c r="A324" s="10" t="s">
        <v>346</v>
      </c>
      <c r="B324" s="10">
        <v>82</v>
      </c>
      <c r="C324" s="10">
        <f t="shared" si="5"/>
        <v>82</v>
      </c>
    </row>
    <row r="325" spans="1:3">
      <c r="A325" s="10" t="s">
        <v>347</v>
      </c>
      <c r="B325" s="10">
        <v>38</v>
      </c>
      <c r="C325" s="10">
        <f t="shared" si="5"/>
        <v>38</v>
      </c>
    </row>
    <row r="326" spans="1:3">
      <c r="A326" s="10" t="s">
        <v>348</v>
      </c>
      <c r="B326" s="10">
        <v>447</v>
      </c>
      <c r="C326" s="10">
        <f t="shared" si="5"/>
        <v>447</v>
      </c>
    </row>
    <row r="327" spans="1:3">
      <c r="A327" s="10" t="s">
        <v>349</v>
      </c>
      <c r="B327" s="10">
        <v>503</v>
      </c>
      <c r="C327" s="10">
        <f t="shared" si="5"/>
        <v>503</v>
      </c>
    </row>
    <row r="328" spans="1:3">
      <c r="A328" s="10" t="s">
        <v>350</v>
      </c>
      <c r="B328" s="10">
        <v>115</v>
      </c>
      <c r="C328" s="10">
        <f t="shared" si="5"/>
        <v>115</v>
      </c>
    </row>
    <row r="329" spans="1:3">
      <c r="A329" s="10" t="s">
        <v>351</v>
      </c>
      <c r="B329" s="10">
        <v>47</v>
      </c>
      <c r="C329" s="10">
        <f t="shared" si="5"/>
        <v>47</v>
      </c>
    </row>
    <row r="330" spans="1:3">
      <c r="A330" s="10" t="s">
        <v>352</v>
      </c>
      <c r="B330" s="10">
        <v>450</v>
      </c>
      <c r="C330" s="10">
        <f t="shared" si="5"/>
        <v>450</v>
      </c>
    </row>
    <row r="331" spans="1:3">
      <c r="A331" s="10" t="s">
        <v>353</v>
      </c>
      <c r="B331" s="10">
        <v>94</v>
      </c>
      <c r="C331" s="10">
        <f t="shared" si="5"/>
        <v>94</v>
      </c>
    </row>
    <row r="332" spans="1:3">
      <c r="A332" s="10" t="s">
        <v>354</v>
      </c>
      <c r="B332" s="10">
        <v>87</v>
      </c>
      <c r="C332" s="10">
        <f t="shared" si="5"/>
        <v>87</v>
      </c>
    </row>
    <row r="333" spans="1:3">
      <c r="A333" s="10" t="s">
        <v>355</v>
      </c>
      <c r="B333" s="10">
        <v>528</v>
      </c>
      <c r="C333" s="10">
        <f t="shared" si="5"/>
        <v>528</v>
      </c>
    </row>
    <row r="334" spans="1:3">
      <c r="A334" s="10" t="s">
        <v>356</v>
      </c>
      <c r="B334" s="10">
        <v>92</v>
      </c>
      <c r="C334" s="10">
        <f t="shared" si="5"/>
        <v>92</v>
      </c>
    </row>
    <row r="335" spans="1:3">
      <c r="A335" s="10" t="s">
        <v>357</v>
      </c>
      <c r="B335" s="10">
        <v>518</v>
      </c>
      <c r="C335" s="10">
        <f t="shared" si="5"/>
        <v>518</v>
      </c>
    </row>
    <row r="336" spans="1:3">
      <c r="A336" s="10" t="s">
        <v>358</v>
      </c>
      <c r="B336" s="10">
        <v>413</v>
      </c>
      <c r="C336" s="10">
        <f t="shared" si="5"/>
        <v>413</v>
      </c>
    </row>
    <row r="337" spans="1:3">
      <c r="A337" s="10" t="s">
        <v>359</v>
      </c>
      <c r="B337" s="10">
        <v>94</v>
      </c>
      <c r="C337" s="10">
        <f t="shared" si="5"/>
        <v>94</v>
      </c>
    </row>
    <row r="338" spans="1:3">
      <c r="A338" s="10" t="s">
        <v>360</v>
      </c>
      <c r="B338" s="10">
        <v>83</v>
      </c>
      <c r="C338" s="10">
        <f t="shared" si="5"/>
        <v>83</v>
      </c>
    </row>
    <row r="339" spans="1:3">
      <c r="A339" s="10" t="s">
        <v>361</v>
      </c>
      <c r="B339" s="10">
        <v>132</v>
      </c>
      <c r="C339" s="10">
        <f t="shared" si="5"/>
        <v>132</v>
      </c>
    </row>
    <row r="340" spans="1:3">
      <c r="A340" s="10" t="s">
        <v>362</v>
      </c>
      <c r="B340" s="10">
        <v>37</v>
      </c>
      <c r="C340" s="10">
        <f t="shared" si="5"/>
        <v>37</v>
      </c>
    </row>
    <row r="341" spans="1:3">
      <c r="A341" s="10" t="s">
        <v>363</v>
      </c>
      <c r="B341" s="10">
        <v>328</v>
      </c>
      <c r="C341" s="10">
        <f t="shared" si="5"/>
        <v>328</v>
      </c>
    </row>
    <row r="342" spans="1:3">
      <c r="A342" s="10" t="s">
        <v>364</v>
      </c>
      <c r="B342" s="10">
        <v>664</v>
      </c>
      <c r="C342" s="10">
        <f t="shared" si="5"/>
        <v>664</v>
      </c>
    </row>
    <row r="343" spans="1:3">
      <c r="A343" s="10" t="s">
        <v>365</v>
      </c>
      <c r="B343" s="10">
        <v>534</v>
      </c>
      <c r="C343" s="10">
        <f t="shared" si="5"/>
        <v>534</v>
      </c>
    </row>
    <row r="344" spans="1:3">
      <c r="A344" s="10" t="s">
        <v>366</v>
      </c>
      <c r="B344" s="10">
        <v>102</v>
      </c>
      <c r="C344" s="10">
        <f t="shared" si="5"/>
        <v>102</v>
      </c>
    </row>
    <row r="345" spans="1:3">
      <c r="A345" s="10" t="s">
        <v>367</v>
      </c>
      <c r="B345" s="10">
        <v>78</v>
      </c>
      <c r="C345" s="10">
        <f t="shared" si="5"/>
        <v>78</v>
      </c>
    </row>
    <row r="346" spans="1:3">
      <c r="A346" s="10" t="s">
        <v>368</v>
      </c>
      <c r="B346" s="10">
        <v>37</v>
      </c>
      <c r="C346" s="10">
        <f t="shared" si="5"/>
        <v>37</v>
      </c>
    </row>
    <row r="347" spans="1:3">
      <c r="A347" s="10" t="s">
        <v>369</v>
      </c>
      <c r="B347" s="10">
        <v>187</v>
      </c>
      <c r="C347" s="10">
        <f t="shared" si="5"/>
        <v>187</v>
      </c>
    </row>
    <row r="348" spans="1:3">
      <c r="A348" s="10" t="s">
        <v>370</v>
      </c>
      <c r="B348" s="10">
        <v>110</v>
      </c>
      <c r="C348" s="10">
        <f t="shared" si="5"/>
        <v>110</v>
      </c>
    </row>
    <row r="349" spans="1:3">
      <c r="A349" s="10" t="s">
        <v>371</v>
      </c>
      <c r="B349" s="10">
        <v>571</v>
      </c>
      <c r="C349" s="10">
        <f t="shared" si="5"/>
        <v>571</v>
      </c>
    </row>
    <row r="350" spans="1:3">
      <c r="A350" s="10" t="s">
        <v>372</v>
      </c>
      <c r="B350" s="10">
        <v>529</v>
      </c>
      <c r="C350" s="10">
        <f t="shared" si="5"/>
        <v>529</v>
      </c>
    </row>
    <row r="351" spans="1:3">
      <c r="A351" s="10" t="s">
        <v>373</v>
      </c>
      <c r="B351" s="10">
        <v>88</v>
      </c>
      <c r="C351" s="10">
        <f t="shared" si="5"/>
        <v>88</v>
      </c>
    </row>
    <row r="352" spans="1:3">
      <c r="A352" s="10" t="s">
        <v>374</v>
      </c>
      <c r="B352" s="10">
        <v>310</v>
      </c>
      <c r="C352" s="10">
        <f t="shared" si="5"/>
        <v>310</v>
      </c>
    </row>
    <row r="353" spans="1:3">
      <c r="A353" s="10" t="s">
        <v>375</v>
      </c>
      <c r="B353" s="10">
        <v>100</v>
      </c>
      <c r="C353" s="10">
        <f t="shared" si="5"/>
        <v>100</v>
      </c>
    </row>
    <row r="354" spans="1:3">
      <c r="A354" s="10" t="s">
        <v>376</v>
      </c>
      <c r="B354" s="10">
        <v>131</v>
      </c>
      <c r="C354" s="10">
        <f t="shared" si="5"/>
        <v>131</v>
      </c>
    </row>
    <row r="355" spans="1:3">
      <c r="A355" s="10" t="s">
        <v>377</v>
      </c>
      <c r="B355" s="10">
        <v>262</v>
      </c>
      <c r="C355" s="10">
        <f t="shared" si="5"/>
        <v>262</v>
      </c>
    </row>
    <row r="356" spans="1:3">
      <c r="A356" s="10" t="s">
        <v>378</v>
      </c>
      <c r="B356" s="10">
        <v>92</v>
      </c>
      <c r="C356" s="10">
        <f t="shared" si="5"/>
        <v>92</v>
      </c>
    </row>
    <row r="357" spans="1:3">
      <c r="A357" s="10" t="s">
        <v>379</v>
      </c>
      <c r="B357" s="10">
        <v>598</v>
      </c>
      <c r="C357" s="10">
        <f t="shared" si="5"/>
        <v>598</v>
      </c>
    </row>
    <row r="358" spans="1:3">
      <c r="A358" s="10" t="s">
        <v>380</v>
      </c>
      <c r="B358" s="10">
        <v>438</v>
      </c>
      <c r="C358" s="10">
        <f t="shared" si="5"/>
        <v>438</v>
      </c>
    </row>
    <row r="359" spans="1:3">
      <c r="A359" s="10" t="s">
        <v>381</v>
      </c>
      <c r="B359" s="10">
        <v>103</v>
      </c>
      <c r="C359" s="10">
        <f t="shared" si="5"/>
        <v>103</v>
      </c>
    </row>
    <row r="360" spans="1:3">
      <c r="A360" s="10" t="s">
        <v>382</v>
      </c>
      <c r="B360" s="10">
        <v>100</v>
      </c>
      <c r="C360" s="10">
        <f t="shared" si="5"/>
        <v>100</v>
      </c>
    </row>
    <row r="361" spans="1:3">
      <c r="A361" s="10" t="s">
        <v>383</v>
      </c>
      <c r="B361" s="10">
        <v>40</v>
      </c>
      <c r="C361" s="10">
        <f t="shared" si="5"/>
        <v>40</v>
      </c>
    </row>
    <row r="362" spans="1:3">
      <c r="A362" s="10" t="s">
        <v>384</v>
      </c>
      <c r="B362" s="10">
        <v>62</v>
      </c>
      <c r="C362" s="10">
        <f t="shared" si="5"/>
        <v>62</v>
      </c>
    </row>
    <row r="363" spans="1:3">
      <c r="A363" s="10" t="s">
        <v>385</v>
      </c>
      <c r="B363" s="10">
        <v>370</v>
      </c>
      <c r="C363" s="10">
        <f t="shared" si="5"/>
        <v>370</v>
      </c>
    </row>
    <row r="364" spans="1:3">
      <c r="A364" s="10" t="s">
        <v>386</v>
      </c>
      <c r="B364" s="10">
        <v>58</v>
      </c>
      <c r="C364" s="10">
        <f t="shared" si="5"/>
        <v>58</v>
      </c>
    </row>
    <row r="365" spans="1:3">
      <c r="A365" s="10" t="s">
        <v>387</v>
      </c>
      <c r="B365" s="10">
        <v>188</v>
      </c>
      <c r="C365" s="10">
        <f t="shared" si="5"/>
        <v>188</v>
      </c>
    </row>
    <row r="366" spans="1:3">
      <c r="A366" s="10" t="s">
        <v>388</v>
      </c>
      <c r="B366" s="10">
        <v>322</v>
      </c>
      <c r="C366" s="10">
        <f t="shared" si="5"/>
        <v>322</v>
      </c>
    </row>
    <row r="367" spans="1:3">
      <c r="A367" s="10" t="s">
        <v>389</v>
      </c>
      <c r="B367" s="10">
        <v>420</v>
      </c>
      <c r="C367" s="10">
        <f t="shared" si="5"/>
        <v>420</v>
      </c>
    </row>
    <row r="368" spans="1:3">
      <c r="A368" s="10" t="s">
        <v>390</v>
      </c>
      <c r="B368" s="10">
        <v>79</v>
      </c>
      <c r="C368" s="10">
        <f t="shared" si="5"/>
        <v>79</v>
      </c>
    </row>
    <row r="369" spans="1:3">
      <c r="A369" s="10" t="s">
        <v>391</v>
      </c>
      <c r="B369" s="10">
        <v>117</v>
      </c>
      <c r="C369" s="10">
        <f t="shared" si="5"/>
        <v>117</v>
      </c>
    </row>
    <row r="370" spans="1:3">
      <c r="A370" s="10" t="s">
        <v>392</v>
      </c>
      <c r="B370" s="10">
        <v>76</v>
      </c>
      <c r="C370" s="10">
        <f t="shared" si="5"/>
        <v>76</v>
      </c>
    </row>
    <row r="371" spans="1:3">
      <c r="A371" s="10" t="s">
        <v>393</v>
      </c>
      <c r="B371" s="10">
        <v>42</v>
      </c>
      <c r="C371" s="10">
        <f t="shared" si="5"/>
        <v>42</v>
      </c>
    </row>
    <row r="372" spans="1:3">
      <c r="A372" s="10" t="s">
        <v>394</v>
      </c>
      <c r="B372" s="10">
        <v>294</v>
      </c>
      <c r="C372" s="10">
        <f t="shared" si="5"/>
        <v>294</v>
      </c>
    </row>
    <row r="373" spans="1:3">
      <c r="A373" s="10" t="s">
        <v>395</v>
      </c>
      <c r="B373" s="10">
        <v>403</v>
      </c>
      <c r="C373" s="10">
        <f t="shared" si="5"/>
        <v>403</v>
      </c>
    </row>
    <row r="374" spans="1:3">
      <c r="A374" s="10" t="s">
        <v>396</v>
      </c>
      <c r="B374" s="10">
        <v>440</v>
      </c>
      <c r="C374" s="10">
        <f t="shared" si="5"/>
        <v>440</v>
      </c>
    </row>
    <row r="375" spans="1:3">
      <c r="A375" s="10" t="s">
        <v>397</v>
      </c>
      <c r="B375" s="10">
        <v>99</v>
      </c>
      <c r="C375" s="10">
        <f t="shared" si="5"/>
        <v>99</v>
      </c>
    </row>
    <row r="376" spans="1:3">
      <c r="A376" s="10" t="s">
        <v>398</v>
      </c>
      <c r="B376" s="10">
        <v>139</v>
      </c>
      <c r="C376" s="10">
        <f t="shared" si="5"/>
        <v>139</v>
      </c>
    </row>
    <row r="377" spans="1:3">
      <c r="A377" s="10" t="s">
        <v>399</v>
      </c>
      <c r="B377" s="10">
        <v>591</v>
      </c>
      <c r="C377" s="10">
        <f t="shared" si="5"/>
        <v>591</v>
      </c>
    </row>
    <row r="378" spans="1:3">
      <c r="A378" s="10" t="s">
        <v>400</v>
      </c>
      <c r="B378" s="10">
        <v>400</v>
      </c>
      <c r="C378" s="10">
        <f t="shared" si="5"/>
        <v>400</v>
      </c>
    </row>
    <row r="379" spans="1:3">
      <c r="A379" s="10" t="s">
        <v>401</v>
      </c>
      <c r="B379" s="10">
        <v>107</v>
      </c>
      <c r="C379" s="10">
        <f t="shared" si="5"/>
        <v>107</v>
      </c>
    </row>
    <row r="380" spans="1:3">
      <c r="A380" s="10" t="s">
        <v>402</v>
      </c>
      <c r="B380" s="10">
        <v>143</v>
      </c>
      <c r="C380" s="10">
        <f t="shared" si="5"/>
        <v>143</v>
      </c>
    </row>
    <row r="381" spans="1:3">
      <c r="A381" s="10" t="s">
        <v>403</v>
      </c>
      <c r="B381" s="10">
        <v>84</v>
      </c>
      <c r="C381" s="10">
        <f t="shared" si="5"/>
        <v>84</v>
      </c>
    </row>
    <row r="382" spans="1:3">
      <c r="A382" s="10" t="s">
        <v>404</v>
      </c>
      <c r="B382" s="10">
        <v>266</v>
      </c>
      <c r="C382" s="10">
        <f t="shared" si="5"/>
        <v>266</v>
      </c>
    </row>
    <row r="383" spans="1:3">
      <c r="A383" s="10" t="s">
        <v>405</v>
      </c>
      <c r="B383" s="10">
        <v>102</v>
      </c>
      <c r="C383" s="10">
        <f t="shared" si="5"/>
        <v>102</v>
      </c>
    </row>
    <row r="384" spans="1:3">
      <c r="A384" s="10" t="s">
        <v>406</v>
      </c>
      <c r="B384" s="10">
        <v>486</v>
      </c>
      <c r="C384" s="10">
        <f t="shared" si="5"/>
        <v>486</v>
      </c>
    </row>
    <row r="385" spans="1:3">
      <c r="A385" s="10" t="s">
        <v>407</v>
      </c>
      <c r="B385" s="10">
        <v>644</v>
      </c>
      <c r="C385" s="10">
        <f t="shared" si="5"/>
        <v>644</v>
      </c>
    </row>
    <row r="386" spans="1:3">
      <c r="A386" s="10" t="s">
        <v>408</v>
      </c>
      <c r="B386" s="10">
        <v>86</v>
      </c>
      <c r="C386" s="10">
        <f t="shared" si="5"/>
        <v>86</v>
      </c>
    </row>
    <row r="387" spans="1:3">
      <c r="A387" s="10" t="s">
        <v>409</v>
      </c>
      <c r="B387" s="10">
        <v>117</v>
      </c>
      <c r="C387" s="10">
        <f t="shared" ref="C387:C450" si="6">IF(B387="", $F$13, B387)</f>
        <v>117</v>
      </c>
    </row>
    <row r="388" spans="1:3">
      <c r="A388" s="10" t="s">
        <v>410</v>
      </c>
      <c r="B388" s="10">
        <v>52</v>
      </c>
      <c r="C388" s="10">
        <f t="shared" si="6"/>
        <v>52</v>
      </c>
    </row>
    <row r="389" spans="1:3">
      <c r="A389" s="10" t="s">
        <v>411</v>
      </c>
      <c r="B389" s="10">
        <v>216</v>
      </c>
      <c r="C389" s="10">
        <f t="shared" si="6"/>
        <v>216</v>
      </c>
    </row>
    <row r="390" spans="1:3">
      <c r="A390" s="10" t="s">
        <v>412</v>
      </c>
      <c r="B390" s="10">
        <v>265</v>
      </c>
      <c r="C390" s="10">
        <f t="shared" si="6"/>
        <v>265</v>
      </c>
    </row>
    <row r="391" spans="1:3">
      <c r="A391" s="10" t="s">
        <v>413</v>
      </c>
      <c r="B391" s="10">
        <v>608</v>
      </c>
      <c r="C391" s="10">
        <f t="shared" si="6"/>
        <v>608</v>
      </c>
    </row>
    <row r="392" spans="1:3">
      <c r="A392" s="10" t="s">
        <v>414</v>
      </c>
      <c r="B392" s="10">
        <v>122</v>
      </c>
      <c r="C392" s="10">
        <f t="shared" si="6"/>
        <v>122</v>
      </c>
    </row>
    <row r="393" spans="1:3">
      <c r="A393" s="10" t="s">
        <v>415</v>
      </c>
      <c r="B393" s="10">
        <v>136</v>
      </c>
      <c r="C393" s="10">
        <f t="shared" si="6"/>
        <v>136</v>
      </c>
    </row>
    <row r="394" spans="1:3">
      <c r="A394" s="10" t="s">
        <v>416</v>
      </c>
      <c r="B394" s="10">
        <v>118</v>
      </c>
      <c r="C394" s="10">
        <f t="shared" si="6"/>
        <v>118</v>
      </c>
    </row>
    <row r="395" spans="1:3">
      <c r="A395" s="10" t="s">
        <v>417</v>
      </c>
      <c r="B395" s="10">
        <v>76</v>
      </c>
      <c r="C395" s="10">
        <f t="shared" si="6"/>
        <v>76</v>
      </c>
    </row>
    <row r="396" spans="1:3">
      <c r="A396" s="10" t="s">
        <v>418</v>
      </c>
      <c r="B396" s="10">
        <v>58</v>
      </c>
      <c r="C396" s="10">
        <f t="shared" si="6"/>
        <v>58</v>
      </c>
    </row>
    <row r="397" spans="1:3">
      <c r="A397" s="10" t="s">
        <v>419</v>
      </c>
      <c r="B397" s="10">
        <v>167</v>
      </c>
      <c r="C397" s="10">
        <f t="shared" si="6"/>
        <v>167</v>
      </c>
    </row>
    <row r="398" spans="1:3">
      <c r="A398" s="10" t="s">
        <v>420</v>
      </c>
      <c r="B398" s="10">
        <v>118</v>
      </c>
      <c r="C398" s="10">
        <f t="shared" si="6"/>
        <v>118</v>
      </c>
    </row>
    <row r="399" spans="1:3">
      <c r="A399" s="10" t="s">
        <v>421</v>
      </c>
      <c r="B399" s="10">
        <v>406</v>
      </c>
      <c r="C399" s="10">
        <f t="shared" si="6"/>
        <v>406</v>
      </c>
    </row>
    <row r="400" spans="1:3">
      <c r="A400" s="10" t="s">
        <v>422</v>
      </c>
      <c r="B400" s="10">
        <v>408</v>
      </c>
      <c r="C400" s="10">
        <f t="shared" si="6"/>
        <v>408</v>
      </c>
    </row>
    <row r="401" spans="1:3">
      <c r="A401" s="10" t="s">
        <v>423</v>
      </c>
      <c r="B401" s="10">
        <v>95</v>
      </c>
      <c r="C401" s="10">
        <f t="shared" si="6"/>
        <v>95</v>
      </c>
    </row>
    <row r="402" spans="1:3">
      <c r="A402" s="10" t="s">
        <v>424</v>
      </c>
      <c r="B402" s="10">
        <v>89</v>
      </c>
      <c r="C402" s="10">
        <f t="shared" si="6"/>
        <v>89</v>
      </c>
    </row>
    <row r="403" spans="1:3">
      <c r="A403" s="10" t="s">
        <v>425</v>
      </c>
      <c r="B403" s="10">
        <v>94</v>
      </c>
      <c r="C403" s="10">
        <f t="shared" si="6"/>
        <v>94</v>
      </c>
    </row>
    <row r="404" spans="1:3">
      <c r="A404" s="10" t="s">
        <v>426</v>
      </c>
      <c r="B404" s="10">
        <v>360</v>
      </c>
      <c r="C404" s="10">
        <f t="shared" si="6"/>
        <v>360</v>
      </c>
    </row>
    <row r="405" spans="1:3">
      <c r="A405" s="10" t="s">
        <v>427</v>
      </c>
      <c r="B405" s="10">
        <v>75</v>
      </c>
      <c r="C405" s="10">
        <f t="shared" si="6"/>
        <v>75</v>
      </c>
    </row>
    <row r="406" spans="1:3">
      <c r="A406" s="10" t="s">
        <v>428</v>
      </c>
      <c r="B406" s="10">
        <v>525</v>
      </c>
      <c r="C406" s="10">
        <f t="shared" si="6"/>
        <v>525</v>
      </c>
    </row>
    <row r="407" spans="1:3">
      <c r="A407" s="10" t="s">
        <v>429</v>
      </c>
      <c r="B407" s="10">
        <v>435</v>
      </c>
      <c r="C407" s="10">
        <f t="shared" si="6"/>
        <v>435</v>
      </c>
    </row>
    <row r="408" spans="1:3">
      <c r="A408" s="10" t="s">
        <v>430</v>
      </c>
      <c r="B408" s="10">
        <v>85</v>
      </c>
      <c r="C408" s="10">
        <f t="shared" si="6"/>
        <v>85</v>
      </c>
    </row>
    <row r="409" spans="1:3">
      <c r="A409" s="10" t="s">
        <v>431</v>
      </c>
      <c r="B409" s="10">
        <v>445</v>
      </c>
      <c r="C409" s="10">
        <f t="shared" si="6"/>
        <v>445</v>
      </c>
    </row>
    <row r="410" spans="1:3">
      <c r="A410" s="10" t="s">
        <v>432</v>
      </c>
      <c r="B410" s="10">
        <v>114</v>
      </c>
      <c r="C410" s="10">
        <f t="shared" si="6"/>
        <v>114</v>
      </c>
    </row>
    <row r="411" spans="1:3">
      <c r="A411" s="10" t="s">
        <v>433</v>
      </c>
      <c r="B411" s="10">
        <v>378</v>
      </c>
      <c r="C411" s="10">
        <f t="shared" si="6"/>
        <v>378</v>
      </c>
    </row>
    <row r="412" spans="1:3">
      <c r="A412" s="10" t="s">
        <v>434</v>
      </c>
      <c r="B412" s="10">
        <v>112</v>
      </c>
      <c r="C412" s="10">
        <f t="shared" si="6"/>
        <v>112</v>
      </c>
    </row>
    <row r="413" spans="1:3">
      <c r="A413" s="10" t="s">
        <v>435</v>
      </c>
      <c r="B413" s="10">
        <v>83</v>
      </c>
      <c r="C413" s="10">
        <f t="shared" si="6"/>
        <v>83</v>
      </c>
    </row>
    <row r="414" spans="1:3">
      <c r="A414" s="10" t="s">
        <v>436</v>
      </c>
      <c r="B414" s="10">
        <v>323</v>
      </c>
      <c r="C414" s="10">
        <f t="shared" si="6"/>
        <v>323</v>
      </c>
    </row>
    <row r="415" spans="1:3">
      <c r="A415" s="10" t="s">
        <v>437</v>
      </c>
      <c r="B415" s="10">
        <v>480</v>
      </c>
      <c r="C415" s="10">
        <f t="shared" si="6"/>
        <v>480</v>
      </c>
    </row>
    <row r="416" spans="1:3">
      <c r="A416" s="10" t="s">
        <v>438</v>
      </c>
      <c r="B416" s="10">
        <v>647</v>
      </c>
      <c r="C416" s="10">
        <f t="shared" si="6"/>
        <v>647</v>
      </c>
    </row>
    <row r="417" spans="1:3">
      <c r="A417" s="10" t="s">
        <v>439</v>
      </c>
      <c r="B417" s="10">
        <v>96</v>
      </c>
      <c r="C417" s="10">
        <f t="shared" si="6"/>
        <v>96</v>
      </c>
    </row>
    <row r="418" spans="1:3">
      <c r="A418" s="10" t="s">
        <v>440</v>
      </c>
      <c r="C418" s="10">
        <f t="shared" si="6"/>
        <v>113</v>
      </c>
    </row>
    <row r="419" spans="1:3">
      <c r="A419" s="10" t="s">
        <v>441</v>
      </c>
      <c r="B419" s="10">
        <v>245</v>
      </c>
      <c r="C419" s="10">
        <f t="shared" si="6"/>
        <v>245</v>
      </c>
    </row>
    <row r="420" spans="1:3">
      <c r="A420" s="10" t="s">
        <v>442</v>
      </c>
      <c r="B420" s="10">
        <v>147</v>
      </c>
      <c r="C420" s="10">
        <f t="shared" si="6"/>
        <v>147</v>
      </c>
    </row>
    <row r="421" spans="1:3">
      <c r="A421" s="10" t="s">
        <v>443</v>
      </c>
      <c r="B421" s="10">
        <v>485</v>
      </c>
      <c r="C421" s="10">
        <f t="shared" si="6"/>
        <v>485</v>
      </c>
    </row>
    <row r="422" spans="1:3">
      <c r="A422" s="10" t="s">
        <v>444</v>
      </c>
      <c r="B422" s="10">
        <v>554</v>
      </c>
      <c r="C422" s="10">
        <f t="shared" si="6"/>
        <v>554</v>
      </c>
    </row>
    <row r="423" spans="1:3">
      <c r="A423" s="10" t="s">
        <v>445</v>
      </c>
      <c r="B423" s="10">
        <v>92</v>
      </c>
      <c r="C423" s="10">
        <f t="shared" si="6"/>
        <v>92</v>
      </c>
    </row>
    <row r="424" spans="1:3">
      <c r="A424" s="10" t="s">
        <v>446</v>
      </c>
      <c r="B424" s="10">
        <v>120</v>
      </c>
      <c r="C424" s="10">
        <f t="shared" si="6"/>
        <v>120</v>
      </c>
    </row>
    <row r="425" spans="1:3">
      <c r="A425" s="10" t="s">
        <v>447</v>
      </c>
      <c r="B425" s="10">
        <v>211</v>
      </c>
      <c r="C425" s="10">
        <f t="shared" si="6"/>
        <v>211</v>
      </c>
    </row>
    <row r="426" spans="1:3">
      <c r="A426" s="10" t="s">
        <v>448</v>
      </c>
      <c r="B426" s="10">
        <v>248</v>
      </c>
      <c r="C426" s="10">
        <f t="shared" si="6"/>
        <v>248</v>
      </c>
    </row>
    <row r="427" spans="1:3">
      <c r="A427" s="10" t="s">
        <v>449</v>
      </c>
      <c r="B427" s="10">
        <v>461</v>
      </c>
      <c r="C427" s="10">
        <f t="shared" si="6"/>
        <v>461</v>
      </c>
    </row>
    <row r="428" spans="1:3">
      <c r="A428" s="10" t="s">
        <v>450</v>
      </c>
      <c r="B428" s="10">
        <v>69</v>
      </c>
      <c r="C428" s="10">
        <f t="shared" si="6"/>
        <v>69</v>
      </c>
    </row>
    <row r="429" spans="1:3">
      <c r="A429" s="10" t="s">
        <v>451</v>
      </c>
      <c r="B429" s="10">
        <v>111</v>
      </c>
      <c r="C429" s="10">
        <f t="shared" si="6"/>
        <v>111</v>
      </c>
    </row>
    <row r="430" spans="1:3">
      <c r="A430" s="10" t="s">
        <v>452</v>
      </c>
      <c r="B430" s="10">
        <v>99</v>
      </c>
      <c r="C430" s="10">
        <f t="shared" si="6"/>
        <v>99</v>
      </c>
    </row>
    <row r="431" spans="1:3">
      <c r="A431" s="10" t="s">
        <v>453</v>
      </c>
      <c r="B431" s="10">
        <v>62</v>
      </c>
      <c r="C431" s="10">
        <f t="shared" si="6"/>
        <v>62</v>
      </c>
    </row>
    <row r="432" spans="1:3">
      <c r="A432" s="10" t="s">
        <v>454</v>
      </c>
      <c r="B432" s="10">
        <v>223</v>
      </c>
      <c r="C432" s="10">
        <f t="shared" si="6"/>
        <v>223</v>
      </c>
    </row>
    <row r="433" spans="1:3">
      <c r="A433" s="10" t="s">
        <v>455</v>
      </c>
      <c r="B433" s="10">
        <v>590</v>
      </c>
      <c r="C433" s="10">
        <f t="shared" si="6"/>
        <v>590</v>
      </c>
    </row>
    <row r="434" spans="1:3">
      <c r="A434" s="10" t="s">
        <v>456</v>
      </c>
      <c r="B434" s="10">
        <v>613</v>
      </c>
      <c r="C434" s="10">
        <f t="shared" si="6"/>
        <v>613</v>
      </c>
    </row>
    <row r="435" spans="1:3">
      <c r="A435" s="10" t="s">
        <v>457</v>
      </c>
      <c r="B435" s="10">
        <v>115</v>
      </c>
      <c r="C435" s="10">
        <f t="shared" si="6"/>
        <v>115</v>
      </c>
    </row>
    <row r="436" spans="1:3">
      <c r="A436" s="10" t="s">
        <v>458</v>
      </c>
      <c r="B436" s="10">
        <v>100</v>
      </c>
      <c r="C436" s="10">
        <f t="shared" si="6"/>
        <v>100</v>
      </c>
    </row>
    <row r="437" spans="1:3">
      <c r="A437" s="10" t="s">
        <v>459</v>
      </c>
      <c r="B437" s="10">
        <v>98</v>
      </c>
      <c r="C437" s="10">
        <f t="shared" si="6"/>
        <v>98</v>
      </c>
    </row>
    <row r="438" spans="1:3">
      <c r="A438" s="10" t="s">
        <v>460</v>
      </c>
      <c r="B438" s="10">
        <v>58</v>
      </c>
      <c r="C438" s="10">
        <f t="shared" si="6"/>
        <v>58</v>
      </c>
    </row>
    <row r="439" spans="1:3">
      <c r="A439" s="10" t="s">
        <v>461</v>
      </c>
      <c r="B439" s="10">
        <v>267</v>
      </c>
      <c r="C439" s="10">
        <f t="shared" si="6"/>
        <v>267</v>
      </c>
    </row>
    <row r="440" spans="1:3">
      <c r="A440" s="10" t="s">
        <v>462</v>
      </c>
      <c r="B440" s="10">
        <v>113</v>
      </c>
      <c r="C440" s="10">
        <f t="shared" si="6"/>
        <v>113</v>
      </c>
    </row>
    <row r="441" spans="1:3">
      <c r="A441" s="10" t="s">
        <v>463</v>
      </c>
      <c r="B441" s="10">
        <v>90</v>
      </c>
      <c r="C441" s="10">
        <f t="shared" si="6"/>
        <v>90</v>
      </c>
    </row>
    <row r="442" spans="1:3">
      <c r="A442" s="10" t="s">
        <v>464</v>
      </c>
      <c r="B442" s="10">
        <v>284</v>
      </c>
      <c r="C442" s="10">
        <f t="shared" si="6"/>
        <v>284</v>
      </c>
    </row>
    <row r="443" spans="1:3">
      <c r="A443" s="10" t="s">
        <v>465</v>
      </c>
      <c r="B443" s="10">
        <v>472</v>
      </c>
      <c r="C443" s="10">
        <f t="shared" si="6"/>
        <v>472</v>
      </c>
    </row>
    <row r="444" spans="1:3">
      <c r="A444" s="10" t="s">
        <v>466</v>
      </c>
      <c r="B444" s="10">
        <v>377</v>
      </c>
      <c r="C444" s="10">
        <f t="shared" si="6"/>
        <v>377</v>
      </c>
    </row>
    <row r="445" spans="1:3">
      <c r="A445" s="10" t="s">
        <v>467</v>
      </c>
      <c r="B445" s="10">
        <v>57</v>
      </c>
      <c r="C445" s="10">
        <f t="shared" si="6"/>
        <v>57</v>
      </c>
    </row>
    <row r="446" spans="1:3">
      <c r="A446" s="10" t="s">
        <v>468</v>
      </c>
      <c r="B446" s="10">
        <v>79</v>
      </c>
      <c r="C446" s="10">
        <f t="shared" si="6"/>
        <v>79</v>
      </c>
    </row>
    <row r="447" spans="1:3">
      <c r="A447" s="10" t="s">
        <v>469</v>
      </c>
      <c r="B447" s="10">
        <v>48</v>
      </c>
      <c r="C447" s="10">
        <f t="shared" si="6"/>
        <v>48</v>
      </c>
    </row>
    <row r="448" spans="1:3">
      <c r="A448" s="10" t="s">
        <v>470</v>
      </c>
      <c r="B448" s="10">
        <v>214</v>
      </c>
      <c r="C448" s="10">
        <f t="shared" si="6"/>
        <v>214</v>
      </c>
    </row>
    <row r="449" spans="1:3">
      <c r="A449" s="10" t="s">
        <v>471</v>
      </c>
      <c r="B449" s="10">
        <v>315</v>
      </c>
      <c r="C449" s="10">
        <f t="shared" si="6"/>
        <v>315</v>
      </c>
    </row>
    <row r="450" spans="1:3">
      <c r="A450" s="10" t="s">
        <v>472</v>
      </c>
      <c r="B450" s="10">
        <v>87</v>
      </c>
      <c r="C450" s="10">
        <f t="shared" si="6"/>
        <v>87</v>
      </c>
    </row>
    <row r="451" spans="1:3">
      <c r="A451" s="10" t="s">
        <v>473</v>
      </c>
      <c r="B451" s="10">
        <v>359</v>
      </c>
      <c r="C451" s="10">
        <f t="shared" ref="C451:C514" si="7">IF(B451="", $F$13, B451)</f>
        <v>359</v>
      </c>
    </row>
    <row r="452" spans="1:3">
      <c r="A452" s="10" t="s">
        <v>474</v>
      </c>
      <c r="B452" s="10">
        <v>91</v>
      </c>
      <c r="C452" s="10">
        <f t="shared" si="7"/>
        <v>91</v>
      </c>
    </row>
    <row r="453" spans="1:3">
      <c r="A453" s="10" t="s">
        <v>475</v>
      </c>
      <c r="B453" s="10">
        <v>87</v>
      </c>
      <c r="C453" s="10">
        <f t="shared" si="7"/>
        <v>87</v>
      </c>
    </row>
    <row r="454" spans="1:3">
      <c r="A454" s="10" t="s">
        <v>476</v>
      </c>
      <c r="B454" s="10">
        <v>108</v>
      </c>
      <c r="C454" s="10">
        <f t="shared" si="7"/>
        <v>108</v>
      </c>
    </row>
    <row r="455" spans="1:3">
      <c r="A455" s="10" t="s">
        <v>477</v>
      </c>
      <c r="B455" s="10">
        <v>37</v>
      </c>
      <c r="C455" s="10">
        <f t="shared" si="7"/>
        <v>37</v>
      </c>
    </row>
    <row r="456" spans="1:3">
      <c r="A456" s="10" t="s">
        <v>478</v>
      </c>
      <c r="B456" s="10">
        <v>168</v>
      </c>
      <c r="C456" s="10">
        <f t="shared" si="7"/>
        <v>168</v>
      </c>
    </row>
    <row r="457" spans="1:3">
      <c r="A457" s="10" t="s">
        <v>479</v>
      </c>
      <c r="B457" s="10">
        <v>382</v>
      </c>
      <c r="C457" s="10">
        <f t="shared" si="7"/>
        <v>382</v>
      </c>
    </row>
    <row r="458" spans="1:3">
      <c r="A458" s="10" t="s">
        <v>480</v>
      </c>
      <c r="B458" s="10">
        <v>411</v>
      </c>
      <c r="C458" s="10">
        <f t="shared" si="7"/>
        <v>411</v>
      </c>
    </row>
    <row r="459" spans="1:3">
      <c r="A459" s="10" t="s">
        <v>481</v>
      </c>
      <c r="B459" s="10">
        <v>558</v>
      </c>
      <c r="C459" s="10">
        <f t="shared" si="7"/>
        <v>558</v>
      </c>
    </row>
    <row r="460" spans="1:3">
      <c r="A460" s="10" t="s">
        <v>482</v>
      </c>
      <c r="B460" s="10">
        <v>95</v>
      </c>
      <c r="C460" s="10">
        <f t="shared" si="7"/>
        <v>95</v>
      </c>
    </row>
    <row r="461" spans="1:3">
      <c r="A461" s="10" t="s">
        <v>483</v>
      </c>
      <c r="B461" s="10">
        <v>89</v>
      </c>
      <c r="C461" s="10">
        <f t="shared" si="7"/>
        <v>89</v>
      </c>
    </row>
    <row r="462" spans="1:3">
      <c r="A462" s="10" t="s">
        <v>484</v>
      </c>
      <c r="B462" s="10">
        <v>172</v>
      </c>
      <c r="C462" s="10">
        <f t="shared" si="7"/>
        <v>172</v>
      </c>
    </row>
    <row r="463" spans="1:3">
      <c r="A463" s="10" t="s">
        <v>485</v>
      </c>
      <c r="B463" s="10">
        <v>257</v>
      </c>
      <c r="C463" s="10">
        <f t="shared" si="7"/>
        <v>257</v>
      </c>
    </row>
    <row r="464" spans="1:3">
      <c r="A464" s="10" t="s">
        <v>486</v>
      </c>
      <c r="B464" s="10">
        <v>108</v>
      </c>
      <c r="C464" s="10">
        <f t="shared" si="7"/>
        <v>108</v>
      </c>
    </row>
    <row r="465" spans="1:3">
      <c r="A465" s="10" t="s">
        <v>487</v>
      </c>
      <c r="B465" s="10">
        <v>484</v>
      </c>
      <c r="C465" s="10">
        <f t="shared" si="7"/>
        <v>484</v>
      </c>
    </row>
    <row r="466" spans="1:3">
      <c r="A466" s="10" t="s">
        <v>488</v>
      </c>
      <c r="B466" s="10">
        <v>474</v>
      </c>
      <c r="C466" s="10">
        <f t="shared" si="7"/>
        <v>474</v>
      </c>
    </row>
    <row r="467" spans="1:3">
      <c r="A467" s="10" t="s">
        <v>489</v>
      </c>
      <c r="B467" s="10">
        <v>81</v>
      </c>
      <c r="C467" s="10">
        <f t="shared" si="7"/>
        <v>81</v>
      </c>
    </row>
    <row r="468" spans="1:3">
      <c r="A468" s="10" t="s">
        <v>490</v>
      </c>
      <c r="B468" s="10">
        <v>79</v>
      </c>
      <c r="C468" s="10">
        <f t="shared" si="7"/>
        <v>79</v>
      </c>
    </row>
    <row r="469" spans="1:3">
      <c r="A469" s="10" t="s">
        <v>491</v>
      </c>
      <c r="B469" s="10">
        <v>88</v>
      </c>
      <c r="C469" s="10">
        <f t="shared" si="7"/>
        <v>88</v>
      </c>
    </row>
    <row r="470" spans="1:3">
      <c r="A470" s="10" t="s">
        <v>492</v>
      </c>
      <c r="B470" s="10">
        <v>49</v>
      </c>
      <c r="C470" s="10">
        <f t="shared" si="7"/>
        <v>49</v>
      </c>
    </row>
    <row r="471" spans="1:3">
      <c r="A471" s="10" t="s">
        <v>493</v>
      </c>
      <c r="B471" s="10">
        <v>168</v>
      </c>
      <c r="C471" s="10">
        <f t="shared" si="7"/>
        <v>168</v>
      </c>
    </row>
    <row r="472" spans="1:3">
      <c r="A472" s="10" t="s">
        <v>494</v>
      </c>
      <c r="B472" s="10">
        <v>424</v>
      </c>
      <c r="C472" s="10">
        <f t="shared" si="7"/>
        <v>424</v>
      </c>
    </row>
    <row r="473" spans="1:3">
      <c r="A473" s="10" t="s">
        <v>495</v>
      </c>
      <c r="B473" s="10">
        <v>107</v>
      </c>
      <c r="C473" s="10">
        <f t="shared" si="7"/>
        <v>107</v>
      </c>
    </row>
    <row r="474" spans="1:3">
      <c r="A474" s="10" t="s">
        <v>496</v>
      </c>
      <c r="B474" s="10">
        <v>474</v>
      </c>
      <c r="C474" s="10">
        <f t="shared" si="7"/>
        <v>474</v>
      </c>
    </row>
    <row r="475" spans="1:3">
      <c r="A475" s="10" t="s">
        <v>497</v>
      </c>
      <c r="B475" s="10">
        <v>514</v>
      </c>
      <c r="C475" s="10">
        <f t="shared" si="7"/>
        <v>514</v>
      </c>
    </row>
    <row r="476" spans="1:3">
      <c r="A476" s="10" t="s">
        <v>498</v>
      </c>
      <c r="B476" s="10">
        <v>39</v>
      </c>
      <c r="C476" s="10">
        <f t="shared" si="7"/>
        <v>39</v>
      </c>
    </row>
    <row r="477" spans="1:3">
      <c r="A477" s="10" t="s">
        <v>499</v>
      </c>
      <c r="B477" s="10">
        <v>292</v>
      </c>
      <c r="C477" s="10">
        <f t="shared" si="7"/>
        <v>292</v>
      </c>
    </row>
    <row r="478" spans="1:3">
      <c r="A478" s="10" t="s">
        <v>500</v>
      </c>
      <c r="B478" s="10">
        <v>606</v>
      </c>
      <c r="C478" s="10">
        <f t="shared" si="7"/>
        <v>606</v>
      </c>
    </row>
    <row r="479" spans="1:3">
      <c r="A479" s="10" t="s">
        <v>501</v>
      </c>
      <c r="B479" s="10">
        <v>106</v>
      </c>
      <c r="C479" s="10">
        <f t="shared" si="7"/>
        <v>106</v>
      </c>
    </row>
    <row r="480" spans="1:3">
      <c r="A480" s="10" t="s">
        <v>502</v>
      </c>
      <c r="B480" s="10">
        <v>89</v>
      </c>
      <c r="C480" s="10">
        <f t="shared" si="7"/>
        <v>89</v>
      </c>
    </row>
    <row r="481" spans="1:3">
      <c r="A481" s="10" t="s">
        <v>503</v>
      </c>
      <c r="B481" s="10">
        <v>165</v>
      </c>
      <c r="C481" s="10">
        <f t="shared" si="7"/>
        <v>165</v>
      </c>
    </row>
    <row r="482" spans="1:3">
      <c r="A482" s="10" t="s">
        <v>504</v>
      </c>
      <c r="B482" s="10">
        <v>103</v>
      </c>
      <c r="C482" s="10">
        <f t="shared" si="7"/>
        <v>103</v>
      </c>
    </row>
    <row r="483" spans="1:3">
      <c r="A483" s="10" t="s">
        <v>505</v>
      </c>
      <c r="B483" s="10">
        <v>54</v>
      </c>
      <c r="C483" s="10">
        <f t="shared" si="7"/>
        <v>54</v>
      </c>
    </row>
    <row r="484" spans="1:3">
      <c r="A484" s="10" t="s">
        <v>506</v>
      </c>
      <c r="B484" s="10">
        <v>230</v>
      </c>
      <c r="C484" s="10">
        <f t="shared" si="7"/>
        <v>230</v>
      </c>
    </row>
    <row r="485" spans="1:3">
      <c r="A485" s="10" t="s">
        <v>507</v>
      </c>
      <c r="B485" s="10">
        <v>603</v>
      </c>
      <c r="C485" s="10">
        <f t="shared" si="7"/>
        <v>603</v>
      </c>
    </row>
    <row r="486" spans="1:3">
      <c r="A486" s="10" t="s">
        <v>508</v>
      </c>
      <c r="B486" s="10">
        <v>114</v>
      </c>
      <c r="C486" s="10">
        <f t="shared" si="7"/>
        <v>114</v>
      </c>
    </row>
    <row r="487" spans="1:3">
      <c r="A487" s="10" t="s">
        <v>509</v>
      </c>
      <c r="B487" s="10">
        <v>41</v>
      </c>
      <c r="C487" s="10">
        <f t="shared" si="7"/>
        <v>41</v>
      </c>
    </row>
    <row r="488" spans="1:3">
      <c r="A488" s="10" t="s">
        <v>510</v>
      </c>
      <c r="B488" s="10">
        <v>83</v>
      </c>
      <c r="C488" s="10">
        <f t="shared" si="7"/>
        <v>83</v>
      </c>
    </row>
    <row r="489" spans="1:3">
      <c r="A489" s="10" t="s">
        <v>511</v>
      </c>
      <c r="B489" s="10">
        <v>295</v>
      </c>
      <c r="C489" s="10">
        <f t="shared" si="7"/>
        <v>295</v>
      </c>
    </row>
    <row r="490" spans="1:3">
      <c r="A490" s="10" t="s">
        <v>512</v>
      </c>
      <c r="B490" s="10">
        <v>683</v>
      </c>
      <c r="C490" s="10">
        <f t="shared" si="7"/>
        <v>683</v>
      </c>
    </row>
    <row r="491" spans="1:3">
      <c r="A491" s="10" t="s">
        <v>513</v>
      </c>
      <c r="B491" s="10">
        <v>85</v>
      </c>
      <c r="C491" s="10">
        <f t="shared" si="7"/>
        <v>85</v>
      </c>
    </row>
    <row r="492" spans="1:3">
      <c r="A492" s="10" t="s">
        <v>514</v>
      </c>
      <c r="B492" s="10">
        <v>43</v>
      </c>
      <c r="C492" s="10">
        <f t="shared" si="7"/>
        <v>43</v>
      </c>
    </row>
    <row r="493" spans="1:3">
      <c r="A493" s="10" t="s">
        <v>515</v>
      </c>
      <c r="B493" s="10">
        <v>216</v>
      </c>
      <c r="C493" s="10">
        <f t="shared" si="7"/>
        <v>216</v>
      </c>
    </row>
    <row r="494" spans="1:3">
      <c r="A494" s="10" t="s">
        <v>516</v>
      </c>
      <c r="B494" s="10">
        <v>146</v>
      </c>
      <c r="C494" s="10">
        <f t="shared" si="7"/>
        <v>146</v>
      </c>
    </row>
    <row r="495" spans="1:3">
      <c r="A495" s="10" t="s">
        <v>517</v>
      </c>
      <c r="B495" s="10">
        <v>660</v>
      </c>
      <c r="C495" s="10">
        <f t="shared" si="7"/>
        <v>660</v>
      </c>
    </row>
    <row r="496" spans="1:3">
      <c r="A496" s="10" t="s">
        <v>518</v>
      </c>
      <c r="B496" s="10">
        <v>376</v>
      </c>
      <c r="C496" s="10">
        <f t="shared" si="7"/>
        <v>376</v>
      </c>
    </row>
    <row r="497" spans="1:3">
      <c r="A497" s="10" t="s">
        <v>519</v>
      </c>
      <c r="B497" s="10">
        <v>119</v>
      </c>
      <c r="C497" s="10">
        <f t="shared" si="7"/>
        <v>119</v>
      </c>
    </row>
    <row r="498" spans="1:3">
      <c r="A498" s="10" t="s">
        <v>520</v>
      </c>
      <c r="B498" s="10">
        <v>101</v>
      </c>
      <c r="C498" s="10">
        <f t="shared" si="7"/>
        <v>101</v>
      </c>
    </row>
    <row r="499" spans="1:3">
      <c r="A499" s="10" t="s">
        <v>521</v>
      </c>
      <c r="B499" s="10">
        <v>58</v>
      </c>
      <c r="C499" s="10">
        <f t="shared" si="7"/>
        <v>58</v>
      </c>
    </row>
    <row r="500" spans="1:3">
      <c r="A500" s="10" t="s">
        <v>522</v>
      </c>
      <c r="B500" s="10">
        <v>312</v>
      </c>
      <c r="C500" s="10">
        <f t="shared" si="7"/>
        <v>312</v>
      </c>
    </row>
    <row r="501" spans="1:3">
      <c r="A501" s="10" t="s">
        <v>523</v>
      </c>
      <c r="B501" s="10">
        <v>102</v>
      </c>
      <c r="C501" s="10">
        <f t="shared" si="7"/>
        <v>102</v>
      </c>
    </row>
    <row r="502" spans="1:3">
      <c r="A502" s="10" t="s">
        <v>524</v>
      </c>
      <c r="B502" s="10">
        <v>440</v>
      </c>
      <c r="C502" s="10">
        <f t="shared" si="7"/>
        <v>440</v>
      </c>
    </row>
    <row r="503" spans="1:3">
      <c r="A503" s="10" t="s">
        <v>525</v>
      </c>
      <c r="B503" s="10">
        <v>524</v>
      </c>
      <c r="C503" s="10">
        <f t="shared" si="7"/>
        <v>524</v>
      </c>
    </row>
    <row r="504" spans="1:3">
      <c r="A504" s="10" t="s">
        <v>526</v>
      </c>
      <c r="B504" s="10">
        <v>119</v>
      </c>
      <c r="C504" s="10">
        <f t="shared" si="7"/>
        <v>119</v>
      </c>
    </row>
    <row r="505" spans="1:3">
      <c r="A505" s="10" t="s">
        <v>527</v>
      </c>
      <c r="B505" s="10">
        <v>55</v>
      </c>
      <c r="C505" s="10">
        <f t="shared" si="7"/>
        <v>55</v>
      </c>
    </row>
    <row r="506" spans="1:3">
      <c r="A506" s="10" t="s">
        <v>528</v>
      </c>
      <c r="B506" s="10">
        <v>59</v>
      </c>
      <c r="C506" s="10">
        <f t="shared" si="7"/>
        <v>59</v>
      </c>
    </row>
    <row r="507" spans="1:3">
      <c r="A507" s="10" t="s">
        <v>529</v>
      </c>
      <c r="B507" s="10">
        <v>224</v>
      </c>
      <c r="C507" s="10">
        <f t="shared" si="7"/>
        <v>224</v>
      </c>
    </row>
    <row r="508" spans="1:3">
      <c r="A508" s="10" t="s">
        <v>530</v>
      </c>
      <c r="B508" s="10">
        <v>184</v>
      </c>
      <c r="C508" s="10">
        <f t="shared" si="7"/>
        <v>184</v>
      </c>
    </row>
    <row r="509" spans="1:3">
      <c r="A509" s="10" t="s">
        <v>531</v>
      </c>
      <c r="B509" s="10">
        <v>111</v>
      </c>
      <c r="C509" s="10">
        <f t="shared" si="7"/>
        <v>111</v>
      </c>
    </row>
    <row r="510" spans="1:3">
      <c r="A510" s="10" t="s">
        <v>532</v>
      </c>
      <c r="B510" s="10">
        <v>472</v>
      </c>
      <c r="C510" s="10">
        <f t="shared" si="7"/>
        <v>472</v>
      </c>
    </row>
    <row r="511" spans="1:3">
      <c r="A511" s="10" t="s">
        <v>533</v>
      </c>
      <c r="B511" s="10">
        <v>69</v>
      </c>
      <c r="C511" s="10">
        <f t="shared" si="7"/>
        <v>69</v>
      </c>
    </row>
    <row r="512" spans="1:3">
      <c r="A512" s="10" t="s">
        <v>534</v>
      </c>
      <c r="B512" s="10">
        <v>44</v>
      </c>
      <c r="C512" s="10">
        <f t="shared" si="7"/>
        <v>44</v>
      </c>
    </row>
    <row r="513" spans="1:3">
      <c r="A513" s="10" t="s">
        <v>535</v>
      </c>
      <c r="B513" s="10">
        <v>147</v>
      </c>
      <c r="C513" s="10">
        <f t="shared" si="7"/>
        <v>147</v>
      </c>
    </row>
    <row r="514" spans="1:3">
      <c r="A514" s="10" t="s">
        <v>536</v>
      </c>
      <c r="B514" s="10">
        <v>294</v>
      </c>
      <c r="C514" s="10">
        <f t="shared" si="7"/>
        <v>294</v>
      </c>
    </row>
    <row r="515" spans="1:3">
      <c r="A515" s="10" t="s">
        <v>537</v>
      </c>
      <c r="B515" s="10">
        <v>78</v>
      </c>
      <c r="C515" s="10">
        <f t="shared" ref="C515:C578" si="8">IF(B515="", $F$13, B515)</f>
        <v>78</v>
      </c>
    </row>
    <row r="516" spans="1:3">
      <c r="A516" s="10" t="s">
        <v>538</v>
      </c>
      <c r="B516" s="10">
        <v>45</v>
      </c>
      <c r="C516" s="10">
        <f t="shared" si="8"/>
        <v>45</v>
      </c>
    </row>
    <row r="517" spans="1:3">
      <c r="A517" s="10" t="s">
        <v>539</v>
      </c>
      <c r="B517" s="10">
        <v>345</v>
      </c>
      <c r="C517" s="10">
        <f t="shared" si="8"/>
        <v>345</v>
      </c>
    </row>
    <row r="518" spans="1:3">
      <c r="A518" s="10" t="s">
        <v>540</v>
      </c>
      <c r="B518" s="10">
        <v>97</v>
      </c>
      <c r="C518" s="10">
        <f t="shared" si="8"/>
        <v>97</v>
      </c>
    </row>
    <row r="519" spans="1:3">
      <c r="A519" s="10" t="s">
        <v>541</v>
      </c>
      <c r="B519" s="10">
        <v>371</v>
      </c>
      <c r="C519" s="10">
        <f t="shared" si="8"/>
        <v>371</v>
      </c>
    </row>
    <row r="520" spans="1:3">
      <c r="A520" s="10" t="s">
        <v>542</v>
      </c>
      <c r="B520" s="10">
        <v>575</v>
      </c>
      <c r="C520" s="10">
        <f t="shared" si="8"/>
        <v>575</v>
      </c>
    </row>
    <row r="521" spans="1:3">
      <c r="A521" s="10" t="s">
        <v>543</v>
      </c>
      <c r="B521" s="10">
        <v>41</v>
      </c>
      <c r="C521" s="10">
        <f t="shared" si="8"/>
        <v>41</v>
      </c>
    </row>
    <row r="522" spans="1:3">
      <c r="A522" s="10" t="s">
        <v>544</v>
      </c>
      <c r="B522" s="10">
        <v>417</v>
      </c>
      <c r="C522" s="10">
        <f t="shared" si="8"/>
        <v>417</v>
      </c>
    </row>
    <row r="523" spans="1:3">
      <c r="A523" s="10" t="s">
        <v>545</v>
      </c>
      <c r="B523" s="10">
        <v>78</v>
      </c>
      <c r="C523" s="10">
        <f t="shared" si="8"/>
        <v>78</v>
      </c>
    </row>
    <row r="524" spans="1:3">
      <c r="A524" s="10" t="s">
        <v>546</v>
      </c>
      <c r="B524" s="10">
        <v>474</v>
      </c>
      <c r="C524" s="10">
        <f t="shared" si="8"/>
        <v>474</v>
      </c>
    </row>
    <row r="525" spans="1:3">
      <c r="A525" s="10" t="s">
        <v>547</v>
      </c>
      <c r="B525" s="10">
        <v>99</v>
      </c>
      <c r="C525" s="10">
        <f t="shared" si="8"/>
        <v>99</v>
      </c>
    </row>
    <row r="526" spans="1:3">
      <c r="A526" s="10" t="s">
        <v>548</v>
      </c>
      <c r="B526" s="10">
        <v>104</v>
      </c>
      <c r="C526" s="10">
        <f t="shared" si="8"/>
        <v>104</v>
      </c>
    </row>
    <row r="527" spans="1:3">
      <c r="A527" s="10" t="s">
        <v>549</v>
      </c>
      <c r="B527" s="10">
        <v>31</v>
      </c>
      <c r="C527" s="10">
        <f t="shared" si="8"/>
        <v>31</v>
      </c>
    </row>
    <row r="528" spans="1:3">
      <c r="A528" s="10" t="s">
        <v>550</v>
      </c>
      <c r="B528" s="10">
        <v>265</v>
      </c>
      <c r="C528" s="10">
        <f t="shared" si="8"/>
        <v>265</v>
      </c>
    </row>
    <row r="529" spans="1:3">
      <c r="A529" s="10" t="s">
        <v>551</v>
      </c>
      <c r="B529" s="10">
        <v>532</v>
      </c>
      <c r="C529" s="10">
        <f t="shared" si="8"/>
        <v>532</v>
      </c>
    </row>
    <row r="530" spans="1:3">
      <c r="A530" s="10" t="s">
        <v>552</v>
      </c>
      <c r="B530" s="10">
        <v>113</v>
      </c>
      <c r="C530" s="10">
        <f t="shared" si="8"/>
        <v>113</v>
      </c>
    </row>
    <row r="531" spans="1:3">
      <c r="A531" s="10" t="s">
        <v>553</v>
      </c>
      <c r="B531" s="10">
        <v>59</v>
      </c>
      <c r="C531" s="10">
        <f t="shared" si="8"/>
        <v>59</v>
      </c>
    </row>
    <row r="532" spans="1:3">
      <c r="A532" s="10" t="s">
        <v>554</v>
      </c>
      <c r="B532" s="10">
        <v>214</v>
      </c>
      <c r="C532" s="10">
        <f t="shared" si="8"/>
        <v>214</v>
      </c>
    </row>
    <row r="533" spans="1:3">
      <c r="A533" s="10" t="s">
        <v>555</v>
      </c>
      <c r="B533" s="10">
        <v>84</v>
      </c>
      <c r="C533" s="10">
        <f t="shared" si="8"/>
        <v>84</v>
      </c>
    </row>
    <row r="534" spans="1:3">
      <c r="A534" s="10" t="s">
        <v>556</v>
      </c>
      <c r="B534" s="10">
        <v>505</v>
      </c>
      <c r="C534" s="10">
        <f t="shared" si="8"/>
        <v>505</v>
      </c>
    </row>
    <row r="535" spans="1:3">
      <c r="A535" s="10" t="s">
        <v>557</v>
      </c>
      <c r="B535" s="10">
        <v>100</v>
      </c>
      <c r="C535" s="10">
        <f t="shared" si="8"/>
        <v>100</v>
      </c>
    </row>
    <row r="536" spans="1:3">
      <c r="A536" s="10" t="s">
        <v>558</v>
      </c>
      <c r="B536" s="10">
        <v>125</v>
      </c>
      <c r="C536" s="10">
        <f t="shared" si="8"/>
        <v>125</v>
      </c>
    </row>
    <row r="537" spans="1:3">
      <c r="A537" s="10" t="s">
        <v>559</v>
      </c>
      <c r="B537" s="10">
        <v>41</v>
      </c>
      <c r="C537" s="10">
        <f t="shared" si="8"/>
        <v>41</v>
      </c>
    </row>
    <row r="538" spans="1:3">
      <c r="A538" s="10" t="s">
        <v>560</v>
      </c>
      <c r="B538" s="10">
        <v>224</v>
      </c>
      <c r="C538" s="10">
        <f t="shared" si="8"/>
        <v>224</v>
      </c>
    </row>
    <row r="539" spans="1:3">
      <c r="A539" s="10" t="s">
        <v>561</v>
      </c>
      <c r="B539" s="10">
        <v>556</v>
      </c>
      <c r="C539" s="10">
        <f t="shared" si="8"/>
        <v>556</v>
      </c>
    </row>
    <row r="540" spans="1:3">
      <c r="A540" s="10" t="s">
        <v>562</v>
      </c>
      <c r="B540" s="10">
        <v>113</v>
      </c>
      <c r="C540" s="10">
        <f t="shared" si="8"/>
        <v>113</v>
      </c>
    </row>
    <row r="541" spans="1:3">
      <c r="A541" s="10" t="s">
        <v>563</v>
      </c>
      <c r="B541" s="10">
        <v>92</v>
      </c>
      <c r="C541" s="10">
        <f t="shared" si="8"/>
        <v>92</v>
      </c>
    </row>
    <row r="542" spans="1:3">
      <c r="A542" s="10" t="s">
        <v>564</v>
      </c>
      <c r="B542" s="10">
        <v>87</v>
      </c>
      <c r="C542" s="10">
        <f t="shared" si="8"/>
        <v>87</v>
      </c>
    </row>
    <row r="543" spans="1:3">
      <c r="A543" s="10" t="s">
        <v>565</v>
      </c>
      <c r="B543" s="10">
        <v>62</v>
      </c>
      <c r="C543" s="10">
        <f t="shared" si="8"/>
        <v>62</v>
      </c>
    </row>
    <row r="544" spans="1:3">
      <c r="A544" s="10" t="s">
        <v>566</v>
      </c>
      <c r="B544" s="10">
        <v>187</v>
      </c>
      <c r="C544" s="10">
        <f t="shared" si="8"/>
        <v>187</v>
      </c>
    </row>
    <row r="545" spans="1:3">
      <c r="A545" s="10" t="s">
        <v>567</v>
      </c>
      <c r="B545" s="10">
        <v>604</v>
      </c>
      <c r="C545" s="10">
        <f t="shared" si="8"/>
        <v>604</v>
      </c>
    </row>
    <row r="546" spans="1:3">
      <c r="A546" s="10" t="s">
        <v>568</v>
      </c>
      <c r="B546" s="10">
        <v>106</v>
      </c>
      <c r="C546" s="10">
        <f t="shared" si="8"/>
        <v>106</v>
      </c>
    </row>
    <row r="547" spans="1:3">
      <c r="A547" s="10" t="s">
        <v>569</v>
      </c>
      <c r="B547" s="10">
        <v>97</v>
      </c>
      <c r="C547" s="10">
        <f t="shared" si="8"/>
        <v>97</v>
      </c>
    </row>
    <row r="548" spans="1:3">
      <c r="A548" s="10" t="s">
        <v>570</v>
      </c>
      <c r="B548" s="10">
        <v>92</v>
      </c>
      <c r="C548" s="10">
        <f t="shared" si="8"/>
        <v>92</v>
      </c>
    </row>
    <row r="549" spans="1:3">
      <c r="A549" s="10" t="s">
        <v>571</v>
      </c>
      <c r="B549" s="10">
        <v>175</v>
      </c>
      <c r="C549" s="10">
        <f t="shared" si="8"/>
        <v>175</v>
      </c>
    </row>
    <row r="550" spans="1:3">
      <c r="A550" s="10" t="s">
        <v>572</v>
      </c>
      <c r="B550" s="10">
        <v>337</v>
      </c>
      <c r="C550" s="10">
        <f t="shared" si="8"/>
        <v>337</v>
      </c>
    </row>
    <row r="551" spans="1:3">
      <c r="A551" s="10" t="s">
        <v>573</v>
      </c>
      <c r="B551" s="10">
        <v>83</v>
      </c>
      <c r="C551" s="10">
        <f t="shared" si="8"/>
        <v>83</v>
      </c>
    </row>
    <row r="552" spans="1:3">
      <c r="A552" s="10" t="s">
        <v>574</v>
      </c>
      <c r="B552" s="10">
        <v>677</v>
      </c>
      <c r="C552" s="10">
        <f t="shared" si="8"/>
        <v>677</v>
      </c>
    </row>
    <row r="553" spans="1:3">
      <c r="A553" s="10" t="s">
        <v>575</v>
      </c>
      <c r="B553" s="10">
        <v>482</v>
      </c>
      <c r="C553" s="10">
        <f t="shared" si="8"/>
        <v>482</v>
      </c>
    </row>
    <row r="554" spans="1:3">
      <c r="A554" s="10" t="s">
        <v>576</v>
      </c>
      <c r="B554" s="10">
        <v>75</v>
      </c>
      <c r="C554" s="10">
        <f t="shared" si="8"/>
        <v>75</v>
      </c>
    </row>
    <row r="555" spans="1:3">
      <c r="A555" s="10" t="s">
        <v>577</v>
      </c>
      <c r="B555" s="10">
        <v>120</v>
      </c>
      <c r="C555" s="10">
        <f t="shared" si="8"/>
        <v>120</v>
      </c>
    </row>
    <row r="556" spans="1:3">
      <c r="A556" s="10" t="s">
        <v>578</v>
      </c>
      <c r="B556" s="10">
        <v>71</v>
      </c>
      <c r="C556" s="10">
        <f t="shared" si="8"/>
        <v>71</v>
      </c>
    </row>
    <row r="557" spans="1:3">
      <c r="A557" s="10" t="s">
        <v>579</v>
      </c>
      <c r="B557" s="10">
        <v>108</v>
      </c>
      <c r="C557" s="10">
        <f t="shared" si="8"/>
        <v>108</v>
      </c>
    </row>
    <row r="558" spans="1:3">
      <c r="A558" s="10" t="s">
        <v>580</v>
      </c>
      <c r="B558" s="10">
        <v>36</v>
      </c>
      <c r="C558" s="10">
        <f t="shared" si="8"/>
        <v>36</v>
      </c>
    </row>
    <row r="559" spans="1:3">
      <c r="A559" s="10" t="s">
        <v>581</v>
      </c>
      <c r="B559" s="10">
        <v>187</v>
      </c>
      <c r="C559" s="10">
        <f t="shared" si="8"/>
        <v>187</v>
      </c>
    </row>
    <row r="560" spans="1:3">
      <c r="A560" s="10" t="s">
        <v>582</v>
      </c>
      <c r="B560" s="10">
        <v>182</v>
      </c>
      <c r="C560" s="10">
        <f t="shared" si="8"/>
        <v>182</v>
      </c>
    </row>
    <row r="561" spans="1:3">
      <c r="A561" s="10" t="s">
        <v>583</v>
      </c>
      <c r="B561" s="10">
        <v>356</v>
      </c>
      <c r="C561" s="10">
        <f t="shared" si="8"/>
        <v>356</v>
      </c>
    </row>
    <row r="562" spans="1:3">
      <c r="A562" s="10" t="s">
        <v>584</v>
      </c>
      <c r="B562" s="10">
        <v>92</v>
      </c>
      <c r="C562" s="10">
        <f t="shared" si="8"/>
        <v>92</v>
      </c>
    </row>
    <row r="563" spans="1:3">
      <c r="A563" s="10" t="s">
        <v>585</v>
      </c>
      <c r="B563" s="10">
        <v>113</v>
      </c>
      <c r="C563" s="10">
        <f t="shared" si="8"/>
        <v>113</v>
      </c>
    </row>
    <row r="564" spans="1:3">
      <c r="A564" s="10" t="s">
        <v>586</v>
      </c>
      <c r="B564" s="10">
        <v>108</v>
      </c>
      <c r="C564" s="10">
        <f t="shared" si="8"/>
        <v>108</v>
      </c>
    </row>
    <row r="565" spans="1:3">
      <c r="A565" s="10" t="s">
        <v>587</v>
      </c>
      <c r="B565" s="10">
        <v>60</v>
      </c>
      <c r="C565" s="10">
        <f t="shared" si="8"/>
        <v>60</v>
      </c>
    </row>
    <row r="566" spans="1:3">
      <c r="A566" s="10" t="s">
        <v>588</v>
      </c>
      <c r="B566" s="10">
        <v>252</v>
      </c>
      <c r="C566" s="10">
        <f t="shared" si="8"/>
        <v>252</v>
      </c>
    </row>
    <row r="567" spans="1:3">
      <c r="A567" s="10" t="s">
        <v>589</v>
      </c>
      <c r="B567" s="10">
        <v>299</v>
      </c>
      <c r="C567" s="10">
        <f t="shared" si="8"/>
        <v>299</v>
      </c>
    </row>
    <row r="568" spans="1:3">
      <c r="A568" s="10" t="s">
        <v>590</v>
      </c>
      <c r="B568" s="10">
        <v>130</v>
      </c>
      <c r="C568" s="10">
        <f t="shared" si="8"/>
        <v>130</v>
      </c>
    </row>
    <row r="569" spans="1:3">
      <c r="A569" s="10" t="s">
        <v>591</v>
      </c>
      <c r="B569" s="10">
        <v>134</v>
      </c>
      <c r="C569" s="10">
        <f t="shared" si="8"/>
        <v>134</v>
      </c>
    </row>
    <row r="570" spans="1:3">
      <c r="A570" s="10" t="s">
        <v>592</v>
      </c>
      <c r="B570" s="10">
        <v>97</v>
      </c>
      <c r="C570" s="10">
        <f t="shared" si="8"/>
        <v>97</v>
      </c>
    </row>
    <row r="571" spans="1:3">
      <c r="A571" s="10" t="s">
        <v>593</v>
      </c>
      <c r="B571" s="10">
        <v>39</v>
      </c>
      <c r="C571" s="10">
        <f t="shared" si="8"/>
        <v>39</v>
      </c>
    </row>
    <row r="572" spans="1:3">
      <c r="A572" s="10" t="s">
        <v>594</v>
      </c>
      <c r="B572" s="10">
        <v>153</v>
      </c>
      <c r="C572" s="10">
        <f t="shared" si="8"/>
        <v>153</v>
      </c>
    </row>
    <row r="573" spans="1:3">
      <c r="A573" s="10" t="s">
        <v>595</v>
      </c>
      <c r="B573" s="10">
        <v>302</v>
      </c>
      <c r="C573" s="10">
        <f t="shared" si="8"/>
        <v>302</v>
      </c>
    </row>
    <row r="574" spans="1:3">
      <c r="A574" s="10" t="s">
        <v>596</v>
      </c>
      <c r="B574" s="10">
        <v>287</v>
      </c>
      <c r="C574" s="10">
        <f t="shared" si="8"/>
        <v>287</v>
      </c>
    </row>
    <row r="575" spans="1:3">
      <c r="A575" s="10" t="s">
        <v>597</v>
      </c>
      <c r="B575" s="10">
        <v>522</v>
      </c>
      <c r="C575" s="10">
        <f t="shared" si="8"/>
        <v>522</v>
      </c>
    </row>
    <row r="576" spans="1:3">
      <c r="A576" s="10" t="s">
        <v>598</v>
      </c>
      <c r="B576" s="10">
        <v>47</v>
      </c>
      <c r="C576" s="10">
        <f t="shared" si="8"/>
        <v>47</v>
      </c>
    </row>
    <row r="577" spans="1:3">
      <c r="A577" s="10" t="s">
        <v>599</v>
      </c>
      <c r="B577" s="10">
        <v>176</v>
      </c>
      <c r="C577" s="10">
        <f t="shared" si="8"/>
        <v>176</v>
      </c>
    </row>
    <row r="578" spans="1:3">
      <c r="A578" s="10" t="s">
        <v>600</v>
      </c>
      <c r="B578" s="10">
        <v>602</v>
      </c>
      <c r="C578" s="10">
        <f t="shared" si="8"/>
        <v>602</v>
      </c>
    </row>
    <row r="579" spans="1:3">
      <c r="A579" s="10" t="s">
        <v>601</v>
      </c>
      <c r="B579" s="10">
        <v>437</v>
      </c>
      <c r="C579" s="10">
        <f t="shared" ref="C579:C642" si="9">IF(B579="", $F$13, B579)</f>
        <v>437</v>
      </c>
    </row>
    <row r="580" spans="1:3">
      <c r="A580" s="10" t="s">
        <v>602</v>
      </c>
      <c r="B580" s="10">
        <v>117</v>
      </c>
      <c r="C580" s="10">
        <f t="shared" si="9"/>
        <v>117</v>
      </c>
    </row>
    <row r="581" spans="1:3">
      <c r="A581" s="10" t="s">
        <v>603</v>
      </c>
      <c r="B581" s="10">
        <v>96</v>
      </c>
      <c r="C581" s="10">
        <f t="shared" si="9"/>
        <v>96</v>
      </c>
    </row>
    <row r="582" spans="1:3">
      <c r="A582" s="10" t="s">
        <v>604</v>
      </c>
      <c r="B582" s="10">
        <v>248</v>
      </c>
      <c r="C582" s="10">
        <f t="shared" si="9"/>
        <v>248</v>
      </c>
    </row>
    <row r="583" spans="1:3">
      <c r="A583" s="10" t="s">
        <v>605</v>
      </c>
      <c r="B583" s="10">
        <v>113</v>
      </c>
      <c r="C583" s="10">
        <f t="shared" si="9"/>
        <v>113</v>
      </c>
    </row>
    <row r="584" spans="1:3">
      <c r="A584" s="10" t="s">
        <v>606</v>
      </c>
      <c r="B584" s="10">
        <v>520</v>
      </c>
      <c r="C584" s="10">
        <f t="shared" si="9"/>
        <v>520</v>
      </c>
    </row>
    <row r="585" spans="1:3">
      <c r="A585" s="10" t="s">
        <v>607</v>
      </c>
      <c r="B585" s="10">
        <v>413</v>
      </c>
      <c r="C585" s="10">
        <f t="shared" si="9"/>
        <v>413</v>
      </c>
    </row>
    <row r="586" spans="1:3">
      <c r="A586" s="10" t="s">
        <v>608</v>
      </c>
      <c r="B586" s="10">
        <v>69</v>
      </c>
      <c r="C586" s="10">
        <f t="shared" si="9"/>
        <v>69</v>
      </c>
    </row>
    <row r="587" spans="1:3">
      <c r="A587" s="10" t="s">
        <v>609</v>
      </c>
      <c r="B587" s="10">
        <v>144</v>
      </c>
      <c r="C587" s="10">
        <f t="shared" si="9"/>
        <v>144</v>
      </c>
    </row>
    <row r="588" spans="1:3">
      <c r="A588" s="10" t="s">
        <v>610</v>
      </c>
      <c r="B588" s="10">
        <v>53</v>
      </c>
      <c r="C588" s="10">
        <f t="shared" si="9"/>
        <v>53</v>
      </c>
    </row>
    <row r="589" spans="1:3">
      <c r="A589" s="10" t="s">
        <v>611</v>
      </c>
      <c r="B589" s="10">
        <v>164</v>
      </c>
      <c r="C589" s="10">
        <f t="shared" si="9"/>
        <v>164</v>
      </c>
    </row>
    <row r="590" spans="1:3">
      <c r="A590" s="10" t="s">
        <v>612</v>
      </c>
      <c r="B590" s="10">
        <v>413</v>
      </c>
      <c r="C590" s="10">
        <f t="shared" si="9"/>
        <v>413</v>
      </c>
    </row>
    <row r="591" spans="1:3">
      <c r="A591" s="10" t="s">
        <v>613</v>
      </c>
      <c r="B591" s="10">
        <v>108</v>
      </c>
      <c r="C591" s="10">
        <f t="shared" si="9"/>
        <v>108</v>
      </c>
    </row>
    <row r="592" spans="1:3">
      <c r="A592" s="10" t="s">
        <v>614</v>
      </c>
      <c r="B592" s="10">
        <v>143</v>
      </c>
      <c r="C592" s="10">
        <f t="shared" si="9"/>
        <v>143</v>
      </c>
    </row>
    <row r="593" spans="1:3">
      <c r="A593" s="10" t="s">
        <v>615</v>
      </c>
      <c r="B593" s="10">
        <v>57</v>
      </c>
      <c r="C593" s="10">
        <f t="shared" si="9"/>
        <v>57</v>
      </c>
    </row>
    <row r="594" spans="1:3">
      <c r="A594" s="10" t="s">
        <v>616</v>
      </c>
      <c r="B594" s="10">
        <v>231</v>
      </c>
      <c r="C594" s="10">
        <f t="shared" si="9"/>
        <v>231</v>
      </c>
    </row>
    <row r="595" spans="1:3">
      <c r="A595" s="10" t="s">
        <v>617</v>
      </c>
      <c r="B595" s="10">
        <v>294</v>
      </c>
      <c r="C595" s="10">
        <f t="shared" si="9"/>
        <v>294</v>
      </c>
    </row>
    <row r="596" spans="1:3">
      <c r="A596" s="10" t="s">
        <v>618</v>
      </c>
      <c r="B596" s="10">
        <v>114</v>
      </c>
      <c r="C596" s="10">
        <f t="shared" si="9"/>
        <v>114</v>
      </c>
    </row>
    <row r="597" spans="1:3">
      <c r="A597" s="10" t="s">
        <v>619</v>
      </c>
      <c r="B597" s="10">
        <v>389</v>
      </c>
      <c r="C597" s="10">
        <f t="shared" si="9"/>
        <v>389</v>
      </c>
    </row>
    <row r="598" spans="1:3">
      <c r="A598" s="10" t="s">
        <v>620</v>
      </c>
      <c r="B598" s="10">
        <v>36</v>
      </c>
      <c r="C598" s="10">
        <f t="shared" si="9"/>
        <v>36</v>
      </c>
    </row>
    <row r="599" spans="1:3">
      <c r="A599" s="10" t="s">
        <v>621</v>
      </c>
      <c r="B599" s="10">
        <v>228</v>
      </c>
      <c r="C599" s="10">
        <f t="shared" si="9"/>
        <v>228</v>
      </c>
    </row>
    <row r="600" spans="1:3">
      <c r="A600" s="10" t="s">
        <v>622</v>
      </c>
      <c r="C600" s="10">
        <f t="shared" si="9"/>
        <v>113</v>
      </c>
    </row>
    <row r="601" spans="1:3">
      <c r="A601" s="10" t="s">
        <v>623</v>
      </c>
      <c r="B601" s="10">
        <v>114</v>
      </c>
      <c r="C601" s="10">
        <f t="shared" si="9"/>
        <v>114</v>
      </c>
    </row>
    <row r="602" spans="1:3">
      <c r="A602" s="10" t="s">
        <v>624</v>
      </c>
      <c r="B602" s="10">
        <v>576</v>
      </c>
      <c r="C602" s="10">
        <f t="shared" si="9"/>
        <v>576</v>
      </c>
    </row>
    <row r="603" spans="1:3">
      <c r="A603" s="10" t="s">
        <v>625</v>
      </c>
      <c r="B603" s="10">
        <v>579</v>
      </c>
      <c r="C603" s="10">
        <f t="shared" si="9"/>
        <v>579</v>
      </c>
    </row>
    <row r="604" spans="1:3">
      <c r="A604" s="10" t="s">
        <v>626</v>
      </c>
      <c r="B604" s="10">
        <v>85</v>
      </c>
      <c r="C604" s="10">
        <f t="shared" si="9"/>
        <v>85</v>
      </c>
    </row>
    <row r="605" spans="1:3">
      <c r="A605" s="10" t="s">
        <v>627</v>
      </c>
      <c r="B605" s="10">
        <v>68</v>
      </c>
      <c r="C605" s="10">
        <f t="shared" si="9"/>
        <v>68</v>
      </c>
    </row>
    <row r="606" spans="1:3">
      <c r="A606" s="10" t="s">
        <v>629</v>
      </c>
      <c r="B606" s="10">
        <v>98</v>
      </c>
      <c r="C606" s="10">
        <f t="shared" si="9"/>
        <v>98</v>
      </c>
    </row>
    <row r="607" spans="1:3">
      <c r="A607" s="10" t="s">
        <v>630</v>
      </c>
      <c r="B607" s="10">
        <v>80</v>
      </c>
      <c r="C607" s="10">
        <f t="shared" si="9"/>
        <v>80</v>
      </c>
    </row>
    <row r="608" spans="1:3">
      <c r="A608" s="10" t="s">
        <v>631</v>
      </c>
      <c r="B608" s="10">
        <v>124</v>
      </c>
      <c r="C608" s="10">
        <f t="shared" si="9"/>
        <v>124</v>
      </c>
    </row>
    <row r="609" spans="1:3">
      <c r="A609" s="10" t="s">
        <v>632</v>
      </c>
      <c r="B609" s="10">
        <v>136</v>
      </c>
      <c r="C609" s="10">
        <f t="shared" si="9"/>
        <v>136</v>
      </c>
    </row>
    <row r="610" spans="1:3">
      <c r="A610" s="10" t="s">
        <v>633</v>
      </c>
      <c r="B610" s="10">
        <v>97</v>
      </c>
      <c r="C610" s="10">
        <f t="shared" si="9"/>
        <v>97</v>
      </c>
    </row>
    <row r="611" spans="1:3">
      <c r="A611" s="10" t="s">
        <v>634</v>
      </c>
      <c r="B611" s="10">
        <v>120</v>
      </c>
      <c r="C611" s="10">
        <f t="shared" si="9"/>
        <v>120</v>
      </c>
    </row>
    <row r="612" spans="1:3">
      <c r="A612" s="10" t="s">
        <v>635</v>
      </c>
      <c r="B612" s="10">
        <v>142</v>
      </c>
      <c r="C612" s="10">
        <f t="shared" si="9"/>
        <v>142</v>
      </c>
    </row>
    <row r="613" spans="1:3">
      <c r="A613" s="10" t="s">
        <v>636</v>
      </c>
      <c r="B613" s="10">
        <v>102</v>
      </c>
      <c r="C613" s="10">
        <f t="shared" si="9"/>
        <v>102</v>
      </c>
    </row>
    <row r="614" spans="1:3">
      <c r="A614" s="10" t="s">
        <v>637</v>
      </c>
      <c r="B614" s="10">
        <v>84</v>
      </c>
      <c r="C614" s="10">
        <f t="shared" si="9"/>
        <v>84</v>
      </c>
    </row>
    <row r="615" spans="1:3">
      <c r="A615" s="10" t="s">
        <v>638</v>
      </c>
      <c r="B615" s="10">
        <v>104</v>
      </c>
      <c r="C615" s="10">
        <f t="shared" si="9"/>
        <v>104</v>
      </c>
    </row>
    <row r="616" spans="1:3">
      <c r="A616" s="10" t="s">
        <v>639</v>
      </c>
      <c r="B616" s="10">
        <v>106</v>
      </c>
      <c r="C616" s="10">
        <f t="shared" si="9"/>
        <v>106</v>
      </c>
    </row>
    <row r="617" spans="1:3">
      <c r="A617" s="10" t="s">
        <v>640</v>
      </c>
      <c r="B617" s="10">
        <v>128</v>
      </c>
      <c r="C617" s="10">
        <f t="shared" si="9"/>
        <v>128</v>
      </c>
    </row>
    <row r="618" spans="1:3">
      <c r="A618" s="10" t="s">
        <v>641</v>
      </c>
      <c r="B618" s="10">
        <v>98</v>
      </c>
      <c r="C618" s="10">
        <f t="shared" si="9"/>
        <v>98</v>
      </c>
    </row>
    <row r="619" spans="1:3">
      <c r="A619" s="10" t="s">
        <v>642</v>
      </c>
      <c r="B619" s="10">
        <v>76</v>
      </c>
      <c r="C619" s="10">
        <f t="shared" si="9"/>
        <v>76</v>
      </c>
    </row>
    <row r="620" spans="1:3">
      <c r="A620" s="10" t="s">
        <v>643</v>
      </c>
      <c r="B620" s="10">
        <v>206</v>
      </c>
      <c r="C620" s="10">
        <f t="shared" si="9"/>
        <v>206</v>
      </c>
    </row>
    <row r="621" spans="1:3">
      <c r="A621" s="10" t="s">
        <v>644</v>
      </c>
      <c r="B621" s="10">
        <v>114</v>
      </c>
      <c r="C621" s="10">
        <f t="shared" si="9"/>
        <v>114</v>
      </c>
    </row>
    <row r="622" spans="1:3">
      <c r="A622" s="10" t="s">
        <v>645</v>
      </c>
      <c r="B622" s="10">
        <v>71</v>
      </c>
      <c r="C622" s="10">
        <f t="shared" si="9"/>
        <v>71</v>
      </c>
    </row>
    <row r="623" spans="1:3">
      <c r="A623" s="10" t="s">
        <v>646</v>
      </c>
      <c r="B623" s="10">
        <v>121</v>
      </c>
      <c r="C623" s="10">
        <f t="shared" si="9"/>
        <v>121</v>
      </c>
    </row>
    <row r="624" spans="1:3">
      <c r="A624" s="10" t="s">
        <v>647</v>
      </c>
      <c r="B624" s="10">
        <v>99</v>
      </c>
      <c r="C624" s="10">
        <f t="shared" si="9"/>
        <v>99</v>
      </c>
    </row>
    <row r="625" spans="1:3">
      <c r="A625" s="10" t="s">
        <v>648</v>
      </c>
      <c r="B625" s="10">
        <v>185</v>
      </c>
      <c r="C625" s="10">
        <f t="shared" si="9"/>
        <v>185</v>
      </c>
    </row>
    <row r="626" spans="1:3">
      <c r="A626" s="10" t="s">
        <v>649</v>
      </c>
      <c r="B626" s="10">
        <v>52</v>
      </c>
      <c r="C626" s="10">
        <f t="shared" si="9"/>
        <v>52</v>
      </c>
    </row>
    <row r="627" spans="1:3">
      <c r="A627" s="10" t="s">
        <v>651</v>
      </c>
      <c r="B627" s="10">
        <v>68</v>
      </c>
      <c r="C627" s="10">
        <f t="shared" si="9"/>
        <v>68</v>
      </c>
    </row>
    <row r="628" spans="1:3">
      <c r="A628" s="10" t="s">
        <v>652</v>
      </c>
      <c r="B628" s="10">
        <v>194</v>
      </c>
      <c r="C628" s="10">
        <f t="shared" si="9"/>
        <v>194</v>
      </c>
    </row>
    <row r="629" spans="1:3">
      <c r="A629" s="10" t="s">
        <v>653</v>
      </c>
      <c r="B629" s="10">
        <v>133</v>
      </c>
      <c r="C629" s="10">
        <f t="shared" si="9"/>
        <v>133</v>
      </c>
    </row>
    <row r="630" spans="1:3">
      <c r="A630" s="10" t="s">
        <v>654</v>
      </c>
      <c r="B630" s="10">
        <v>126</v>
      </c>
      <c r="C630" s="10">
        <f t="shared" si="9"/>
        <v>126</v>
      </c>
    </row>
    <row r="631" spans="1:3">
      <c r="A631" s="10" t="s">
        <v>655</v>
      </c>
      <c r="B631" s="10">
        <v>226</v>
      </c>
      <c r="C631" s="10">
        <f t="shared" si="9"/>
        <v>226</v>
      </c>
    </row>
    <row r="632" spans="1:3">
      <c r="A632" s="10" t="s">
        <v>656</v>
      </c>
      <c r="B632" s="10">
        <v>74</v>
      </c>
      <c r="C632" s="10">
        <f t="shared" si="9"/>
        <v>74</v>
      </c>
    </row>
    <row r="633" spans="1:3">
      <c r="A633" s="10" t="s">
        <v>657</v>
      </c>
      <c r="B633" s="10">
        <v>54</v>
      </c>
      <c r="C633" s="10">
        <f t="shared" si="9"/>
        <v>54</v>
      </c>
    </row>
    <row r="634" spans="1:3">
      <c r="A634" s="10" t="s">
        <v>658</v>
      </c>
      <c r="B634" s="10">
        <v>88</v>
      </c>
      <c r="C634" s="10">
        <f t="shared" si="9"/>
        <v>88</v>
      </c>
    </row>
    <row r="635" spans="1:3">
      <c r="A635" s="10" t="s">
        <v>659</v>
      </c>
      <c r="B635" s="10">
        <v>104</v>
      </c>
      <c r="C635" s="10">
        <f t="shared" si="9"/>
        <v>104</v>
      </c>
    </row>
    <row r="636" spans="1:3">
      <c r="A636" s="10" t="s">
        <v>660</v>
      </c>
      <c r="B636" s="10">
        <v>123</v>
      </c>
      <c r="C636" s="10">
        <f t="shared" si="9"/>
        <v>123</v>
      </c>
    </row>
    <row r="637" spans="1:3">
      <c r="A637" s="10" t="s">
        <v>661</v>
      </c>
      <c r="B637" s="10">
        <v>87</v>
      </c>
      <c r="C637" s="10">
        <f t="shared" si="9"/>
        <v>87</v>
      </c>
    </row>
    <row r="638" spans="1:3">
      <c r="A638" s="10" t="s">
        <v>662</v>
      </c>
      <c r="B638" s="10">
        <v>71</v>
      </c>
      <c r="C638" s="10">
        <f t="shared" si="9"/>
        <v>71</v>
      </c>
    </row>
    <row r="639" spans="1:3">
      <c r="A639" s="10" t="s">
        <v>663</v>
      </c>
      <c r="B639" s="10">
        <v>129</v>
      </c>
      <c r="C639" s="10">
        <f t="shared" si="9"/>
        <v>129</v>
      </c>
    </row>
    <row r="640" spans="1:3">
      <c r="A640" s="10" t="s">
        <v>664</v>
      </c>
      <c r="B640" s="10">
        <v>311</v>
      </c>
      <c r="C640" s="10">
        <f t="shared" si="9"/>
        <v>311</v>
      </c>
    </row>
    <row r="641" spans="1:3">
      <c r="A641" s="10" t="s">
        <v>665</v>
      </c>
      <c r="B641" s="10">
        <v>177</v>
      </c>
      <c r="C641" s="10">
        <f t="shared" si="9"/>
        <v>177</v>
      </c>
    </row>
    <row r="642" spans="1:3">
      <c r="A642" s="10" t="s">
        <v>666</v>
      </c>
      <c r="C642" s="10">
        <f t="shared" si="9"/>
        <v>113</v>
      </c>
    </row>
    <row r="643" spans="1:3">
      <c r="A643" s="10" t="s">
        <v>667</v>
      </c>
      <c r="B643" s="10">
        <v>203</v>
      </c>
      <c r="C643" s="10">
        <f t="shared" ref="C643:C683" si="10">IF(B643="", $F$13, B643)</f>
        <v>203</v>
      </c>
    </row>
    <row r="644" spans="1:3">
      <c r="A644" s="10" t="s">
        <v>668</v>
      </c>
      <c r="B644" s="10">
        <v>43</v>
      </c>
      <c r="C644" s="10">
        <f t="shared" si="10"/>
        <v>43</v>
      </c>
    </row>
    <row r="645" spans="1:3">
      <c r="A645" s="10" t="s">
        <v>669</v>
      </c>
      <c r="B645" s="10">
        <v>62</v>
      </c>
      <c r="C645" s="10">
        <f t="shared" si="10"/>
        <v>62</v>
      </c>
    </row>
    <row r="646" spans="1:3">
      <c r="A646" s="10" t="s">
        <v>670</v>
      </c>
      <c r="B646" s="10">
        <v>96</v>
      </c>
      <c r="C646" s="10">
        <f t="shared" si="10"/>
        <v>96</v>
      </c>
    </row>
    <row r="647" spans="1:3">
      <c r="A647" s="10" t="s">
        <v>671</v>
      </c>
      <c r="B647" s="10">
        <v>119</v>
      </c>
      <c r="C647" s="10">
        <f t="shared" si="10"/>
        <v>119</v>
      </c>
    </row>
    <row r="648" spans="1:3">
      <c r="A648" s="10" t="s">
        <v>672</v>
      </c>
      <c r="B648" s="10">
        <v>234</v>
      </c>
      <c r="C648" s="10">
        <f t="shared" si="10"/>
        <v>234</v>
      </c>
    </row>
    <row r="649" spans="1:3">
      <c r="A649" s="10" t="s">
        <v>673</v>
      </c>
      <c r="B649" s="10">
        <v>182</v>
      </c>
      <c r="C649" s="10">
        <f t="shared" si="10"/>
        <v>182</v>
      </c>
    </row>
    <row r="650" spans="1:3">
      <c r="A650" s="10" t="s">
        <v>674</v>
      </c>
      <c r="B650" s="10">
        <v>43</v>
      </c>
      <c r="C650" s="10">
        <f t="shared" si="10"/>
        <v>43</v>
      </c>
    </row>
    <row r="651" spans="1:3">
      <c r="A651" s="10" t="s">
        <v>675</v>
      </c>
      <c r="B651" s="10">
        <v>73</v>
      </c>
      <c r="C651" s="10">
        <f t="shared" si="10"/>
        <v>73</v>
      </c>
    </row>
    <row r="652" spans="1:3">
      <c r="A652" s="10" t="s">
        <v>676</v>
      </c>
      <c r="B652" s="10">
        <v>52</v>
      </c>
      <c r="C652" s="10">
        <f t="shared" si="10"/>
        <v>52</v>
      </c>
    </row>
    <row r="653" spans="1:3">
      <c r="A653" s="10" t="s">
        <v>677</v>
      </c>
      <c r="B653" s="10">
        <v>141</v>
      </c>
      <c r="C653" s="10">
        <f t="shared" si="10"/>
        <v>141</v>
      </c>
    </row>
    <row r="654" spans="1:3">
      <c r="A654" s="10" t="s">
        <v>678</v>
      </c>
      <c r="B654" s="10">
        <v>187</v>
      </c>
      <c r="C654" s="10">
        <f t="shared" si="10"/>
        <v>187</v>
      </c>
    </row>
    <row r="655" spans="1:3">
      <c r="A655" s="10" t="s">
        <v>679</v>
      </c>
      <c r="B655" s="10">
        <v>33</v>
      </c>
      <c r="C655" s="10">
        <f t="shared" si="10"/>
        <v>33</v>
      </c>
    </row>
    <row r="656" spans="1:3">
      <c r="A656" s="10" t="s">
        <v>680</v>
      </c>
      <c r="B656" s="10">
        <v>58</v>
      </c>
      <c r="C656" s="10">
        <f t="shared" si="10"/>
        <v>58</v>
      </c>
    </row>
    <row r="657" spans="1:3">
      <c r="A657" s="10" t="s">
        <v>681</v>
      </c>
      <c r="B657" s="10">
        <v>120</v>
      </c>
      <c r="C657" s="10">
        <f t="shared" si="10"/>
        <v>120</v>
      </c>
    </row>
    <row r="658" spans="1:3">
      <c r="A658" s="10" t="s">
        <v>682</v>
      </c>
      <c r="B658" s="10">
        <v>107</v>
      </c>
      <c r="C658" s="10">
        <f t="shared" si="10"/>
        <v>107</v>
      </c>
    </row>
    <row r="659" spans="1:3">
      <c r="A659" s="10" t="s">
        <v>683</v>
      </c>
      <c r="B659" s="10">
        <v>57</v>
      </c>
      <c r="C659" s="10">
        <f t="shared" si="10"/>
        <v>57</v>
      </c>
    </row>
    <row r="660" spans="1:3">
      <c r="A660" s="10" t="s">
        <v>684</v>
      </c>
      <c r="B660" s="10">
        <v>50</v>
      </c>
      <c r="C660" s="10">
        <f t="shared" si="10"/>
        <v>50</v>
      </c>
    </row>
    <row r="661" spans="1:3">
      <c r="A661" s="10" t="s">
        <v>685</v>
      </c>
      <c r="B661" s="10">
        <v>75</v>
      </c>
      <c r="C661" s="10">
        <f t="shared" si="10"/>
        <v>75</v>
      </c>
    </row>
    <row r="662" spans="1:3">
      <c r="A662" s="10" t="s">
        <v>686</v>
      </c>
      <c r="B662" s="10">
        <v>250</v>
      </c>
      <c r="C662" s="10">
        <f t="shared" si="10"/>
        <v>250</v>
      </c>
    </row>
    <row r="663" spans="1:3">
      <c r="A663" s="10" t="s">
        <v>687</v>
      </c>
      <c r="B663" s="10">
        <v>104</v>
      </c>
      <c r="C663" s="10">
        <f t="shared" si="10"/>
        <v>104</v>
      </c>
    </row>
    <row r="664" spans="1:3">
      <c r="A664" s="10" t="s">
        <v>688</v>
      </c>
      <c r="B664" s="10">
        <v>58</v>
      </c>
      <c r="C664" s="10">
        <f t="shared" si="10"/>
        <v>58</v>
      </c>
    </row>
    <row r="665" spans="1:3">
      <c r="A665" s="10" t="s">
        <v>689</v>
      </c>
      <c r="B665" s="10">
        <v>83</v>
      </c>
      <c r="C665" s="10">
        <f t="shared" si="10"/>
        <v>83</v>
      </c>
    </row>
    <row r="666" spans="1:3">
      <c r="A666" s="10" t="s">
        <v>690</v>
      </c>
      <c r="B666" s="10">
        <v>51</v>
      </c>
      <c r="C666" s="10">
        <f t="shared" si="10"/>
        <v>51</v>
      </c>
    </row>
    <row r="667" spans="1:3">
      <c r="A667" s="10" t="s">
        <v>691</v>
      </c>
      <c r="B667" s="10">
        <v>47</v>
      </c>
      <c r="C667" s="10">
        <f t="shared" si="10"/>
        <v>47</v>
      </c>
    </row>
    <row r="668" spans="1:3">
      <c r="A668" s="10" t="s">
        <v>692</v>
      </c>
      <c r="B668" s="10">
        <v>114</v>
      </c>
      <c r="C668" s="10">
        <f t="shared" si="10"/>
        <v>114</v>
      </c>
    </row>
    <row r="669" spans="1:3">
      <c r="A669" s="10" t="s">
        <v>693</v>
      </c>
      <c r="B669" s="10">
        <v>64</v>
      </c>
      <c r="C669" s="10">
        <f t="shared" si="10"/>
        <v>64</v>
      </c>
    </row>
    <row r="670" spans="1:3">
      <c r="A670" s="10" t="s">
        <v>694</v>
      </c>
      <c r="B670" s="10">
        <v>50</v>
      </c>
      <c r="C670" s="10">
        <f t="shared" si="10"/>
        <v>50</v>
      </c>
    </row>
    <row r="671" spans="1:3">
      <c r="A671" s="10" t="s">
        <v>695</v>
      </c>
      <c r="B671" s="10">
        <v>30</v>
      </c>
      <c r="C671" s="10">
        <f t="shared" si="10"/>
        <v>30</v>
      </c>
    </row>
    <row r="672" spans="1:3">
      <c r="A672" s="10" t="s">
        <v>696</v>
      </c>
      <c r="B672" s="10">
        <v>89</v>
      </c>
      <c r="C672" s="10">
        <f t="shared" si="10"/>
        <v>89</v>
      </c>
    </row>
    <row r="673" spans="1:3">
      <c r="A673" s="10" t="s">
        <v>697</v>
      </c>
      <c r="B673" s="10">
        <v>51</v>
      </c>
      <c r="C673" s="10">
        <f t="shared" si="10"/>
        <v>51</v>
      </c>
    </row>
    <row r="674" spans="1:3">
      <c r="A674" s="10" t="s">
        <v>698</v>
      </c>
      <c r="B674" s="10">
        <v>93</v>
      </c>
      <c r="C674" s="10">
        <f t="shared" si="10"/>
        <v>93</v>
      </c>
    </row>
    <row r="675" spans="1:3">
      <c r="A675" s="10" t="s">
        <v>699</v>
      </c>
      <c r="B675" s="10">
        <v>57</v>
      </c>
      <c r="C675" s="10">
        <f t="shared" si="10"/>
        <v>57</v>
      </c>
    </row>
    <row r="676" spans="1:3">
      <c r="A676" s="10" t="s">
        <v>700</v>
      </c>
      <c r="B676" s="10">
        <v>116</v>
      </c>
      <c r="C676" s="10">
        <f t="shared" si="10"/>
        <v>116</v>
      </c>
    </row>
    <row r="677" spans="1:3">
      <c r="A677" s="10" t="s">
        <v>701</v>
      </c>
      <c r="B677" s="10">
        <v>56</v>
      </c>
      <c r="C677" s="10">
        <f t="shared" si="10"/>
        <v>56</v>
      </c>
    </row>
    <row r="678" spans="1:3">
      <c r="A678" s="10" t="s">
        <v>702</v>
      </c>
      <c r="B678" s="10">
        <v>61</v>
      </c>
      <c r="C678" s="10">
        <f t="shared" si="10"/>
        <v>61</v>
      </c>
    </row>
    <row r="679" spans="1:3">
      <c r="A679" s="10" t="s">
        <v>703</v>
      </c>
      <c r="B679" s="10">
        <v>66</v>
      </c>
      <c r="C679" s="10">
        <f t="shared" si="10"/>
        <v>66</v>
      </c>
    </row>
    <row r="680" spans="1:3">
      <c r="A680" s="10" t="s">
        <v>704</v>
      </c>
      <c r="B680" s="10">
        <v>43</v>
      </c>
      <c r="C680" s="10">
        <f t="shared" si="10"/>
        <v>43</v>
      </c>
    </row>
    <row r="681" spans="1:3">
      <c r="A681" s="10" t="s">
        <v>705</v>
      </c>
      <c r="B681" s="10">
        <v>100</v>
      </c>
      <c r="C681" s="10">
        <f t="shared" si="10"/>
        <v>100</v>
      </c>
    </row>
    <row r="682" spans="1:3">
      <c r="A682" s="10" t="s">
        <v>706</v>
      </c>
      <c r="B682" s="10">
        <v>90</v>
      </c>
      <c r="C682" s="10">
        <f t="shared" si="10"/>
        <v>90</v>
      </c>
    </row>
    <row r="683" spans="1:3">
      <c r="A683" s="10" t="s">
        <v>707</v>
      </c>
      <c r="B683" s="10">
        <v>112</v>
      </c>
      <c r="C683" s="10">
        <f t="shared" si="10"/>
        <v>112</v>
      </c>
    </row>
  </sheetData>
  <phoneticPr fontId="2"/>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9C25-C0FB-43AE-ADF7-7457922ACFB0}">
  <dimension ref="A1:J1370"/>
  <sheetViews>
    <sheetView workbookViewId="0">
      <selection activeCell="I12" sqref="I12"/>
    </sheetView>
  </sheetViews>
  <sheetFormatPr defaultColWidth="12.25" defaultRowHeight="18.75"/>
  <cols>
    <col min="1" max="1" width="10.125" style="10" bestFit="1" customWidth="1"/>
    <col min="2" max="2" width="16.875" style="10" bestFit="1" customWidth="1"/>
    <col min="3" max="3" width="16.625" style="10" bestFit="1" customWidth="1"/>
    <col min="4" max="5" width="12.25" style="10"/>
    <col min="6" max="6" width="25.25" style="10" customWidth="1"/>
    <col min="7" max="7" width="12.25" style="10"/>
    <col min="8" max="8" width="11.25" style="10" bestFit="1" customWidth="1"/>
    <col min="9" max="9" width="13.75" style="10" bestFit="1" customWidth="1"/>
    <col min="10" max="16384" width="12.25" style="10"/>
  </cols>
  <sheetData>
    <row r="1" spans="1:10">
      <c r="A1" s="10" t="s">
        <v>3</v>
      </c>
      <c r="B1" s="10" t="s">
        <v>5</v>
      </c>
      <c r="C1" s="10" t="s">
        <v>907</v>
      </c>
    </row>
    <row r="2" spans="1:10">
      <c r="A2" s="10" t="s">
        <v>11</v>
      </c>
      <c r="B2" s="10" t="s">
        <v>13</v>
      </c>
      <c r="C2" s="10" t="str">
        <f>IF(B2="通常価格", "定価", IF(B2="割引価格", "割引", B2))</f>
        <v>定価</v>
      </c>
      <c r="E2" s="10" t="s">
        <v>908</v>
      </c>
    </row>
    <row r="3" spans="1:10">
      <c r="A3" s="10" t="s">
        <v>14</v>
      </c>
      <c r="B3" s="10" t="s">
        <v>13</v>
      </c>
      <c r="C3" s="10" t="str">
        <f t="shared" ref="C3:C66" si="0">IF(B3="通常価格", "定価", IF(B3="割引価格", "割引", B3))</f>
        <v>定価</v>
      </c>
    </row>
    <row r="4" spans="1:10">
      <c r="A4" s="10" t="s">
        <v>15</v>
      </c>
      <c r="B4" s="10" t="s">
        <v>16</v>
      </c>
      <c r="C4" s="10" t="str">
        <f t="shared" si="0"/>
        <v>割引</v>
      </c>
      <c r="E4" s="10" t="s">
        <v>909</v>
      </c>
      <c r="H4" s="10" t="s">
        <v>910</v>
      </c>
    </row>
    <row r="5" spans="1:10">
      <c r="A5" s="10" t="s">
        <v>17</v>
      </c>
      <c r="B5" s="10" t="s">
        <v>13</v>
      </c>
      <c r="C5" s="10" t="str">
        <f t="shared" si="0"/>
        <v>定価</v>
      </c>
      <c r="E5" s="20" t="s">
        <v>733</v>
      </c>
      <c r="F5" s="10" t="s">
        <v>911</v>
      </c>
      <c r="H5" s="12" t="s">
        <v>733</v>
      </c>
      <c r="I5" t="s">
        <v>743</v>
      </c>
      <c r="J5"/>
    </row>
    <row r="6" spans="1:10">
      <c r="A6" s="10" t="s">
        <v>18</v>
      </c>
      <c r="B6" s="10" t="s">
        <v>13</v>
      </c>
      <c r="C6" s="10" t="str">
        <f t="shared" si="0"/>
        <v>定価</v>
      </c>
      <c r="E6" s="15" t="s">
        <v>13</v>
      </c>
      <c r="F6" s="10">
        <v>475</v>
      </c>
      <c r="H6" s="13" t="s">
        <v>20</v>
      </c>
      <c r="I6">
        <v>189</v>
      </c>
      <c r="J6"/>
    </row>
    <row r="7" spans="1:10">
      <c r="A7" s="10" t="s">
        <v>19</v>
      </c>
      <c r="B7" s="10" t="s">
        <v>20</v>
      </c>
      <c r="C7" s="10" t="str">
        <f t="shared" si="0"/>
        <v>割引</v>
      </c>
      <c r="E7" s="15" t="s">
        <v>20</v>
      </c>
      <c r="F7" s="10">
        <v>178</v>
      </c>
      <c r="H7" s="13" t="s">
        <v>13</v>
      </c>
      <c r="I7">
        <v>493</v>
      </c>
      <c r="J7"/>
    </row>
    <row r="8" spans="1:10">
      <c r="A8" s="10" t="s">
        <v>21</v>
      </c>
      <c r="B8" s="10" t="s">
        <v>13</v>
      </c>
      <c r="C8" s="10" t="str">
        <f t="shared" si="0"/>
        <v>定価</v>
      </c>
      <c r="E8" s="15" t="s">
        <v>32</v>
      </c>
      <c r="F8" s="10">
        <v>18</v>
      </c>
      <c r="H8" s="13" t="s">
        <v>742</v>
      </c>
      <c r="I8">
        <v>682</v>
      </c>
      <c r="J8"/>
    </row>
    <row r="9" spans="1:10">
      <c r="A9" s="10" t="s">
        <v>22</v>
      </c>
      <c r="B9" s="10" t="s">
        <v>20</v>
      </c>
      <c r="C9" s="10" t="str">
        <f t="shared" si="0"/>
        <v>割引</v>
      </c>
      <c r="E9" s="15" t="s">
        <v>16</v>
      </c>
      <c r="F9" s="10">
        <v>11</v>
      </c>
      <c r="H9"/>
      <c r="I9"/>
      <c r="J9"/>
    </row>
    <row r="10" spans="1:10">
      <c r="A10" s="10" t="s">
        <v>23</v>
      </c>
      <c r="B10" s="10" t="s">
        <v>20</v>
      </c>
      <c r="C10" s="10" t="str">
        <f t="shared" si="0"/>
        <v>割引</v>
      </c>
      <c r="E10" s="15" t="s">
        <v>741</v>
      </c>
      <c r="H10"/>
      <c r="I10"/>
      <c r="J10"/>
    </row>
    <row r="11" spans="1:10">
      <c r="A11" s="10" t="s">
        <v>24</v>
      </c>
      <c r="B11" s="10" t="s">
        <v>13</v>
      </c>
      <c r="C11" s="10" t="str">
        <f t="shared" si="0"/>
        <v>定価</v>
      </c>
      <c r="E11" s="15" t="s">
        <v>742</v>
      </c>
      <c r="F11" s="10">
        <v>682</v>
      </c>
      <c r="H11"/>
      <c r="I11"/>
      <c r="J11"/>
    </row>
    <row r="12" spans="1:10">
      <c r="A12" s="10" t="s">
        <v>25</v>
      </c>
      <c r="B12" s="10" t="s">
        <v>20</v>
      </c>
      <c r="C12" s="10" t="str">
        <f t="shared" si="0"/>
        <v>割引</v>
      </c>
      <c r="H12"/>
      <c r="I12"/>
      <c r="J12"/>
    </row>
    <row r="13" spans="1:10">
      <c r="A13" s="10" t="s">
        <v>26</v>
      </c>
      <c r="B13" s="10" t="s">
        <v>13</v>
      </c>
      <c r="C13" s="10" t="str">
        <f t="shared" si="0"/>
        <v>定価</v>
      </c>
      <c r="H13"/>
      <c r="I13"/>
      <c r="J13"/>
    </row>
    <row r="14" spans="1:10">
      <c r="A14" s="10" t="s">
        <v>27</v>
      </c>
      <c r="B14" s="10" t="s">
        <v>13</v>
      </c>
      <c r="C14" s="10" t="str">
        <f t="shared" si="0"/>
        <v>定価</v>
      </c>
      <c r="H14"/>
      <c r="I14"/>
      <c r="J14"/>
    </row>
    <row r="15" spans="1:10">
      <c r="A15" s="10" t="s">
        <v>28</v>
      </c>
      <c r="B15" s="10" t="s">
        <v>13</v>
      </c>
      <c r="C15" s="10" t="str">
        <f t="shared" si="0"/>
        <v>定価</v>
      </c>
      <c r="H15"/>
      <c r="I15"/>
      <c r="J15"/>
    </row>
    <row r="16" spans="1:10">
      <c r="A16" s="10" t="s">
        <v>29</v>
      </c>
      <c r="B16" s="10" t="s">
        <v>13</v>
      </c>
      <c r="C16" s="10" t="str">
        <f t="shared" si="0"/>
        <v>定価</v>
      </c>
      <c r="H16"/>
      <c r="I16"/>
      <c r="J16"/>
    </row>
    <row r="17" spans="1:10">
      <c r="A17" s="10" t="s">
        <v>30</v>
      </c>
      <c r="B17" s="10" t="s">
        <v>32</v>
      </c>
      <c r="C17" s="10" t="str">
        <f t="shared" si="0"/>
        <v>定価</v>
      </c>
      <c r="H17"/>
      <c r="I17"/>
      <c r="J17"/>
    </row>
    <row r="18" spans="1:10">
      <c r="A18" s="10" t="s">
        <v>33</v>
      </c>
      <c r="B18" s="10" t="s">
        <v>13</v>
      </c>
      <c r="C18" s="10" t="str">
        <f t="shared" si="0"/>
        <v>定価</v>
      </c>
      <c r="H18"/>
      <c r="I18"/>
      <c r="J18"/>
    </row>
    <row r="19" spans="1:10">
      <c r="A19" s="10" t="s">
        <v>35</v>
      </c>
      <c r="B19" s="10" t="s">
        <v>32</v>
      </c>
      <c r="C19" s="10" t="str">
        <f t="shared" si="0"/>
        <v>定価</v>
      </c>
      <c r="H19"/>
      <c r="I19"/>
      <c r="J19"/>
    </row>
    <row r="20" spans="1:10">
      <c r="A20" s="10" t="s">
        <v>36</v>
      </c>
      <c r="B20" s="10" t="s">
        <v>13</v>
      </c>
      <c r="C20" s="10" t="str">
        <f t="shared" si="0"/>
        <v>定価</v>
      </c>
      <c r="H20"/>
      <c r="I20"/>
      <c r="J20"/>
    </row>
    <row r="21" spans="1:10">
      <c r="A21" s="10" t="s">
        <v>38</v>
      </c>
      <c r="B21" s="10" t="s">
        <v>13</v>
      </c>
      <c r="C21" s="10" t="str">
        <f t="shared" si="0"/>
        <v>定価</v>
      </c>
      <c r="H21"/>
      <c r="I21"/>
      <c r="J21"/>
    </row>
    <row r="22" spans="1:10">
      <c r="A22" s="10" t="s">
        <v>40</v>
      </c>
      <c r="B22" s="10" t="s">
        <v>13</v>
      </c>
      <c r="C22" s="10" t="str">
        <f t="shared" si="0"/>
        <v>定価</v>
      </c>
      <c r="H22"/>
      <c r="I22"/>
      <c r="J22"/>
    </row>
    <row r="23" spans="1:10">
      <c r="A23" s="10" t="s">
        <v>41</v>
      </c>
      <c r="B23" s="10" t="s">
        <v>20</v>
      </c>
      <c r="C23" s="10" t="str">
        <f t="shared" si="0"/>
        <v>割引</v>
      </c>
      <c r="H23"/>
      <c r="I23"/>
    </row>
    <row r="24" spans="1:10">
      <c r="A24" s="10" t="s">
        <v>43</v>
      </c>
      <c r="B24" s="10" t="s">
        <v>13</v>
      </c>
      <c r="C24" s="10" t="str">
        <f t="shared" si="0"/>
        <v>定価</v>
      </c>
      <c r="H24"/>
      <c r="I24"/>
    </row>
    <row r="25" spans="1:10">
      <c r="A25" s="10" t="s">
        <v>44</v>
      </c>
      <c r="B25" s="10" t="s">
        <v>13</v>
      </c>
      <c r="C25" s="10" t="str">
        <f t="shared" si="0"/>
        <v>定価</v>
      </c>
      <c r="H25"/>
      <c r="I25"/>
    </row>
    <row r="26" spans="1:10">
      <c r="A26" s="10" t="s">
        <v>45</v>
      </c>
      <c r="B26" s="10" t="s">
        <v>13</v>
      </c>
      <c r="C26" s="10" t="str">
        <f t="shared" si="0"/>
        <v>定価</v>
      </c>
      <c r="H26"/>
      <c r="I26"/>
    </row>
    <row r="27" spans="1:10">
      <c r="A27" s="10" t="s">
        <v>46</v>
      </c>
      <c r="B27" s="10" t="s">
        <v>20</v>
      </c>
      <c r="C27" s="10" t="str">
        <f t="shared" si="0"/>
        <v>割引</v>
      </c>
      <c r="H27"/>
      <c r="I27"/>
    </row>
    <row r="28" spans="1:10">
      <c r="A28" s="10" t="s">
        <v>47</v>
      </c>
      <c r="B28" s="10" t="s">
        <v>13</v>
      </c>
      <c r="C28" s="10" t="str">
        <f t="shared" si="0"/>
        <v>定価</v>
      </c>
      <c r="H28"/>
      <c r="I28"/>
    </row>
    <row r="29" spans="1:10">
      <c r="A29" s="10" t="s">
        <v>48</v>
      </c>
      <c r="B29" s="10" t="s">
        <v>13</v>
      </c>
      <c r="C29" s="10" t="str">
        <f t="shared" si="0"/>
        <v>定価</v>
      </c>
      <c r="H29"/>
      <c r="I29"/>
    </row>
    <row r="30" spans="1:10">
      <c r="A30" s="10" t="s">
        <v>49</v>
      </c>
      <c r="B30" s="10" t="s">
        <v>13</v>
      </c>
      <c r="C30" s="10" t="str">
        <f t="shared" si="0"/>
        <v>定価</v>
      </c>
      <c r="H30"/>
      <c r="I30"/>
    </row>
    <row r="31" spans="1:10">
      <c r="A31" s="10" t="s">
        <v>51</v>
      </c>
      <c r="B31" s="10" t="s">
        <v>13</v>
      </c>
      <c r="C31" s="10" t="str">
        <f t="shared" si="0"/>
        <v>定価</v>
      </c>
      <c r="H31"/>
      <c r="I31"/>
    </row>
    <row r="32" spans="1:10">
      <c r="A32" s="10" t="s">
        <v>52</v>
      </c>
      <c r="B32" s="10" t="s">
        <v>13</v>
      </c>
      <c r="C32" s="10" t="str">
        <f t="shared" si="0"/>
        <v>定価</v>
      </c>
      <c r="H32"/>
      <c r="I32"/>
    </row>
    <row r="33" spans="1:9">
      <c r="A33" s="10" t="s">
        <v>53</v>
      </c>
      <c r="B33" s="10" t="s">
        <v>13</v>
      </c>
      <c r="C33" s="10" t="str">
        <f t="shared" si="0"/>
        <v>定価</v>
      </c>
      <c r="H33"/>
      <c r="I33"/>
    </row>
    <row r="34" spans="1:9">
      <c r="A34" s="10" t="s">
        <v>54</v>
      </c>
      <c r="B34" s="10" t="s">
        <v>13</v>
      </c>
      <c r="C34" s="10" t="str">
        <f t="shared" si="0"/>
        <v>定価</v>
      </c>
      <c r="H34"/>
      <c r="I34"/>
    </row>
    <row r="35" spans="1:9">
      <c r="A35" s="10" t="s">
        <v>55</v>
      </c>
      <c r="B35" s="10" t="s">
        <v>13</v>
      </c>
      <c r="C35" s="10" t="str">
        <f t="shared" si="0"/>
        <v>定価</v>
      </c>
      <c r="H35"/>
      <c r="I35"/>
    </row>
    <row r="36" spans="1:9">
      <c r="A36" s="10" t="s">
        <v>56</v>
      </c>
      <c r="B36" s="10" t="s">
        <v>13</v>
      </c>
      <c r="C36" s="10" t="str">
        <f t="shared" si="0"/>
        <v>定価</v>
      </c>
      <c r="H36"/>
      <c r="I36"/>
    </row>
    <row r="37" spans="1:9">
      <c r="A37" s="10" t="s">
        <v>57</v>
      </c>
      <c r="B37" s="10" t="s">
        <v>13</v>
      </c>
      <c r="C37" s="10" t="str">
        <f t="shared" si="0"/>
        <v>定価</v>
      </c>
      <c r="H37"/>
      <c r="I37"/>
    </row>
    <row r="38" spans="1:9">
      <c r="A38" s="10" t="s">
        <v>58</v>
      </c>
      <c r="B38" s="10" t="s">
        <v>20</v>
      </c>
      <c r="C38" s="10" t="str">
        <f t="shared" si="0"/>
        <v>割引</v>
      </c>
      <c r="H38"/>
      <c r="I38"/>
    </row>
    <row r="39" spans="1:9">
      <c r="A39" s="10" t="s">
        <v>59</v>
      </c>
      <c r="B39" s="10" t="s">
        <v>13</v>
      </c>
      <c r="C39" s="10" t="str">
        <f t="shared" si="0"/>
        <v>定価</v>
      </c>
      <c r="H39"/>
      <c r="I39"/>
    </row>
    <row r="40" spans="1:9">
      <c r="A40" s="10" t="s">
        <v>60</v>
      </c>
      <c r="B40" s="10" t="s">
        <v>13</v>
      </c>
      <c r="C40" s="10" t="str">
        <f t="shared" si="0"/>
        <v>定価</v>
      </c>
      <c r="H40"/>
      <c r="I40"/>
    </row>
    <row r="41" spans="1:9">
      <c r="A41" s="10" t="s">
        <v>61</v>
      </c>
      <c r="B41" s="10" t="s">
        <v>13</v>
      </c>
      <c r="C41" s="10" t="str">
        <f t="shared" si="0"/>
        <v>定価</v>
      </c>
      <c r="H41"/>
      <c r="I41"/>
    </row>
    <row r="42" spans="1:9">
      <c r="A42" s="10" t="s">
        <v>62</v>
      </c>
      <c r="B42" s="10" t="s">
        <v>13</v>
      </c>
      <c r="C42" s="10" t="str">
        <f t="shared" si="0"/>
        <v>定価</v>
      </c>
      <c r="H42"/>
      <c r="I42"/>
    </row>
    <row r="43" spans="1:9">
      <c r="A43" s="10" t="s">
        <v>63</v>
      </c>
      <c r="B43" s="10" t="s">
        <v>13</v>
      </c>
      <c r="C43" s="10" t="str">
        <f t="shared" si="0"/>
        <v>定価</v>
      </c>
      <c r="H43"/>
      <c r="I43"/>
    </row>
    <row r="44" spans="1:9">
      <c r="A44" s="10" t="s">
        <v>64</v>
      </c>
      <c r="B44" s="10" t="s">
        <v>20</v>
      </c>
      <c r="C44" s="10" t="str">
        <f t="shared" si="0"/>
        <v>割引</v>
      </c>
      <c r="H44"/>
      <c r="I44"/>
    </row>
    <row r="45" spans="1:9">
      <c r="A45" s="10" t="s">
        <v>65</v>
      </c>
      <c r="B45" s="10" t="s">
        <v>13</v>
      </c>
      <c r="C45" s="10" t="str">
        <f t="shared" si="0"/>
        <v>定価</v>
      </c>
      <c r="H45"/>
      <c r="I45"/>
    </row>
    <row r="46" spans="1:9">
      <c r="A46" s="10" t="s">
        <v>66</v>
      </c>
      <c r="B46" s="10" t="s">
        <v>20</v>
      </c>
      <c r="C46" s="10" t="str">
        <f t="shared" si="0"/>
        <v>割引</v>
      </c>
      <c r="H46"/>
      <c r="I46"/>
    </row>
    <row r="47" spans="1:9">
      <c r="A47" s="10" t="s">
        <v>67</v>
      </c>
      <c r="B47" s="10" t="s">
        <v>13</v>
      </c>
      <c r="C47" s="10" t="str">
        <f t="shared" si="0"/>
        <v>定価</v>
      </c>
      <c r="H47"/>
      <c r="I47"/>
    </row>
    <row r="48" spans="1:9">
      <c r="A48" s="10" t="s">
        <v>68</v>
      </c>
      <c r="B48" s="10" t="s">
        <v>13</v>
      </c>
      <c r="C48" s="10" t="str">
        <f t="shared" si="0"/>
        <v>定価</v>
      </c>
      <c r="H48"/>
      <c r="I48"/>
    </row>
    <row r="49" spans="1:9">
      <c r="A49" s="10" t="s">
        <v>69</v>
      </c>
      <c r="B49" s="10" t="s">
        <v>13</v>
      </c>
      <c r="C49" s="10" t="str">
        <f t="shared" si="0"/>
        <v>定価</v>
      </c>
      <c r="H49"/>
      <c r="I49"/>
    </row>
    <row r="50" spans="1:9">
      <c r="A50" s="10" t="s">
        <v>70</v>
      </c>
      <c r="B50" s="10" t="s">
        <v>20</v>
      </c>
      <c r="C50" s="10" t="str">
        <f t="shared" si="0"/>
        <v>割引</v>
      </c>
      <c r="H50"/>
      <c r="I50"/>
    </row>
    <row r="51" spans="1:9">
      <c r="A51" s="10" t="s">
        <v>71</v>
      </c>
      <c r="B51" s="10" t="s">
        <v>13</v>
      </c>
      <c r="C51" s="10" t="str">
        <f t="shared" si="0"/>
        <v>定価</v>
      </c>
      <c r="H51"/>
      <c r="I51"/>
    </row>
    <row r="52" spans="1:9">
      <c r="A52" s="10" t="s">
        <v>72</v>
      </c>
      <c r="B52" s="10" t="s">
        <v>20</v>
      </c>
      <c r="C52" s="10" t="str">
        <f t="shared" si="0"/>
        <v>割引</v>
      </c>
      <c r="H52"/>
      <c r="I52"/>
    </row>
    <row r="53" spans="1:9">
      <c r="A53" s="10" t="s">
        <v>73</v>
      </c>
      <c r="B53" s="10" t="s">
        <v>20</v>
      </c>
      <c r="C53" s="10" t="str">
        <f t="shared" si="0"/>
        <v>割引</v>
      </c>
      <c r="H53"/>
      <c r="I53"/>
    </row>
    <row r="54" spans="1:9">
      <c r="A54" s="10" t="s">
        <v>74</v>
      </c>
      <c r="B54" s="10" t="s">
        <v>13</v>
      </c>
      <c r="C54" s="10" t="str">
        <f t="shared" si="0"/>
        <v>定価</v>
      </c>
      <c r="H54"/>
      <c r="I54"/>
    </row>
    <row r="55" spans="1:9">
      <c r="A55" s="10" t="s">
        <v>75</v>
      </c>
      <c r="B55" s="10" t="s">
        <v>13</v>
      </c>
      <c r="C55" s="10" t="str">
        <f t="shared" si="0"/>
        <v>定価</v>
      </c>
      <c r="H55"/>
      <c r="I55"/>
    </row>
    <row r="56" spans="1:9">
      <c r="A56" s="10" t="s">
        <v>76</v>
      </c>
      <c r="B56" s="10" t="s">
        <v>20</v>
      </c>
      <c r="C56" s="10" t="str">
        <f t="shared" si="0"/>
        <v>割引</v>
      </c>
      <c r="H56"/>
      <c r="I56"/>
    </row>
    <row r="57" spans="1:9">
      <c r="A57" s="10" t="s">
        <v>77</v>
      </c>
      <c r="B57" s="10" t="s">
        <v>20</v>
      </c>
      <c r="C57" s="10" t="str">
        <f t="shared" si="0"/>
        <v>割引</v>
      </c>
      <c r="H57"/>
      <c r="I57"/>
    </row>
    <row r="58" spans="1:9">
      <c r="A58" s="10" t="s">
        <v>78</v>
      </c>
      <c r="B58" s="10" t="s">
        <v>13</v>
      </c>
      <c r="C58" s="10" t="str">
        <f t="shared" si="0"/>
        <v>定価</v>
      </c>
      <c r="H58"/>
      <c r="I58"/>
    </row>
    <row r="59" spans="1:9">
      <c r="A59" s="10" t="s">
        <v>79</v>
      </c>
      <c r="B59" s="10" t="s">
        <v>13</v>
      </c>
      <c r="C59" s="10" t="str">
        <f t="shared" si="0"/>
        <v>定価</v>
      </c>
      <c r="H59"/>
      <c r="I59"/>
    </row>
    <row r="60" spans="1:9">
      <c r="A60" s="10" t="s">
        <v>80</v>
      </c>
      <c r="B60" s="10" t="s">
        <v>13</v>
      </c>
      <c r="C60" s="10" t="str">
        <f t="shared" si="0"/>
        <v>定価</v>
      </c>
      <c r="H60"/>
      <c r="I60"/>
    </row>
    <row r="61" spans="1:9">
      <c r="A61" s="10" t="s">
        <v>81</v>
      </c>
      <c r="B61" s="10" t="s">
        <v>13</v>
      </c>
      <c r="C61" s="10" t="str">
        <f t="shared" si="0"/>
        <v>定価</v>
      </c>
      <c r="H61"/>
      <c r="I61"/>
    </row>
    <row r="62" spans="1:9">
      <c r="A62" s="10" t="s">
        <v>82</v>
      </c>
      <c r="B62" s="10" t="s">
        <v>20</v>
      </c>
      <c r="C62" s="10" t="str">
        <f t="shared" si="0"/>
        <v>割引</v>
      </c>
      <c r="H62"/>
      <c r="I62"/>
    </row>
    <row r="63" spans="1:9">
      <c r="A63" s="10" t="s">
        <v>83</v>
      </c>
      <c r="B63" s="10" t="s">
        <v>13</v>
      </c>
      <c r="C63" s="10" t="str">
        <f t="shared" si="0"/>
        <v>定価</v>
      </c>
      <c r="H63"/>
      <c r="I63"/>
    </row>
    <row r="64" spans="1:9">
      <c r="A64" s="10" t="s">
        <v>84</v>
      </c>
      <c r="B64" s="10" t="s">
        <v>13</v>
      </c>
      <c r="C64" s="10" t="str">
        <f t="shared" si="0"/>
        <v>定価</v>
      </c>
      <c r="H64"/>
      <c r="I64"/>
    </row>
    <row r="65" spans="1:9">
      <c r="A65" s="10" t="s">
        <v>85</v>
      </c>
      <c r="B65" s="10" t="s">
        <v>13</v>
      </c>
      <c r="C65" s="10" t="str">
        <f t="shared" si="0"/>
        <v>定価</v>
      </c>
      <c r="H65"/>
      <c r="I65"/>
    </row>
    <row r="66" spans="1:9">
      <c r="A66" s="10" t="s">
        <v>86</v>
      </c>
      <c r="B66" s="10" t="s">
        <v>13</v>
      </c>
      <c r="C66" s="10" t="str">
        <f t="shared" si="0"/>
        <v>定価</v>
      </c>
      <c r="H66"/>
      <c r="I66"/>
    </row>
    <row r="67" spans="1:9">
      <c r="A67" s="10" t="s">
        <v>87</v>
      </c>
      <c r="B67" s="10" t="s">
        <v>20</v>
      </c>
      <c r="C67" s="10" t="str">
        <f t="shared" ref="C67:C130" si="1">IF(B67="通常価格", "定価", IF(B67="割引価格", "割引", B67))</f>
        <v>割引</v>
      </c>
      <c r="H67"/>
      <c r="I67"/>
    </row>
    <row r="68" spans="1:9">
      <c r="A68" s="10" t="s">
        <v>88</v>
      </c>
      <c r="B68" s="10" t="s">
        <v>13</v>
      </c>
      <c r="C68" s="10" t="str">
        <f t="shared" si="1"/>
        <v>定価</v>
      </c>
      <c r="H68"/>
      <c r="I68"/>
    </row>
    <row r="69" spans="1:9">
      <c r="A69" s="10" t="s">
        <v>89</v>
      </c>
      <c r="B69" s="10" t="s">
        <v>13</v>
      </c>
      <c r="C69" s="10" t="str">
        <f t="shared" si="1"/>
        <v>定価</v>
      </c>
      <c r="H69"/>
      <c r="I69"/>
    </row>
    <row r="70" spans="1:9">
      <c r="A70" s="10" t="s">
        <v>90</v>
      </c>
      <c r="B70" s="10" t="s">
        <v>13</v>
      </c>
      <c r="C70" s="10" t="str">
        <f t="shared" si="1"/>
        <v>定価</v>
      </c>
      <c r="H70"/>
      <c r="I70"/>
    </row>
    <row r="71" spans="1:9">
      <c r="A71" s="10" t="s">
        <v>91</v>
      </c>
      <c r="B71" s="10" t="s">
        <v>20</v>
      </c>
      <c r="C71" s="10" t="str">
        <f t="shared" si="1"/>
        <v>割引</v>
      </c>
      <c r="H71"/>
      <c r="I71"/>
    </row>
    <row r="72" spans="1:9">
      <c r="A72" s="10" t="s">
        <v>92</v>
      </c>
      <c r="B72" s="10" t="s">
        <v>13</v>
      </c>
      <c r="C72" s="10" t="str">
        <f t="shared" si="1"/>
        <v>定価</v>
      </c>
      <c r="H72"/>
      <c r="I72"/>
    </row>
    <row r="73" spans="1:9">
      <c r="A73" s="10" t="s">
        <v>93</v>
      </c>
      <c r="B73" s="10" t="s">
        <v>20</v>
      </c>
      <c r="C73" s="10" t="str">
        <f t="shared" si="1"/>
        <v>割引</v>
      </c>
      <c r="H73"/>
      <c r="I73"/>
    </row>
    <row r="74" spans="1:9">
      <c r="A74" s="10" t="s">
        <v>94</v>
      </c>
      <c r="B74" s="10" t="s">
        <v>13</v>
      </c>
      <c r="C74" s="10" t="str">
        <f t="shared" si="1"/>
        <v>定価</v>
      </c>
      <c r="H74"/>
      <c r="I74"/>
    </row>
    <row r="75" spans="1:9">
      <c r="A75" s="10" t="s">
        <v>95</v>
      </c>
      <c r="B75" s="10" t="s">
        <v>13</v>
      </c>
      <c r="C75" s="10" t="str">
        <f t="shared" si="1"/>
        <v>定価</v>
      </c>
      <c r="H75"/>
      <c r="I75"/>
    </row>
    <row r="76" spans="1:9">
      <c r="A76" s="10" t="s">
        <v>96</v>
      </c>
      <c r="B76" s="10" t="s">
        <v>13</v>
      </c>
      <c r="C76" s="10" t="str">
        <f t="shared" si="1"/>
        <v>定価</v>
      </c>
      <c r="H76"/>
      <c r="I76"/>
    </row>
    <row r="77" spans="1:9">
      <c r="A77" s="10" t="s">
        <v>97</v>
      </c>
      <c r="B77" s="10" t="s">
        <v>13</v>
      </c>
      <c r="C77" s="10" t="str">
        <f t="shared" si="1"/>
        <v>定価</v>
      </c>
      <c r="H77"/>
      <c r="I77"/>
    </row>
    <row r="78" spans="1:9">
      <c r="A78" s="10" t="s">
        <v>98</v>
      </c>
      <c r="B78" s="10" t="s">
        <v>13</v>
      </c>
      <c r="C78" s="10" t="str">
        <f t="shared" si="1"/>
        <v>定価</v>
      </c>
      <c r="H78"/>
      <c r="I78"/>
    </row>
    <row r="79" spans="1:9">
      <c r="A79" s="10" t="s">
        <v>99</v>
      </c>
      <c r="B79" s="10" t="s">
        <v>13</v>
      </c>
      <c r="C79" s="10" t="str">
        <f t="shared" si="1"/>
        <v>定価</v>
      </c>
      <c r="H79"/>
      <c r="I79"/>
    </row>
    <row r="80" spans="1:9">
      <c r="A80" s="10" t="s">
        <v>100</v>
      </c>
      <c r="B80" s="10" t="s">
        <v>20</v>
      </c>
      <c r="C80" s="10" t="str">
        <f t="shared" si="1"/>
        <v>割引</v>
      </c>
      <c r="H80"/>
      <c r="I80"/>
    </row>
    <row r="81" spans="1:9">
      <c r="A81" s="10" t="s">
        <v>101</v>
      </c>
      <c r="B81" s="10" t="s">
        <v>20</v>
      </c>
      <c r="C81" s="10" t="str">
        <f t="shared" si="1"/>
        <v>割引</v>
      </c>
      <c r="H81"/>
      <c r="I81"/>
    </row>
    <row r="82" spans="1:9">
      <c r="A82" s="10" t="s">
        <v>102</v>
      </c>
      <c r="B82" s="10" t="s">
        <v>13</v>
      </c>
      <c r="C82" s="10" t="str">
        <f t="shared" si="1"/>
        <v>定価</v>
      </c>
      <c r="H82"/>
      <c r="I82"/>
    </row>
    <row r="83" spans="1:9">
      <c r="A83" s="10" t="s">
        <v>103</v>
      </c>
      <c r="B83" s="10" t="s">
        <v>13</v>
      </c>
      <c r="C83" s="10" t="str">
        <f t="shared" si="1"/>
        <v>定価</v>
      </c>
      <c r="H83"/>
      <c r="I83"/>
    </row>
    <row r="84" spans="1:9">
      <c r="A84" s="10" t="s">
        <v>104</v>
      </c>
      <c r="B84" s="10" t="s">
        <v>13</v>
      </c>
      <c r="C84" s="10" t="str">
        <f t="shared" si="1"/>
        <v>定価</v>
      </c>
      <c r="H84"/>
      <c r="I84"/>
    </row>
    <row r="85" spans="1:9">
      <c r="A85" s="10" t="s">
        <v>105</v>
      </c>
      <c r="B85" s="10" t="s">
        <v>13</v>
      </c>
      <c r="C85" s="10" t="str">
        <f t="shared" si="1"/>
        <v>定価</v>
      </c>
      <c r="H85"/>
      <c r="I85"/>
    </row>
    <row r="86" spans="1:9">
      <c r="A86" s="10" t="s">
        <v>106</v>
      </c>
      <c r="B86" s="10" t="s">
        <v>20</v>
      </c>
      <c r="C86" s="10" t="str">
        <f t="shared" si="1"/>
        <v>割引</v>
      </c>
      <c r="H86"/>
      <c r="I86"/>
    </row>
    <row r="87" spans="1:9">
      <c r="A87" s="10" t="s">
        <v>107</v>
      </c>
      <c r="B87" s="10" t="s">
        <v>20</v>
      </c>
      <c r="C87" s="10" t="str">
        <f t="shared" si="1"/>
        <v>割引</v>
      </c>
      <c r="H87"/>
      <c r="I87"/>
    </row>
    <row r="88" spans="1:9">
      <c r="A88" s="10" t="s">
        <v>108</v>
      </c>
      <c r="B88" s="10" t="s">
        <v>13</v>
      </c>
      <c r="C88" s="10" t="str">
        <f t="shared" si="1"/>
        <v>定価</v>
      </c>
      <c r="H88"/>
      <c r="I88"/>
    </row>
    <row r="89" spans="1:9">
      <c r="A89" s="10" t="s">
        <v>109</v>
      </c>
      <c r="B89" s="10" t="s">
        <v>20</v>
      </c>
      <c r="C89" s="10" t="str">
        <f t="shared" si="1"/>
        <v>割引</v>
      </c>
      <c r="H89"/>
      <c r="I89"/>
    </row>
    <row r="90" spans="1:9">
      <c r="A90" s="10" t="s">
        <v>110</v>
      </c>
      <c r="B90" s="10" t="s">
        <v>20</v>
      </c>
      <c r="C90" s="10" t="str">
        <f t="shared" si="1"/>
        <v>割引</v>
      </c>
      <c r="H90"/>
      <c r="I90"/>
    </row>
    <row r="91" spans="1:9">
      <c r="A91" s="10" t="s">
        <v>111</v>
      </c>
      <c r="B91" s="10" t="s">
        <v>13</v>
      </c>
      <c r="C91" s="10" t="str">
        <f t="shared" si="1"/>
        <v>定価</v>
      </c>
      <c r="H91"/>
      <c r="I91"/>
    </row>
    <row r="92" spans="1:9">
      <c r="A92" s="10" t="s">
        <v>112</v>
      </c>
      <c r="B92" s="10" t="s">
        <v>13</v>
      </c>
      <c r="C92" s="10" t="str">
        <f t="shared" si="1"/>
        <v>定価</v>
      </c>
      <c r="H92"/>
      <c r="I92"/>
    </row>
    <row r="93" spans="1:9">
      <c r="A93" s="10" t="s">
        <v>113</v>
      </c>
      <c r="B93" s="10" t="s">
        <v>13</v>
      </c>
      <c r="C93" s="10" t="str">
        <f t="shared" si="1"/>
        <v>定価</v>
      </c>
      <c r="H93"/>
      <c r="I93"/>
    </row>
    <row r="94" spans="1:9">
      <c r="A94" s="10" t="s">
        <v>114</v>
      </c>
      <c r="B94" s="10" t="s">
        <v>13</v>
      </c>
      <c r="C94" s="10" t="str">
        <f t="shared" si="1"/>
        <v>定価</v>
      </c>
      <c r="H94"/>
      <c r="I94"/>
    </row>
    <row r="95" spans="1:9">
      <c r="A95" s="10" t="s">
        <v>115</v>
      </c>
      <c r="B95" s="10" t="s">
        <v>20</v>
      </c>
      <c r="C95" s="10" t="str">
        <f t="shared" si="1"/>
        <v>割引</v>
      </c>
      <c r="H95"/>
      <c r="I95"/>
    </row>
    <row r="96" spans="1:9">
      <c r="A96" s="10" t="s">
        <v>116</v>
      </c>
      <c r="B96" s="10" t="s">
        <v>13</v>
      </c>
      <c r="C96" s="10" t="str">
        <f t="shared" si="1"/>
        <v>定価</v>
      </c>
      <c r="H96"/>
      <c r="I96"/>
    </row>
    <row r="97" spans="1:9">
      <c r="A97" s="10" t="s">
        <v>117</v>
      </c>
      <c r="B97" s="10" t="s">
        <v>13</v>
      </c>
      <c r="C97" s="10" t="str">
        <f t="shared" si="1"/>
        <v>定価</v>
      </c>
      <c r="H97"/>
      <c r="I97"/>
    </row>
    <row r="98" spans="1:9">
      <c r="A98" s="10" t="s">
        <v>118</v>
      </c>
      <c r="B98" s="10" t="s">
        <v>20</v>
      </c>
      <c r="C98" s="10" t="str">
        <f t="shared" si="1"/>
        <v>割引</v>
      </c>
      <c r="H98"/>
      <c r="I98"/>
    </row>
    <row r="99" spans="1:9">
      <c r="A99" s="10" t="s">
        <v>119</v>
      </c>
      <c r="B99" s="10" t="s">
        <v>20</v>
      </c>
      <c r="C99" s="10" t="str">
        <f t="shared" si="1"/>
        <v>割引</v>
      </c>
      <c r="H99"/>
      <c r="I99"/>
    </row>
    <row r="100" spans="1:9">
      <c r="A100" s="10" t="s">
        <v>120</v>
      </c>
      <c r="B100" s="10" t="s">
        <v>13</v>
      </c>
      <c r="C100" s="10" t="str">
        <f t="shared" si="1"/>
        <v>定価</v>
      </c>
      <c r="H100"/>
      <c r="I100"/>
    </row>
    <row r="101" spans="1:9">
      <c r="A101" s="10" t="s">
        <v>121</v>
      </c>
      <c r="B101" s="10" t="s">
        <v>32</v>
      </c>
      <c r="C101" s="10" t="str">
        <f t="shared" si="1"/>
        <v>定価</v>
      </c>
      <c r="H101"/>
      <c r="I101"/>
    </row>
    <row r="102" spans="1:9">
      <c r="A102" s="10" t="s">
        <v>122</v>
      </c>
      <c r="B102" s="10" t="s">
        <v>13</v>
      </c>
      <c r="C102" s="10" t="str">
        <f t="shared" si="1"/>
        <v>定価</v>
      </c>
      <c r="H102"/>
      <c r="I102"/>
    </row>
    <row r="103" spans="1:9">
      <c r="A103" s="10" t="s">
        <v>123</v>
      </c>
      <c r="B103" s="10" t="s">
        <v>13</v>
      </c>
      <c r="C103" s="10" t="str">
        <f t="shared" si="1"/>
        <v>定価</v>
      </c>
      <c r="H103"/>
      <c r="I103"/>
    </row>
    <row r="104" spans="1:9">
      <c r="A104" s="10" t="s">
        <v>124</v>
      </c>
      <c r="B104" s="10" t="s">
        <v>13</v>
      </c>
      <c r="C104" s="10" t="str">
        <f t="shared" si="1"/>
        <v>定価</v>
      </c>
      <c r="H104"/>
      <c r="I104"/>
    </row>
    <row r="105" spans="1:9">
      <c r="A105" s="10" t="s">
        <v>125</v>
      </c>
      <c r="B105" s="10" t="s">
        <v>13</v>
      </c>
      <c r="C105" s="10" t="str">
        <f t="shared" si="1"/>
        <v>定価</v>
      </c>
      <c r="H105"/>
      <c r="I105"/>
    </row>
    <row r="106" spans="1:9">
      <c r="A106" s="10" t="s">
        <v>126</v>
      </c>
      <c r="B106" s="10" t="s">
        <v>16</v>
      </c>
      <c r="C106" s="10" t="str">
        <f t="shared" si="1"/>
        <v>割引</v>
      </c>
      <c r="H106"/>
      <c r="I106"/>
    </row>
    <row r="107" spans="1:9">
      <c r="A107" s="10" t="s">
        <v>127</v>
      </c>
      <c r="B107" s="10" t="s">
        <v>13</v>
      </c>
      <c r="C107" s="10" t="str">
        <f t="shared" si="1"/>
        <v>定価</v>
      </c>
      <c r="H107"/>
      <c r="I107"/>
    </row>
    <row r="108" spans="1:9">
      <c r="A108" s="10" t="s">
        <v>128</v>
      </c>
      <c r="B108" s="10" t="s">
        <v>20</v>
      </c>
      <c r="C108" s="10" t="str">
        <f t="shared" si="1"/>
        <v>割引</v>
      </c>
      <c r="H108"/>
      <c r="I108"/>
    </row>
    <row r="109" spans="1:9">
      <c r="A109" s="10" t="s">
        <v>129</v>
      </c>
      <c r="B109" s="10" t="s">
        <v>13</v>
      </c>
      <c r="C109" s="10" t="str">
        <f t="shared" si="1"/>
        <v>定価</v>
      </c>
      <c r="H109"/>
      <c r="I109"/>
    </row>
    <row r="110" spans="1:9">
      <c r="A110" s="10" t="s">
        <v>130</v>
      </c>
      <c r="B110" s="10" t="s">
        <v>13</v>
      </c>
      <c r="C110" s="10" t="str">
        <f t="shared" si="1"/>
        <v>定価</v>
      </c>
      <c r="H110"/>
      <c r="I110"/>
    </row>
    <row r="111" spans="1:9">
      <c r="A111" s="10" t="s">
        <v>131</v>
      </c>
      <c r="B111" s="10" t="s">
        <v>13</v>
      </c>
      <c r="C111" s="10" t="str">
        <f t="shared" si="1"/>
        <v>定価</v>
      </c>
      <c r="H111"/>
      <c r="I111"/>
    </row>
    <row r="112" spans="1:9">
      <c r="A112" s="10" t="s">
        <v>132</v>
      </c>
      <c r="B112" s="10" t="s">
        <v>13</v>
      </c>
      <c r="C112" s="10" t="str">
        <f t="shared" si="1"/>
        <v>定価</v>
      </c>
      <c r="H112"/>
      <c r="I112"/>
    </row>
    <row r="113" spans="1:9">
      <c r="A113" s="10" t="s">
        <v>133</v>
      </c>
      <c r="B113" s="10" t="s">
        <v>13</v>
      </c>
      <c r="C113" s="10" t="str">
        <f t="shared" si="1"/>
        <v>定価</v>
      </c>
      <c r="H113"/>
      <c r="I113"/>
    </row>
    <row r="114" spans="1:9">
      <c r="A114" s="10" t="s">
        <v>134</v>
      </c>
      <c r="B114" s="10" t="s">
        <v>13</v>
      </c>
      <c r="C114" s="10" t="str">
        <f t="shared" si="1"/>
        <v>定価</v>
      </c>
      <c r="H114"/>
      <c r="I114"/>
    </row>
    <row r="115" spans="1:9">
      <c r="A115" s="10" t="s">
        <v>135</v>
      </c>
      <c r="B115" s="10" t="s">
        <v>16</v>
      </c>
      <c r="C115" s="10" t="str">
        <f t="shared" si="1"/>
        <v>割引</v>
      </c>
      <c r="H115"/>
      <c r="I115"/>
    </row>
    <row r="116" spans="1:9">
      <c r="A116" s="10" t="s">
        <v>136</v>
      </c>
      <c r="B116" s="10" t="s">
        <v>20</v>
      </c>
      <c r="C116" s="10" t="str">
        <f t="shared" si="1"/>
        <v>割引</v>
      </c>
      <c r="H116"/>
      <c r="I116"/>
    </row>
    <row r="117" spans="1:9">
      <c r="A117" s="10" t="s">
        <v>137</v>
      </c>
      <c r="B117" s="10" t="s">
        <v>13</v>
      </c>
      <c r="C117" s="10" t="str">
        <f t="shared" si="1"/>
        <v>定価</v>
      </c>
      <c r="H117"/>
      <c r="I117"/>
    </row>
    <row r="118" spans="1:9">
      <c r="A118" s="10" t="s">
        <v>138</v>
      </c>
      <c r="B118" s="10" t="s">
        <v>13</v>
      </c>
      <c r="C118" s="10" t="str">
        <f t="shared" si="1"/>
        <v>定価</v>
      </c>
      <c r="H118"/>
      <c r="I118"/>
    </row>
    <row r="119" spans="1:9">
      <c r="A119" s="10" t="s">
        <v>139</v>
      </c>
      <c r="B119" s="10" t="s">
        <v>20</v>
      </c>
      <c r="C119" s="10" t="str">
        <f t="shared" si="1"/>
        <v>割引</v>
      </c>
      <c r="H119"/>
      <c r="I119"/>
    </row>
    <row r="120" spans="1:9">
      <c r="A120" s="10" t="s">
        <v>140</v>
      </c>
      <c r="B120" s="10" t="s">
        <v>16</v>
      </c>
      <c r="C120" s="10" t="str">
        <f t="shared" si="1"/>
        <v>割引</v>
      </c>
      <c r="H120"/>
      <c r="I120"/>
    </row>
    <row r="121" spans="1:9">
      <c r="A121" s="10" t="s">
        <v>141</v>
      </c>
      <c r="B121" s="10" t="s">
        <v>32</v>
      </c>
      <c r="C121" s="10" t="str">
        <f t="shared" si="1"/>
        <v>定価</v>
      </c>
      <c r="H121"/>
      <c r="I121"/>
    </row>
    <row r="122" spans="1:9">
      <c r="A122" s="10" t="s">
        <v>142</v>
      </c>
      <c r="B122" s="10" t="s">
        <v>13</v>
      </c>
      <c r="C122" s="10" t="str">
        <f t="shared" si="1"/>
        <v>定価</v>
      </c>
      <c r="H122"/>
      <c r="I122"/>
    </row>
    <row r="123" spans="1:9">
      <c r="A123" s="10" t="s">
        <v>143</v>
      </c>
      <c r="B123" s="10" t="s">
        <v>13</v>
      </c>
      <c r="C123" s="10" t="str">
        <f t="shared" si="1"/>
        <v>定価</v>
      </c>
      <c r="H123"/>
      <c r="I123"/>
    </row>
    <row r="124" spans="1:9">
      <c r="A124" s="10" t="s">
        <v>144</v>
      </c>
      <c r="B124" s="10" t="s">
        <v>32</v>
      </c>
      <c r="C124" s="10" t="str">
        <f t="shared" si="1"/>
        <v>定価</v>
      </c>
      <c r="H124"/>
      <c r="I124"/>
    </row>
    <row r="125" spans="1:9">
      <c r="A125" s="10" t="s">
        <v>145</v>
      </c>
      <c r="B125" s="10" t="s">
        <v>13</v>
      </c>
      <c r="C125" s="10" t="str">
        <f t="shared" si="1"/>
        <v>定価</v>
      </c>
      <c r="H125"/>
      <c r="I125"/>
    </row>
    <row r="126" spans="1:9">
      <c r="A126" s="10" t="s">
        <v>146</v>
      </c>
      <c r="B126" s="10" t="s">
        <v>13</v>
      </c>
      <c r="C126" s="10" t="str">
        <f t="shared" si="1"/>
        <v>定価</v>
      </c>
      <c r="H126"/>
      <c r="I126"/>
    </row>
    <row r="127" spans="1:9">
      <c r="A127" s="10" t="s">
        <v>147</v>
      </c>
      <c r="B127" s="10" t="s">
        <v>13</v>
      </c>
      <c r="C127" s="10" t="str">
        <f t="shared" si="1"/>
        <v>定価</v>
      </c>
      <c r="H127"/>
      <c r="I127"/>
    </row>
    <row r="128" spans="1:9">
      <c r="A128" s="10" t="s">
        <v>148</v>
      </c>
      <c r="B128" s="10" t="s">
        <v>13</v>
      </c>
      <c r="C128" s="10" t="str">
        <f t="shared" si="1"/>
        <v>定価</v>
      </c>
      <c r="H128"/>
      <c r="I128"/>
    </row>
    <row r="129" spans="1:9">
      <c r="A129" s="10" t="s">
        <v>150</v>
      </c>
      <c r="B129" s="10" t="s">
        <v>13</v>
      </c>
      <c r="C129" s="10" t="str">
        <f t="shared" si="1"/>
        <v>定価</v>
      </c>
      <c r="H129"/>
      <c r="I129"/>
    </row>
    <row r="130" spans="1:9">
      <c r="A130" s="10" t="s">
        <v>151</v>
      </c>
      <c r="B130" s="10" t="s">
        <v>13</v>
      </c>
      <c r="C130" s="10" t="str">
        <f t="shared" si="1"/>
        <v>定価</v>
      </c>
      <c r="H130"/>
      <c r="I130"/>
    </row>
    <row r="131" spans="1:9">
      <c r="A131" s="10" t="s">
        <v>152</v>
      </c>
      <c r="B131" s="10" t="s">
        <v>13</v>
      </c>
      <c r="C131" s="10" t="str">
        <f t="shared" ref="C131:C194" si="2">IF(B131="通常価格", "定価", IF(B131="割引価格", "割引", B131))</f>
        <v>定価</v>
      </c>
      <c r="H131"/>
      <c r="I131"/>
    </row>
    <row r="132" spans="1:9">
      <c r="A132" s="10" t="s">
        <v>153</v>
      </c>
      <c r="B132" s="10" t="s">
        <v>13</v>
      </c>
      <c r="C132" s="10" t="str">
        <f t="shared" si="2"/>
        <v>定価</v>
      </c>
      <c r="H132"/>
      <c r="I132"/>
    </row>
    <row r="133" spans="1:9">
      <c r="A133" s="10" t="s">
        <v>154</v>
      </c>
      <c r="B133" s="10" t="s">
        <v>20</v>
      </c>
      <c r="C133" s="10" t="str">
        <f t="shared" si="2"/>
        <v>割引</v>
      </c>
      <c r="H133"/>
      <c r="I133"/>
    </row>
    <row r="134" spans="1:9">
      <c r="A134" s="10" t="s">
        <v>155</v>
      </c>
      <c r="B134" s="10" t="s">
        <v>13</v>
      </c>
      <c r="C134" s="10" t="str">
        <f t="shared" si="2"/>
        <v>定価</v>
      </c>
      <c r="H134"/>
      <c r="I134"/>
    </row>
    <row r="135" spans="1:9">
      <c r="A135" s="10" t="s">
        <v>156</v>
      </c>
      <c r="B135" s="10" t="s">
        <v>20</v>
      </c>
      <c r="C135" s="10" t="str">
        <f t="shared" si="2"/>
        <v>割引</v>
      </c>
      <c r="H135"/>
      <c r="I135"/>
    </row>
    <row r="136" spans="1:9">
      <c r="A136" s="10" t="s">
        <v>157</v>
      </c>
      <c r="B136" s="10" t="s">
        <v>13</v>
      </c>
      <c r="C136" s="10" t="str">
        <f t="shared" si="2"/>
        <v>定価</v>
      </c>
      <c r="H136"/>
      <c r="I136"/>
    </row>
    <row r="137" spans="1:9">
      <c r="A137" s="10" t="s">
        <v>158</v>
      </c>
      <c r="B137" s="10" t="s">
        <v>20</v>
      </c>
      <c r="C137" s="10" t="str">
        <f t="shared" si="2"/>
        <v>割引</v>
      </c>
      <c r="H137"/>
      <c r="I137"/>
    </row>
    <row r="138" spans="1:9">
      <c r="A138" s="10" t="s">
        <v>159</v>
      </c>
      <c r="B138" s="10" t="s">
        <v>13</v>
      </c>
      <c r="C138" s="10" t="str">
        <f t="shared" si="2"/>
        <v>定価</v>
      </c>
      <c r="H138"/>
      <c r="I138"/>
    </row>
    <row r="139" spans="1:9">
      <c r="A139" s="10" t="s">
        <v>160</v>
      </c>
      <c r="B139" s="10" t="s">
        <v>13</v>
      </c>
      <c r="C139" s="10" t="str">
        <f t="shared" si="2"/>
        <v>定価</v>
      </c>
      <c r="H139"/>
      <c r="I139"/>
    </row>
    <row r="140" spans="1:9">
      <c r="A140" s="10" t="s">
        <v>161</v>
      </c>
      <c r="B140" s="10" t="s">
        <v>20</v>
      </c>
      <c r="C140" s="10" t="str">
        <f t="shared" si="2"/>
        <v>割引</v>
      </c>
      <c r="H140"/>
      <c r="I140"/>
    </row>
    <row r="141" spans="1:9">
      <c r="A141" s="10" t="s">
        <v>162</v>
      </c>
      <c r="B141" s="10" t="s">
        <v>13</v>
      </c>
      <c r="C141" s="10" t="str">
        <f t="shared" si="2"/>
        <v>定価</v>
      </c>
      <c r="H141"/>
      <c r="I141"/>
    </row>
    <row r="142" spans="1:9">
      <c r="A142" s="10" t="s">
        <v>163</v>
      </c>
      <c r="B142" s="10" t="s">
        <v>20</v>
      </c>
      <c r="C142" s="10" t="str">
        <f t="shared" si="2"/>
        <v>割引</v>
      </c>
      <c r="H142"/>
      <c r="I142"/>
    </row>
    <row r="143" spans="1:9">
      <c r="A143" s="10" t="s">
        <v>164</v>
      </c>
      <c r="B143" s="10" t="s">
        <v>20</v>
      </c>
      <c r="C143" s="10" t="str">
        <f t="shared" si="2"/>
        <v>割引</v>
      </c>
      <c r="H143"/>
      <c r="I143"/>
    </row>
    <row r="144" spans="1:9">
      <c r="A144" s="10" t="s">
        <v>165</v>
      </c>
      <c r="B144" s="10" t="s">
        <v>13</v>
      </c>
      <c r="C144" s="10" t="str">
        <f t="shared" si="2"/>
        <v>定価</v>
      </c>
      <c r="H144"/>
      <c r="I144"/>
    </row>
    <row r="145" spans="1:9">
      <c r="A145" s="10" t="s">
        <v>166</v>
      </c>
      <c r="B145" s="10" t="s">
        <v>13</v>
      </c>
      <c r="C145" s="10" t="str">
        <f t="shared" si="2"/>
        <v>定価</v>
      </c>
      <c r="H145"/>
      <c r="I145"/>
    </row>
    <row r="146" spans="1:9">
      <c r="A146" s="10" t="s">
        <v>167</v>
      </c>
      <c r="B146" s="10" t="s">
        <v>20</v>
      </c>
      <c r="C146" s="10" t="str">
        <f t="shared" si="2"/>
        <v>割引</v>
      </c>
      <c r="H146"/>
      <c r="I146"/>
    </row>
    <row r="147" spans="1:9">
      <c r="A147" s="10" t="s">
        <v>168</v>
      </c>
      <c r="B147" s="10" t="s">
        <v>13</v>
      </c>
      <c r="C147" s="10" t="str">
        <f t="shared" si="2"/>
        <v>定価</v>
      </c>
      <c r="H147"/>
      <c r="I147"/>
    </row>
    <row r="148" spans="1:9">
      <c r="A148" s="10" t="s">
        <v>169</v>
      </c>
      <c r="B148" s="10" t="s">
        <v>20</v>
      </c>
      <c r="C148" s="10" t="str">
        <f t="shared" si="2"/>
        <v>割引</v>
      </c>
      <c r="H148"/>
      <c r="I148"/>
    </row>
    <row r="149" spans="1:9">
      <c r="A149" s="10" t="s">
        <v>170</v>
      </c>
      <c r="B149" s="10" t="s">
        <v>13</v>
      </c>
      <c r="C149" s="10" t="str">
        <f t="shared" si="2"/>
        <v>定価</v>
      </c>
      <c r="H149"/>
      <c r="I149"/>
    </row>
    <row r="150" spans="1:9">
      <c r="A150" s="10" t="s">
        <v>171</v>
      </c>
      <c r="B150" s="10" t="s">
        <v>20</v>
      </c>
      <c r="C150" s="10" t="str">
        <f t="shared" si="2"/>
        <v>割引</v>
      </c>
      <c r="H150"/>
      <c r="I150"/>
    </row>
    <row r="151" spans="1:9">
      <c r="A151" s="10" t="s">
        <v>172</v>
      </c>
      <c r="B151" s="10" t="s">
        <v>13</v>
      </c>
      <c r="C151" s="10" t="str">
        <f t="shared" si="2"/>
        <v>定価</v>
      </c>
      <c r="H151"/>
      <c r="I151"/>
    </row>
    <row r="152" spans="1:9">
      <c r="A152" s="10" t="s">
        <v>173</v>
      </c>
      <c r="B152" s="10" t="s">
        <v>13</v>
      </c>
      <c r="C152" s="10" t="str">
        <f t="shared" si="2"/>
        <v>定価</v>
      </c>
      <c r="H152"/>
      <c r="I152"/>
    </row>
    <row r="153" spans="1:9">
      <c r="A153" s="10" t="s">
        <v>174</v>
      </c>
      <c r="B153" s="10" t="s">
        <v>13</v>
      </c>
      <c r="C153" s="10" t="str">
        <f t="shared" si="2"/>
        <v>定価</v>
      </c>
      <c r="H153"/>
      <c r="I153"/>
    </row>
    <row r="154" spans="1:9">
      <c r="A154" s="10" t="s">
        <v>175</v>
      </c>
      <c r="B154" s="10" t="s">
        <v>13</v>
      </c>
      <c r="C154" s="10" t="str">
        <f t="shared" si="2"/>
        <v>定価</v>
      </c>
      <c r="H154"/>
      <c r="I154"/>
    </row>
    <row r="155" spans="1:9">
      <c r="A155" s="10" t="s">
        <v>176</v>
      </c>
      <c r="B155" s="10" t="s">
        <v>13</v>
      </c>
      <c r="C155" s="10" t="str">
        <f t="shared" si="2"/>
        <v>定価</v>
      </c>
      <c r="H155"/>
      <c r="I155"/>
    </row>
    <row r="156" spans="1:9">
      <c r="A156" s="10" t="s">
        <v>177</v>
      </c>
      <c r="B156" s="10" t="s">
        <v>13</v>
      </c>
      <c r="C156" s="10" t="str">
        <f t="shared" si="2"/>
        <v>定価</v>
      </c>
      <c r="H156"/>
      <c r="I156"/>
    </row>
    <row r="157" spans="1:9">
      <c r="A157" s="10" t="s">
        <v>178</v>
      </c>
      <c r="B157" s="10" t="s">
        <v>13</v>
      </c>
      <c r="C157" s="10" t="str">
        <f t="shared" si="2"/>
        <v>定価</v>
      </c>
      <c r="H157"/>
      <c r="I157"/>
    </row>
    <row r="158" spans="1:9">
      <c r="A158" s="10" t="s">
        <v>179</v>
      </c>
      <c r="B158" s="10" t="s">
        <v>13</v>
      </c>
      <c r="C158" s="10" t="str">
        <f t="shared" si="2"/>
        <v>定価</v>
      </c>
      <c r="H158"/>
      <c r="I158"/>
    </row>
    <row r="159" spans="1:9">
      <c r="A159" s="10" t="s">
        <v>180</v>
      </c>
      <c r="B159" s="10" t="s">
        <v>13</v>
      </c>
      <c r="C159" s="10" t="str">
        <f t="shared" si="2"/>
        <v>定価</v>
      </c>
      <c r="H159"/>
      <c r="I159"/>
    </row>
    <row r="160" spans="1:9">
      <c r="A160" s="10" t="s">
        <v>181</v>
      </c>
      <c r="B160" s="10" t="s">
        <v>13</v>
      </c>
      <c r="C160" s="10" t="str">
        <f t="shared" si="2"/>
        <v>定価</v>
      </c>
      <c r="H160"/>
      <c r="I160"/>
    </row>
    <row r="161" spans="1:9">
      <c r="A161" s="10" t="s">
        <v>182</v>
      </c>
      <c r="B161" s="10" t="s">
        <v>13</v>
      </c>
      <c r="C161" s="10" t="str">
        <f t="shared" si="2"/>
        <v>定価</v>
      </c>
      <c r="H161"/>
      <c r="I161"/>
    </row>
    <row r="162" spans="1:9">
      <c r="A162" s="10" t="s">
        <v>183</v>
      </c>
      <c r="B162" s="10" t="s">
        <v>13</v>
      </c>
      <c r="C162" s="10" t="str">
        <f t="shared" si="2"/>
        <v>定価</v>
      </c>
      <c r="H162"/>
      <c r="I162"/>
    </row>
    <row r="163" spans="1:9">
      <c r="A163" s="10" t="s">
        <v>184</v>
      </c>
      <c r="B163" s="10" t="s">
        <v>13</v>
      </c>
      <c r="C163" s="10" t="str">
        <f t="shared" si="2"/>
        <v>定価</v>
      </c>
      <c r="H163"/>
      <c r="I163"/>
    </row>
    <row r="164" spans="1:9">
      <c r="A164" s="10" t="s">
        <v>185</v>
      </c>
      <c r="B164" s="10" t="s">
        <v>13</v>
      </c>
      <c r="C164" s="10" t="str">
        <f t="shared" si="2"/>
        <v>定価</v>
      </c>
      <c r="H164"/>
      <c r="I164"/>
    </row>
    <row r="165" spans="1:9">
      <c r="A165" s="10" t="s">
        <v>186</v>
      </c>
      <c r="B165" s="10" t="s">
        <v>20</v>
      </c>
      <c r="C165" s="10" t="str">
        <f t="shared" si="2"/>
        <v>割引</v>
      </c>
      <c r="H165"/>
      <c r="I165"/>
    </row>
    <row r="166" spans="1:9">
      <c r="A166" s="10" t="s">
        <v>187</v>
      </c>
      <c r="B166" s="10" t="s">
        <v>13</v>
      </c>
      <c r="C166" s="10" t="str">
        <f t="shared" si="2"/>
        <v>定価</v>
      </c>
      <c r="H166"/>
      <c r="I166"/>
    </row>
    <row r="167" spans="1:9">
      <c r="A167" s="10" t="s">
        <v>188</v>
      </c>
      <c r="B167" s="10" t="s">
        <v>13</v>
      </c>
      <c r="C167" s="10" t="str">
        <f t="shared" si="2"/>
        <v>定価</v>
      </c>
      <c r="H167"/>
      <c r="I167"/>
    </row>
    <row r="168" spans="1:9">
      <c r="A168" s="10" t="s">
        <v>189</v>
      </c>
      <c r="B168" s="10" t="s">
        <v>20</v>
      </c>
      <c r="C168" s="10" t="str">
        <f t="shared" si="2"/>
        <v>割引</v>
      </c>
      <c r="H168"/>
      <c r="I168"/>
    </row>
    <row r="169" spans="1:9">
      <c r="A169" s="10" t="s">
        <v>190</v>
      </c>
      <c r="B169" s="10" t="s">
        <v>20</v>
      </c>
      <c r="C169" s="10" t="str">
        <f t="shared" si="2"/>
        <v>割引</v>
      </c>
      <c r="H169"/>
      <c r="I169"/>
    </row>
    <row r="170" spans="1:9">
      <c r="A170" s="10" t="s">
        <v>191</v>
      </c>
      <c r="B170" s="10" t="s">
        <v>32</v>
      </c>
      <c r="C170" s="10" t="str">
        <f t="shared" si="2"/>
        <v>定価</v>
      </c>
      <c r="H170"/>
      <c r="I170"/>
    </row>
    <row r="171" spans="1:9">
      <c r="A171" s="10" t="s">
        <v>192</v>
      </c>
      <c r="B171" s="10" t="s">
        <v>13</v>
      </c>
      <c r="C171" s="10" t="str">
        <f t="shared" si="2"/>
        <v>定価</v>
      </c>
      <c r="H171"/>
      <c r="I171"/>
    </row>
    <row r="172" spans="1:9">
      <c r="A172" s="10" t="s">
        <v>193</v>
      </c>
      <c r="B172" s="10" t="s">
        <v>13</v>
      </c>
      <c r="C172" s="10" t="str">
        <f t="shared" si="2"/>
        <v>定価</v>
      </c>
      <c r="H172"/>
      <c r="I172"/>
    </row>
    <row r="173" spans="1:9">
      <c r="A173" s="10" t="s">
        <v>194</v>
      </c>
      <c r="B173" s="10" t="s">
        <v>13</v>
      </c>
      <c r="C173" s="10" t="str">
        <f t="shared" si="2"/>
        <v>定価</v>
      </c>
      <c r="H173"/>
      <c r="I173"/>
    </row>
    <row r="174" spans="1:9">
      <c r="A174" s="10" t="s">
        <v>195</v>
      </c>
      <c r="B174" s="10" t="s">
        <v>13</v>
      </c>
      <c r="C174" s="10" t="str">
        <f t="shared" si="2"/>
        <v>定価</v>
      </c>
      <c r="H174"/>
      <c r="I174"/>
    </row>
    <row r="175" spans="1:9">
      <c r="A175" s="10" t="s">
        <v>196</v>
      </c>
      <c r="B175" s="10" t="s">
        <v>13</v>
      </c>
      <c r="C175" s="10" t="str">
        <f t="shared" si="2"/>
        <v>定価</v>
      </c>
      <c r="H175"/>
      <c r="I175"/>
    </row>
    <row r="176" spans="1:9">
      <c r="A176" s="10" t="s">
        <v>197</v>
      </c>
      <c r="B176" s="10" t="s">
        <v>20</v>
      </c>
      <c r="C176" s="10" t="str">
        <f t="shared" si="2"/>
        <v>割引</v>
      </c>
      <c r="H176"/>
      <c r="I176"/>
    </row>
    <row r="177" spans="1:9">
      <c r="A177" s="10" t="s">
        <v>198</v>
      </c>
      <c r="B177" s="10" t="s">
        <v>13</v>
      </c>
      <c r="C177" s="10" t="str">
        <f t="shared" si="2"/>
        <v>定価</v>
      </c>
      <c r="H177"/>
      <c r="I177"/>
    </row>
    <row r="178" spans="1:9">
      <c r="A178" s="10" t="s">
        <v>199</v>
      </c>
      <c r="B178" s="10" t="s">
        <v>13</v>
      </c>
      <c r="C178" s="10" t="str">
        <f t="shared" si="2"/>
        <v>定価</v>
      </c>
      <c r="H178"/>
      <c r="I178"/>
    </row>
    <row r="179" spans="1:9">
      <c r="A179" s="10" t="s">
        <v>200</v>
      </c>
      <c r="B179" s="10" t="s">
        <v>13</v>
      </c>
      <c r="C179" s="10" t="str">
        <f t="shared" si="2"/>
        <v>定価</v>
      </c>
      <c r="H179"/>
      <c r="I179"/>
    </row>
    <row r="180" spans="1:9">
      <c r="A180" s="10" t="s">
        <v>201</v>
      </c>
      <c r="B180" s="10" t="s">
        <v>13</v>
      </c>
      <c r="C180" s="10" t="str">
        <f t="shared" si="2"/>
        <v>定価</v>
      </c>
      <c r="H180"/>
      <c r="I180"/>
    </row>
    <row r="181" spans="1:9">
      <c r="A181" s="10" t="s">
        <v>202</v>
      </c>
      <c r="B181" s="10" t="s">
        <v>13</v>
      </c>
      <c r="C181" s="10" t="str">
        <f t="shared" si="2"/>
        <v>定価</v>
      </c>
      <c r="H181"/>
      <c r="I181"/>
    </row>
    <row r="182" spans="1:9">
      <c r="A182" s="10" t="s">
        <v>203</v>
      </c>
      <c r="B182" s="10" t="s">
        <v>32</v>
      </c>
      <c r="C182" s="10" t="str">
        <f t="shared" si="2"/>
        <v>定価</v>
      </c>
      <c r="H182"/>
      <c r="I182"/>
    </row>
    <row r="183" spans="1:9">
      <c r="A183" s="10" t="s">
        <v>204</v>
      </c>
      <c r="B183" s="10" t="s">
        <v>13</v>
      </c>
      <c r="C183" s="10" t="str">
        <f t="shared" si="2"/>
        <v>定価</v>
      </c>
      <c r="H183"/>
      <c r="I183"/>
    </row>
    <row r="184" spans="1:9">
      <c r="A184" s="10" t="s">
        <v>205</v>
      </c>
      <c r="B184" s="10" t="s">
        <v>13</v>
      </c>
      <c r="C184" s="10" t="str">
        <f t="shared" si="2"/>
        <v>定価</v>
      </c>
      <c r="H184"/>
      <c r="I184"/>
    </row>
    <row r="185" spans="1:9">
      <c r="A185" s="10" t="s">
        <v>206</v>
      </c>
      <c r="B185" s="10" t="s">
        <v>13</v>
      </c>
      <c r="C185" s="10" t="str">
        <f t="shared" si="2"/>
        <v>定価</v>
      </c>
      <c r="H185"/>
      <c r="I185"/>
    </row>
    <row r="186" spans="1:9">
      <c r="A186" s="10" t="s">
        <v>207</v>
      </c>
      <c r="B186" s="10" t="s">
        <v>13</v>
      </c>
      <c r="C186" s="10" t="str">
        <f t="shared" si="2"/>
        <v>定価</v>
      </c>
      <c r="H186"/>
      <c r="I186"/>
    </row>
    <row r="187" spans="1:9">
      <c r="A187" s="10" t="s">
        <v>208</v>
      </c>
      <c r="B187" s="10" t="s">
        <v>13</v>
      </c>
      <c r="C187" s="10" t="str">
        <f t="shared" si="2"/>
        <v>定価</v>
      </c>
      <c r="H187"/>
      <c r="I187"/>
    </row>
    <row r="188" spans="1:9">
      <c r="A188" s="10" t="s">
        <v>209</v>
      </c>
      <c r="B188" s="10" t="s">
        <v>13</v>
      </c>
      <c r="C188" s="10" t="str">
        <f t="shared" si="2"/>
        <v>定価</v>
      </c>
      <c r="H188"/>
      <c r="I188"/>
    </row>
    <row r="189" spans="1:9">
      <c r="A189" s="10" t="s">
        <v>210</v>
      </c>
      <c r="B189" s="10" t="s">
        <v>13</v>
      </c>
      <c r="C189" s="10" t="str">
        <f t="shared" si="2"/>
        <v>定価</v>
      </c>
      <c r="H189"/>
      <c r="I189"/>
    </row>
    <row r="190" spans="1:9">
      <c r="A190" s="10" t="s">
        <v>211</v>
      </c>
      <c r="B190" s="10" t="s">
        <v>13</v>
      </c>
      <c r="C190" s="10" t="str">
        <f t="shared" si="2"/>
        <v>定価</v>
      </c>
      <c r="H190"/>
      <c r="I190"/>
    </row>
    <row r="191" spans="1:9">
      <c r="A191" s="10" t="s">
        <v>212</v>
      </c>
      <c r="B191" s="10" t="s">
        <v>20</v>
      </c>
      <c r="C191" s="10" t="str">
        <f t="shared" si="2"/>
        <v>割引</v>
      </c>
      <c r="H191"/>
      <c r="I191"/>
    </row>
    <row r="192" spans="1:9">
      <c r="A192" s="10" t="s">
        <v>213</v>
      </c>
      <c r="B192" s="10" t="s">
        <v>13</v>
      </c>
      <c r="C192" s="10" t="str">
        <f t="shared" si="2"/>
        <v>定価</v>
      </c>
      <c r="H192"/>
      <c r="I192"/>
    </row>
    <row r="193" spans="1:9">
      <c r="A193" s="10" t="s">
        <v>214</v>
      </c>
      <c r="B193" s="10" t="s">
        <v>13</v>
      </c>
      <c r="C193" s="10" t="str">
        <f t="shared" si="2"/>
        <v>定価</v>
      </c>
      <c r="H193"/>
      <c r="I193"/>
    </row>
    <row r="194" spans="1:9">
      <c r="A194" s="10" t="s">
        <v>215</v>
      </c>
      <c r="B194" s="10" t="s">
        <v>20</v>
      </c>
      <c r="C194" s="10" t="str">
        <f t="shared" si="2"/>
        <v>割引</v>
      </c>
      <c r="H194"/>
      <c r="I194"/>
    </row>
    <row r="195" spans="1:9">
      <c r="A195" s="10" t="s">
        <v>216</v>
      </c>
      <c r="B195" s="10" t="s">
        <v>13</v>
      </c>
      <c r="C195" s="10" t="str">
        <f t="shared" ref="C195:C258" si="3">IF(B195="通常価格", "定価", IF(B195="割引価格", "割引", B195))</f>
        <v>定価</v>
      </c>
      <c r="H195"/>
      <c r="I195"/>
    </row>
    <row r="196" spans="1:9">
      <c r="A196" s="10" t="s">
        <v>217</v>
      </c>
      <c r="B196" s="10" t="s">
        <v>13</v>
      </c>
      <c r="C196" s="10" t="str">
        <f t="shared" si="3"/>
        <v>定価</v>
      </c>
      <c r="H196"/>
      <c r="I196"/>
    </row>
    <row r="197" spans="1:9">
      <c r="A197" s="10" t="s">
        <v>218</v>
      </c>
      <c r="B197" s="10" t="s">
        <v>13</v>
      </c>
      <c r="C197" s="10" t="str">
        <f t="shared" si="3"/>
        <v>定価</v>
      </c>
      <c r="H197"/>
      <c r="I197"/>
    </row>
    <row r="198" spans="1:9">
      <c r="A198" s="10" t="s">
        <v>219</v>
      </c>
      <c r="B198" s="10" t="s">
        <v>13</v>
      </c>
      <c r="C198" s="10" t="str">
        <f t="shared" si="3"/>
        <v>定価</v>
      </c>
      <c r="H198"/>
      <c r="I198"/>
    </row>
    <row r="199" spans="1:9">
      <c r="A199" s="10" t="s">
        <v>220</v>
      </c>
      <c r="B199" s="10" t="s">
        <v>16</v>
      </c>
      <c r="C199" s="10" t="str">
        <f t="shared" si="3"/>
        <v>割引</v>
      </c>
      <c r="H199"/>
      <c r="I199"/>
    </row>
    <row r="200" spans="1:9">
      <c r="A200" s="10" t="s">
        <v>221</v>
      </c>
      <c r="B200" s="10" t="s">
        <v>20</v>
      </c>
      <c r="C200" s="10" t="str">
        <f t="shared" si="3"/>
        <v>割引</v>
      </c>
      <c r="H200"/>
      <c r="I200"/>
    </row>
    <row r="201" spans="1:9">
      <c r="A201" s="10" t="s">
        <v>222</v>
      </c>
      <c r="B201" s="10" t="s">
        <v>13</v>
      </c>
      <c r="C201" s="10" t="str">
        <f t="shared" si="3"/>
        <v>定価</v>
      </c>
      <c r="H201"/>
      <c r="I201"/>
    </row>
    <row r="202" spans="1:9">
      <c r="A202" s="10" t="s">
        <v>223</v>
      </c>
      <c r="B202" s="10" t="s">
        <v>13</v>
      </c>
      <c r="C202" s="10" t="str">
        <f t="shared" si="3"/>
        <v>定価</v>
      </c>
      <c r="H202"/>
      <c r="I202"/>
    </row>
    <row r="203" spans="1:9">
      <c r="A203" s="10" t="s">
        <v>224</v>
      </c>
      <c r="B203" s="10" t="s">
        <v>13</v>
      </c>
      <c r="C203" s="10" t="str">
        <f t="shared" si="3"/>
        <v>定価</v>
      </c>
      <c r="H203"/>
      <c r="I203"/>
    </row>
    <row r="204" spans="1:9">
      <c r="A204" s="10" t="s">
        <v>225</v>
      </c>
      <c r="B204" s="10" t="s">
        <v>20</v>
      </c>
      <c r="C204" s="10" t="str">
        <f t="shared" si="3"/>
        <v>割引</v>
      </c>
      <c r="H204"/>
      <c r="I204"/>
    </row>
    <row r="205" spans="1:9">
      <c r="A205" s="10" t="s">
        <v>226</v>
      </c>
      <c r="B205" s="10" t="s">
        <v>13</v>
      </c>
      <c r="C205" s="10" t="str">
        <f t="shared" si="3"/>
        <v>定価</v>
      </c>
      <c r="H205"/>
      <c r="I205"/>
    </row>
    <row r="206" spans="1:9">
      <c r="A206" s="10" t="s">
        <v>227</v>
      </c>
      <c r="B206" s="10" t="s">
        <v>13</v>
      </c>
      <c r="C206" s="10" t="str">
        <f t="shared" si="3"/>
        <v>定価</v>
      </c>
      <c r="H206"/>
      <c r="I206"/>
    </row>
    <row r="207" spans="1:9">
      <c r="A207" s="10" t="s">
        <v>228</v>
      </c>
      <c r="B207" s="10" t="s">
        <v>13</v>
      </c>
      <c r="C207" s="10" t="str">
        <f t="shared" si="3"/>
        <v>定価</v>
      </c>
      <c r="H207"/>
      <c r="I207"/>
    </row>
    <row r="208" spans="1:9">
      <c r="A208" s="10" t="s">
        <v>229</v>
      </c>
      <c r="B208" s="10" t="s">
        <v>20</v>
      </c>
      <c r="C208" s="10" t="str">
        <f t="shared" si="3"/>
        <v>割引</v>
      </c>
      <c r="H208"/>
      <c r="I208"/>
    </row>
    <row r="209" spans="1:9">
      <c r="A209" s="10" t="s">
        <v>230</v>
      </c>
      <c r="B209" s="10" t="s">
        <v>20</v>
      </c>
      <c r="C209" s="10" t="str">
        <f t="shared" si="3"/>
        <v>割引</v>
      </c>
      <c r="H209"/>
      <c r="I209"/>
    </row>
    <row r="210" spans="1:9">
      <c r="A210" s="10" t="s">
        <v>231</v>
      </c>
      <c r="B210" s="10" t="s">
        <v>13</v>
      </c>
      <c r="C210" s="10" t="str">
        <f t="shared" si="3"/>
        <v>定価</v>
      </c>
      <c r="H210"/>
      <c r="I210"/>
    </row>
    <row r="211" spans="1:9">
      <c r="A211" s="10" t="s">
        <v>232</v>
      </c>
      <c r="B211" s="10" t="s">
        <v>13</v>
      </c>
      <c r="C211" s="10" t="str">
        <f t="shared" si="3"/>
        <v>定価</v>
      </c>
      <c r="H211"/>
      <c r="I211"/>
    </row>
    <row r="212" spans="1:9">
      <c r="A212" s="10" t="s">
        <v>233</v>
      </c>
      <c r="B212" s="10" t="s">
        <v>13</v>
      </c>
      <c r="C212" s="10" t="str">
        <f t="shared" si="3"/>
        <v>定価</v>
      </c>
      <c r="H212"/>
      <c r="I212"/>
    </row>
    <row r="213" spans="1:9">
      <c r="A213" s="10" t="s">
        <v>234</v>
      </c>
      <c r="B213" s="10" t="s">
        <v>13</v>
      </c>
      <c r="C213" s="10" t="str">
        <f t="shared" si="3"/>
        <v>定価</v>
      </c>
      <c r="H213"/>
      <c r="I213"/>
    </row>
    <row r="214" spans="1:9">
      <c r="A214" s="10" t="s">
        <v>235</v>
      </c>
      <c r="B214" s="10" t="s">
        <v>20</v>
      </c>
      <c r="C214" s="10" t="str">
        <f t="shared" si="3"/>
        <v>割引</v>
      </c>
      <c r="H214"/>
      <c r="I214"/>
    </row>
    <row r="215" spans="1:9">
      <c r="A215" s="10" t="s">
        <v>236</v>
      </c>
      <c r="B215" s="10" t="s">
        <v>13</v>
      </c>
      <c r="C215" s="10" t="str">
        <f t="shared" si="3"/>
        <v>定価</v>
      </c>
      <c r="H215"/>
      <c r="I215"/>
    </row>
    <row r="216" spans="1:9">
      <c r="A216" s="10" t="s">
        <v>237</v>
      </c>
      <c r="B216" s="10" t="s">
        <v>13</v>
      </c>
      <c r="C216" s="10" t="str">
        <f t="shared" si="3"/>
        <v>定価</v>
      </c>
      <c r="H216"/>
      <c r="I216"/>
    </row>
    <row r="217" spans="1:9">
      <c r="A217" s="10" t="s">
        <v>238</v>
      </c>
      <c r="B217" s="10" t="s">
        <v>13</v>
      </c>
      <c r="C217" s="10" t="str">
        <f t="shared" si="3"/>
        <v>定価</v>
      </c>
      <c r="H217"/>
      <c r="I217"/>
    </row>
    <row r="218" spans="1:9">
      <c r="A218" s="10" t="s">
        <v>239</v>
      </c>
      <c r="B218" s="10" t="s">
        <v>13</v>
      </c>
      <c r="C218" s="10" t="str">
        <f t="shared" si="3"/>
        <v>定価</v>
      </c>
      <c r="H218"/>
      <c r="I218"/>
    </row>
    <row r="219" spans="1:9">
      <c r="A219" s="10" t="s">
        <v>240</v>
      </c>
      <c r="B219" s="10" t="s">
        <v>13</v>
      </c>
      <c r="C219" s="10" t="str">
        <f t="shared" si="3"/>
        <v>定価</v>
      </c>
      <c r="H219"/>
      <c r="I219"/>
    </row>
    <row r="220" spans="1:9">
      <c r="A220" s="10" t="s">
        <v>241</v>
      </c>
      <c r="B220" s="10" t="s">
        <v>20</v>
      </c>
      <c r="C220" s="10" t="str">
        <f t="shared" si="3"/>
        <v>割引</v>
      </c>
      <c r="H220"/>
      <c r="I220"/>
    </row>
    <row r="221" spans="1:9">
      <c r="A221" s="10" t="s">
        <v>242</v>
      </c>
      <c r="B221" s="10" t="s">
        <v>13</v>
      </c>
      <c r="C221" s="10" t="str">
        <f t="shared" si="3"/>
        <v>定価</v>
      </c>
      <c r="H221"/>
      <c r="I221"/>
    </row>
    <row r="222" spans="1:9">
      <c r="A222" s="10" t="s">
        <v>243</v>
      </c>
      <c r="B222" s="10" t="s">
        <v>13</v>
      </c>
      <c r="C222" s="10" t="str">
        <f t="shared" si="3"/>
        <v>定価</v>
      </c>
      <c r="H222"/>
      <c r="I222"/>
    </row>
    <row r="223" spans="1:9">
      <c r="A223" s="10" t="s">
        <v>244</v>
      </c>
      <c r="B223" s="10" t="s">
        <v>13</v>
      </c>
      <c r="C223" s="10" t="str">
        <f t="shared" si="3"/>
        <v>定価</v>
      </c>
      <c r="H223"/>
      <c r="I223"/>
    </row>
    <row r="224" spans="1:9">
      <c r="A224" s="10" t="s">
        <v>245</v>
      </c>
      <c r="B224" s="10" t="s">
        <v>20</v>
      </c>
      <c r="C224" s="10" t="str">
        <f t="shared" si="3"/>
        <v>割引</v>
      </c>
      <c r="H224"/>
      <c r="I224"/>
    </row>
    <row r="225" spans="1:9">
      <c r="A225" s="10" t="s">
        <v>246</v>
      </c>
      <c r="B225" s="10" t="s">
        <v>13</v>
      </c>
      <c r="C225" s="10" t="str">
        <f t="shared" si="3"/>
        <v>定価</v>
      </c>
      <c r="H225"/>
      <c r="I225"/>
    </row>
    <row r="226" spans="1:9">
      <c r="A226" s="10" t="s">
        <v>247</v>
      </c>
      <c r="B226" s="10" t="s">
        <v>13</v>
      </c>
      <c r="C226" s="10" t="str">
        <f t="shared" si="3"/>
        <v>定価</v>
      </c>
      <c r="H226"/>
      <c r="I226"/>
    </row>
    <row r="227" spans="1:9">
      <c r="A227" s="10" t="s">
        <v>248</v>
      </c>
      <c r="B227" s="10" t="s">
        <v>13</v>
      </c>
      <c r="C227" s="10" t="str">
        <f t="shared" si="3"/>
        <v>定価</v>
      </c>
      <c r="H227"/>
      <c r="I227"/>
    </row>
    <row r="228" spans="1:9">
      <c r="A228" s="10" t="s">
        <v>249</v>
      </c>
      <c r="B228" s="10" t="s">
        <v>13</v>
      </c>
      <c r="C228" s="10" t="str">
        <f t="shared" si="3"/>
        <v>定価</v>
      </c>
      <c r="H228"/>
      <c r="I228"/>
    </row>
    <row r="229" spans="1:9">
      <c r="A229" s="10" t="s">
        <v>250</v>
      </c>
      <c r="B229" s="10" t="s">
        <v>16</v>
      </c>
      <c r="C229" s="10" t="str">
        <f t="shared" si="3"/>
        <v>割引</v>
      </c>
      <c r="H229"/>
      <c r="I229"/>
    </row>
    <row r="230" spans="1:9">
      <c r="A230" s="10" t="s">
        <v>251</v>
      </c>
      <c r="B230" s="10" t="s">
        <v>20</v>
      </c>
      <c r="C230" s="10" t="str">
        <f t="shared" si="3"/>
        <v>割引</v>
      </c>
      <c r="H230"/>
      <c r="I230"/>
    </row>
    <row r="231" spans="1:9">
      <c r="A231" s="10" t="s">
        <v>252</v>
      </c>
      <c r="B231" s="10" t="s">
        <v>13</v>
      </c>
      <c r="C231" s="10" t="str">
        <f t="shared" si="3"/>
        <v>定価</v>
      </c>
      <c r="H231"/>
      <c r="I231"/>
    </row>
    <row r="232" spans="1:9">
      <c r="A232" s="10" t="s">
        <v>253</v>
      </c>
      <c r="B232" s="10" t="s">
        <v>13</v>
      </c>
      <c r="C232" s="10" t="str">
        <f t="shared" si="3"/>
        <v>定価</v>
      </c>
      <c r="H232"/>
      <c r="I232"/>
    </row>
    <row r="233" spans="1:9">
      <c r="A233" s="10" t="s">
        <v>254</v>
      </c>
      <c r="B233" s="10" t="s">
        <v>13</v>
      </c>
      <c r="C233" s="10" t="str">
        <f t="shared" si="3"/>
        <v>定価</v>
      </c>
      <c r="H233"/>
      <c r="I233"/>
    </row>
    <row r="234" spans="1:9">
      <c r="A234" s="10" t="s">
        <v>255</v>
      </c>
      <c r="B234" s="10" t="s">
        <v>13</v>
      </c>
      <c r="C234" s="10" t="str">
        <f t="shared" si="3"/>
        <v>定価</v>
      </c>
      <c r="H234"/>
      <c r="I234"/>
    </row>
    <row r="235" spans="1:9">
      <c r="A235" s="10" t="s">
        <v>256</v>
      </c>
      <c r="B235" s="10" t="s">
        <v>20</v>
      </c>
      <c r="C235" s="10" t="str">
        <f t="shared" si="3"/>
        <v>割引</v>
      </c>
      <c r="H235"/>
      <c r="I235"/>
    </row>
    <row r="236" spans="1:9">
      <c r="A236" s="10" t="s">
        <v>257</v>
      </c>
      <c r="B236" s="10" t="s">
        <v>13</v>
      </c>
      <c r="C236" s="10" t="str">
        <f t="shared" si="3"/>
        <v>定価</v>
      </c>
      <c r="H236"/>
      <c r="I236"/>
    </row>
    <row r="237" spans="1:9">
      <c r="A237" s="10" t="s">
        <v>258</v>
      </c>
      <c r="B237" s="10" t="s">
        <v>20</v>
      </c>
      <c r="C237" s="10" t="str">
        <f t="shared" si="3"/>
        <v>割引</v>
      </c>
      <c r="H237"/>
      <c r="I237"/>
    </row>
    <row r="238" spans="1:9">
      <c r="A238" s="10" t="s">
        <v>259</v>
      </c>
      <c r="B238" s="10" t="s">
        <v>13</v>
      </c>
      <c r="C238" s="10" t="str">
        <f t="shared" si="3"/>
        <v>定価</v>
      </c>
      <c r="H238"/>
      <c r="I238"/>
    </row>
    <row r="239" spans="1:9">
      <c r="A239" s="10" t="s">
        <v>260</v>
      </c>
      <c r="B239" s="10" t="s">
        <v>13</v>
      </c>
      <c r="C239" s="10" t="str">
        <f t="shared" si="3"/>
        <v>定価</v>
      </c>
      <c r="H239"/>
      <c r="I239"/>
    </row>
    <row r="240" spans="1:9">
      <c r="A240" s="10" t="s">
        <v>261</v>
      </c>
      <c r="B240" s="10" t="s">
        <v>13</v>
      </c>
      <c r="C240" s="10" t="str">
        <f t="shared" si="3"/>
        <v>定価</v>
      </c>
      <c r="H240"/>
      <c r="I240"/>
    </row>
    <row r="241" spans="1:9">
      <c r="A241" s="10" t="s">
        <v>262</v>
      </c>
      <c r="B241" s="10" t="s">
        <v>20</v>
      </c>
      <c r="C241" s="10" t="str">
        <f t="shared" si="3"/>
        <v>割引</v>
      </c>
      <c r="H241"/>
      <c r="I241"/>
    </row>
    <row r="242" spans="1:9">
      <c r="A242" s="10" t="s">
        <v>263</v>
      </c>
      <c r="B242" s="10" t="s">
        <v>20</v>
      </c>
      <c r="C242" s="10" t="str">
        <f t="shared" si="3"/>
        <v>割引</v>
      </c>
      <c r="H242"/>
      <c r="I242"/>
    </row>
    <row r="243" spans="1:9">
      <c r="A243" s="10" t="s">
        <v>264</v>
      </c>
      <c r="B243" s="10" t="s">
        <v>20</v>
      </c>
      <c r="C243" s="10" t="str">
        <f t="shared" si="3"/>
        <v>割引</v>
      </c>
      <c r="H243"/>
      <c r="I243"/>
    </row>
    <row r="244" spans="1:9">
      <c r="A244" s="10" t="s">
        <v>265</v>
      </c>
      <c r="B244" s="10" t="s">
        <v>20</v>
      </c>
      <c r="C244" s="10" t="str">
        <f t="shared" si="3"/>
        <v>割引</v>
      </c>
      <c r="H244"/>
      <c r="I244"/>
    </row>
    <row r="245" spans="1:9">
      <c r="A245" s="10" t="s">
        <v>266</v>
      </c>
      <c r="B245" s="10" t="s">
        <v>13</v>
      </c>
      <c r="C245" s="10" t="str">
        <f t="shared" si="3"/>
        <v>定価</v>
      </c>
      <c r="H245"/>
      <c r="I245"/>
    </row>
    <row r="246" spans="1:9">
      <c r="A246" s="10" t="s">
        <v>267</v>
      </c>
      <c r="B246" s="10" t="s">
        <v>20</v>
      </c>
      <c r="C246" s="10" t="str">
        <f t="shared" si="3"/>
        <v>割引</v>
      </c>
      <c r="H246"/>
      <c r="I246"/>
    </row>
    <row r="247" spans="1:9">
      <c r="A247" s="10" t="s">
        <v>268</v>
      </c>
      <c r="B247" s="10" t="s">
        <v>13</v>
      </c>
      <c r="C247" s="10" t="str">
        <f t="shared" si="3"/>
        <v>定価</v>
      </c>
      <c r="H247"/>
      <c r="I247"/>
    </row>
    <row r="248" spans="1:9">
      <c r="A248" s="10" t="s">
        <v>269</v>
      </c>
      <c r="B248" s="10" t="s">
        <v>32</v>
      </c>
      <c r="C248" s="10" t="str">
        <f t="shared" si="3"/>
        <v>定価</v>
      </c>
      <c r="H248"/>
      <c r="I248"/>
    </row>
    <row r="249" spans="1:9">
      <c r="A249" s="10" t="s">
        <v>270</v>
      </c>
      <c r="B249" s="10" t="s">
        <v>20</v>
      </c>
      <c r="C249" s="10" t="str">
        <f t="shared" si="3"/>
        <v>割引</v>
      </c>
      <c r="H249"/>
      <c r="I249"/>
    </row>
    <row r="250" spans="1:9">
      <c r="A250" s="10" t="s">
        <v>271</v>
      </c>
      <c r="B250" s="10" t="s">
        <v>20</v>
      </c>
      <c r="C250" s="10" t="str">
        <f t="shared" si="3"/>
        <v>割引</v>
      </c>
      <c r="H250"/>
      <c r="I250"/>
    </row>
    <row r="251" spans="1:9">
      <c r="A251" s="10" t="s">
        <v>272</v>
      </c>
      <c r="B251" s="10" t="s">
        <v>13</v>
      </c>
      <c r="C251" s="10" t="str">
        <f t="shared" si="3"/>
        <v>定価</v>
      </c>
      <c r="H251"/>
      <c r="I251"/>
    </row>
    <row r="252" spans="1:9">
      <c r="A252" s="10" t="s">
        <v>273</v>
      </c>
      <c r="B252" s="10" t="s">
        <v>20</v>
      </c>
      <c r="C252" s="10" t="str">
        <f t="shared" si="3"/>
        <v>割引</v>
      </c>
      <c r="H252"/>
      <c r="I252"/>
    </row>
    <row r="253" spans="1:9">
      <c r="A253" s="10" t="s">
        <v>274</v>
      </c>
      <c r="B253" s="10" t="s">
        <v>13</v>
      </c>
      <c r="C253" s="10" t="str">
        <f t="shared" si="3"/>
        <v>定価</v>
      </c>
      <c r="H253"/>
      <c r="I253"/>
    </row>
    <row r="254" spans="1:9">
      <c r="A254" s="10" t="s">
        <v>275</v>
      </c>
      <c r="B254" s="10" t="s">
        <v>13</v>
      </c>
      <c r="C254" s="10" t="str">
        <f t="shared" si="3"/>
        <v>定価</v>
      </c>
      <c r="H254"/>
      <c r="I254"/>
    </row>
    <row r="255" spans="1:9">
      <c r="A255" s="10" t="s">
        <v>276</v>
      </c>
      <c r="B255" s="10" t="s">
        <v>20</v>
      </c>
      <c r="C255" s="10" t="str">
        <f t="shared" si="3"/>
        <v>割引</v>
      </c>
      <c r="H255"/>
      <c r="I255"/>
    </row>
    <row r="256" spans="1:9">
      <c r="A256" s="10" t="s">
        <v>277</v>
      </c>
      <c r="B256" s="10" t="s">
        <v>13</v>
      </c>
      <c r="C256" s="10" t="str">
        <f t="shared" si="3"/>
        <v>定価</v>
      </c>
      <c r="H256"/>
      <c r="I256"/>
    </row>
    <row r="257" spans="1:9">
      <c r="A257" s="10" t="s">
        <v>278</v>
      </c>
      <c r="B257" s="10" t="s">
        <v>13</v>
      </c>
      <c r="C257" s="10" t="str">
        <f t="shared" si="3"/>
        <v>定価</v>
      </c>
      <c r="H257"/>
      <c r="I257"/>
    </row>
    <row r="258" spans="1:9">
      <c r="A258" s="10" t="s">
        <v>279</v>
      </c>
      <c r="B258" s="10" t="s">
        <v>13</v>
      </c>
      <c r="C258" s="10" t="str">
        <f t="shared" si="3"/>
        <v>定価</v>
      </c>
      <c r="H258"/>
      <c r="I258"/>
    </row>
    <row r="259" spans="1:9">
      <c r="A259" s="10" t="s">
        <v>280</v>
      </c>
      <c r="B259" s="10" t="s">
        <v>13</v>
      </c>
      <c r="C259" s="10" t="str">
        <f t="shared" ref="C259:C322" si="4">IF(B259="通常価格", "定価", IF(B259="割引価格", "割引", B259))</f>
        <v>定価</v>
      </c>
      <c r="H259"/>
      <c r="I259"/>
    </row>
    <row r="260" spans="1:9">
      <c r="A260" s="10" t="s">
        <v>281</v>
      </c>
      <c r="B260" s="10" t="s">
        <v>20</v>
      </c>
      <c r="C260" s="10" t="str">
        <f t="shared" si="4"/>
        <v>割引</v>
      </c>
      <c r="H260"/>
      <c r="I260"/>
    </row>
    <row r="261" spans="1:9">
      <c r="A261" s="10" t="s">
        <v>282</v>
      </c>
      <c r="B261" s="10" t="s">
        <v>13</v>
      </c>
      <c r="C261" s="10" t="str">
        <f t="shared" si="4"/>
        <v>定価</v>
      </c>
      <c r="H261"/>
      <c r="I261"/>
    </row>
    <row r="262" spans="1:9">
      <c r="A262" s="10" t="s">
        <v>283</v>
      </c>
      <c r="B262" s="10" t="s">
        <v>20</v>
      </c>
      <c r="C262" s="10" t="str">
        <f t="shared" si="4"/>
        <v>割引</v>
      </c>
      <c r="H262"/>
      <c r="I262"/>
    </row>
    <row r="263" spans="1:9">
      <c r="A263" s="10" t="s">
        <v>284</v>
      </c>
      <c r="B263" s="10" t="s">
        <v>20</v>
      </c>
      <c r="C263" s="10" t="str">
        <f t="shared" si="4"/>
        <v>割引</v>
      </c>
      <c r="H263"/>
      <c r="I263"/>
    </row>
    <row r="264" spans="1:9">
      <c r="A264" s="10" t="s">
        <v>285</v>
      </c>
      <c r="B264" s="10" t="s">
        <v>13</v>
      </c>
      <c r="C264" s="10" t="str">
        <f t="shared" si="4"/>
        <v>定価</v>
      </c>
      <c r="H264"/>
      <c r="I264"/>
    </row>
    <row r="265" spans="1:9">
      <c r="A265" s="10" t="s">
        <v>286</v>
      </c>
      <c r="B265" s="10" t="s">
        <v>13</v>
      </c>
      <c r="C265" s="10" t="str">
        <f t="shared" si="4"/>
        <v>定価</v>
      </c>
      <c r="H265"/>
      <c r="I265"/>
    </row>
    <row r="266" spans="1:9">
      <c r="A266" s="10" t="s">
        <v>287</v>
      </c>
      <c r="B266" s="10" t="s">
        <v>13</v>
      </c>
      <c r="C266" s="10" t="str">
        <f t="shared" si="4"/>
        <v>定価</v>
      </c>
      <c r="H266"/>
      <c r="I266"/>
    </row>
    <row r="267" spans="1:9">
      <c r="A267" s="10" t="s">
        <v>288</v>
      </c>
      <c r="B267" s="10" t="s">
        <v>13</v>
      </c>
      <c r="C267" s="10" t="str">
        <f t="shared" si="4"/>
        <v>定価</v>
      </c>
      <c r="H267"/>
      <c r="I267"/>
    </row>
    <row r="268" spans="1:9">
      <c r="A268" s="10" t="s">
        <v>289</v>
      </c>
      <c r="B268" s="10" t="s">
        <v>13</v>
      </c>
      <c r="C268" s="10" t="str">
        <f t="shared" si="4"/>
        <v>定価</v>
      </c>
      <c r="H268"/>
      <c r="I268"/>
    </row>
    <row r="269" spans="1:9">
      <c r="A269" s="10" t="s">
        <v>290</v>
      </c>
      <c r="B269" s="10" t="s">
        <v>13</v>
      </c>
      <c r="C269" s="10" t="str">
        <f t="shared" si="4"/>
        <v>定価</v>
      </c>
      <c r="H269"/>
      <c r="I269"/>
    </row>
    <row r="270" spans="1:9">
      <c r="A270" s="10" t="s">
        <v>291</v>
      </c>
      <c r="B270" s="10" t="s">
        <v>13</v>
      </c>
      <c r="C270" s="10" t="str">
        <f t="shared" si="4"/>
        <v>定価</v>
      </c>
      <c r="H270"/>
      <c r="I270"/>
    </row>
    <row r="271" spans="1:9">
      <c r="A271" s="10" t="s">
        <v>292</v>
      </c>
      <c r="B271" s="10" t="s">
        <v>13</v>
      </c>
      <c r="C271" s="10" t="str">
        <f t="shared" si="4"/>
        <v>定価</v>
      </c>
      <c r="H271"/>
      <c r="I271"/>
    </row>
    <row r="272" spans="1:9">
      <c r="A272" s="10" t="s">
        <v>293</v>
      </c>
      <c r="B272" s="10" t="s">
        <v>13</v>
      </c>
      <c r="C272" s="10" t="str">
        <f t="shared" si="4"/>
        <v>定価</v>
      </c>
      <c r="H272"/>
      <c r="I272"/>
    </row>
    <row r="273" spans="1:9">
      <c r="A273" s="10" t="s">
        <v>294</v>
      </c>
      <c r="B273" s="10" t="s">
        <v>13</v>
      </c>
      <c r="C273" s="10" t="str">
        <f t="shared" si="4"/>
        <v>定価</v>
      </c>
      <c r="H273"/>
      <c r="I273"/>
    </row>
    <row r="274" spans="1:9">
      <c r="A274" s="10" t="s">
        <v>295</v>
      </c>
      <c r="B274" s="10" t="s">
        <v>20</v>
      </c>
      <c r="C274" s="10" t="str">
        <f t="shared" si="4"/>
        <v>割引</v>
      </c>
      <c r="H274"/>
      <c r="I274"/>
    </row>
    <row r="275" spans="1:9">
      <c r="A275" s="10" t="s">
        <v>296</v>
      </c>
      <c r="B275" s="10" t="s">
        <v>13</v>
      </c>
      <c r="C275" s="10" t="str">
        <f t="shared" si="4"/>
        <v>定価</v>
      </c>
      <c r="H275"/>
      <c r="I275"/>
    </row>
    <row r="276" spans="1:9">
      <c r="A276" s="10" t="s">
        <v>297</v>
      </c>
      <c r="B276" s="10" t="s">
        <v>13</v>
      </c>
      <c r="C276" s="10" t="str">
        <f t="shared" si="4"/>
        <v>定価</v>
      </c>
      <c r="H276"/>
      <c r="I276"/>
    </row>
    <row r="277" spans="1:9">
      <c r="A277" s="10" t="s">
        <v>298</v>
      </c>
      <c r="B277" s="10" t="s">
        <v>13</v>
      </c>
      <c r="C277" s="10" t="str">
        <f t="shared" si="4"/>
        <v>定価</v>
      </c>
      <c r="H277"/>
      <c r="I277"/>
    </row>
    <row r="278" spans="1:9">
      <c r="A278" s="10" t="s">
        <v>299</v>
      </c>
      <c r="B278" s="10" t="s">
        <v>13</v>
      </c>
      <c r="C278" s="10" t="str">
        <f t="shared" si="4"/>
        <v>定価</v>
      </c>
      <c r="H278"/>
      <c r="I278"/>
    </row>
    <row r="279" spans="1:9">
      <c r="A279" s="10" t="s">
        <v>300</v>
      </c>
      <c r="B279" s="10" t="s">
        <v>13</v>
      </c>
      <c r="C279" s="10" t="str">
        <f t="shared" si="4"/>
        <v>定価</v>
      </c>
      <c r="H279"/>
      <c r="I279"/>
    </row>
    <row r="280" spans="1:9">
      <c r="A280" s="10" t="s">
        <v>302</v>
      </c>
      <c r="B280" s="10" t="s">
        <v>13</v>
      </c>
      <c r="C280" s="10" t="str">
        <f t="shared" si="4"/>
        <v>定価</v>
      </c>
      <c r="H280"/>
      <c r="I280"/>
    </row>
    <row r="281" spans="1:9">
      <c r="A281" s="10" t="s">
        <v>303</v>
      </c>
      <c r="B281" s="10" t="s">
        <v>13</v>
      </c>
      <c r="C281" s="10" t="str">
        <f t="shared" si="4"/>
        <v>定価</v>
      </c>
      <c r="H281"/>
      <c r="I281"/>
    </row>
    <row r="282" spans="1:9">
      <c r="A282" s="10" t="s">
        <v>304</v>
      </c>
      <c r="B282" s="10" t="s">
        <v>13</v>
      </c>
      <c r="C282" s="10" t="str">
        <f t="shared" si="4"/>
        <v>定価</v>
      </c>
      <c r="H282"/>
      <c r="I282"/>
    </row>
    <row r="283" spans="1:9">
      <c r="A283" s="10" t="s">
        <v>305</v>
      </c>
      <c r="B283" s="10" t="s">
        <v>13</v>
      </c>
      <c r="C283" s="10" t="str">
        <f t="shared" si="4"/>
        <v>定価</v>
      </c>
      <c r="H283"/>
      <c r="I283"/>
    </row>
    <row r="284" spans="1:9">
      <c r="A284" s="10" t="s">
        <v>306</v>
      </c>
      <c r="B284" s="10" t="s">
        <v>13</v>
      </c>
      <c r="C284" s="10" t="str">
        <f t="shared" si="4"/>
        <v>定価</v>
      </c>
      <c r="H284"/>
      <c r="I284"/>
    </row>
    <row r="285" spans="1:9">
      <c r="A285" s="10" t="s">
        <v>307</v>
      </c>
      <c r="B285" s="10" t="s">
        <v>13</v>
      </c>
      <c r="C285" s="10" t="str">
        <f t="shared" si="4"/>
        <v>定価</v>
      </c>
      <c r="H285"/>
      <c r="I285"/>
    </row>
    <row r="286" spans="1:9">
      <c r="A286" s="10" t="s">
        <v>308</v>
      </c>
      <c r="B286" s="10" t="s">
        <v>13</v>
      </c>
      <c r="C286" s="10" t="str">
        <f t="shared" si="4"/>
        <v>定価</v>
      </c>
      <c r="H286"/>
      <c r="I286"/>
    </row>
    <row r="287" spans="1:9">
      <c r="A287" s="10" t="s">
        <v>309</v>
      </c>
      <c r="B287" s="10" t="s">
        <v>13</v>
      </c>
      <c r="C287" s="10" t="str">
        <f t="shared" si="4"/>
        <v>定価</v>
      </c>
      <c r="H287"/>
      <c r="I287"/>
    </row>
    <row r="288" spans="1:9">
      <c r="A288" s="10" t="s">
        <v>310</v>
      </c>
      <c r="B288" s="10" t="s">
        <v>13</v>
      </c>
      <c r="C288" s="10" t="str">
        <f t="shared" si="4"/>
        <v>定価</v>
      </c>
      <c r="H288"/>
      <c r="I288"/>
    </row>
    <row r="289" spans="1:9">
      <c r="A289" s="10" t="s">
        <v>311</v>
      </c>
      <c r="B289" s="10" t="s">
        <v>13</v>
      </c>
      <c r="C289" s="10" t="str">
        <f t="shared" si="4"/>
        <v>定価</v>
      </c>
      <c r="H289"/>
      <c r="I289"/>
    </row>
    <row r="290" spans="1:9">
      <c r="A290" s="10" t="s">
        <v>312</v>
      </c>
      <c r="B290" s="10" t="s">
        <v>13</v>
      </c>
      <c r="C290" s="10" t="str">
        <f t="shared" si="4"/>
        <v>定価</v>
      </c>
      <c r="H290"/>
      <c r="I290"/>
    </row>
    <row r="291" spans="1:9">
      <c r="A291" s="10" t="s">
        <v>313</v>
      </c>
      <c r="B291" s="10" t="s">
        <v>13</v>
      </c>
      <c r="C291" s="10" t="str">
        <f t="shared" si="4"/>
        <v>定価</v>
      </c>
      <c r="H291"/>
      <c r="I291"/>
    </row>
    <row r="292" spans="1:9">
      <c r="A292" s="10" t="s">
        <v>314</v>
      </c>
      <c r="B292" s="10" t="s">
        <v>13</v>
      </c>
      <c r="C292" s="10" t="str">
        <f t="shared" si="4"/>
        <v>定価</v>
      </c>
      <c r="H292"/>
      <c r="I292"/>
    </row>
    <row r="293" spans="1:9">
      <c r="A293" s="10" t="s">
        <v>315</v>
      </c>
      <c r="B293" s="10" t="s">
        <v>13</v>
      </c>
      <c r="C293" s="10" t="str">
        <f t="shared" si="4"/>
        <v>定価</v>
      </c>
      <c r="H293"/>
      <c r="I293"/>
    </row>
    <row r="294" spans="1:9">
      <c r="A294" s="10" t="s">
        <v>316</v>
      </c>
      <c r="B294" s="10" t="s">
        <v>13</v>
      </c>
      <c r="C294" s="10" t="str">
        <f t="shared" si="4"/>
        <v>定価</v>
      </c>
      <c r="H294"/>
      <c r="I294"/>
    </row>
    <row r="295" spans="1:9">
      <c r="A295" s="10" t="s">
        <v>317</v>
      </c>
      <c r="B295" s="10" t="s">
        <v>20</v>
      </c>
      <c r="C295" s="10" t="str">
        <f t="shared" si="4"/>
        <v>割引</v>
      </c>
      <c r="H295"/>
      <c r="I295"/>
    </row>
    <row r="296" spans="1:9">
      <c r="A296" s="10" t="s">
        <v>318</v>
      </c>
      <c r="B296" s="10" t="s">
        <v>13</v>
      </c>
      <c r="C296" s="10" t="str">
        <f t="shared" si="4"/>
        <v>定価</v>
      </c>
      <c r="H296"/>
      <c r="I296"/>
    </row>
    <row r="297" spans="1:9">
      <c r="A297" s="10" t="s">
        <v>319</v>
      </c>
      <c r="B297" s="10" t="s">
        <v>13</v>
      </c>
      <c r="C297" s="10" t="str">
        <f t="shared" si="4"/>
        <v>定価</v>
      </c>
      <c r="H297"/>
      <c r="I297"/>
    </row>
    <row r="298" spans="1:9">
      <c r="A298" s="10" t="s">
        <v>320</v>
      </c>
      <c r="B298" s="10" t="s">
        <v>20</v>
      </c>
      <c r="C298" s="10" t="str">
        <f t="shared" si="4"/>
        <v>割引</v>
      </c>
      <c r="H298"/>
      <c r="I298"/>
    </row>
    <row r="299" spans="1:9">
      <c r="A299" s="10" t="s">
        <v>321</v>
      </c>
      <c r="B299" s="10" t="s">
        <v>13</v>
      </c>
      <c r="C299" s="10" t="str">
        <f t="shared" si="4"/>
        <v>定価</v>
      </c>
      <c r="H299"/>
      <c r="I299"/>
    </row>
    <row r="300" spans="1:9">
      <c r="A300" s="10" t="s">
        <v>322</v>
      </c>
      <c r="B300" s="10" t="s">
        <v>13</v>
      </c>
      <c r="C300" s="10" t="str">
        <f t="shared" si="4"/>
        <v>定価</v>
      </c>
      <c r="H300"/>
      <c r="I300"/>
    </row>
    <row r="301" spans="1:9">
      <c r="A301" s="10" t="s">
        <v>323</v>
      </c>
      <c r="B301" s="10" t="s">
        <v>13</v>
      </c>
      <c r="C301" s="10" t="str">
        <f t="shared" si="4"/>
        <v>定価</v>
      </c>
      <c r="H301"/>
      <c r="I301"/>
    </row>
    <row r="302" spans="1:9">
      <c r="A302" s="10" t="s">
        <v>324</v>
      </c>
      <c r="B302" s="10" t="s">
        <v>13</v>
      </c>
      <c r="C302" s="10" t="str">
        <f t="shared" si="4"/>
        <v>定価</v>
      </c>
      <c r="H302"/>
      <c r="I302"/>
    </row>
    <row r="303" spans="1:9">
      <c r="A303" s="10" t="s">
        <v>325</v>
      </c>
      <c r="B303" s="10" t="s">
        <v>13</v>
      </c>
      <c r="C303" s="10" t="str">
        <f t="shared" si="4"/>
        <v>定価</v>
      </c>
      <c r="H303"/>
      <c r="I303"/>
    </row>
    <row r="304" spans="1:9">
      <c r="A304" s="10" t="s">
        <v>326</v>
      </c>
      <c r="B304" s="10" t="s">
        <v>13</v>
      </c>
      <c r="C304" s="10" t="str">
        <f t="shared" si="4"/>
        <v>定価</v>
      </c>
      <c r="H304"/>
      <c r="I304"/>
    </row>
    <row r="305" spans="1:9">
      <c r="A305" s="10" t="s">
        <v>327</v>
      </c>
      <c r="B305" s="10" t="s">
        <v>20</v>
      </c>
      <c r="C305" s="10" t="str">
        <f t="shared" si="4"/>
        <v>割引</v>
      </c>
      <c r="H305"/>
      <c r="I305"/>
    </row>
    <row r="306" spans="1:9">
      <c r="A306" s="10" t="s">
        <v>328</v>
      </c>
      <c r="B306" s="10" t="s">
        <v>20</v>
      </c>
      <c r="C306" s="10" t="str">
        <f t="shared" si="4"/>
        <v>割引</v>
      </c>
      <c r="H306"/>
      <c r="I306"/>
    </row>
    <row r="307" spans="1:9">
      <c r="A307" s="10" t="s">
        <v>329</v>
      </c>
      <c r="B307" s="10" t="s">
        <v>13</v>
      </c>
      <c r="C307" s="10" t="str">
        <f t="shared" si="4"/>
        <v>定価</v>
      </c>
      <c r="H307"/>
      <c r="I307"/>
    </row>
    <row r="308" spans="1:9">
      <c r="A308" s="10" t="s">
        <v>330</v>
      </c>
      <c r="B308" s="10" t="s">
        <v>13</v>
      </c>
      <c r="C308" s="10" t="str">
        <f t="shared" si="4"/>
        <v>定価</v>
      </c>
      <c r="H308"/>
      <c r="I308"/>
    </row>
    <row r="309" spans="1:9">
      <c r="A309" s="10" t="s">
        <v>331</v>
      </c>
      <c r="B309" s="10" t="s">
        <v>20</v>
      </c>
      <c r="C309" s="10" t="str">
        <f t="shared" si="4"/>
        <v>割引</v>
      </c>
      <c r="H309"/>
      <c r="I309"/>
    </row>
    <row r="310" spans="1:9">
      <c r="A310" s="10" t="s">
        <v>332</v>
      </c>
      <c r="B310" s="10" t="s">
        <v>13</v>
      </c>
      <c r="C310" s="10" t="str">
        <f t="shared" si="4"/>
        <v>定価</v>
      </c>
      <c r="H310"/>
      <c r="I310"/>
    </row>
    <row r="311" spans="1:9">
      <c r="A311" s="10" t="s">
        <v>333</v>
      </c>
      <c r="B311" s="10" t="s">
        <v>13</v>
      </c>
      <c r="C311" s="10" t="str">
        <f t="shared" si="4"/>
        <v>定価</v>
      </c>
      <c r="H311"/>
      <c r="I311"/>
    </row>
    <row r="312" spans="1:9">
      <c r="A312" s="10" t="s">
        <v>334</v>
      </c>
      <c r="B312" s="10" t="s">
        <v>20</v>
      </c>
      <c r="C312" s="10" t="str">
        <f t="shared" si="4"/>
        <v>割引</v>
      </c>
      <c r="H312"/>
      <c r="I312"/>
    </row>
    <row r="313" spans="1:9">
      <c r="A313" s="10" t="s">
        <v>335</v>
      </c>
      <c r="B313" s="10" t="s">
        <v>13</v>
      </c>
      <c r="C313" s="10" t="str">
        <f t="shared" si="4"/>
        <v>定価</v>
      </c>
      <c r="H313"/>
      <c r="I313"/>
    </row>
    <row r="314" spans="1:9">
      <c r="A314" s="10" t="s">
        <v>336</v>
      </c>
      <c r="B314" s="10" t="s">
        <v>13</v>
      </c>
      <c r="C314" s="10" t="str">
        <f t="shared" si="4"/>
        <v>定価</v>
      </c>
      <c r="H314"/>
      <c r="I314"/>
    </row>
    <row r="315" spans="1:9">
      <c r="A315" s="10" t="s">
        <v>337</v>
      </c>
      <c r="B315" s="10" t="s">
        <v>13</v>
      </c>
      <c r="C315" s="10" t="str">
        <f t="shared" si="4"/>
        <v>定価</v>
      </c>
      <c r="H315"/>
      <c r="I315"/>
    </row>
    <row r="316" spans="1:9">
      <c r="A316" s="10" t="s">
        <v>338</v>
      </c>
      <c r="B316" s="10" t="s">
        <v>13</v>
      </c>
      <c r="C316" s="10" t="str">
        <f t="shared" si="4"/>
        <v>定価</v>
      </c>
      <c r="H316"/>
      <c r="I316"/>
    </row>
    <row r="317" spans="1:9">
      <c r="A317" s="10" t="s">
        <v>339</v>
      </c>
      <c r="B317" s="10" t="s">
        <v>13</v>
      </c>
      <c r="C317" s="10" t="str">
        <f t="shared" si="4"/>
        <v>定価</v>
      </c>
      <c r="H317"/>
      <c r="I317"/>
    </row>
    <row r="318" spans="1:9">
      <c r="A318" s="10" t="s">
        <v>340</v>
      </c>
      <c r="B318" s="10" t="s">
        <v>20</v>
      </c>
      <c r="C318" s="10" t="str">
        <f t="shared" si="4"/>
        <v>割引</v>
      </c>
      <c r="H318"/>
      <c r="I318"/>
    </row>
    <row r="319" spans="1:9">
      <c r="A319" s="10" t="s">
        <v>341</v>
      </c>
      <c r="B319" s="10" t="s">
        <v>20</v>
      </c>
      <c r="C319" s="10" t="str">
        <f t="shared" si="4"/>
        <v>割引</v>
      </c>
      <c r="H319"/>
      <c r="I319"/>
    </row>
    <row r="320" spans="1:9">
      <c r="A320" s="10" t="s">
        <v>342</v>
      </c>
      <c r="B320" s="10" t="s">
        <v>13</v>
      </c>
      <c r="C320" s="10" t="str">
        <f t="shared" si="4"/>
        <v>定価</v>
      </c>
      <c r="H320"/>
      <c r="I320"/>
    </row>
    <row r="321" spans="1:9">
      <c r="A321" s="10" t="s">
        <v>343</v>
      </c>
      <c r="B321" s="10" t="s">
        <v>13</v>
      </c>
      <c r="C321" s="10" t="str">
        <f t="shared" si="4"/>
        <v>定価</v>
      </c>
      <c r="H321"/>
      <c r="I321"/>
    </row>
    <row r="322" spans="1:9">
      <c r="A322" s="10" t="s">
        <v>344</v>
      </c>
      <c r="B322" s="10" t="s">
        <v>13</v>
      </c>
      <c r="C322" s="10" t="str">
        <f t="shared" si="4"/>
        <v>定価</v>
      </c>
      <c r="H322"/>
      <c r="I322"/>
    </row>
    <row r="323" spans="1:9">
      <c r="A323" s="10" t="s">
        <v>345</v>
      </c>
      <c r="B323" s="10" t="s">
        <v>13</v>
      </c>
      <c r="C323" s="10" t="str">
        <f t="shared" ref="C323:C386" si="5">IF(B323="通常価格", "定価", IF(B323="割引価格", "割引", B323))</f>
        <v>定価</v>
      </c>
      <c r="H323"/>
      <c r="I323"/>
    </row>
    <row r="324" spans="1:9">
      <c r="A324" s="10" t="s">
        <v>346</v>
      </c>
      <c r="B324" s="10" t="s">
        <v>13</v>
      </c>
      <c r="C324" s="10" t="str">
        <f t="shared" si="5"/>
        <v>定価</v>
      </c>
      <c r="H324"/>
      <c r="I324"/>
    </row>
    <row r="325" spans="1:9">
      <c r="A325" s="10" t="s">
        <v>347</v>
      </c>
      <c r="B325" s="10" t="s">
        <v>13</v>
      </c>
      <c r="C325" s="10" t="str">
        <f t="shared" si="5"/>
        <v>定価</v>
      </c>
      <c r="H325"/>
      <c r="I325"/>
    </row>
    <row r="326" spans="1:9">
      <c r="A326" s="10" t="s">
        <v>348</v>
      </c>
      <c r="B326" s="10" t="s">
        <v>13</v>
      </c>
      <c r="C326" s="10" t="str">
        <f t="shared" si="5"/>
        <v>定価</v>
      </c>
      <c r="H326"/>
      <c r="I326"/>
    </row>
    <row r="327" spans="1:9">
      <c r="A327" s="10" t="s">
        <v>349</v>
      </c>
      <c r="B327" s="10" t="s">
        <v>13</v>
      </c>
      <c r="C327" s="10" t="str">
        <f t="shared" si="5"/>
        <v>定価</v>
      </c>
      <c r="H327"/>
      <c r="I327"/>
    </row>
    <row r="328" spans="1:9">
      <c r="A328" s="10" t="s">
        <v>350</v>
      </c>
      <c r="B328" s="10" t="s">
        <v>20</v>
      </c>
      <c r="C328" s="10" t="str">
        <f t="shared" si="5"/>
        <v>割引</v>
      </c>
      <c r="H328"/>
      <c r="I328"/>
    </row>
    <row r="329" spans="1:9">
      <c r="A329" s="10" t="s">
        <v>351</v>
      </c>
      <c r="B329" s="10" t="s">
        <v>13</v>
      </c>
      <c r="C329" s="10" t="str">
        <f t="shared" si="5"/>
        <v>定価</v>
      </c>
      <c r="H329"/>
      <c r="I329"/>
    </row>
    <row r="330" spans="1:9">
      <c r="A330" s="10" t="s">
        <v>352</v>
      </c>
      <c r="B330" s="10" t="s">
        <v>20</v>
      </c>
      <c r="C330" s="10" t="str">
        <f t="shared" si="5"/>
        <v>割引</v>
      </c>
      <c r="H330"/>
      <c r="I330"/>
    </row>
    <row r="331" spans="1:9">
      <c r="A331" s="10" t="s">
        <v>353</v>
      </c>
      <c r="B331" s="10" t="s">
        <v>13</v>
      </c>
      <c r="C331" s="10" t="str">
        <f t="shared" si="5"/>
        <v>定価</v>
      </c>
      <c r="H331"/>
      <c r="I331"/>
    </row>
    <row r="332" spans="1:9">
      <c r="A332" s="10" t="s">
        <v>354</v>
      </c>
      <c r="B332" s="10" t="s">
        <v>13</v>
      </c>
      <c r="C332" s="10" t="str">
        <f t="shared" si="5"/>
        <v>定価</v>
      </c>
      <c r="H332"/>
      <c r="I332"/>
    </row>
    <row r="333" spans="1:9">
      <c r="A333" s="10" t="s">
        <v>355</v>
      </c>
      <c r="B333" s="10" t="s">
        <v>20</v>
      </c>
      <c r="C333" s="10" t="str">
        <f t="shared" si="5"/>
        <v>割引</v>
      </c>
      <c r="H333"/>
      <c r="I333"/>
    </row>
    <row r="334" spans="1:9">
      <c r="A334" s="10" t="s">
        <v>356</v>
      </c>
      <c r="B334" s="10" t="s">
        <v>20</v>
      </c>
      <c r="C334" s="10" t="str">
        <f t="shared" si="5"/>
        <v>割引</v>
      </c>
      <c r="H334"/>
      <c r="I334"/>
    </row>
    <row r="335" spans="1:9">
      <c r="A335" s="10" t="s">
        <v>357</v>
      </c>
      <c r="B335" s="10" t="s">
        <v>13</v>
      </c>
      <c r="C335" s="10" t="str">
        <f t="shared" si="5"/>
        <v>定価</v>
      </c>
      <c r="H335"/>
      <c r="I335"/>
    </row>
    <row r="336" spans="1:9">
      <c r="A336" s="10" t="s">
        <v>358</v>
      </c>
      <c r="B336" s="10" t="s">
        <v>20</v>
      </c>
      <c r="C336" s="10" t="str">
        <f t="shared" si="5"/>
        <v>割引</v>
      </c>
      <c r="H336"/>
      <c r="I336"/>
    </row>
    <row r="337" spans="1:9">
      <c r="A337" s="10" t="s">
        <v>359</v>
      </c>
      <c r="B337" s="10" t="s">
        <v>16</v>
      </c>
      <c r="C337" s="10" t="str">
        <f t="shared" si="5"/>
        <v>割引</v>
      </c>
      <c r="H337"/>
      <c r="I337"/>
    </row>
    <row r="338" spans="1:9">
      <c r="A338" s="10" t="s">
        <v>360</v>
      </c>
      <c r="B338" s="10" t="s">
        <v>732</v>
      </c>
      <c r="C338" s="10" t="str">
        <f t="shared" si="5"/>
        <v>定価</v>
      </c>
      <c r="H338"/>
      <c r="I338"/>
    </row>
    <row r="339" spans="1:9">
      <c r="A339" s="10" t="s">
        <v>361</v>
      </c>
      <c r="B339" s="10" t="s">
        <v>13</v>
      </c>
      <c r="C339" s="10" t="str">
        <f t="shared" si="5"/>
        <v>定価</v>
      </c>
      <c r="H339"/>
      <c r="I339"/>
    </row>
    <row r="340" spans="1:9">
      <c r="A340" s="10" t="s">
        <v>362</v>
      </c>
      <c r="B340" s="10" t="s">
        <v>13</v>
      </c>
      <c r="C340" s="10" t="str">
        <f t="shared" si="5"/>
        <v>定価</v>
      </c>
      <c r="H340"/>
      <c r="I340"/>
    </row>
    <row r="341" spans="1:9">
      <c r="A341" s="10" t="s">
        <v>363</v>
      </c>
      <c r="B341" s="10" t="s">
        <v>13</v>
      </c>
      <c r="C341" s="10" t="str">
        <f t="shared" si="5"/>
        <v>定価</v>
      </c>
      <c r="H341"/>
      <c r="I341"/>
    </row>
    <row r="342" spans="1:9">
      <c r="A342" s="10" t="s">
        <v>364</v>
      </c>
      <c r="B342" s="10" t="s">
        <v>20</v>
      </c>
      <c r="C342" s="10" t="str">
        <f t="shared" si="5"/>
        <v>割引</v>
      </c>
      <c r="H342"/>
      <c r="I342"/>
    </row>
    <row r="343" spans="1:9">
      <c r="A343" s="10" t="s">
        <v>365</v>
      </c>
      <c r="B343" s="10" t="s">
        <v>32</v>
      </c>
      <c r="C343" s="10" t="str">
        <f t="shared" si="5"/>
        <v>定価</v>
      </c>
      <c r="H343"/>
      <c r="I343"/>
    </row>
    <row r="344" spans="1:9">
      <c r="A344" s="10" t="s">
        <v>366</v>
      </c>
      <c r="B344" s="10" t="s">
        <v>13</v>
      </c>
      <c r="C344" s="10" t="str">
        <f t="shared" si="5"/>
        <v>定価</v>
      </c>
      <c r="H344"/>
      <c r="I344"/>
    </row>
    <row r="345" spans="1:9">
      <c r="A345" s="10" t="s">
        <v>367</v>
      </c>
      <c r="B345" s="10" t="s">
        <v>13</v>
      </c>
      <c r="C345" s="10" t="str">
        <f t="shared" si="5"/>
        <v>定価</v>
      </c>
      <c r="H345"/>
      <c r="I345"/>
    </row>
    <row r="346" spans="1:9">
      <c r="A346" s="10" t="s">
        <v>368</v>
      </c>
      <c r="B346" s="10" t="s">
        <v>13</v>
      </c>
      <c r="C346" s="10" t="str">
        <f t="shared" si="5"/>
        <v>定価</v>
      </c>
      <c r="H346"/>
      <c r="I346"/>
    </row>
    <row r="347" spans="1:9">
      <c r="A347" s="10" t="s">
        <v>369</v>
      </c>
      <c r="B347" s="10" t="s">
        <v>20</v>
      </c>
      <c r="C347" s="10" t="str">
        <f t="shared" si="5"/>
        <v>割引</v>
      </c>
      <c r="H347"/>
      <c r="I347"/>
    </row>
    <row r="348" spans="1:9">
      <c r="A348" s="10" t="s">
        <v>370</v>
      </c>
      <c r="B348" s="10" t="s">
        <v>20</v>
      </c>
      <c r="C348" s="10" t="str">
        <f t="shared" si="5"/>
        <v>割引</v>
      </c>
      <c r="H348"/>
      <c r="I348"/>
    </row>
    <row r="349" spans="1:9">
      <c r="A349" s="10" t="s">
        <v>371</v>
      </c>
      <c r="B349" s="10" t="s">
        <v>13</v>
      </c>
      <c r="C349" s="10" t="str">
        <f t="shared" si="5"/>
        <v>定価</v>
      </c>
      <c r="H349"/>
      <c r="I349"/>
    </row>
    <row r="350" spans="1:9">
      <c r="A350" s="10" t="s">
        <v>372</v>
      </c>
      <c r="B350" s="10" t="s">
        <v>13</v>
      </c>
      <c r="C350" s="10" t="str">
        <f t="shared" si="5"/>
        <v>定価</v>
      </c>
      <c r="H350"/>
      <c r="I350"/>
    </row>
    <row r="351" spans="1:9">
      <c r="A351" s="10" t="s">
        <v>373</v>
      </c>
      <c r="B351" s="10" t="s">
        <v>13</v>
      </c>
      <c r="C351" s="10" t="str">
        <f t="shared" si="5"/>
        <v>定価</v>
      </c>
      <c r="H351"/>
      <c r="I351"/>
    </row>
    <row r="352" spans="1:9">
      <c r="A352" s="10" t="s">
        <v>374</v>
      </c>
      <c r="B352" s="10" t="s">
        <v>13</v>
      </c>
      <c r="C352" s="10" t="str">
        <f t="shared" si="5"/>
        <v>定価</v>
      </c>
      <c r="H352"/>
      <c r="I352"/>
    </row>
    <row r="353" spans="1:9">
      <c r="A353" s="10" t="s">
        <v>375</v>
      </c>
      <c r="B353" s="10" t="s">
        <v>13</v>
      </c>
      <c r="C353" s="10" t="str">
        <f t="shared" si="5"/>
        <v>定価</v>
      </c>
      <c r="H353"/>
      <c r="I353"/>
    </row>
    <row r="354" spans="1:9">
      <c r="A354" s="10" t="s">
        <v>376</v>
      </c>
      <c r="B354" s="10" t="s">
        <v>20</v>
      </c>
      <c r="C354" s="10" t="str">
        <f t="shared" si="5"/>
        <v>割引</v>
      </c>
      <c r="H354"/>
      <c r="I354"/>
    </row>
    <row r="355" spans="1:9">
      <c r="A355" s="10" t="s">
        <v>377</v>
      </c>
      <c r="B355" s="10" t="s">
        <v>13</v>
      </c>
      <c r="C355" s="10" t="str">
        <f t="shared" si="5"/>
        <v>定価</v>
      </c>
      <c r="H355"/>
      <c r="I355"/>
    </row>
    <row r="356" spans="1:9">
      <c r="A356" s="10" t="s">
        <v>378</v>
      </c>
      <c r="B356" s="10" t="s">
        <v>20</v>
      </c>
      <c r="C356" s="10" t="str">
        <f t="shared" si="5"/>
        <v>割引</v>
      </c>
      <c r="H356"/>
      <c r="I356"/>
    </row>
    <row r="357" spans="1:9">
      <c r="A357" s="10" t="s">
        <v>379</v>
      </c>
      <c r="B357" s="10" t="s">
        <v>16</v>
      </c>
      <c r="C357" s="10" t="str">
        <f t="shared" si="5"/>
        <v>割引</v>
      </c>
      <c r="H357"/>
      <c r="I357"/>
    </row>
    <row r="358" spans="1:9">
      <c r="A358" s="10" t="s">
        <v>380</v>
      </c>
      <c r="B358" s="10" t="s">
        <v>13</v>
      </c>
      <c r="C358" s="10" t="str">
        <f t="shared" si="5"/>
        <v>定価</v>
      </c>
      <c r="H358"/>
      <c r="I358"/>
    </row>
    <row r="359" spans="1:9">
      <c r="A359" s="10" t="s">
        <v>381</v>
      </c>
      <c r="B359" s="10" t="s">
        <v>13</v>
      </c>
      <c r="C359" s="10" t="str">
        <f t="shared" si="5"/>
        <v>定価</v>
      </c>
      <c r="H359"/>
      <c r="I359"/>
    </row>
    <row r="360" spans="1:9">
      <c r="A360" s="10" t="s">
        <v>382</v>
      </c>
      <c r="B360" s="10" t="s">
        <v>20</v>
      </c>
      <c r="C360" s="10" t="str">
        <f t="shared" si="5"/>
        <v>割引</v>
      </c>
      <c r="H360"/>
      <c r="I360"/>
    </row>
    <row r="361" spans="1:9">
      <c r="A361" s="10" t="s">
        <v>383</v>
      </c>
      <c r="B361" s="10" t="s">
        <v>13</v>
      </c>
      <c r="C361" s="10" t="str">
        <f t="shared" si="5"/>
        <v>定価</v>
      </c>
      <c r="H361"/>
      <c r="I361"/>
    </row>
    <row r="362" spans="1:9">
      <c r="A362" s="10" t="s">
        <v>384</v>
      </c>
      <c r="B362" s="10" t="s">
        <v>13</v>
      </c>
      <c r="C362" s="10" t="str">
        <f t="shared" si="5"/>
        <v>定価</v>
      </c>
      <c r="H362"/>
      <c r="I362"/>
    </row>
    <row r="363" spans="1:9">
      <c r="A363" s="10" t="s">
        <v>385</v>
      </c>
      <c r="B363" s="10" t="s">
        <v>20</v>
      </c>
      <c r="C363" s="10" t="str">
        <f t="shared" si="5"/>
        <v>割引</v>
      </c>
      <c r="H363"/>
      <c r="I363"/>
    </row>
    <row r="364" spans="1:9">
      <c r="A364" s="10" t="s">
        <v>386</v>
      </c>
      <c r="B364" s="10" t="s">
        <v>20</v>
      </c>
      <c r="C364" s="10" t="str">
        <f t="shared" si="5"/>
        <v>割引</v>
      </c>
      <c r="H364"/>
      <c r="I364"/>
    </row>
    <row r="365" spans="1:9">
      <c r="A365" s="10" t="s">
        <v>387</v>
      </c>
      <c r="B365" s="10" t="s">
        <v>13</v>
      </c>
      <c r="C365" s="10" t="str">
        <f t="shared" si="5"/>
        <v>定価</v>
      </c>
      <c r="H365"/>
      <c r="I365"/>
    </row>
    <row r="366" spans="1:9">
      <c r="A366" s="10" t="s">
        <v>388</v>
      </c>
      <c r="B366" s="10" t="s">
        <v>13</v>
      </c>
      <c r="C366" s="10" t="str">
        <f t="shared" si="5"/>
        <v>定価</v>
      </c>
      <c r="H366"/>
      <c r="I366"/>
    </row>
    <row r="367" spans="1:9">
      <c r="A367" s="10" t="s">
        <v>389</v>
      </c>
      <c r="B367" s="10" t="s">
        <v>20</v>
      </c>
      <c r="C367" s="10" t="str">
        <f t="shared" si="5"/>
        <v>割引</v>
      </c>
      <c r="H367"/>
      <c r="I367"/>
    </row>
    <row r="368" spans="1:9">
      <c r="A368" s="10" t="s">
        <v>390</v>
      </c>
      <c r="B368" s="10" t="s">
        <v>13</v>
      </c>
      <c r="C368" s="10" t="str">
        <f t="shared" si="5"/>
        <v>定価</v>
      </c>
      <c r="H368"/>
      <c r="I368"/>
    </row>
    <row r="369" spans="1:9">
      <c r="A369" s="10" t="s">
        <v>391</v>
      </c>
      <c r="B369" s="10" t="s">
        <v>20</v>
      </c>
      <c r="C369" s="10" t="str">
        <f t="shared" si="5"/>
        <v>割引</v>
      </c>
      <c r="H369"/>
      <c r="I369"/>
    </row>
    <row r="370" spans="1:9">
      <c r="A370" s="10" t="s">
        <v>392</v>
      </c>
      <c r="B370" s="10" t="s">
        <v>13</v>
      </c>
      <c r="C370" s="10" t="str">
        <f t="shared" si="5"/>
        <v>定価</v>
      </c>
      <c r="H370"/>
      <c r="I370"/>
    </row>
    <row r="371" spans="1:9">
      <c r="A371" s="10" t="s">
        <v>393</v>
      </c>
      <c r="B371" s="10" t="s">
        <v>13</v>
      </c>
      <c r="C371" s="10" t="str">
        <f t="shared" si="5"/>
        <v>定価</v>
      </c>
      <c r="H371"/>
      <c r="I371"/>
    </row>
    <row r="372" spans="1:9">
      <c r="A372" s="10" t="s">
        <v>394</v>
      </c>
      <c r="B372" s="10" t="s">
        <v>20</v>
      </c>
      <c r="C372" s="10" t="str">
        <f t="shared" si="5"/>
        <v>割引</v>
      </c>
      <c r="H372"/>
      <c r="I372"/>
    </row>
    <row r="373" spans="1:9">
      <c r="A373" s="10" t="s">
        <v>395</v>
      </c>
      <c r="B373" s="10" t="s">
        <v>13</v>
      </c>
      <c r="C373" s="10" t="str">
        <f t="shared" si="5"/>
        <v>定価</v>
      </c>
      <c r="H373"/>
      <c r="I373"/>
    </row>
    <row r="374" spans="1:9">
      <c r="A374" s="10" t="s">
        <v>396</v>
      </c>
      <c r="B374" s="10" t="s">
        <v>20</v>
      </c>
      <c r="C374" s="10" t="str">
        <f t="shared" si="5"/>
        <v>割引</v>
      </c>
      <c r="H374"/>
      <c r="I374"/>
    </row>
    <row r="375" spans="1:9">
      <c r="A375" s="10" t="s">
        <v>397</v>
      </c>
      <c r="B375" s="10" t="s">
        <v>13</v>
      </c>
      <c r="C375" s="10" t="str">
        <f t="shared" si="5"/>
        <v>定価</v>
      </c>
      <c r="H375"/>
      <c r="I375"/>
    </row>
    <row r="376" spans="1:9">
      <c r="A376" s="10" t="s">
        <v>398</v>
      </c>
      <c r="B376" s="10" t="s">
        <v>13</v>
      </c>
      <c r="C376" s="10" t="str">
        <f t="shared" si="5"/>
        <v>定価</v>
      </c>
      <c r="H376"/>
      <c r="I376"/>
    </row>
    <row r="377" spans="1:9">
      <c r="A377" s="10" t="s">
        <v>399</v>
      </c>
      <c r="B377" s="10" t="s">
        <v>13</v>
      </c>
      <c r="C377" s="10" t="str">
        <f t="shared" si="5"/>
        <v>定価</v>
      </c>
      <c r="H377"/>
      <c r="I377"/>
    </row>
    <row r="378" spans="1:9">
      <c r="A378" s="10" t="s">
        <v>400</v>
      </c>
      <c r="B378" s="10" t="s">
        <v>13</v>
      </c>
      <c r="C378" s="10" t="str">
        <f t="shared" si="5"/>
        <v>定価</v>
      </c>
      <c r="H378"/>
      <c r="I378"/>
    </row>
    <row r="379" spans="1:9">
      <c r="A379" s="10" t="s">
        <v>401</v>
      </c>
      <c r="B379" s="10" t="s">
        <v>13</v>
      </c>
      <c r="C379" s="10" t="str">
        <f t="shared" si="5"/>
        <v>定価</v>
      </c>
      <c r="H379"/>
      <c r="I379"/>
    </row>
    <row r="380" spans="1:9">
      <c r="A380" s="10" t="s">
        <v>402</v>
      </c>
      <c r="B380" s="10" t="s">
        <v>13</v>
      </c>
      <c r="C380" s="10" t="str">
        <f t="shared" si="5"/>
        <v>定価</v>
      </c>
      <c r="H380"/>
      <c r="I380"/>
    </row>
    <row r="381" spans="1:9">
      <c r="A381" s="10" t="s">
        <v>403</v>
      </c>
      <c r="B381" s="10" t="s">
        <v>13</v>
      </c>
      <c r="C381" s="10" t="str">
        <f t="shared" si="5"/>
        <v>定価</v>
      </c>
      <c r="H381"/>
      <c r="I381"/>
    </row>
    <row r="382" spans="1:9">
      <c r="A382" s="10" t="s">
        <v>404</v>
      </c>
      <c r="B382" s="10" t="s">
        <v>20</v>
      </c>
      <c r="C382" s="10" t="str">
        <f t="shared" si="5"/>
        <v>割引</v>
      </c>
      <c r="H382"/>
      <c r="I382"/>
    </row>
    <row r="383" spans="1:9">
      <c r="A383" s="10" t="s">
        <v>405</v>
      </c>
      <c r="B383" s="10" t="s">
        <v>13</v>
      </c>
      <c r="C383" s="10" t="str">
        <f t="shared" si="5"/>
        <v>定価</v>
      </c>
      <c r="H383"/>
      <c r="I383"/>
    </row>
    <row r="384" spans="1:9">
      <c r="A384" s="10" t="s">
        <v>406</v>
      </c>
      <c r="B384" s="10" t="s">
        <v>20</v>
      </c>
      <c r="C384" s="10" t="str">
        <f t="shared" si="5"/>
        <v>割引</v>
      </c>
      <c r="H384"/>
      <c r="I384"/>
    </row>
    <row r="385" spans="1:9">
      <c r="A385" s="10" t="s">
        <v>407</v>
      </c>
      <c r="B385" s="10" t="s">
        <v>13</v>
      </c>
      <c r="C385" s="10" t="str">
        <f t="shared" si="5"/>
        <v>定価</v>
      </c>
      <c r="H385"/>
      <c r="I385"/>
    </row>
    <row r="386" spans="1:9">
      <c r="A386" s="10" t="s">
        <v>408</v>
      </c>
      <c r="B386" s="10" t="s">
        <v>13</v>
      </c>
      <c r="C386" s="10" t="str">
        <f t="shared" si="5"/>
        <v>定価</v>
      </c>
      <c r="H386"/>
      <c r="I386"/>
    </row>
    <row r="387" spans="1:9">
      <c r="A387" s="10" t="s">
        <v>409</v>
      </c>
      <c r="B387" s="10" t="s">
        <v>13</v>
      </c>
      <c r="C387" s="10" t="str">
        <f t="shared" ref="C387:C450" si="6">IF(B387="通常価格", "定価", IF(B387="割引価格", "割引", B387))</f>
        <v>定価</v>
      </c>
      <c r="H387"/>
      <c r="I387"/>
    </row>
    <row r="388" spans="1:9">
      <c r="A388" s="10" t="s">
        <v>410</v>
      </c>
      <c r="B388" s="10" t="s">
        <v>13</v>
      </c>
      <c r="C388" s="10" t="str">
        <f t="shared" si="6"/>
        <v>定価</v>
      </c>
      <c r="H388"/>
      <c r="I388"/>
    </row>
    <row r="389" spans="1:9">
      <c r="A389" s="10" t="s">
        <v>411</v>
      </c>
      <c r="B389" s="10" t="s">
        <v>13</v>
      </c>
      <c r="C389" s="10" t="str">
        <f t="shared" si="6"/>
        <v>定価</v>
      </c>
      <c r="H389"/>
      <c r="I389"/>
    </row>
    <row r="390" spans="1:9">
      <c r="A390" s="10" t="s">
        <v>412</v>
      </c>
      <c r="B390" s="10" t="s">
        <v>20</v>
      </c>
      <c r="C390" s="10" t="str">
        <f t="shared" si="6"/>
        <v>割引</v>
      </c>
      <c r="H390"/>
      <c r="I390"/>
    </row>
    <row r="391" spans="1:9">
      <c r="A391" s="10" t="s">
        <v>413</v>
      </c>
      <c r="B391" s="10" t="s">
        <v>13</v>
      </c>
      <c r="C391" s="10" t="str">
        <f t="shared" si="6"/>
        <v>定価</v>
      </c>
      <c r="H391"/>
      <c r="I391"/>
    </row>
    <row r="392" spans="1:9">
      <c r="A392" s="10" t="s">
        <v>414</v>
      </c>
      <c r="B392" s="10" t="s">
        <v>13</v>
      </c>
      <c r="C392" s="10" t="str">
        <f t="shared" si="6"/>
        <v>定価</v>
      </c>
      <c r="H392"/>
      <c r="I392"/>
    </row>
    <row r="393" spans="1:9">
      <c r="A393" s="10" t="s">
        <v>415</v>
      </c>
      <c r="B393" s="10" t="s">
        <v>13</v>
      </c>
      <c r="C393" s="10" t="str">
        <f t="shared" si="6"/>
        <v>定価</v>
      </c>
      <c r="H393"/>
      <c r="I393"/>
    </row>
    <row r="394" spans="1:9">
      <c r="A394" s="10" t="s">
        <v>416</v>
      </c>
      <c r="B394" s="10" t="s">
        <v>13</v>
      </c>
      <c r="C394" s="10" t="str">
        <f t="shared" si="6"/>
        <v>定価</v>
      </c>
      <c r="H394"/>
      <c r="I394"/>
    </row>
    <row r="395" spans="1:9">
      <c r="A395" s="10" t="s">
        <v>417</v>
      </c>
      <c r="B395" s="10" t="s">
        <v>13</v>
      </c>
      <c r="C395" s="10" t="str">
        <f t="shared" si="6"/>
        <v>定価</v>
      </c>
      <c r="H395"/>
      <c r="I395"/>
    </row>
    <row r="396" spans="1:9">
      <c r="A396" s="10" t="s">
        <v>418</v>
      </c>
      <c r="B396" s="10" t="s">
        <v>13</v>
      </c>
      <c r="C396" s="10" t="str">
        <f t="shared" si="6"/>
        <v>定価</v>
      </c>
      <c r="H396"/>
      <c r="I396"/>
    </row>
    <row r="397" spans="1:9">
      <c r="A397" s="10" t="s">
        <v>419</v>
      </c>
      <c r="B397" s="10" t="s">
        <v>20</v>
      </c>
      <c r="C397" s="10" t="str">
        <f t="shared" si="6"/>
        <v>割引</v>
      </c>
      <c r="H397"/>
      <c r="I397"/>
    </row>
    <row r="398" spans="1:9">
      <c r="A398" s="10" t="s">
        <v>420</v>
      </c>
      <c r="B398" s="10" t="s">
        <v>13</v>
      </c>
      <c r="C398" s="10" t="str">
        <f t="shared" si="6"/>
        <v>定価</v>
      </c>
      <c r="H398"/>
      <c r="I398"/>
    </row>
    <row r="399" spans="1:9">
      <c r="A399" s="10" t="s">
        <v>421</v>
      </c>
      <c r="B399" s="10" t="s">
        <v>13</v>
      </c>
      <c r="C399" s="10" t="str">
        <f t="shared" si="6"/>
        <v>定価</v>
      </c>
      <c r="H399"/>
      <c r="I399"/>
    </row>
    <row r="400" spans="1:9">
      <c r="A400" s="10" t="s">
        <v>422</v>
      </c>
      <c r="B400" s="10" t="s">
        <v>13</v>
      </c>
      <c r="C400" s="10" t="str">
        <f t="shared" si="6"/>
        <v>定価</v>
      </c>
      <c r="H400"/>
      <c r="I400"/>
    </row>
    <row r="401" spans="1:9">
      <c r="A401" s="10" t="s">
        <v>423</v>
      </c>
      <c r="B401" s="10" t="s">
        <v>20</v>
      </c>
      <c r="C401" s="10" t="str">
        <f t="shared" si="6"/>
        <v>割引</v>
      </c>
      <c r="H401"/>
      <c r="I401"/>
    </row>
    <row r="402" spans="1:9">
      <c r="A402" s="10" t="s">
        <v>424</v>
      </c>
      <c r="B402" s="10" t="s">
        <v>13</v>
      </c>
      <c r="C402" s="10" t="str">
        <f t="shared" si="6"/>
        <v>定価</v>
      </c>
      <c r="H402"/>
      <c r="I402"/>
    </row>
    <row r="403" spans="1:9">
      <c r="A403" s="10" t="s">
        <v>425</v>
      </c>
      <c r="B403" s="10" t="s">
        <v>32</v>
      </c>
      <c r="C403" s="10" t="str">
        <f t="shared" si="6"/>
        <v>定価</v>
      </c>
      <c r="H403"/>
      <c r="I403"/>
    </row>
    <row r="404" spans="1:9">
      <c r="A404" s="10" t="s">
        <v>426</v>
      </c>
      <c r="B404" s="10" t="s">
        <v>13</v>
      </c>
      <c r="C404" s="10" t="str">
        <f t="shared" si="6"/>
        <v>定価</v>
      </c>
      <c r="H404"/>
      <c r="I404"/>
    </row>
    <row r="405" spans="1:9">
      <c r="A405" s="10" t="s">
        <v>427</v>
      </c>
      <c r="B405" s="10" t="s">
        <v>20</v>
      </c>
      <c r="C405" s="10" t="str">
        <f t="shared" si="6"/>
        <v>割引</v>
      </c>
      <c r="H405"/>
      <c r="I405"/>
    </row>
    <row r="406" spans="1:9">
      <c r="A406" s="10" t="s">
        <v>428</v>
      </c>
      <c r="B406" s="10" t="s">
        <v>13</v>
      </c>
      <c r="C406" s="10" t="str">
        <f t="shared" si="6"/>
        <v>定価</v>
      </c>
      <c r="H406"/>
      <c r="I406"/>
    </row>
    <row r="407" spans="1:9">
      <c r="A407" s="10" t="s">
        <v>429</v>
      </c>
      <c r="B407" s="10" t="s">
        <v>13</v>
      </c>
      <c r="C407" s="10" t="str">
        <f t="shared" si="6"/>
        <v>定価</v>
      </c>
      <c r="H407"/>
      <c r="I407"/>
    </row>
    <row r="408" spans="1:9">
      <c r="A408" s="10" t="s">
        <v>430</v>
      </c>
      <c r="B408" s="10" t="s">
        <v>13</v>
      </c>
      <c r="C408" s="10" t="str">
        <f t="shared" si="6"/>
        <v>定価</v>
      </c>
      <c r="H408"/>
      <c r="I408"/>
    </row>
    <row r="409" spans="1:9">
      <c r="A409" s="10" t="s">
        <v>431</v>
      </c>
      <c r="B409" s="10" t="s">
        <v>20</v>
      </c>
      <c r="C409" s="10" t="str">
        <f t="shared" si="6"/>
        <v>割引</v>
      </c>
      <c r="H409"/>
      <c r="I409"/>
    </row>
    <row r="410" spans="1:9">
      <c r="A410" s="10" t="s">
        <v>432</v>
      </c>
      <c r="B410" s="10" t="s">
        <v>13</v>
      </c>
      <c r="C410" s="10" t="str">
        <f t="shared" si="6"/>
        <v>定価</v>
      </c>
      <c r="H410"/>
      <c r="I410"/>
    </row>
    <row r="411" spans="1:9">
      <c r="A411" s="10" t="s">
        <v>433</v>
      </c>
      <c r="B411" s="10" t="s">
        <v>20</v>
      </c>
      <c r="C411" s="10" t="str">
        <f t="shared" si="6"/>
        <v>割引</v>
      </c>
      <c r="H411"/>
      <c r="I411"/>
    </row>
    <row r="412" spans="1:9">
      <c r="A412" s="10" t="s">
        <v>434</v>
      </c>
      <c r="B412" s="10" t="s">
        <v>13</v>
      </c>
      <c r="C412" s="10" t="str">
        <f t="shared" si="6"/>
        <v>定価</v>
      </c>
      <c r="H412"/>
      <c r="I412"/>
    </row>
    <row r="413" spans="1:9">
      <c r="A413" s="10" t="s">
        <v>435</v>
      </c>
      <c r="B413" s="10" t="s">
        <v>13</v>
      </c>
      <c r="C413" s="10" t="str">
        <f t="shared" si="6"/>
        <v>定価</v>
      </c>
      <c r="H413"/>
      <c r="I413"/>
    </row>
    <row r="414" spans="1:9">
      <c r="A414" s="10" t="s">
        <v>436</v>
      </c>
      <c r="B414" s="10" t="s">
        <v>13</v>
      </c>
      <c r="C414" s="10" t="str">
        <f t="shared" si="6"/>
        <v>定価</v>
      </c>
      <c r="H414"/>
      <c r="I414"/>
    </row>
    <row r="415" spans="1:9">
      <c r="A415" s="10" t="s">
        <v>437</v>
      </c>
      <c r="B415" s="10" t="s">
        <v>13</v>
      </c>
      <c r="C415" s="10" t="str">
        <f t="shared" si="6"/>
        <v>定価</v>
      </c>
      <c r="H415"/>
      <c r="I415"/>
    </row>
    <row r="416" spans="1:9">
      <c r="A416" s="10" t="s">
        <v>438</v>
      </c>
      <c r="B416" s="10" t="s">
        <v>13</v>
      </c>
      <c r="C416" s="10" t="str">
        <f t="shared" si="6"/>
        <v>定価</v>
      </c>
      <c r="H416"/>
      <c r="I416"/>
    </row>
    <row r="417" spans="1:9">
      <c r="A417" s="10" t="s">
        <v>439</v>
      </c>
      <c r="B417" s="10" t="s">
        <v>13</v>
      </c>
      <c r="C417" s="10" t="str">
        <f t="shared" si="6"/>
        <v>定価</v>
      </c>
      <c r="H417"/>
      <c r="I417"/>
    </row>
    <row r="418" spans="1:9">
      <c r="A418" s="10" t="s">
        <v>440</v>
      </c>
      <c r="B418" s="10" t="s">
        <v>13</v>
      </c>
      <c r="C418" s="10" t="str">
        <f t="shared" si="6"/>
        <v>定価</v>
      </c>
      <c r="H418"/>
      <c r="I418"/>
    </row>
    <row r="419" spans="1:9">
      <c r="A419" s="10" t="s">
        <v>441</v>
      </c>
      <c r="B419" s="10" t="s">
        <v>13</v>
      </c>
      <c r="C419" s="10" t="str">
        <f t="shared" si="6"/>
        <v>定価</v>
      </c>
      <c r="H419"/>
      <c r="I419"/>
    </row>
    <row r="420" spans="1:9">
      <c r="A420" s="10" t="s">
        <v>442</v>
      </c>
      <c r="B420" s="10" t="s">
        <v>20</v>
      </c>
      <c r="C420" s="10" t="str">
        <f t="shared" si="6"/>
        <v>割引</v>
      </c>
      <c r="H420"/>
      <c r="I420"/>
    </row>
    <row r="421" spans="1:9">
      <c r="A421" s="10" t="s">
        <v>443</v>
      </c>
      <c r="B421" s="10" t="s">
        <v>20</v>
      </c>
      <c r="C421" s="10" t="str">
        <f t="shared" si="6"/>
        <v>割引</v>
      </c>
      <c r="H421"/>
      <c r="I421"/>
    </row>
    <row r="422" spans="1:9">
      <c r="A422" s="10" t="s">
        <v>444</v>
      </c>
      <c r="B422" s="10" t="s">
        <v>13</v>
      </c>
      <c r="C422" s="10" t="str">
        <f t="shared" si="6"/>
        <v>定価</v>
      </c>
      <c r="H422"/>
      <c r="I422"/>
    </row>
    <row r="423" spans="1:9">
      <c r="A423" s="10" t="s">
        <v>445</v>
      </c>
      <c r="B423" s="10" t="s">
        <v>20</v>
      </c>
      <c r="C423" s="10" t="str">
        <f t="shared" si="6"/>
        <v>割引</v>
      </c>
      <c r="H423"/>
      <c r="I423"/>
    </row>
    <row r="424" spans="1:9">
      <c r="A424" s="10" t="s">
        <v>446</v>
      </c>
      <c r="B424" s="10" t="s">
        <v>13</v>
      </c>
      <c r="C424" s="10" t="str">
        <f t="shared" si="6"/>
        <v>定価</v>
      </c>
      <c r="H424"/>
      <c r="I424"/>
    </row>
    <row r="425" spans="1:9">
      <c r="A425" s="10" t="s">
        <v>447</v>
      </c>
      <c r="B425" s="10" t="s">
        <v>13</v>
      </c>
      <c r="C425" s="10" t="str">
        <f t="shared" si="6"/>
        <v>定価</v>
      </c>
      <c r="H425"/>
      <c r="I425"/>
    </row>
    <row r="426" spans="1:9">
      <c r="A426" s="10" t="s">
        <v>448</v>
      </c>
      <c r="B426" s="10" t="s">
        <v>13</v>
      </c>
      <c r="C426" s="10" t="str">
        <f t="shared" si="6"/>
        <v>定価</v>
      </c>
      <c r="H426"/>
      <c r="I426"/>
    </row>
    <row r="427" spans="1:9">
      <c r="A427" s="10" t="s">
        <v>449</v>
      </c>
      <c r="B427" s="10" t="s">
        <v>13</v>
      </c>
      <c r="C427" s="10" t="str">
        <f t="shared" si="6"/>
        <v>定価</v>
      </c>
      <c r="H427"/>
      <c r="I427"/>
    </row>
    <row r="428" spans="1:9">
      <c r="A428" s="10" t="s">
        <v>450</v>
      </c>
      <c r="B428" s="10" t="s">
        <v>13</v>
      </c>
      <c r="C428" s="10" t="str">
        <f t="shared" si="6"/>
        <v>定価</v>
      </c>
      <c r="H428"/>
      <c r="I428"/>
    </row>
    <row r="429" spans="1:9">
      <c r="A429" s="10" t="s">
        <v>451</v>
      </c>
      <c r="B429" s="10" t="s">
        <v>20</v>
      </c>
      <c r="C429" s="10" t="str">
        <f t="shared" si="6"/>
        <v>割引</v>
      </c>
      <c r="H429"/>
      <c r="I429"/>
    </row>
    <row r="430" spans="1:9">
      <c r="A430" s="10" t="s">
        <v>452</v>
      </c>
      <c r="B430" s="10" t="s">
        <v>13</v>
      </c>
      <c r="C430" s="10" t="str">
        <f t="shared" si="6"/>
        <v>定価</v>
      </c>
      <c r="H430"/>
      <c r="I430"/>
    </row>
    <row r="431" spans="1:9">
      <c r="A431" s="10" t="s">
        <v>453</v>
      </c>
      <c r="B431" s="10" t="s">
        <v>20</v>
      </c>
      <c r="C431" s="10" t="str">
        <f t="shared" si="6"/>
        <v>割引</v>
      </c>
      <c r="H431"/>
      <c r="I431"/>
    </row>
    <row r="432" spans="1:9">
      <c r="A432" s="10" t="s">
        <v>454</v>
      </c>
      <c r="B432" s="10" t="s">
        <v>13</v>
      </c>
      <c r="C432" s="10" t="str">
        <f t="shared" si="6"/>
        <v>定価</v>
      </c>
      <c r="H432"/>
      <c r="I432"/>
    </row>
    <row r="433" spans="1:9">
      <c r="A433" s="10" t="s">
        <v>455</v>
      </c>
      <c r="B433" s="10" t="s">
        <v>20</v>
      </c>
      <c r="C433" s="10" t="str">
        <f t="shared" si="6"/>
        <v>割引</v>
      </c>
      <c r="H433"/>
      <c r="I433"/>
    </row>
    <row r="434" spans="1:9">
      <c r="A434" s="10" t="s">
        <v>456</v>
      </c>
      <c r="B434" s="10" t="s">
        <v>13</v>
      </c>
      <c r="C434" s="10" t="str">
        <f t="shared" si="6"/>
        <v>定価</v>
      </c>
      <c r="H434"/>
      <c r="I434"/>
    </row>
    <row r="435" spans="1:9">
      <c r="A435" s="10" t="s">
        <v>457</v>
      </c>
      <c r="B435" s="10" t="s">
        <v>20</v>
      </c>
      <c r="C435" s="10" t="str">
        <f t="shared" si="6"/>
        <v>割引</v>
      </c>
      <c r="H435"/>
      <c r="I435"/>
    </row>
    <row r="436" spans="1:9">
      <c r="A436" s="10" t="s">
        <v>458</v>
      </c>
      <c r="B436" s="10" t="s">
        <v>13</v>
      </c>
      <c r="C436" s="10" t="str">
        <f t="shared" si="6"/>
        <v>定価</v>
      </c>
      <c r="H436"/>
      <c r="I436"/>
    </row>
    <row r="437" spans="1:9">
      <c r="A437" s="10" t="s">
        <v>459</v>
      </c>
      <c r="B437" s="10" t="s">
        <v>13</v>
      </c>
      <c r="C437" s="10" t="str">
        <f t="shared" si="6"/>
        <v>定価</v>
      </c>
      <c r="H437"/>
      <c r="I437"/>
    </row>
    <row r="438" spans="1:9">
      <c r="A438" s="10" t="s">
        <v>460</v>
      </c>
      <c r="B438" s="10" t="s">
        <v>13</v>
      </c>
      <c r="C438" s="10" t="str">
        <f t="shared" si="6"/>
        <v>定価</v>
      </c>
      <c r="H438"/>
      <c r="I438"/>
    </row>
    <row r="439" spans="1:9">
      <c r="A439" s="10" t="s">
        <v>461</v>
      </c>
      <c r="B439" s="10" t="s">
        <v>13</v>
      </c>
      <c r="C439" s="10" t="str">
        <f t="shared" si="6"/>
        <v>定価</v>
      </c>
      <c r="H439"/>
      <c r="I439"/>
    </row>
    <row r="440" spans="1:9">
      <c r="A440" s="10" t="s">
        <v>462</v>
      </c>
      <c r="B440" s="10" t="s">
        <v>13</v>
      </c>
      <c r="C440" s="10" t="str">
        <f t="shared" si="6"/>
        <v>定価</v>
      </c>
      <c r="H440"/>
      <c r="I440"/>
    </row>
    <row r="441" spans="1:9">
      <c r="A441" s="10" t="s">
        <v>463</v>
      </c>
      <c r="B441" s="10" t="s">
        <v>13</v>
      </c>
      <c r="C441" s="10" t="str">
        <f t="shared" si="6"/>
        <v>定価</v>
      </c>
      <c r="H441"/>
      <c r="I441"/>
    </row>
    <row r="442" spans="1:9">
      <c r="A442" s="10" t="s">
        <v>464</v>
      </c>
      <c r="B442" s="10" t="s">
        <v>13</v>
      </c>
      <c r="C442" s="10" t="str">
        <f t="shared" si="6"/>
        <v>定価</v>
      </c>
      <c r="H442"/>
      <c r="I442"/>
    </row>
    <row r="443" spans="1:9">
      <c r="A443" s="10" t="s">
        <v>465</v>
      </c>
      <c r="B443" s="10" t="s">
        <v>13</v>
      </c>
      <c r="C443" s="10" t="str">
        <f t="shared" si="6"/>
        <v>定価</v>
      </c>
      <c r="H443"/>
      <c r="I443"/>
    </row>
    <row r="444" spans="1:9">
      <c r="A444" s="10" t="s">
        <v>466</v>
      </c>
      <c r="B444" s="10" t="s">
        <v>13</v>
      </c>
      <c r="C444" s="10" t="str">
        <f t="shared" si="6"/>
        <v>定価</v>
      </c>
      <c r="H444"/>
      <c r="I444"/>
    </row>
    <row r="445" spans="1:9">
      <c r="A445" s="10" t="s">
        <v>467</v>
      </c>
      <c r="B445" s="10" t="s">
        <v>20</v>
      </c>
      <c r="C445" s="10" t="str">
        <f t="shared" si="6"/>
        <v>割引</v>
      </c>
      <c r="H445"/>
      <c r="I445"/>
    </row>
    <row r="446" spans="1:9">
      <c r="A446" s="10" t="s">
        <v>468</v>
      </c>
      <c r="B446" s="10" t="s">
        <v>13</v>
      </c>
      <c r="C446" s="10" t="str">
        <f t="shared" si="6"/>
        <v>定価</v>
      </c>
      <c r="H446"/>
      <c r="I446"/>
    </row>
    <row r="447" spans="1:9">
      <c r="A447" s="10" t="s">
        <v>469</v>
      </c>
      <c r="B447" s="10" t="s">
        <v>20</v>
      </c>
      <c r="C447" s="10" t="str">
        <f t="shared" si="6"/>
        <v>割引</v>
      </c>
      <c r="H447"/>
      <c r="I447"/>
    </row>
    <row r="448" spans="1:9">
      <c r="A448" s="10" t="s">
        <v>470</v>
      </c>
      <c r="B448" s="10" t="s">
        <v>13</v>
      </c>
      <c r="C448" s="10" t="str">
        <f t="shared" si="6"/>
        <v>定価</v>
      </c>
      <c r="H448"/>
      <c r="I448"/>
    </row>
    <row r="449" spans="1:9">
      <c r="A449" s="10" t="s">
        <v>471</v>
      </c>
      <c r="B449" s="10" t="s">
        <v>20</v>
      </c>
      <c r="C449" s="10" t="str">
        <f t="shared" si="6"/>
        <v>割引</v>
      </c>
      <c r="H449"/>
      <c r="I449"/>
    </row>
    <row r="450" spans="1:9">
      <c r="A450" s="10" t="s">
        <v>472</v>
      </c>
      <c r="B450" s="10" t="s">
        <v>13</v>
      </c>
      <c r="C450" s="10" t="str">
        <f t="shared" si="6"/>
        <v>定価</v>
      </c>
      <c r="H450"/>
      <c r="I450"/>
    </row>
    <row r="451" spans="1:9">
      <c r="A451" s="10" t="s">
        <v>473</v>
      </c>
      <c r="B451" s="10" t="s">
        <v>13</v>
      </c>
      <c r="C451" s="10" t="str">
        <f t="shared" ref="C451:C514" si="7">IF(B451="通常価格", "定価", IF(B451="割引価格", "割引", B451))</f>
        <v>定価</v>
      </c>
      <c r="H451"/>
      <c r="I451"/>
    </row>
    <row r="452" spans="1:9">
      <c r="A452" s="10" t="s">
        <v>474</v>
      </c>
      <c r="B452" s="10" t="s">
        <v>13</v>
      </c>
      <c r="C452" s="10" t="str">
        <f t="shared" si="7"/>
        <v>定価</v>
      </c>
      <c r="H452"/>
      <c r="I452"/>
    </row>
    <row r="453" spans="1:9">
      <c r="A453" s="10" t="s">
        <v>475</v>
      </c>
      <c r="B453" s="10" t="s">
        <v>20</v>
      </c>
      <c r="C453" s="10" t="str">
        <f t="shared" si="7"/>
        <v>割引</v>
      </c>
      <c r="H453"/>
      <c r="I453"/>
    </row>
    <row r="454" spans="1:9">
      <c r="A454" s="10" t="s">
        <v>476</v>
      </c>
      <c r="B454" s="10" t="s">
        <v>20</v>
      </c>
      <c r="C454" s="10" t="str">
        <f t="shared" si="7"/>
        <v>割引</v>
      </c>
      <c r="H454"/>
      <c r="I454"/>
    </row>
    <row r="455" spans="1:9">
      <c r="A455" s="10" t="s">
        <v>477</v>
      </c>
      <c r="B455" s="10" t="s">
        <v>20</v>
      </c>
      <c r="C455" s="10" t="str">
        <f t="shared" si="7"/>
        <v>割引</v>
      </c>
      <c r="H455"/>
      <c r="I455"/>
    </row>
    <row r="456" spans="1:9">
      <c r="A456" s="10" t="s">
        <v>478</v>
      </c>
      <c r="B456" s="10" t="s">
        <v>20</v>
      </c>
      <c r="C456" s="10" t="str">
        <f t="shared" si="7"/>
        <v>割引</v>
      </c>
      <c r="H456"/>
      <c r="I456"/>
    </row>
    <row r="457" spans="1:9">
      <c r="A457" s="10" t="s">
        <v>479</v>
      </c>
      <c r="B457" s="10" t="s">
        <v>20</v>
      </c>
      <c r="C457" s="10" t="str">
        <f t="shared" si="7"/>
        <v>割引</v>
      </c>
      <c r="H457"/>
      <c r="I457"/>
    </row>
    <row r="458" spans="1:9">
      <c r="A458" s="10" t="s">
        <v>480</v>
      </c>
      <c r="B458" s="10" t="s">
        <v>13</v>
      </c>
      <c r="C458" s="10" t="str">
        <f t="shared" si="7"/>
        <v>定価</v>
      </c>
      <c r="H458"/>
      <c r="I458"/>
    </row>
    <row r="459" spans="1:9">
      <c r="A459" s="10" t="s">
        <v>481</v>
      </c>
      <c r="B459" s="10" t="s">
        <v>13</v>
      </c>
      <c r="C459" s="10" t="str">
        <f t="shared" si="7"/>
        <v>定価</v>
      </c>
      <c r="H459"/>
      <c r="I459"/>
    </row>
    <row r="460" spans="1:9">
      <c r="A460" s="10" t="s">
        <v>482</v>
      </c>
      <c r="B460" s="10" t="s">
        <v>13</v>
      </c>
      <c r="C460" s="10" t="str">
        <f t="shared" si="7"/>
        <v>定価</v>
      </c>
      <c r="H460"/>
      <c r="I460"/>
    </row>
    <row r="461" spans="1:9">
      <c r="A461" s="10" t="s">
        <v>483</v>
      </c>
      <c r="B461" s="10" t="s">
        <v>13</v>
      </c>
      <c r="C461" s="10" t="str">
        <f t="shared" si="7"/>
        <v>定価</v>
      </c>
      <c r="H461"/>
      <c r="I461"/>
    </row>
    <row r="462" spans="1:9">
      <c r="A462" s="10" t="s">
        <v>484</v>
      </c>
      <c r="B462" s="10" t="s">
        <v>13</v>
      </c>
      <c r="C462" s="10" t="str">
        <f t="shared" si="7"/>
        <v>定価</v>
      </c>
      <c r="H462"/>
      <c r="I462"/>
    </row>
    <row r="463" spans="1:9">
      <c r="A463" s="10" t="s">
        <v>485</v>
      </c>
      <c r="B463" s="10" t="s">
        <v>13</v>
      </c>
      <c r="C463" s="10" t="str">
        <f t="shared" si="7"/>
        <v>定価</v>
      </c>
      <c r="H463"/>
      <c r="I463"/>
    </row>
    <row r="464" spans="1:9">
      <c r="A464" s="10" t="s">
        <v>486</v>
      </c>
      <c r="B464" s="10" t="s">
        <v>13</v>
      </c>
      <c r="C464" s="10" t="str">
        <f t="shared" si="7"/>
        <v>定価</v>
      </c>
      <c r="H464"/>
      <c r="I464"/>
    </row>
    <row r="465" spans="1:9">
      <c r="A465" s="10" t="s">
        <v>487</v>
      </c>
      <c r="B465" s="10" t="s">
        <v>13</v>
      </c>
      <c r="C465" s="10" t="str">
        <f t="shared" si="7"/>
        <v>定価</v>
      </c>
      <c r="H465"/>
      <c r="I465"/>
    </row>
    <row r="466" spans="1:9">
      <c r="A466" s="10" t="s">
        <v>488</v>
      </c>
      <c r="B466" s="10" t="s">
        <v>13</v>
      </c>
      <c r="C466" s="10" t="str">
        <f t="shared" si="7"/>
        <v>定価</v>
      </c>
      <c r="H466"/>
      <c r="I466"/>
    </row>
    <row r="467" spans="1:9">
      <c r="A467" s="10" t="s">
        <v>489</v>
      </c>
      <c r="B467" s="10" t="s">
        <v>13</v>
      </c>
      <c r="C467" s="10" t="str">
        <f t="shared" si="7"/>
        <v>定価</v>
      </c>
      <c r="H467"/>
      <c r="I467"/>
    </row>
    <row r="468" spans="1:9">
      <c r="A468" s="10" t="s">
        <v>490</v>
      </c>
      <c r="B468" s="10" t="s">
        <v>13</v>
      </c>
      <c r="C468" s="10" t="str">
        <f t="shared" si="7"/>
        <v>定価</v>
      </c>
      <c r="H468"/>
      <c r="I468"/>
    </row>
    <row r="469" spans="1:9">
      <c r="A469" s="10" t="s">
        <v>491</v>
      </c>
      <c r="B469" s="10" t="s">
        <v>16</v>
      </c>
      <c r="C469" s="10" t="str">
        <f t="shared" si="7"/>
        <v>割引</v>
      </c>
      <c r="H469"/>
      <c r="I469"/>
    </row>
    <row r="470" spans="1:9">
      <c r="A470" s="10" t="s">
        <v>492</v>
      </c>
      <c r="B470" s="10" t="s">
        <v>20</v>
      </c>
      <c r="C470" s="10" t="str">
        <f t="shared" si="7"/>
        <v>割引</v>
      </c>
      <c r="H470"/>
      <c r="I470"/>
    </row>
    <row r="471" spans="1:9">
      <c r="A471" s="10" t="s">
        <v>493</v>
      </c>
      <c r="B471" s="10" t="s">
        <v>13</v>
      </c>
      <c r="C471" s="10" t="str">
        <f t="shared" si="7"/>
        <v>定価</v>
      </c>
      <c r="H471"/>
      <c r="I471"/>
    </row>
    <row r="472" spans="1:9">
      <c r="A472" s="10" t="s">
        <v>494</v>
      </c>
      <c r="B472" s="10" t="s">
        <v>32</v>
      </c>
      <c r="C472" s="10" t="str">
        <f t="shared" si="7"/>
        <v>定価</v>
      </c>
      <c r="H472"/>
      <c r="I472"/>
    </row>
    <row r="473" spans="1:9">
      <c r="A473" s="10" t="s">
        <v>495</v>
      </c>
      <c r="B473" s="10" t="s">
        <v>13</v>
      </c>
      <c r="C473" s="10" t="str">
        <f t="shared" si="7"/>
        <v>定価</v>
      </c>
      <c r="H473"/>
      <c r="I473"/>
    </row>
    <row r="474" spans="1:9">
      <c r="A474" s="10" t="s">
        <v>496</v>
      </c>
      <c r="B474" s="10" t="s">
        <v>13</v>
      </c>
      <c r="C474" s="10" t="str">
        <f t="shared" si="7"/>
        <v>定価</v>
      </c>
      <c r="H474"/>
      <c r="I474"/>
    </row>
    <row r="475" spans="1:9">
      <c r="A475" s="10" t="s">
        <v>497</v>
      </c>
      <c r="B475" s="10" t="s">
        <v>13</v>
      </c>
      <c r="C475" s="10" t="str">
        <f t="shared" si="7"/>
        <v>定価</v>
      </c>
      <c r="H475"/>
      <c r="I475"/>
    </row>
    <row r="476" spans="1:9">
      <c r="A476" s="10" t="s">
        <v>498</v>
      </c>
      <c r="B476" s="10" t="s">
        <v>20</v>
      </c>
      <c r="C476" s="10" t="str">
        <f t="shared" si="7"/>
        <v>割引</v>
      </c>
      <c r="H476"/>
      <c r="I476"/>
    </row>
    <row r="477" spans="1:9">
      <c r="A477" s="10" t="s">
        <v>499</v>
      </c>
      <c r="B477" s="10" t="s">
        <v>13</v>
      </c>
      <c r="C477" s="10" t="str">
        <f t="shared" si="7"/>
        <v>定価</v>
      </c>
      <c r="H477"/>
      <c r="I477"/>
    </row>
    <row r="478" spans="1:9">
      <c r="A478" s="10" t="s">
        <v>500</v>
      </c>
      <c r="B478" s="10" t="s">
        <v>13</v>
      </c>
      <c r="C478" s="10" t="str">
        <f t="shared" si="7"/>
        <v>定価</v>
      </c>
      <c r="H478"/>
      <c r="I478"/>
    </row>
    <row r="479" spans="1:9">
      <c r="A479" s="10" t="s">
        <v>501</v>
      </c>
      <c r="B479" s="10" t="s">
        <v>13</v>
      </c>
      <c r="C479" s="10" t="str">
        <f t="shared" si="7"/>
        <v>定価</v>
      </c>
      <c r="H479"/>
      <c r="I479"/>
    </row>
    <row r="480" spans="1:9">
      <c r="A480" s="10" t="s">
        <v>502</v>
      </c>
      <c r="B480" s="10" t="s">
        <v>13</v>
      </c>
      <c r="C480" s="10" t="str">
        <f t="shared" si="7"/>
        <v>定価</v>
      </c>
      <c r="H480"/>
      <c r="I480"/>
    </row>
    <row r="481" spans="1:9">
      <c r="A481" s="10" t="s">
        <v>503</v>
      </c>
      <c r="B481" s="10" t="s">
        <v>20</v>
      </c>
      <c r="C481" s="10" t="str">
        <f t="shared" si="7"/>
        <v>割引</v>
      </c>
      <c r="H481"/>
      <c r="I481"/>
    </row>
    <row r="482" spans="1:9">
      <c r="A482" s="10" t="s">
        <v>504</v>
      </c>
      <c r="B482" s="10" t="s">
        <v>13</v>
      </c>
      <c r="C482" s="10" t="str">
        <f t="shared" si="7"/>
        <v>定価</v>
      </c>
      <c r="H482"/>
      <c r="I482"/>
    </row>
    <row r="483" spans="1:9">
      <c r="A483" s="10" t="s">
        <v>505</v>
      </c>
      <c r="B483" s="10" t="s">
        <v>13</v>
      </c>
      <c r="C483" s="10" t="str">
        <f t="shared" si="7"/>
        <v>定価</v>
      </c>
      <c r="H483"/>
      <c r="I483"/>
    </row>
    <row r="484" spans="1:9">
      <c r="A484" s="10" t="s">
        <v>506</v>
      </c>
      <c r="B484" s="10" t="s">
        <v>20</v>
      </c>
      <c r="C484" s="10" t="str">
        <f t="shared" si="7"/>
        <v>割引</v>
      </c>
      <c r="H484"/>
      <c r="I484"/>
    </row>
    <row r="485" spans="1:9">
      <c r="A485" s="10" t="s">
        <v>507</v>
      </c>
      <c r="B485" s="10" t="s">
        <v>13</v>
      </c>
      <c r="C485" s="10" t="str">
        <f t="shared" si="7"/>
        <v>定価</v>
      </c>
      <c r="H485"/>
      <c r="I485"/>
    </row>
    <row r="486" spans="1:9">
      <c r="A486" s="10" t="s">
        <v>508</v>
      </c>
      <c r="B486" s="10" t="s">
        <v>13</v>
      </c>
      <c r="C486" s="10" t="str">
        <f t="shared" si="7"/>
        <v>定価</v>
      </c>
      <c r="H486"/>
      <c r="I486"/>
    </row>
    <row r="487" spans="1:9">
      <c r="A487" s="10" t="s">
        <v>509</v>
      </c>
      <c r="B487" s="10" t="s">
        <v>20</v>
      </c>
      <c r="C487" s="10" t="str">
        <f t="shared" si="7"/>
        <v>割引</v>
      </c>
      <c r="H487"/>
      <c r="I487"/>
    </row>
    <row r="488" spans="1:9">
      <c r="A488" s="10" t="s">
        <v>510</v>
      </c>
      <c r="B488" s="10" t="s">
        <v>13</v>
      </c>
      <c r="C488" s="10" t="str">
        <f t="shared" si="7"/>
        <v>定価</v>
      </c>
      <c r="H488"/>
      <c r="I488"/>
    </row>
    <row r="489" spans="1:9">
      <c r="A489" s="10" t="s">
        <v>511</v>
      </c>
      <c r="B489" s="10" t="s">
        <v>13</v>
      </c>
      <c r="C489" s="10" t="str">
        <f t="shared" si="7"/>
        <v>定価</v>
      </c>
      <c r="H489"/>
      <c r="I489"/>
    </row>
    <row r="490" spans="1:9">
      <c r="A490" s="10" t="s">
        <v>512</v>
      </c>
      <c r="B490" s="10" t="s">
        <v>13</v>
      </c>
      <c r="C490" s="10" t="str">
        <f t="shared" si="7"/>
        <v>定価</v>
      </c>
      <c r="H490"/>
      <c r="I490"/>
    </row>
    <row r="491" spans="1:9">
      <c r="A491" s="10" t="s">
        <v>513</v>
      </c>
      <c r="B491" s="10" t="s">
        <v>13</v>
      </c>
      <c r="C491" s="10" t="str">
        <f t="shared" si="7"/>
        <v>定価</v>
      </c>
      <c r="H491"/>
      <c r="I491"/>
    </row>
    <row r="492" spans="1:9">
      <c r="A492" s="10" t="s">
        <v>514</v>
      </c>
      <c r="B492" s="10" t="s">
        <v>13</v>
      </c>
      <c r="C492" s="10" t="str">
        <f t="shared" si="7"/>
        <v>定価</v>
      </c>
      <c r="H492"/>
      <c r="I492"/>
    </row>
    <row r="493" spans="1:9">
      <c r="A493" s="10" t="s">
        <v>515</v>
      </c>
      <c r="B493" s="10" t="s">
        <v>13</v>
      </c>
      <c r="C493" s="10" t="str">
        <f t="shared" si="7"/>
        <v>定価</v>
      </c>
      <c r="H493"/>
      <c r="I493"/>
    </row>
    <row r="494" spans="1:9">
      <c r="A494" s="10" t="s">
        <v>516</v>
      </c>
      <c r="B494" s="10" t="s">
        <v>20</v>
      </c>
      <c r="C494" s="10" t="str">
        <f t="shared" si="7"/>
        <v>割引</v>
      </c>
      <c r="H494"/>
      <c r="I494"/>
    </row>
    <row r="495" spans="1:9">
      <c r="A495" s="10" t="s">
        <v>517</v>
      </c>
      <c r="B495" s="10" t="s">
        <v>13</v>
      </c>
      <c r="C495" s="10" t="str">
        <f t="shared" si="7"/>
        <v>定価</v>
      </c>
      <c r="H495"/>
      <c r="I495"/>
    </row>
    <row r="496" spans="1:9">
      <c r="A496" s="10" t="s">
        <v>518</v>
      </c>
      <c r="B496" s="10" t="s">
        <v>20</v>
      </c>
      <c r="C496" s="10" t="str">
        <f t="shared" si="7"/>
        <v>割引</v>
      </c>
      <c r="H496"/>
      <c r="I496"/>
    </row>
    <row r="497" spans="1:9">
      <c r="A497" s="10" t="s">
        <v>519</v>
      </c>
      <c r="B497" s="10" t="s">
        <v>13</v>
      </c>
      <c r="C497" s="10" t="str">
        <f t="shared" si="7"/>
        <v>定価</v>
      </c>
      <c r="H497"/>
      <c r="I497"/>
    </row>
    <row r="498" spans="1:9">
      <c r="A498" s="10" t="s">
        <v>520</v>
      </c>
      <c r="B498" s="10" t="s">
        <v>13</v>
      </c>
      <c r="C498" s="10" t="str">
        <f t="shared" si="7"/>
        <v>定価</v>
      </c>
      <c r="H498"/>
      <c r="I498"/>
    </row>
    <row r="499" spans="1:9">
      <c r="A499" s="10" t="s">
        <v>521</v>
      </c>
      <c r="B499" s="10" t="s">
        <v>20</v>
      </c>
      <c r="C499" s="10" t="str">
        <f t="shared" si="7"/>
        <v>割引</v>
      </c>
      <c r="H499"/>
      <c r="I499"/>
    </row>
    <row r="500" spans="1:9">
      <c r="A500" s="10" t="s">
        <v>522</v>
      </c>
      <c r="B500" s="10" t="s">
        <v>32</v>
      </c>
      <c r="C500" s="10" t="str">
        <f t="shared" si="7"/>
        <v>定価</v>
      </c>
      <c r="H500"/>
      <c r="I500"/>
    </row>
    <row r="501" spans="1:9">
      <c r="A501" s="10" t="s">
        <v>523</v>
      </c>
      <c r="B501" s="10" t="s">
        <v>20</v>
      </c>
      <c r="C501" s="10" t="str">
        <f t="shared" si="7"/>
        <v>割引</v>
      </c>
      <c r="H501"/>
      <c r="I501"/>
    </row>
    <row r="502" spans="1:9">
      <c r="A502" s="10" t="s">
        <v>524</v>
      </c>
      <c r="B502" s="10" t="s">
        <v>13</v>
      </c>
      <c r="C502" s="10" t="str">
        <f t="shared" si="7"/>
        <v>定価</v>
      </c>
      <c r="H502"/>
      <c r="I502"/>
    </row>
    <row r="503" spans="1:9">
      <c r="A503" s="10" t="s">
        <v>525</v>
      </c>
      <c r="B503" s="10" t="s">
        <v>16</v>
      </c>
      <c r="C503" s="10" t="str">
        <f t="shared" si="7"/>
        <v>割引</v>
      </c>
      <c r="H503"/>
      <c r="I503"/>
    </row>
    <row r="504" spans="1:9">
      <c r="A504" s="10" t="s">
        <v>526</v>
      </c>
      <c r="B504" s="10" t="s">
        <v>13</v>
      </c>
      <c r="C504" s="10" t="str">
        <f t="shared" si="7"/>
        <v>定価</v>
      </c>
      <c r="H504"/>
      <c r="I504"/>
    </row>
    <row r="505" spans="1:9">
      <c r="A505" s="10" t="s">
        <v>527</v>
      </c>
      <c r="B505" s="10" t="s">
        <v>13</v>
      </c>
      <c r="C505" s="10" t="str">
        <f t="shared" si="7"/>
        <v>定価</v>
      </c>
      <c r="H505"/>
      <c r="I505"/>
    </row>
    <row r="506" spans="1:9">
      <c r="A506" s="10" t="s">
        <v>528</v>
      </c>
      <c r="B506" s="10" t="s">
        <v>13</v>
      </c>
      <c r="C506" s="10" t="str">
        <f t="shared" si="7"/>
        <v>定価</v>
      </c>
      <c r="H506"/>
      <c r="I506"/>
    </row>
    <row r="507" spans="1:9">
      <c r="A507" s="10" t="s">
        <v>529</v>
      </c>
      <c r="B507" s="10" t="s">
        <v>13</v>
      </c>
      <c r="C507" s="10" t="str">
        <f t="shared" si="7"/>
        <v>定価</v>
      </c>
      <c r="H507"/>
      <c r="I507"/>
    </row>
    <row r="508" spans="1:9">
      <c r="A508" s="10" t="s">
        <v>530</v>
      </c>
      <c r="B508" s="10" t="s">
        <v>13</v>
      </c>
      <c r="C508" s="10" t="str">
        <f t="shared" si="7"/>
        <v>定価</v>
      </c>
      <c r="H508"/>
      <c r="I508"/>
    </row>
    <row r="509" spans="1:9">
      <c r="A509" s="10" t="s">
        <v>531</v>
      </c>
      <c r="B509" s="10" t="s">
        <v>20</v>
      </c>
      <c r="C509" s="10" t="str">
        <f t="shared" si="7"/>
        <v>割引</v>
      </c>
      <c r="H509"/>
      <c r="I509"/>
    </row>
    <row r="510" spans="1:9">
      <c r="A510" s="10" t="s">
        <v>532</v>
      </c>
      <c r="B510" s="10" t="s">
        <v>20</v>
      </c>
      <c r="C510" s="10" t="str">
        <f t="shared" si="7"/>
        <v>割引</v>
      </c>
      <c r="H510"/>
      <c r="I510"/>
    </row>
    <row r="511" spans="1:9">
      <c r="A511" s="10" t="s">
        <v>533</v>
      </c>
      <c r="B511" s="10" t="s">
        <v>20</v>
      </c>
      <c r="C511" s="10" t="str">
        <f t="shared" si="7"/>
        <v>割引</v>
      </c>
      <c r="H511"/>
      <c r="I511"/>
    </row>
    <row r="512" spans="1:9">
      <c r="A512" s="10" t="s">
        <v>534</v>
      </c>
      <c r="B512" s="10" t="s">
        <v>13</v>
      </c>
      <c r="C512" s="10" t="str">
        <f t="shared" si="7"/>
        <v>定価</v>
      </c>
      <c r="H512"/>
      <c r="I512"/>
    </row>
    <row r="513" spans="1:9">
      <c r="A513" s="10" t="s">
        <v>535</v>
      </c>
      <c r="B513" s="10" t="s">
        <v>20</v>
      </c>
      <c r="C513" s="10" t="str">
        <f t="shared" si="7"/>
        <v>割引</v>
      </c>
      <c r="H513"/>
      <c r="I513"/>
    </row>
    <row r="514" spans="1:9">
      <c r="A514" s="10" t="s">
        <v>536</v>
      </c>
      <c r="B514" s="10" t="s">
        <v>20</v>
      </c>
      <c r="C514" s="10" t="str">
        <f t="shared" si="7"/>
        <v>割引</v>
      </c>
      <c r="H514"/>
      <c r="I514"/>
    </row>
    <row r="515" spans="1:9">
      <c r="A515" s="10" t="s">
        <v>537</v>
      </c>
      <c r="B515" s="10" t="s">
        <v>13</v>
      </c>
      <c r="C515" s="10" t="str">
        <f t="shared" ref="C515:C578" si="8">IF(B515="通常価格", "定価", IF(B515="割引価格", "割引", B515))</f>
        <v>定価</v>
      </c>
      <c r="H515"/>
      <c r="I515"/>
    </row>
    <row r="516" spans="1:9">
      <c r="A516" s="10" t="s">
        <v>538</v>
      </c>
      <c r="B516" s="10" t="s">
        <v>13</v>
      </c>
      <c r="C516" s="10" t="str">
        <f t="shared" si="8"/>
        <v>定価</v>
      </c>
      <c r="H516"/>
      <c r="I516"/>
    </row>
    <row r="517" spans="1:9">
      <c r="A517" s="10" t="s">
        <v>539</v>
      </c>
      <c r="B517" s="10" t="s">
        <v>13</v>
      </c>
      <c r="C517" s="10" t="str">
        <f t="shared" si="8"/>
        <v>定価</v>
      </c>
      <c r="H517"/>
      <c r="I517"/>
    </row>
    <row r="518" spans="1:9">
      <c r="A518" s="10" t="s">
        <v>540</v>
      </c>
      <c r="B518" s="10" t="s">
        <v>13</v>
      </c>
      <c r="C518" s="10" t="str">
        <f t="shared" si="8"/>
        <v>定価</v>
      </c>
      <c r="H518"/>
      <c r="I518"/>
    </row>
    <row r="519" spans="1:9">
      <c r="A519" s="10" t="s">
        <v>541</v>
      </c>
      <c r="B519" s="10" t="s">
        <v>20</v>
      </c>
      <c r="C519" s="10" t="str">
        <f t="shared" si="8"/>
        <v>割引</v>
      </c>
      <c r="H519"/>
      <c r="I519"/>
    </row>
    <row r="520" spans="1:9">
      <c r="A520" s="10" t="s">
        <v>542</v>
      </c>
      <c r="B520" s="10" t="s">
        <v>13</v>
      </c>
      <c r="C520" s="10" t="str">
        <f t="shared" si="8"/>
        <v>定価</v>
      </c>
      <c r="H520"/>
      <c r="I520"/>
    </row>
    <row r="521" spans="1:9">
      <c r="A521" s="10" t="s">
        <v>543</v>
      </c>
      <c r="B521" s="10" t="s">
        <v>13</v>
      </c>
      <c r="C521" s="10" t="str">
        <f t="shared" si="8"/>
        <v>定価</v>
      </c>
      <c r="H521"/>
      <c r="I521"/>
    </row>
    <row r="522" spans="1:9">
      <c r="A522" s="10" t="s">
        <v>544</v>
      </c>
      <c r="B522" s="10" t="s">
        <v>13</v>
      </c>
      <c r="C522" s="10" t="str">
        <f t="shared" si="8"/>
        <v>定価</v>
      </c>
      <c r="H522"/>
      <c r="I522"/>
    </row>
    <row r="523" spans="1:9">
      <c r="A523" s="10" t="s">
        <v>545</v>
      </c>
      <c r="B523" s="10" t="s">
        <v>13</v>
      </c>
      <c r="C523" s="10" t="str">
        <f t="shared" si="8"/>
        <v>定価</v>
      </c>
      <c r="H523"/>
      <c r="I523"/>
    </row>
    <row r="524" spans="1:9">
      <c r="A524" s="10" t="s">
        <v>546</v>
      </c>
      <c r="B524" s="10" t="s">
        <v>13</v>
      </c>
      <c r="C524" s="10" t="str">
        <f t="shared" si="8"/>
        <v>定価</v>
      </c>
      <c r="H524"/>
      <c r="I524"/>
    </row>
    <row r="525" spans="1:9">
      <c r="A525" s="10" t="s">
        <v>547</v>
      </c>
      <c r="B525" s="10" t="s">
        <v>13</v>
      </c>
      <c r="C525" s="10" t="str">
        <f t="shared" si="8"/>
        <v>定価</v>
      </c>
      <c r="H525"/>
      <c r="I525"/>
    </row>
    <row r="526" spans="1:9">
      <c r="A526" s="10" t="s">
        <v>548</v>
      </c>
      <c r="B526" s="10" t="s">
        <v>13</v>
      </c>
      <c r="C526" s="10" t="str">
        <f t="shared" si="8"/>
        <v>定価</v>
      </c>
      <c r="H526"/>
      <c r="I526"/>
    </row>
    <row r="527" spans="1:9">
      <c r="A527" s="10" t="s">
        <v>549</v>
      </c>
      <c r="B527" s="10" t="s">
        <v>13</v>
      </c>
      <c r="C527" s="10" t="str">
        <f t="shared" si="8"/>
        <v>定価</v>
      </c>
      <c r="H527"/>
      <c r="I527"/>
    </row>
    <row r="528" spans="1:9">
      <c r="A528" s="10" t="s">
        <v>550</v>
      </c>
      <c r="B528" s="10" t="s">
        <v>13</v>
      </c>
      <c r="C528" s="10" t="str">
        <f t="shared" si="8"/>
        <v>定価</v>
      </c>
      <c r="H528"/>
      <c r="I528"/>
    </row>
    <row r="529" spans="1:9">
      <c r="A529" s="10" t="s">
        <v>551</v>
      </c>
      <c r="B529" s="10" t="s">
        <v>13</v>
      </c>
      <c r="C529" s="10" t="str">
        <f t="shared" si="8"/>
        <v>定価</v>
      </c>
      <c r="H529"/>
      <c r="I529"/>
    </row>
    <row r="530" spans="1:9">
      <c r="A530" s="10" t="s">
        <v>552</v>
      </c>
      <c r="B530" s="10" t="s">
        <v>13</v>
      </c>
      <c r="C530" s="10" t="str">
        <f t="shared" si="8"/>
        <v>定価</v>
      </c>
      <c r="H530"/>
      <c r="I530"/>
    </row>
    <row r="531" spans="1:9">
      <c r="A531" s="10" t="s">
        <v>553</v>
      </c>
      <c r="B531" s="10" t="s">
        <v>20</v>
      </c>
      <c r="C531" s="10" t="str">
        <f t="shared" si="8"/>
        <v>割引</v>
      </c>
      <c r="H531"/>
      <c r="I531"/>
    </row>
    <row r="532" spans="1:9">
      <c r="A532" s="10" t="s">
        <v>554</v>
      </c>
      <c r="B532" s="10" t="s">
        <v>13</v>
      </c>
      <c r="C532" s="10" t="str">
        <f t="shared" si="8"/>
        <v>定価</v>
      </c>
      <c r="H532"/>
      <c r="I532"/>
    </row>
    <row r="533" spans="1:9">
      <c r="A533" s="10" t="s">
        <v>555</v>
      </c>
      <c r="B533" s="10" t="s">
        <v>13</v>
      </c>
      <c r="C533" s="10" t="str">
        <f t="shared" si="8"/>
        <v>定価</v>
      </c>
      <c r="H533"/>
      <c r="I533"/>
    </row>
    <row r="534" spans="1:9">
      <c r="A534" s="10" t="s">
        <v>556</v>
      </c>
      <c r="B534" s="10" t="s">
        <v>13</v>
      </c>
      <c r="C534" s="10" t="str">
        <f t="shared" si="8"/>
        <v>定価</v>
      </c>
      <c r="H534"/>
      <c r="I534"/>
    </row>
    <row r="535" spans="1:9">
      <c r="A535" s="10" t="s">
        <v>557</v>
      </c>
      <c r="B535" s="10" t="s">
        <v>20</v>
      </c>
      <c r="C535" s="10" t="str">
        <f t="shared" si="8"/>
        <v>割引</v>
      </c>
      <c r="H535"/>
      <c r="I535"/>
    </row>
    <row r="536" spans="1:9">
      <c r="A536" s="10" t="s">
        <v>558</v>
      </c>
      <c r="B536" s="10" t="s">
        <v>13</v>
      </c>
      <c r="C536" s="10" t="str">
        <f t="shared" si="8"/>
        <v>定価</v>
      </c>
      <c r="H536"/>
      <c r="I536"/>
    </row>
    <row r="537" spans="1:9">
      <c r="A537" s="10" t="s">
        <v>559</v>
      </c>
      <c r="B537" s="10" t="s">
        <v>13</v>
      </c>
      <c r="C537" s="10" t="str">
        <f t="shared" si="8"/>
        <v>定価</v>
      </c>
      <c r="H537"/>
      <c r="I537"/>
    </row>
    <row r="538" spans="1:9">
      <c r="A538" s="10" t="s">
        <v>560</v>
      </c>
      <c r="B538" s="10" t="s">
        <v>20</v>
      </c>
      <c r="C538" s="10" t="str">
        <f t="shared" si="8"/>
        <v>割引</v>
      </c>
      <c r="H538"/>
      <c r="I538"/>
    </row>
    <row r="539" spans="1:9">
      <c r="A539" s="10" t="s">
        <v>561</v>
      </c>
      <c r="B539" s="10" t="s">
        <v>13</v>
      </c>
      <c r="C539" s="10" t="str">
        <f t="shared" si="8"/>
        <v>定価</v>
      </c>
      <c r="H539"/>
      <c r="I539"/>
    </row>
    <row r="540" spans="1:9">
      <c r="A540" s="10" t="s">
        <v>562</v>
      </c>
      <c r="B540" s="10" t="s">
        <v>20</v>
      </c>
      <c r="C540" s="10" t="str">
        <f t="shared" si="8"/>
        <v>割引</v>
      </c>
      <c r="H540"/>
      <c r="I540"/>
    </row>
    <row r="541" spans="1:9">
      <c r="A541" s="10" t="s">
        <v>563</v>
      </c>
      <c r="B541" s="10" t="s">
        <v>20</v>
      </c>
      <c r="C541" s="10" t="str">
        <f t="shared" si="8"/>
        <v>割引</v>
      </c>
      <c r="H541"/>
      <c r="I541"/>
    </row>
    <row r="542" spans="1:9">
      <c r="A542" s="10" t="s">
        <v>564</v>
      </c>
      <c r="B542" s="10" t="s">
        <v>20</v>
      </c>
      <c r="C542" s="10" t="str">
        <f t="shared" si="8"/>
        <v>割引</v>
      </c>
      <c r="H542"/>
      <c r="I542"/>
    </row>
    <row r="543" spans="1:9">
      <c r="A543" s="10" t="s">
        <v>565</v>
      </c>
      <c r="B543" s="10" t="s">
        <v>32</v>
      </c>
      <c r="C543" s="10" t="str">
        <f t="shared" si="8"/>
        <v>定価</v>
      </c>
      <c r="H543"/>
      <c r="I543"/>
    </row>
    <row r="544" spans="1:9">
      <c r="A544" s="10" t="s">
        <v>566</v>
      </c>
      <c r="B544" s="10" t="s">
        <v>20</v>
      </c>
      <c r="C544" s="10" t="str">
        <f t="shared" si="8"/>
        <v>割引</v>
      </c>
      <c r="H544"/>
      <c r="I544"/>
    </row>
    <row r="545" spans="1:9">
      <c r="A545" s="10" t="s">
        <v>567</v>
      </c>
      <c r="B545" s="10" t="s">
        <v>20</v>
      </c>
      <c r="C545" s="10" t="str">
        <f t="shared" si="8"/>
        <v>割引</v>
      </c>
      <c r="H545"/>
      <c r="I545"/>
    </row>
    <row r="546" spans="1:9">
      <c r="A546" s="10" t="s">
        <v>568</v>
      </c>
      <c r="B546" s="10" t="s">
        <v>13</v>
      </c>
      <c r="C546" s="10" t="str">
        <f t="shared" si="8"/>
        <v>定価</v>
      </c>
      <c r="H546"/>
      <c r="I546"/>
    </row>
    <row r="547" spans="1:9">
      <c r="A547" s="10" t="s">
        <v>569</v>
      </c>
      <c r="B547" s="10" t="s">
        <v>13</v>
      </c>
      <c r="C547" s="10" t="str">
        <f t="shared" si="8"/>
        <v>定価</v>
      </c>
      <c r="H547"/>
      <c r="I547"/>
    </row>
    <row r="548" spans="1:9">
      <c r="A548" s="10" t="s">
        <v>570</v>
      </c>
      <c r="B548" s="10" t="s">
        <v>13</v>
      </c>
      <c r="C548" s="10" t="str">
        <f t="shared" si="8"/>
        <v>定価</v>
      </c>
      <c r="H548"/>
      <c r="I548"/>
    </row>
    <row r="549" spans="1:9">
      <c r="A549" s="10" t="s">
        <v>571</v>
      </c>
      <c r="B549" s="10" t="s">
        <v>20</v>
      </c>
      <c r="C549" s="10" t="str">
        <f t="shared" si="8"/>
        <v>割引</v>
      </c>
      <c r="H549"/>
      <c r="I549"/>
    </row>
    <row r="550" spans="1:9">
      <c r="A550" s="10" t="s">
        <v>572</v>
      </c>
      <c r="B550" s="10" t="s">
        <v>20</v>
      </c>
      <c r="C550" s="10" t="str">
        <f t="shared" si="8"/>
        <v>割引</v>
      </c>
      <c r="H550"/>
      <c r="I550"/>
    </row>
    <row r="551" spans="1:9">
      <c r="A551" s="10" t="s">
        <v>573</v>
      </c>
      <c r="B551" s="10" t="s">
        <v>13</v>
      </c>
      <c r="C551" s="10" t="str">
        <f t="shared" si="8"/>
        <v>定価</v>
      </c>
      <c r="H551"/>
      <c r="I551"/>
    </row>
    <row r="552" spans="1:9">
      <c r="A552" s="10" t="s">
        <v>574</v>
      </c>
      <c r="B552" s="10" t="s">
        <v>13</v>
      </c>
      <c r="C552" s="10" t="str">
        <f t="shared" si="8"/>
        <v>定価</v>
      </c>
      <c r="H552"/>
      <c r="I552"/>
    </row>
    <row r="553" spans="1:9">
      <c r="A553" s="10" t="s">
        <v>575</v>
      </c>
      <c r="B553" s="10" t="s">
        <v>13</v>
      </c>
      <c r="C553" s="10" t="str">
        <f t="shared" si="8"/>
        <v>定価</v>
      </c>
      <c r="H553"/>
      <c r="I553"/>
    </row>
    <row r="554" spans="1:9">
      <c r="A554" s="10" t="s">
        <v>576</v>
      </c>
      <c r="B554" s="10" t="s">
        <v>13</v>
      </c>
      <c r="C554" s="10" t="str">
        <f t="shared" si="8"/>
        <v>定価</v>
      </c>
      <c r="H554"/>
      <c r="I554"/>
    </row>
    <row r="555" spans="1:9">
      <c r="A555" s="10" t="s">
        <v>577</v>
      </c>
      <c r="B555" s="10" t="s">
        <v>13</v>
      </c>
      <c r="C555" s="10" t="str">
        <f t="shared" si="8"/>
        <v>定価</v>
      </c>
      <c r="H555"/>
      <c r="I555"/>
    </row>
    <row r="556" spans="1:9">
      <c r="A556" s="10" t="s">
        <v>578</v>
      </c>
      <c r="B556" s="10" t="s">
        <v>13</v>
      </c>
      <c r="C556" s="10" t="str">
        <f t="shared" si="8"/>
        <v>定価</v>
      </c>
      <c r="H556"/>
      <c r="I556"/>
    </row>
    <row r="557" spans="1:9">
      <c r="A557" s="10" t="s">
        <v>579</v>
      </c>
      <c r="B557" s="10" t="s">
        <v>13</v>
      </c>
      <c r="C557" s="10" t="str">
        <f t="shared" si="8"/>
        <v>定価</v>
      </c>
      <c r="H557"/>
      <c r="I557"/>
    </row>
    <row r="558" spans="1:9">
      <c r="A558" s="10" t="s">
        <v>580</v>
      </c>
      <c r="B558" s="10" t="s">
        <v>13</v>
      </c>
      <c r="C558" s="10" t="str">
        <f t="shared" si="8"/>
        <v>定価</v>
      </c>
      <c r="H558"/>
      <c r="I558"/>
    </row>
    <row r="559" spans="1:9">
      <c r="A559" s="10" t="s">
        <v>581</v>
      </c>
      <c r="B559" s="10" t="s">
        <v>20</v>
      </c>
      <c r="C559" s="10" t="str">
        <f t="shared" si="8"/>
        <v>割引</v>
      </c>
      <c r="H559"/>
      <c r="I559"/>
    </row>
    <row r="560" spans="1:9">
      <c r="A560" s="10" t="s">
        <v>582</v>
      </c>
      <c r="B560" s="10" t="s">
        <v>13</v>
      </c>
      <c r="C560" s="10" t="str">
        <f t="shared" si="8"/>
        <v>定価</v>
      </c>
      <c r="H560"/>
      <c r="I560"/>
    </row>
    <row r="561" spans="1:9">
      <c r="A561" s="10" t="s">
        <v>583</v>
      </c>
      <c r="B561" s="10" t="s">
        <v>13</v>
      </c>
      <c r="C561" s="10" t="str">
        <f t="shared" si="8"/>
        <v>定価</v>
      </c>
      <c r="H561"/>
      <c r="I561"/>
    </row>
    <row r="562" spans="1:9">
      <c r="A562" s="10" t="s">
        <v>584</v>
      </c>
      <c r="B562" s="10" t="s">
        <v>20</v>
      </c>
      <c r="C562" s="10" t="str">
        <f t="shared" si="8"/>
        <v>割引</v>
      </c>
      <c r="H562"/>
      <c r="I562"/>
    </row>
    <row r="563" spans="1:9">
      <c r="A563" s="10" t="s">
        <v>585</v>
      </c>
      <c r="B563" s="10" t="s">
        <v>13</v>
      </c>
      <c r="C563" s="10" t="str">
        <f t="shared" si="8"/>
        <v>定価</v>
      </c>
      <c r="H563"/>
      <c r="I563"/>
    </row>
    <row r="564" spans="1:9">
      <c r="A564" s="10" t="s">
        <v>586</v>
      </c>
      <c r="B564" s="10" t="s">
        <v>20</v>
      </c>
      <c r="C564" s="10" t="str">
        <f t="shared" si="8"/>
        <v>割引</v>
      </c>
      <c r="H564"/>
      <c r="I564"/>
    </row>
    <row r="565" spans="1:9">
      <c r="A565" s="10" t="s">
        <v>587</v>
      </c>
      <c r="B565" s="10" t="s">
        <v>20</v>
      </c>
      <c r="C565" s="10" t="str">
        <f t="shared" si="8"/>
        <v>割引</v>
      </c>
      <c r="H565"/>
      <c r="I565"/>
    </row>
    <row r="566" spans="1:9">
      <c r="A566" s="10" t="s">
        <v>588</v>
      </c>
      <c r="B566" s="10" t="s">
        <v>13</v>
      </c>
      <c r="C566" s="10" t="str">
        <f t="shared" si="8"/>
        <v>定価</v>
      </c>
      <c r="H566"/>
      <c r="I566"/>
    </row>
    <row r="567" spans="1:9">
      <c r="A567" s="10" t="s">
        <v>589</v>
      </c>
      <c r="B567" s="10" t="s">
        <v>13</v>
      </c>
      <c r="C567" s="10" t="str">
        <f t="shared" si="8"/>
        <v>定価</v>
      </c>
      <c r="H567"/>
      <c r="I567"/>
    </row>
    <row r="568" spans="1:9">
      <c r="A568" s="10" t="s">
        <v>590</v>
      </c>
      <c r="B568" s="10" t="s">
        <v>13</v>
      </c>
      <c r="C568" s="10" t="str">
        <f t="shared" si="8"/>
        <v>定価</v>
      </c>
      <c r="H568"/>
      <c r="I568"/>
    </row>
    <row r="569" spans="1:9">
      <c r="A569" s="10" t="s">
        <v>591</v>
      </c>
      <c r="B569" s="10" t="s">
        <v>13</v>
      </c>
      <c r="C569" s="10" t="str">
        <f t="shared" si="8"/>
        <v>定価</v>
      </c>
      <c r="H569"/>
      <c r="I569"/>
    </row>
    <row r="570" spans="1:9">
      <c r="A570" s="10" t="s">
        <v>592</v>
      </c>
      <c r="B570" s="10" t="s">
        <v>20</v>
      </c>
      <c r="C570" s="10" t="str">
        <f t="shared" si="8"/>
        <v>割引</v>
      </c>
      <c r="H570"/>
      <c r="I570"/>
    </row>
    <row r="571" spans="1:9">
      <c r="A571" s="10" t="s">
        <v>593</v>
      </c>
      <c r="B571" s="10" t="s">
        <v>13</v>
      </c>
      <c r="C571" s="10" t="str">
        <f t="shared" si="8"/>
        <v>定価</v>
      </c>
      <c r="H571"/>
      <c r="I571"/>
    </row>
    <row r="572" spans="1:9">
      <c r="A572" s="10" t="s">
        <v>594</v>
      </c>
      <c r="B572" s="10" t="s">
        <v>13</v>
      </c>
      <c r="C572" s="10" t="str">
        <f t="shared" si="8"/>
        <v>定価</v>
      </c>
      <c r="H572"/>
      <c r="I572"/>
    </row>
    <row r="573" spans="1:9">
      <c r="A573" s="10" t="s">
        <v>595</v>
      </c>
      <c r="B573" s="10" t="s">
        <v>13</v>
      </c>
      <c r="C573" s="10" t="str">
        <f t="shared" si="8"/>
        <v>定価</v>
      </c>
      <c r="H573"/>
      <c r="I573"/>
    </row>
    <row r="574" spans="1:9">
      <c r="A574" s="10" t="s">
        <v>596</v>
      </c>
      <c r="B574" s="10" t="s">
        <v>20</v>
      </c>
      <c r="C574" s="10" t="str">
        <f t="shared" si="8"/>
        <v>割引</v>
      </c>
      <c r="H574"/>
      <c r="I574"/>
    </row>
    <row r="575" spans="1:9">
      <c r="A575" s="10" t="s">
        <v>597</v>
      </c>
      <c r="B575" s="10" t="s">
        <v>20</v>
      </c>
      <c r="C575" s="10" t="str">
        <f t="shared" si="8"/>
        <v>割引</v>
      </c>
      <c r="H575"/>
      <c r="I575"/>
    </row>
    <row r="576" spans="1:9">
      <c r="A576" s="10" t="s">
        <v>598</v>
      </c>
      <c r="B576" s="10" t="s">
        <v>13</v>
      </c>
      <c r="C576" s="10" t="str">
        <f t="shared" si="8"/>
        <v>定価</v>
      </c>
      <c r="H576"/>
      <c r="I576"/>
    </row>
    <row r="577" spans="1:9">
      <c r="A577" s="10" t="s">
        <v>599</v>
      </c>
      <c r="B577" s="10" t="s">
        <v>20</v>
      </c>
      <c r="C577" s="10" t="str">
        <f t="shared" si="8"/>
        <v>割引</v>
      </c>
      <c r="H577"/>
      <c r="I577"/>
    </row>
    <row r="578" spans="1:9">
      <c r="A578" s="10" t="s">
        <v>600</v>
      </c>
      <c r="B578" s="10" t="s">
        <v>13</v>
      </c>
      <c r="C578" s="10" t="str">
        <f t="shared" si="8"/>
        <v>定価</v>
      </c>
      <c r="H578"/>
      <c r="I578"/>
    </row>
    <row r="579" spans="1:9">
      <c r="A579" s="10" t="s">
        <v>601</v>
      </c>
      <c r="B579" s="10" t="s">
        <v>20</v>
      </c>
      <c r="C579" s="10" t="str">
        <f t="shared" ref="C579:C642" si="9">IF(B579="通常価格", "定価", IF(B579="割引価格", "割引", B579))</f>
        <v>割引</v>
      </c>
      <c r="H579"/>
      <c r="I579"/>
    </row>
    <row r="580" spans="1:9">
      <c r="A580" s="10" t="s">
        <v>602</v>
      </c>
      <c r="B580" s="10" t="s">
        <v>13</v>
      </c>
      <c r="C580" s="10" t="str">
        <f t="shared" si="9"/>
        <v>定価</v>
      </c>
      <c r="H580"/>
      <c r="I580"/>
    </row>
    <row r="581" spans="1:9">
      <c r="A581" s="10" t="s">
        <v>603</v>
      </c>
      <c r="B581" s="10" t="s">
        <v>20</v>
      </c>
      <c r="C581" s="10" t="str">
        <f t="shared" si="9"/>
        <v>割引</v>
      </c>
      <c r="H581"/>
      <c r="I581"/>
    </row>
    <row r="582" spans="1:9">
      <c r="A582" s="10" t="s">
        <v>604</v>
      </c>
      <c r="B582" s="10" t="s">
        <v>20</v>
      </c>
      <c r="C582" s="10" t="str">
        <f t="shared" si="9"/>
        <v>割引</v>
      </c>
      <c r="H582"/>
      <c r="I582"/>
    </row>
    <row r="583" spans="1:9">
      <c r="A583" s="10" t="s">
        <v>605</v>
      </c>
      <c r="B583" s="10" t="s">
        <v>20</v>
      </c>
      <c r="C583" s="10" t="str">
        <f t="shared" si="9"/>
        <v>割引</v>
      </c>
      <c r="H583"/>
      <c r="I583"/>
    </row>
    <row r="584" spans="1:9">
      <c r="A584" s="10" t="s">
        <v>606</v>
      </c>
      <c r="B584" s="10" t="s">
        <v>13</v>
      </c>
      <c r="C584" s="10" t="str">
        <f t="shared" si="9"/>
        <v>定価</v>
      </c>
      <c r="H584"/>
      <c r="I584"/>
    </row>
    <row r="585" spans="1:9">
      <c r="A585" s="10" t="s">
        <v>607</v>
      </c>
      <c r="B585" s="10" t="s">
        <v>20</v>
      </c>
      <c r="C585" s="10" t="str">
        <f t="shared" si="9"/>
        <v>割引</v>
      </c>
      <c r="H585"/>
      <c r="I585"/>
    </row>
    <row r="586" spans="1:9">
      <c r="A586" s="10" t="s">
        <v>608</v>
      </c>
      <c r="B586" s="10" t="s">
        <v>13</v>
      </c>
      <c r="C586" s="10" t="str">
        <f t="shared" si="9"/>
        <v>定価</v>
      </c>
      <c r="H586"/>
      <c r="I586"/>
    </row>
    <row r="587" spans="1:9" ht="19.5">
      <c r="A587" s="10" t="s">
        <v>609</v>
      </c>
      <c r="B587" s="11" t="s">
        <v>32</v>
      </c>
      <c r="C587" s="10" t="str">
        <f t="shared" si="9"/>
        <v>定価</v>
      </c>
      <c r="H587"/>
      <c r="I587"/>
    </row>
    <row r="588" spans="1:9">
      <c r="A588" s="10" t="s">
        <v>610</v>
      </c>
      <c r="B588" s="10" t="s">
        <v>13</v>
      </c>
      <c r="C588" s="10" t="str">
        <f t="shared" si="9"/>
        <v>定価</v>
      </c>
      <c r="H588"/>
      <c r="I588"/>
    </row>
    <row r="589" spans="1:9">
      <c r="A589" s="10" t="s">
        <v>611</v>
      </c>
      <c r="B589" s="10" t="s">
        <v>13</v>
      </c>
      <c r="C589" s="10" t="str">
        <f t="shared" si="9"/>
        <v>定価</v>
      </c>
      <c r="H589"/>
      <c r="I589"/>
    </row>
    <row r="590" spans="1:9">
      <c r="A590" s="10" t="s">
        <v>612</v>
      </c>
      <c r="B590" s="10" t="s">
        <v>20</v>
      </c>
      <c r="C590" s="10" t="str">
        <f t="shared" si="9"/>
        <v>割引</v>
      </c>
      <c r="H590"/>
      <c r="I590"/>
    </row>
    <row r="591" spans="1:9">
      <c r="A591" s="10" t="s">
        <v>613</v>
      </c>
      <c r="B591" s="10" t="s">
        <v>13</v>
      </c>
      <c r="C591" s="10" t="str">
        <f t="shared" si="9"/>
        <v>定価</v>
      </c>
      <c r="H591"/>
      <c r="I591"/>
    </row>
    <row r="592" spans="1:9">
      <c r="A592" s="10" t="s">
        <v>614</v>
      </c>
      <c r="B592" s="10" t="s">
        <v>13</v>
      </c>
      <c r="C592" s="10" t="str">
        <f t="shared" si="9"/>
        <v>定価</v>
      </c>
      <c r="H592"/>
      <c r="I592"/>
    </row>
    <row r="593" spans="1:9">
      <c r="A593" s="10" t="s">
        <v>615</v>
      </c>
      <c r="B593" s="10" t="s">
        <v>13</v>
      </c>
      <c r="C593" s="10" t="str">
        <f t="shared" si="9"/>
        <v>定価</v>
      </c>
      <c r="H593"/>
      <c r="I593"/>
    </row>
    <row r="594" spans="1:9">
      <c r="A594" s="10" t="s">
        <v>616</v>
      </c>
      <c r="B594" s="10" t="s">
        <v>13</v>
      </c>
      <c r="C594" s="10" t="str">
        <f t="shared" si="9"/>
        <v>定価</v>
      </c>
      <c r="H594"/>
      <c r="I594"/>
    </row>
    <row r="595" spans="1:9">
      <c r="A595" s="10" t="s">
        <v>617</v>
      </c>
      <c r="B595" s="10" t="s">
        <v>13</v>
      </c>
      <c r="C595" s="10" t="str">
        <f t="shared" si="9"/>
        <v>定価</v>
      </c>
      <c r="H595"/>
      <c r="I595"/>
    </row>
    <row r="596" spans="1:9">
      <c r="A596" s="10" t="s">
        <v>618</v>
      </c>
      <c r="B596" s="10" t="s">
        <v>20</v>
      </c>
      <c r="C596" s="10" t="str">
        <f t="shared" si="9"/>
        <v>割引</v>
      </c>
      <c r="H596"/>
      <c r="I596"/>
    </row>
    <row r="597" spans="1:9">
      <c r="A597" s="10" t="s">
        <v>619</v>
      </c>
      <c r="B597" s="10" t="s">
        <v>13</v>
      </c>
      <c r="C597" s="10" t="str">
        <f t="shared" si="9"/>
        <v>定価</v>
      </c>
      <c r="H597"/>
      <c r="I597"/>
    </row>
    <row r="598" spans="1:9">
      <c r="A598" s="10" t="s">
        <v>620</v>
      </c>
      <c r="B598" s="10" t="s">
        <v>20</v>
      </c>
      <c r="C598" s="10" t="str">
        <f t="shared" si="9"/>
        <v>割引</v>
      </c>
      <c r="H598"/>
      <c r="I598"/>
    </row>
    <row r="599" spans="1:9">
      <c r="A599" s="10" t="s">
        <v>621</v>
      </c>
      <c r="B599" s="10" t="s">
        <v>13</v>
      </c>
      <c r="C599" s="10" t="str">
        <f t="shared" si="9"/>
        <v>定価</v>
      </c>
      <c r="H599"/>
      <c r="I599"/>
    </row>
    <row r="600" spans="1:9">
      <c r="A600" s="10" t="s">
        <v>622</v>
      </c>
      <c r="B600" s="10" t="s">
        <v>13</v>
      </c>
      <c r="C600" s="10" t="str">
        <f t="shared" si="9"/>
        <v>定価</v>
      </c>
      <c r="H600"/>
      <c r="I600"/>
    </row>
    <row r="601" spans="1:9">
      <c r="A601" s="10" t="s">
        <v>623</v>
      </c>
      <c r="B601" s="10" t="s">
        <v>13</v>
      </c>
      <c r="C601" s="10" t="str">
        <f t="shared" si="9"/>
        <v>定価</v>
      </c>
      <c r="H601"/>
      <c r="I601"/>
    </row>
    <row r="602" spans="1:9">
      <c r="A602" s="10" t="s">
        <v>624</v>
      </c>
      <c r="B602" s="10" t="s">
        <v>13</v>
      </c>
      <c r="C602" s="10" t="str">
        <f t="shared" si="9"/>
        <v>定価</v>
      </c>
      <c r="H602"/>
      <c r="I602"/>
    </row>
    <row r="603" spans="1:9">
      <c r="A603" s="10" t="s">
        <v>625</v>
      </c>
      <c r="B603" s="10" t="s">
        <v>13</v>
      </c>
      <c r="C603" s="10" t="str">
        <f t="shared" si="9"/>
        <v>定価</v>
      </c>
      <c r="H603"/>
      <c r="I603"/>
    </row>
    <row r="604" spans="1:9">
      <c r="A604" s="10" t="s">
        <v>626</v>
      </c>
      <c r="B604" s="10" t="s">
        <v>13</v>
      </c>
      <c r="C604" s="10" t="str">
        <f t="shared" si="9"/>
        <v>定価</v>
      </c>
      <c r="H604"/>
      <c r="I604"/>
    </row>
    <row r="605" spans="1:9">
      <c r="A605" s="10" t="s">
        <v>627</v>
      </c>
      <c r="B605" s="10" t="s">
        <v>20</v>
      </c>
      <c r="C605" s="10" t="str">
        <f t="shared" si="9"/>
        <v>割引</v>
      </c>
      <c r="H605"/>
      <c r="I605"/>
    </row>
    <row r="606" spans="1:9">
      <c r="A606" s="10" t="s">
        <v>629</v>
      </c>
      <c r="B606" s="10" t="s">
        <v>20</v>
      </c>
      <c r="C606" s="10" t="str">
        <f t="shared" si="9"/>
        <v>割引</v>
      </c>
      <c r="H606"/>
      <c r="I606"/>
    </row>
    <row r="607" spans="1:9">
      <c r="A607" s="10" t="s">
        <v>630</v>
      </c>
      <c r="B607" s="10" t="s">
        <v>13</v>
      </c>
      <c r="C607" s="10" t="str">
        <f t="shared" si="9"/>
        <v>定価</v>
      </c>
      <c r="H607"/>
      <c r="I607"/>
    </row>
    <row r="608" spans="1:9">
      <c r="A608" s="10" t="s">
        <v>631</v>
      </c>
      <c r="B608" s="10" t="s">
        <v>13</v>
      </c>
      <c r="C608" s="10" t="str">
        <f t="shared" si="9"/>
        <v>定価</v>
      </c>
      <c r="H608"/>
      <c r="I608"/>
    </row>
    <row r="609" spans="1:9">
      <c r="A609" s="10" t="s">
        <v>632</v>
      </c>
      <c r="B609" s="10" t="s">
        <v>13</v>
      </c>
      <c r="C609" s="10" t="str">
        <f t="shared" si="9"/>
        <v>定価</v>
      </c>
      <c r="H609"/>
      <c r="I609"/>
    </row>
    <row r="610" spans="1:9">
      <c r="A610" s="10" t="s">
        <v>633</v>
      </c>
      <c r="B610" s="10" t="s">
        <v>13</v>
      </c>
      <c r="C610" s="10" t="str">
        <f t="shared" si="9"/>
        <v>定価</v>
      </c>
      <c r="H610"/>
      <c r="I610"/>
    </row>
    <row r="611" spans="1:9">
      <c r="A611" s="10" t="s">
        <v>634</v>
      </c>
      <c r="B611" s="10" t="s">
        <v>13</v>
      </c>
      <c r="C611" s="10" t="str">
        <f t="shared" si="9"/>
        <v>定価</v>
      </c>
      <c r="H611"/>
      <c r="I611"/>
    </row>
    <row r="612" spans="1:9">
      <c r="A612" s="10" t="s">
        <v>635</v>
      </c>
      <c r="B612" s="10" t="s">
        <v>13</v>
      </c>
      <c r="C612" s="10" t="str">
        <f t="shared" si="9"/>
        <v>定価</v>
      </c>
      <c r="H612"/>
      <c r="I612"/>
    </row>
    <row r="613" spans="1:9">
      <c r="A613" s="10" t="s">
        <v>636</v>
      </c>
      <c r="B613" s="10" t="s">
        <v>13</v>
      </c>
      <c r="C613" s="10" t="str">
        <f t="shared" si="9"/>
        <v>定価</v>
      </c>
      <c r="H613"/>
      <c r="I613"/>
    </row>
    <row r="614" spans="1:9">
      <c r="A614" s="10" t="s">
        <v>637</v>
      </c>
      <c r="B614" s="10" t="s">
        <v>20</v>
      </c>
      <c r="C614" s="10" t="str">
        <f t="shared" si="9"/>
        <v>割引</v>
      </c>
      <c r="H614"/>
      <c r="I614"/>
    </row>
    <row r="615" spans="1:9">
      <c r="A615" s="10" t="s">
        <v>638</v>
      </c>
      <c r="B615" s="10" t="s">
        <v>20</v>
      </c>
      <c r="C615" s="10" t="str">
        <f t="shared" si="9"/>
        <v>割引</v>
      </c>
      <c r="H615"/>
      <c r="I615"/>
    </row>
    <row r="616" spans="1:9">
      <c r="A616" s="10" t="s">
        <v>639</v>
      </c>
      <c r="B616" s="10" t="s">
        <v>13</v>
      </c>
      <c r="C616" s="10" t="str">
        <f t="shared" si="9"/>
        <v>定価</v>
      </c>
      <c r="H616"/>
      <c r="I616"/>
    </row>
    <row r="617" spans="1:9">
      <c r="A617" s="10" t="s">
        <v>640</v>
      </c>
      <c r="B617" s="10" t="s">
        <v>20</v>
      </c>
      <c r="C617" s="10" t="str">
        <f t="shared" si="9"/>
        <v>割引</v>
      </c>
      <c r="H617"/>
      <c r="I617"/>
    </row>
    <row r="618" spans="1:9">
      <c r="A618" s="10" t="s">
        <v>641</v>
      </c>
      <c r="B618" s="10" t="s">
        <v>13</v>
      </c>
      <c r="C618" s="10" t="str">
        <f t="shared" si="9"/>
        <v>定価</v>
      </c>
      <c r="H618"/>
      <c r="I618"/>
    </row>
    <row r="619" spans="1:9">
      <c r="A619" s="10" t="s">
        <v>642</v>
      </c>
      <c r="B619" s="10" t="s">
        <v>13</v>
      </c>
      <c r="C619" s="10" t="str">
        <f t="shared" si="9"/>
        <v>定価</v>
      </c>
      <c r="H619"/>
      <c r="I619"/>
    </row>
    <row r="620" spans="1:9">
      <c r="A620" s="10" t="s">
        <v>643</v>
      </c>
      <c r="B620" s="10" t="s">
        <v>13</v>
      </c>
      <c r="C620" s="10" t="str">
        <f t="shared" si="9"/>
        <v>定価</v>
      </c>
      <c r="H620"/>
      <c r="I620"/>
    </row>
    <row r="621" spans="1:9">
      <c r="A621" s="10" t="s">
        <v>644</v>
      </c>
      <c r="B621" s="10" t="s">
        <v>20</v>
      </c>
      <c r="C621" s="10" t="str">
        <f t="shared" si="9"/>
        <v>割引</v>
      </c>
      <c r="H621"/>
      <c r="I621"/>
    </row>
    <row r="622" spans="1:9">
      <c r="A622" s="10" t="s">
        <v>645</v>
      </c>
      <c r="B622" s="10" t="s">
        <v>20</v>
      </c>
      <c r="C622" s="10" t="str">
        <f t="shared" si="9"/>
        <v>割引</v>
      </c>
      <c r="H622"/>
      <c r="I622"/>
    </row>
    <row r="623" spans="1:9">
      <c r="A623" s="10" t="s">
        <v>646</v>
      </c>
      <c r="B623" s="10" t="s">
        <v>20</v>
      </c>
      <c r="C623" s="10" t="str">
        <f t="shared" si="9"/>
        <v>割引</v>
      </c>
      <c r="H623"/>
      <c r="I623"/>
    </row>
    <row r="624" spans="1:9">
      <c r="A624" s="10" t="s">
        <v>647</v>
      </c>
      <c r="B624" s="10" t="s">
        <v>13</v>
      </c>
      <c r="C624" s="10" t="str">
        <f t="shared" si="9"/>
        <v>定価</v>
      </c>
      <c r="H624"/>
      <c r="I624"/>
    </row>
    <row r="625" spans="1:9">
      <c r="A625" s="10" t="s">
        <v>648</v>
      </c>
      <c r="B625" s="10" t="s">
        <v>13</v>
      </c>
      <c r="C625" s="10" t="str">
        <f t="shared" si="9"/>
        <v>定価</v>
      </c>
      <c r="H625"/>
      <c r="I625"/>
    </row>
    <row r="626" spans="1:9">
      <c r="A626" s="10" t="s">
        <v>649</v>
      </c>
      <c r="B626" s="10" t="s">
        <v>32</v>
      </c>
      <c r="C626" s="10" t="str">
        <f t="shared" si="9"/>
        <v>定価</v>
      </c>
      <c r="H626"/>
      <c r="I626"/>
    </row>
    <row r="627" spans="1:9">
      <c r="A627" s="10" t="s">
        <v>651</v>
      </c>
      <c r="B627" s="10" t="s">
        <v>20</v>
      </c>
      <c r="C627" s="10" t="str">
        <f t="shared" si="9"/>
        <v>割引</v>
      </c>
      <c r="H627"/>
      <c r="I627"/>
    </row>
    <row r="628" spans="1:9">
      <c r="A628" s="10" t="s">
        <v>652</v>
      </c>
      <c r="B628" s="10" t="s">
        <v>13</v>
      </c>
      <c r="C628" s="10" t="str">
        <f t="shared" si="9"/>
        <v>定価</v>
      </c>
      <c r="H628"/>
      <c r="I628"/>
    </row>
    <row r="629" spans="1:9">
      <c r="A629" s="10" t="s">
        <v>653</v>
      </c>
      <c r="B629" s="10" t="s">
        <v>13</v>
      </c>
      <c r="C629" s="10" t="str">
        <f t="shared" si="9"/>
        <v>定価</v>
      </c>
      <c r="H629"/>
      <c r="I629"/>
    </row>
    <row r="630" spans="1:9">
      <c r="A630" s="10" t="s">
        <v>654</v>
      </c>
      <c r="B630" s="10" t="s">
        <v>20</v>
      </c>
      <c r="C630" s="10" t="str">
        <f t="shared" si="9"/>
        <v>割引</v>
      </c>
      <c r="H630"/>
      <c r="I630"/>
    </row>
    <row r="631" spans="1:9">
      <c r="A631" s="10" t="s">
        <v>655</v>
      </c>
      <c r="B631" s="10" t="s">
        <v>13</v>
      </c>
      <c r="C631" s="10" t="str">
        <f t="shared" si="9"/>
        <v>定価</v>
      </c>
      <c r="H631"/>
      <c r="I631"/>
    </row>
    <row r="632" spans="1:9">
      <c r="A632" s="10" t="s">
        <v>656</v>
      </c>
      <c r="B632" s="10" t="s">
        <v>13</v>
      </c>
      <c r="C632" s="10" t="str">
        <f t="shared" si="9"/>
        <v>定価</v>
      </c>
      <c r="H632"/>
      <c r="I632"/>
    </row>
    <row r="633" spans="1:9">
      <c r="A633" s="10" t="s">
        <v>657</v>
      </c>
      <c r="B633" s="10" t="s">
        <v>13</v>
      </c>
      <c r="C633" s="10" t="str">
        <f t="shared" si="9"/>
        <v>定価</v>
      </c>
      <c r="H633"/>
      <c r="I633"/>
    </row>
    <row r="634" spans="1:9">
      <c r="A634" s="10" t="s">
        <v>658</v>
      </c>
      <c r="B634" s="10" t="s">
        <v>13</v>
      </c>
      <c r="C634" s="10" t="str">
        <f t="shared" si="9"/>
        <v>定価</v>
      </c>
      <c r="H634"/>
      <c r="I634"/>
    </row>
    <row r="635" spans="1:9">
      <c r="A635" s="10" t="s">
        <v>659</v>
      </c>
      <c r="B635" s="10" t="s">
        <v>20</v>
      </c>
      <c r="C635" s="10" t="str">
        <f t="shared" si="9"/>
        <v>割引</v>
      </c>
      <c r="H635"/>
      <c r="I635"/>
    </row>
    <row r="636" spans="1:9">
      <c r="A636" s="10" t="s">
        <v>660</v>
      </c>
      <c r="B636" s="10" t="s">
        <v>20</v>
      </c>
      <c r="C636" s="10" t="str">
        <f t="shared" si="9"/>
        <v>割引</v>
      </c>
      <c r="H636"/>
      <c r="I636"/>
    </row>
    <row r="637" spans="1:9">
      <c r="A637" s="10" t="s">
        <v>661</v>
      </c>
      <c r="B637" s="10" t="s">
        <v>13</v>
      </c>
      <c r="C637" s="10" t="str">
        <f t="shared" si="9"/>
        <v>定価</v>
      </c>
      <c r="H637"/>
      <c r="I637"/>
    </row>
    <row r="638" spans="1:9">
      <c r="A638" s="10" t="s">
        <v>662</v>
      </c>
      <c r="B638" s="10" t="s">
        <v>13</v>
      </c>
      <c r="C638" s="10" t="str">
        <f t="shared" si="9"/>
        <v>定価</v>
      </c>
      <c r="H638"/>
      <c r="I638"/>
    </row>
    <row r="639" spans="1:9">
      <c r="A639" s="10" t="s">
        <v>663</v>
      </c>
      <c r="B639" s="10" t="s">
        <v>13</v>
      </c>
      <c r="C639" s="10" t="str">
        <f t="shared" si="9"/>
        <v>定価</v>
      </c>
      <c r="H639"/>
      <c r="I639"/>
    </row>
    <row r="640" spans="1:9">
      <c r="A640" s="10" t="s">
        <v>664</v>
      </c>
      <c r="B640" s="10" t="s">
        <v>20</v>
      </c>
      <c r="C640" s="10" t="str">
        <f t="shared" si="9"/>
        <v>割引</v>
      </c>
      <c r="H640"/>
      <c r="I640"/>
    </row>
    <row r="641" spans="1:9">
      <c r="A641" s="10" t="s">
        <v>665</v>
      </c>
      <c r="B641" s="10" t="s">
        <v>13</v>
      </c>
      <c r="C641" s="10" t="str">
        <f t="shared" si="9"/>
        <v>定価</v>
      </c>
      <c r="H641"/>
      <c r="I641"/>
    </row>
    <row r="642" spans="1:9">
      <c r="A642" s="10" t="s">
        <v>666</v>
      </c>
      <c r="B642" s="10" t="s">
        <v>13</v>
      </c>
      <c r="C642" s="10" t="str">
        <f t="shared" si="9"/>
        <v>定価</v>
      </c>
      <c r="H642"/>
      <c r="I642"/>
    </row>
    <row r="643" spans="1:9">
      <c r="A643" s="10" t="s">
        <v>667</v>
      </c>
      <c r="B643" s="10" t="s">
        <v>13</v>
      </c>
      <c r="C643" s="10" t="str">
        <f t="shared" ref="C643:C683" si="10">IF(B643="通常価格", "定価", IF(B643="割引価格", "割引", B643))</f>
        <v>定価</v>
      </c>
      <c r="H643"/>
      <c r="I643"/>
    </row>
    <row r="644" spans="1:9">
      <c r="A644" s="10" t="s">
        <v>668</v>
      </c>
      <c r="B644" s="10" t="s">
        <v>20</v>
      </c>
      <c r="C644" s="10" t="str">
        <f t="shared" si="10"/>
        <v>割引</v>
      </c>
      <c r="H644"/>
      <c r="I644"/>
    </row>
    <row r="645" spans="1:9">
      <c r="A645" s="10" t="s">
        <v>669</v>
      </c>
      <c r="B645" s="10" t="s">
        <v>13</v>
      </c>
      <c r="C645" s="10" t="str">
        <f t="shared" si="10"/>
        <v>定価</v>
      </c>
      <c r="H645"/>
      <c r="I645"/>
    </row>
    <row r="646" spans="1:9">
      <c r="A646" s="10" t="s">
        <v>670</v>
      </c>
      <c r="B646" s="10" t="s">
        <v>13</v>
      </c>
      <c r="C646" s="10" t="str">
        <f t="shared" si="10"/>
        <v>定価</v>
      </c>
      <c r="H646"/>
      <c r="I646"/>
    </row>
    <row r="647" spans="1:9">
      <c r="A647" s="10" t="s">
        <v>671</v>
      </c>
      <c r="B647" s="10" t="s">
        <v>13</v>
      </c>
      <c r="C647" s="10" t="str">
        <f t="shared" si="10"/>
        <v>定価</v>
      </c>
      <c r="H647"/>
      <c r="I647"/>
    </row>
    <row r="648" spans="1:9">
      <c r="A648" s="10" t="s">
        <v>672</v>
      </c>
      <c r="B648" s="10" t="s">
        <v>20</v>
      </c>
      <c r="C648" s="10" t="str">
        <f t="shared" si="10"/>
        <v>割引</v>
      </c>
      <c r="H648"/>
      <c r="I648"/>
    </row>
    <row r="649" spans="1:9">
      <c r="A649" s="10" t="s">
        <v>673</v>
      </c>
      <c r="B649" s="10" t="s">
        <v>13</v>
      </c>
      <c r="C649" s="10" t="str">
        <f t="shared" si="10"/>
        <v>定価</v>
      </c>
      <c r="H649"/>
      <c r="I649"/>
    </row>
    <row r="650" spans="1:9">
      <c r="A650" s="10" t="s">
        <v>674</v>
      </c>
      <c r="B650" s="10" t="s">
        <v>13</v>
      </c>
      <c r="C650" s="10" t="str">
        <f t="shared" si="10"/>
        <v>定価</v>
      </c>
      <c r="H650"/>
      <c r="I650"/>
    </row>
    <row r="651" spans="1:9">
      <c r="A651" s="10" t="s">
        <v>675</v>
      </c>
      <c r="B651" s="10" t="s">
        <v>13</v>
      </c>
      <c r="C651" s="10" t="str">
        <f t="shared" si="10"/>
        <v>定価</v>
      </c>
      <c r="H651"/>
      <c r="I651"/>
    </row>
    <row r="652" spans="1:9">
      <c r="A652" s="10" t="s">
        <v>676</v>
      </c>
      <c r="B652" s="10" t="s">
        <v>13</v>
      </c>
      <c r="C652" s="10" t="str">
        <f t="shared" si="10"/>
        <v>定価</v>
      </c>
      <c r="H652"/>
      <c r="I652"/>
    </row>
    <row r="653" spans="1:9" ht="19.5">
      <c r="A653" s="10" t="s">
        <v>677</v>
      </c>
      <c r="B653" s="11" t="s">
        <v>32</v>
      </c>
      <c r="C653" s="10" t="str">
        <f t="shared" si="10"/>
        <v>定価</v>
      </c>
      <c r="H653"/>
      <c r="I653"/>
    </row>
    <row r="654" spans="1:9">
      <c r="A654" s="10" t="s">
        <v>678</v>
      </c>
      <c r="B654" s="10" t="s">
        <v>13</v>
      </c>
      <c r="C654" s="10" t="str">
        <f t="shared" si="10"/>
        <v>定価</v>
      </c>
      <c r="H654"/>
      <c r="I654"/>
    </row>
    <row r="655" spans="1:9">
      <c r="A655" s="10" t="s">
        <v>679</v>
      </c>
      <c r="B655" s="10" t="s">
        <v>13</v>
      </c>
      <c r="C655" s="10" t="str">
        <f t="shared" si="10"/>
        <v>定価</v>
      </c>
      <c r="H655"/>
      <c r="I655"/>
    </row>
    <row r="656" spans="1:9">
      <c r="A656" s="10" t="s">
        <v>680</v>
      </c>
      <c r="B656" s="10" t="s">
        <v>13</v>
      </c>
      <c r="C656" s="10" t="str">
        <f t="shared" si="10"/>
        <v>定価</v>
      </c>
      <c r="H656"/>
      <c r="I656"/>
    </row>
    <row r="657" spans="1:9">
      <c r="A657" s="10" t="s">
        <v>681</v>
      </c>
      <c r="B657" s="10" t="s">
        <v>13</v>
      </c>
      <c r="C657" s="10" t="str">
        <f t="shared" si="10"/>
        <v>定価</v>
      </c>
      <c r="H657"/>
      <c r="I657"/>
    </row>
    <row r="658" spans="1:9">
      <c r="A658" s="10" t="s">
        <v>682</v>
      </c>
      <c r="B658" s="10" t="s">
        <v>13</v>
      </c>
      <c r="C658" s="10" t="str">
        <f t="shared" si="10"/>
        <v>定価</v>
      </c>
      <c r="H658"/>
      <c r="I658"/>
    </row>
    <row r="659" spans="1:9">
      <c r="A659" s="10" t="s">
        <v>683</v>
      </c>
      <c r="B659" s="10" t="s">
        <v>13</v>
      </c>
      <c r="C659" s="10" t="str">
        <f t="shared" si="10"/>
        <v>定価</v>
      </c>
      <c r="H659"/>
      <c r="I659"/>
    </row>
    <row r="660" spans="1:9">
      <c r="A660" s="10" t="s">
        <v>684</v>
      </c>
      <c r="B660" s="10" t="s">
        <v>13</v>
      </c>
      <c r="C660" s="10" t="str">
        <f t="shared" si="10"/>
        <v>定価</v>
      </c>
      <c r="H660"/>
      <c r="I660"/>
    </row>
    <row r="661" spans="1:9" ht="19.5">
      <c r="A661" s="10" t="s">
        <v>685</v>
      </c>
      <c r="B661" s="11" t="s">
        <v>32</v>
      </c>
      <c r="C661" s="10" t="str">
        <f t="shared" si="10"/>
        <v>定価</v>
      </c>
      <c r="H661"/>
      <c r="I661"/>
    </row>
    <row r="662" spans="1:9">
      <c r="A662" s="10" t="s">
        <v>686</v>
      </c>
      <c r="B662" s="10" t="s">
        <v>13</v>
      </c>
      <c r="C662" s="10" t="str">
        <f t="shared" si="10"/>
        <v>定価</v>
      </c>
      <c r="H662"/>
      <c r="I662"/>
    </row>
    <row r="663" spans="1:9">
      <c r="A663" s="10" t="s">
        <v>687</v>
      </c>
      <c r="B663" s="10" t="s">
        <v>13</v>
      </c>
      <c r="C663" s="10" t="str">
        <f t="shared" si="10"/>
        <v>定価</v>
      </c>
      <c r="H663"/>
      <c r="I663"/>
    </row>
    <row r="664" spans="1:9">
      <c r="A664" s="10" t="s">
        <v>688</v>
      </c>
      <c r="B664" s="10" t="s">
        <v>20</v>
      </c>
      <c r="C664" s="10" t="str">
        <f t="shared" si="10"/>
        <v>割引</v>
      </c>
      <c r="H664"/>
      <c r="I664"/>
    </row>
    <row r="665" spans="1:9">
      <c r="A665" s="10" t="s">
        <v>689</v>
      </c>
      <c r="B665" s="10" t="s">
        <v>13</v>
      </c>
      <c r="C665" s="10" t="str">
        <f t="shared" si="10"/>
        <v>定価</v>
      </c>
      <c r="H665"/>
      <c r="I665"/>
    </row>
    <row r="666" spans="1:9">
      <c r="A666" s="10" t="s">
        <v>690</v>
      </c>
      <c r="B666" s="10" t="s">
        <v>20</v>
      </c>
      <c r="C666" s="10" t="str">
        <f t="shared" si="10"/>
        <v>割引</v>
      </c>
      <c r="H666"/>
      <c r="I666"/>
    </row>
    <row r="667" spans="1:9">
      <c r="A667" s="10" t="s">
        <v>691</v>
      </c>
      <c r="B667" s="10" t="s">
        <v>13</v>
      </c>
      <c r="C667" s="10" t="str">
        <f t="shared" si="10"/>
        <v>定価</v>
      </c>
      <c r="H667"/>
      <c r="I667"/>
    </row>
    <row r="668" spans="1:9">
      <c r="A668" s="10" t="s">
        <v>692</v>
      </c>
      <c r="B668" s="10" t="s">
        <v>13</v>
      </c>
      <c r="C668" s="10" t="str">
        <f t="shared" si="10"/>
        <v>定価</v>
      </c>
      <c r="H668"/>
      <c r="I668"/>
    </row>
    <row r="669" spans="1:9">
      <c r="A669" s="10" t="s">
        <v>693</v>
      </c>
      <c r="B669" s="10" t="s">
        <v>13</v>
      </c>
      <c r="C669" s="10" t="str">
        <f t="shared" si="10"/>
        <v>定価</v>
      </c>
      <c r="H669"/>
      <c r="I669"/>
    </row>
    <row r="670" spans="1:9">
      <c r="A670" s="10" t="s">
        <v>694</v>
      </c>
      <c r="B670" s="10" t="s">
        <v>13</v>
      </c>
      <c r="C670" s="10" t="str">
        <f t="shared" si="10"/>
        <v>定価</v>
      </c>
      <c r="H670"/>
      <c r="I670"/>
    </row>
    <row r="671" spans="1:9">
      <c r="A671" s="10" t="s">
        <v>695</v>
      </c>
      <c r="B671" s="10" t="s">
        <v>20</v>
      </c>
      <c r="C671" s="10" t="str">
        <f t="shared" si="10"/>
        <v>割引</v>
      </c>
      <c r="H671"/>
      <c r="I671"/>
    </row>
    <row r="672" spans="1:9">
      <c r="A672" s="10" t="s">
        <v>696</v>
      </c>
      <c r="B672" s="10" t="s">
        <v>13</v>
      </c>
      <c r="C672" s="10" t="str">
        <f t="shared" si="10"/>
        <v>定価</v>
      </c>
      <c r="H672"/>
      <c r="I672"/>
    </row>
    <row r="673" spans="1:9">
      <c r="A673" s="10" t="s">
        <v>697</v>
      </c>
      <c r="B673" s="10" t="s">
        <v>13</v>
      </c>
      <c r="C673" s="10" t="str">
        <f t="shared" si="10"/>
        <v>定価</v>
      </c>
      <c r="H673"/>
      <c r="I673"/>
    </row>
    <row r="674" spans="1:9">
      <c r="A674" s="10" t="s">
        <v>698</v>
      </c>
      <c r="B674" s="10" t="s">
        <v>16</v>
      </c>
      <c r="C674" s="10" t="str">
        <f t="shared" si="10"/>
        <v>割引</v>
      </c>
      <c r="H674"/>
      <c r="I674"/>
    </row>
    <row r="675" spans="1:9">
      <c r="A675" s="10" t="s">
        <v>699</v>
      </c>
      <c r="B675" s="10" t="s">
        <v>13</v>
      </c>
      <c r="C675" s="10" t="str">
        <f t="shared" si="10"/>
        <v>定価</v>
      </c>
      <c r="H675"/>
      <c r="I675"/>
    </row>
    <row r="676" spans="1:9">
      <c r="A676" s="10" t="s">
        <v>700</v>
      </c>
      <c r="B676" s="10" t="s">
        <v>13</v>
      </c>
      <c r="C676" s="10" t="str">
        <f t="shared" si="10"/>
        <v>定価</v>
      </c>
      <c r="H676"/>
      <c r="I676"/>
    </row>
    <row r="677" spans="1:9">
      <c r="A677" s="10" t="s">
        <v>701</v>
      </c>
      <c r="B677" s="10" t="s">
        <v>13</v>
      </c>
      <c r="C677" s="10" t="str">
        <f t="shared" si="10"/>
        <v>定価</v>
      </c>
      <c r="H677"/>
      <c r="I677"/>
    </row>
    <row r="678" spans="1:9">
      <c r="A678" s="10" t="s">
        <v>702</v>
      </c>
      <c r="B678" s="10" t="s">
        <v>20</v>
      </c>
      <c r="C678" s="10" t="str">
        <f t="shared" si="10"/>
        <v>割引</v>
      </c>
      <c r="H678"/>
      <c r="I678"/>
    </row>
    <row r="679" spans="1:9">
      <c r="A679" s="10" t="s">
        <v>703</v>
      </c>
      <c r="B679" s="10" t="s">
        <v>20</v>
      </c>
      <c r="C679" s="10" t="str">
        <f t="shared" si="10"/>
        <v>割引</v>
      </c>
      <c r="H679"/>
      <c r="I679"/>
    </row>
    <row r="680" spans="1:9">
      <c r="A680" s="10" t="s">
        <v>704</v>
      </c>
      <c r="B680" s="10" t="s">
        <v>13</v>
      </c>
      <c r="C680" s="10" t="str">
        <f t="shared" si="10"/>
        <v>定価</v>
      </c>
      <c r="H680"/>
      <c r="I680"/>
    </row>
    <row r="681" spans="1:9">
      <c r="A681" s="10" t="s">
        <v>705</v>
      </c>
      <c r="B681" s="10" t="s">
        <v>13</v>
      </c>
      <c r="C681" s="10" t="str">
        <f t="shared" si="10"/>
        <v>定価</v>
      </c>
      <c r="H681"/>
      <c r="I681"/>
    </row>
    <row r="682" spans="1:9">
      <c r="A682" s="10" t="s">
        <v>706</v>
      </c>
      <c r="B682" s="10" t="s">
        <v>13</v>
      </c>
      <c r="C682" s="10" t="str">
        <f t="shared" si="10"/>
        <v>定価</v>
      </c>
      <c r="H682"/>
      <c r="I682"/>
    </row>
    <row r="683" spans="1:9">
      <c r="A683" s="10" t="s">
        <v>707</v>
      </c>
      <c r="B683" s="10" t="s">
        <v>20</v>
      </c>
      <c r="C683" s="10" t="str">
        <f t="shared" si="10"/>
        <v>割引</v>
      </c>
      <c r="H683"/>
      <c r="I683"/>
    </row>
    <row r="684" spans="1:9">
      <c r="H684"/>
      <c r="I684"/>
    </row>
    <row r="685" spans="1:9">
      <c r="H685"/>
      <c r="I685"/>
    </row>
    <row r="686" spans="1:9">
      <c r="H686"/>
      <c r="I686"/>
    </row>
    <row r="687" spans="1:9">
      <c r="H687"/>
      <c r="I687"/>
    </row>
    <row r="688" spans="1:9">
      <c r="H688"/>
      <c r="I688"/>
    </row>
    <row r="689" spans="8:8">
      <c r="H689"/>
    </row>
    <row r="690" spans="8:8">
      <c r="H690"/>
    </row>
    <row r="691" spans="8:8">
      <c r="H691"/>
    </row>
    <row r="692" spans="8:8">
      <c r="H692"/>
    </row>
    <row r="693" spans="8:8">
      <c r="H693"/>
    </row>
    <row r="694" spans="8:8">
      <c r="H694"/>
    </row>
    <row r="695" spans="8:8">
      <c r="H695"/>
    </row>
    <row r="696" spans="8:8">
      <c r="H696"/>
    </row>
    <row r="697" spans="8:8">
      <c r="H697"/>
    </row>
    <row r="698" spans="8:8">
      <c r="H698"/>
    </row>
    <row r="699" spans="8:8">
      <c r="H699"/>
    </row>
    <row r="700" spans="8:8">
      <c r="H700"/>
    </row>
    <row r="701" spans="8:8">
      <c r="H701"/>
    </row>
    <row r="702" spans="8:8">
      <c r="H702"/>
    </row>
    <row r="703" spans="8:8">
      <c r="H703"/>
    </row>
    <row r="704" spans="8:8">
      <c r="H704"/>
    </row>
    <row r="705" spans="8:8">
      <c r="H705"/>
    </row>
    <row r="706" spans="8:8">
      <c r="H706"/>
    </row>
    <row r="707" spans="8:8">
      <c r="H707"/>
    </row>
    <row r="708" spans="8:8">
      <c r="H708"/>
    </row>
    <row r="709" spans="8:8">
      <c r="H709"/>
    </row>
    <row r="710" spans="8:8">
      <c r="H710"/>
    </row>
    <row r="711" spans="8:8">
      <c r="H711"/>
    </row>
    <row r="712" spans="8:8">
      <c r="H712"/>
    </row>
    <row r="713" spans="8:8">
      <c r="H713"/>
    </row>
    <row r="714" spans="8:8">
      <c r="H714"/>
    </row>
    <row r="715" spans="8:8">
      <c r="H715"/>
    </row>
    <row r="716" spans="8:8">
      <c r="H716"/>
    </row>
    <row r="717" spans="8:8">
      <c r="H717"/>
    </row>
    <row r="718" spans="8:8">
      <c r="H718"/>
    </row>
    <row r="719" spans="8:8">
      <c r="H719"/>
    </row>
    <row r="720" spans="8:8">
      <c r="H720"/>
    </row>
    <row r="721" spans="8:8">
      <c r="H721"/>
    </row>
    <row r="722" spans="8:8">
      <c r="H722"/>
    </row>
    <row r="723" spans="8:8">
      <c r="H723"/>
    </row>
    <row r="724" spans="8:8">
      <c r="H724"/>
    </row>
    <row r="725" spans="8:8">
      <c r="H725"/>
    </row>
    <row r="726" spans="8:8">
      <c r="H726"/>
    </row>
    <row r="727" spans="8:8">
      <c r="H727"/>
    </row>
    <row r="728" spans="8:8">
      <c r="H728"/>
    </row>
    <row r="729" spans="8:8">
      <c r="H729"/>
    </row>
    <row r="730" spans="8:8">
      <c r="H730"/>
    </row>
    <row r="731" spans="8:8">
      <c r="H731"/>
    </row>
    <row r="732" spans="8:8">
      <c r="H732"/>
    </row>
    <row r="733" spans="8:8">
      <c r="H733"/>
    </row>
    <row r="734" spans="8:8">
      <c r="H734"/>
    </row>
    <row r="735" spans="8:8">
      <c r="H735"/>
    </row>
    <row r="736" spans="8:8">
      <c r="H736"/>
    </row>
    <row r="737" spans="8:8">
      <c r="H737"/>
    </row>
    <row r="738" spans="8:8">
      <c r="H738"/>
    </row>
    <row r="739" spans="8:8">
      <c r="H739"/>
    </row>
    <row r="740" spans="8:8">
      <c r="H740"/>
    </row>
    <row r="741" spans="8:8">
      <c r="H741"/>
    </row>
    <row r="742" spans="8:8">
      <c r="H742"/>
    </row>
    <row r="743" spans="8:8">
      <c r="H743"/>
    </row>
    <row r="744" spans="8:8">
      <c r="H744"/>
    </row>
    <row r="745" spans="8:8">
      <c r="H745"/>
    </row>
    <row r="746" spans="8:8">
      <c r="H746"/>
    </row>
    <row r="747" spans="8:8">
      <c r="H747"/>
    </row>
    <row r="748" spans="8:8">
      <c r="H748"/>
    </row>
    <row r="749" spans="8:8">
      <c r="H749"/>
    </row>
    <row r="750" spans="8:8">
      <c r="H750"/>
    </row>
    <row r="751" spans="8:8">
      <c r="H751"/>
    </row>
    <row r="752" spans="8:8">
      <c r="H752"/>
    </row>
    <row r="753" spans="8:8">
      <c r="H753"/>
    </row>
    <row r="754" spans="8:8">
      <c r="H754"/>
    </row>
    <row r="755" spans="8:8">
      <c r="H755"/>
    </row>
    <row r="756" spans="8:8">
      <c r="H756"/>
    </row>
    <row r="757" spans="8:8">
      <c r="H757"/>
    </row>
    <row r="758" spans="8:8">
      <c r="H758"/>
    </row>
    <row r="759" spans="8:8">
      <c r="H759"/>
    </row>
    <row r="760" spans="8:8">
      <c r="H760"/>
    </row>
    <row r="761" spans="8:8">
      <c r="H761"/>
    </row>
    <row r="762" spans="8:8">
      <c r="H762"/>
    </row>
    <row r="763" spans="8:8">
      <c r="H763"/>
    </row>
    <row r="764" spans="8:8">
      <c r="H764"/>
    </row>
    <row r="765" spans="8:8">
      <c r="H765"/>
    </row>
    <row r="766" spans="8:8">
      <c r="H766"/>
    </row>
    <row r="767" spans="8:8">
      <c r="H767"/>
    </row>
    <row r="768" spans="8:8">
      <c r="H768"/>
    </row>
    <row r="769" spans="8:8">
      <c r="H769"/>
    </row>
    <row r="770" spans="8:8">
      <c r="H770"/>
    </row>
    <row r="771" spans="8:8">
      <c r="H771"/>
    </row>
    <row r="772" spans="8:8">
      <c r="H772"/>
    </row>
    <row r="773" spans="8:8">
      <c r="H773"/>
    </row>
    <row r="774" spans="8:8">
      <c r="H774"/>
    </row>
    <row r="775" spans="8:8">
      <c r="H775"/>
    </row>
    <row r="776" spans="8:8">
      <c r="H776"/>
    </row>
    <row r="777" spans="8:8">
      <c r="H777"/>
    </row>
    <row r="778" spans="8:8">
      <c r="H778"/>
    </row>
    <row r="779" spans="8:8">
      <c r="H779"/>
    </row>
    <row r="780" spans="8:8">
      <c r="H780"/>
    </row>
    <row r="781" spans="8:8">
      <c r="H781"/>
    </row>
    <row r="782" spans="8:8">
      <c r="H782"/>
    </row>
    <row r="783" spans="8:8">
      <c r="H783"/>
    </row>
    <row r="784" spans="8:8">
      <c r="H784"/>
    </row>
    <row r="785" spans="8:8">
      <c r="H785"/>
    </row>
    <row r="786" spans="8:8">
      <c r="H786"/>
    </row>
    <row r="787" spans="8:8">
      <c r="H787"/>
    </row>
    <row r="788" spans="8:8">
      <c r="H788"/>
    </row>
    <row r="789" spans="8:8">
      <c r="H789"/>
    </row>
    <row r="790" spans="8:8">
      <c r="H790"/>
    </row>
    <row r="791" spans="8:8">
      <c r="H791"/>
    </row>
    <row r="792" spans="8:8">
      <c r="H792"/>
    </row>
    <row r="793" spans="8:8">
      <c r="H793"/>
    </row>
    <row r="794" spans="8:8">
      <c r="H794"/>
    </row>
    <row r="795" spans="8:8">
      <c r="H795"/>
    </row>
    <row r="796" spans="8:8">
      <c r="H796"/>
    </row>
    <row r="797" spans="8:8">
      <c r="H797"/>
    </row>
    <row r="798" spans="8:8">
      <c r="H798"/>
    </row>
    <row r="799" spans="8:8">
      <c r="H799"/>
    </row>
    <row r="800" spans="8:8">
      <c r="H800"/>
    </row>
    <row r="801" spans="8:8">
      <c r="H801"/>
    </row>
    <row r="802" spans="8:8">
      <c r="H802"/>
    </row>
    <row r="803" spans="8:8">
      <c r="H803"/>
    </row>
    <row r="804" spans="8:8">
      <c r="H804"/>
    </row>
    <row r="805" spans="8:8">
      <c r="H805"/>
    </row>
    <row r="806" spans="8:8">
      <c r="H806"/>
    </row>
    <row r="807" spans="8:8">
      <c r="H807"/>
    </row>
    <row r="808" spans="8:8">
      <c r="H808"/>
    </row>
    <row r="809" spans="8:8">
      <c r="H809"/>
    </row>
    <row r="810" spans="8:8">
      <c r="H810"/>
    </row>
    <row r="811" spans="8:8">
      <c r="H811"/>
    </row>
    <row r="812" spans="8:8">
      <c r="H812"/>
    </row>
    <row r="813" spans="8:8">
      <c r="H813"/>
    </row>
    <row r="814" spans="8:8">
      <c r="H814"/>
    </row>
    <row r="815" spans="8:8">
      <c r="H815"/>
    </row>
    <row r="816" spans="8:8">
      <c r="H816"/>
    </row>
    <row r="817" spans="8:8">
      <c r="H817"/>
    </row>
    <row r="818" spans="8:8">
      <c r="H818"/>
    </row>
    <row r="819" spans="8:8">
      <c r="H819"/>
    </row>
    <row r="820" spans="8:8">
      <c r="H820"/>
    </row>
    <row r="821" spans="8:8">
      <c r="H821"/>
    </row>
    <row r="822" spans="8:8">
      <c r="H822"/>
    </row>
    <row r="823" spans="8:8">
      <c r="H823"/>
    </row>
    <row r="824" spans="8:8">
      <c r="H824"/>
    </row>
    <row r="825" spans="8:8">
      <c r="H825"/>
    </row>
    <row r="826" spans="8:8">
      <c r="H826"/>
    </row>
    <row r="827" spans="8:8">
      <c r="H827"/>
    </row>
    <row r="828" spans="8:8">
      <c r="H828"/>
    </row>
    <row r="829" spans="8:8">
      <c r="H829"/>
    </row>
    <row r="830" spans="8:8">
      <c r="H830"/>
    </row>
    <row r="831" spans="8:8">
      <c r="H831"/>
    </row>
    <row r="832" spans="8:8">
      <c r="H832"/>
    </row>
    <row r="833" spans="8:8">
      <c r="H833"/>
    </row>
    <row r="834" spans="8:8">
      <c r="H834"/>
    </row>
    <row r="835" spans="8:8">
      <c r="H835"/>
    </row>
    <row r="836" spans="8:8">
      <c r="H836"/>
    </row>
    <row r="837" spans="8:8">
      <c r="H837"/>
    </row>
    <row r="838" spans="8:8">
      <c r="H838"/>
    </row>
    <row r="839" spans="8:8">
      <c r="H839"/>
    </row>
    <row r="840" spans="8:8">
      <c r="H840"/>
    </row>
    <row r="841" spans="8:8">
      <c r="H841"/>
    </row>
    <row r="842" spans="8:8">
      <c r="H842"/>
    </row>
    <row r="843" spans="8:8">
      <c r="H843"/>
    </row>
    <row r="844" spans="8:8">
      <c r="H844"/>
    </row>
    <row r="845" spans="8:8">
      <c r="H845"/>
    </row>
    <row r="846" spans="8:8">
      <c r="H846"/>
    </row>
    <row r="847" spans="8:8">
      <c r="H847"/>
    </row>
    <row r="848" spans="8:8">
      <c r="H848"/>
    </row>
    <row r="849" spans="8:8">
      <c r="H849"/>
    </row>
    <row r="850" spans="8:8">
      <c r="H850"/>
    </row>
    <row r="851" spans="8:8">
      <c r="H851"/>
    </row>
    <row r="852" spans="8:8">
      <c r="H852"/>
    </row>
    <row r="853" spans="8:8">
      <c r="H853"/>
    </row>
    <row r="854" spans="8:8">
      <c r="H854"/>
    </row>
    <row r="855" spans="8:8">
      <c r="H855"/>
    </row>
    <row r="856" spans="8:8">
      <c r="H856"/>
    </row>
    <row r="857" spans="8:8">
      <c r="H857"/>
    </row>
    <row r="858" spans="8:8">
      <c r="H858"/>
    </row>
    <row r="859" spans="8:8">
      <c r="H859"/>
    </row>
    <row r="860" spans="8:8">
      <c r="H860"/>
    </row>
    <row r="861" spans="8:8">
      <c r="H861"/>
    </row>
    <row r="862" spans="8:8">
      <c r="H862"/>
    </row>
    <row r="863" spans="8:8">
      <c r="H863"/>
    </row>
    <row r="864" spans="8:8">
      <c r="H864"/>
    </row>
    <row r="865" spans="8:8">
      <c r="H865"/>
    </row>
    <row r="866" spans="8:8">
      <c r="H866"/>
    </row>
    <row r="867" spans="8:8">
      <c r="H867"/>
    </row>
    <row r="868" spans="8:8">
      <c r="H868"/>
    </row>
    <row r="869" spans="8:8">
      <c r="H869"/>
    </row>
    <row r="870" spans="8:8">
      <c r="H870"/>
    </row>
    <row r="871" spans="8:8">
      <c r="H871"/>
    </row>
    <row r="872" spans="8:8">
      <c r="H872"/>
    </row>
    <row r="873" spans="8:8">
      <c r="H873"/>
    </row>
    <row r="874" spans="8:8">
      <c r="H874"/>
    </row>
    <row r="875" spans="8:8">
      <c r="H875"/>
    </row>
    <row r="876" spans="8:8">
      <c r="H876"/>
    </row>
    <row r="877" spans="8:8">
      <c r="H877"/>
    </row>
    <row r="878" spans="8:8">
      <c r="H878"/>
    </row>
    <row r="879" spans="8:8">
      <c r="H879"/>
    </row>
    <row r="880" spans="8:8">
      <c r="H880"/>
    </row>
    <row r="881" spans="8:8">
      <c r="H881"/>
    </row>
    <row r="882" spans="8:8">
      <c r="H882"/>
    </row>
    <row r="883" spans="8:8">
      <c r="H883"/>
    </row>
    <row r="884" spans="8:8">
      <c r="H884"/>
    </row>
    <row r="885" spans="8:8">
      <c r="H885"/>
    </row>
    <row r="886" spans="8:8">
      <c r="H886"/>
    </row>
    <row r="887" spans="8:8">
      <c r="H887"/>
    </row>
    <row r="888" spans="8:8">
      <c r="H888"/>
    </row>
    <row r="889" spans="8:8">
      <c r="H889"/>
    </row>
    <row r="890" spans="8:8">
      <c r="H890"/>
    </row>
    <row r="891" spans="8:8">
      <c r="H891"/>
    </row>
    <row r="892" spans="8:8">
      <c r="H892"/>
    </row>
    <row r="893" spans="8:8">
      <c r="H893"/>
    </row>
    <row r="894" spans="8:8">
      <c r="H894"/>
    </row>
    <row r="895" spans="8:8">
      <c r="H895"/>
    </row>
    <row r="896" spans="8:8">
      <c r="H896"/>
    </row>
    <row r="897" spans="8:8">
      <c r="H897"/>
    </row>
    <row r="898" spans="8:8">
      <c r="H898"/>
    </row>
    <row r="899" spans="8:8">
      <c r="H899"/>
    </row>
    <row r="900" spans="8:8">
      <c r="H900"/>
    </row>
    <row r="901" spans="8:8">
      <c r="H901"/>
    </row>
    <row r="902" spans="8:8">
      <c r="H902"/>
    </row>
    <row r="903" spans="8:8">
      <c r="H903"/>
    </row>
    <row r="904" spans="8:8">
      <c r="H904"/>
    </row>
    <row r="905" spans="8:8">
      <c r="H905"/>
    </row>
    <row r="906" spans="8:8">
      <c r="H906"/>
    </row>
    <row r="907" spans="8:8">
      <c r="H907"/>
    </row>
    <row r="908" spans="8:8">
      <c r="H908"/>
    </row>
    <row r="909" spans="8:8">
      <c r="H909"/>
    </row>
    <row r="910" spans="8:8">
      <c r="H910"/>
    </row>
    <row r="911" spans="8:8">
      <c r="H911"/>
    </row>
    <row r="912" spans="8:8">
      <c r="H912"/>
    </row>
    <row r="913" spans="8:8">
      <c r="H913"/>
    </row>
    <row r="914" spans="8:8">
      <c r="H914"/>
    </row>
    <row r="915" spans="8:8">
      <c r="H915"/>
    </row>
    <row r="916" spans="8:8">
      <c r="H916"/>
    </row>
    <row r="917" spans="8:8">
      <c r="H917"/>
    </row>
    <row r="918" spans="8:8">
      <c r="H918"/>
    </row>
    <row r="919" spans="8:8">
      <c r="H919"/>
    </row>
    <row r="920" spans="8:8">
      <c r="H920"/>
    </row>
    <row r="921" spans="8:8">
      <c r="H921"/>
    </row>
    <row r="922" spans="8:8">
      <c r="H922"/>
    </row>
    <row r="923" spans="8:8">
      <c r="H923"/>
    </row>
    <row r="924" spans="8:8">
      <c r="H924"/>
    </row>
    <row r="925" spans="8:8">
      <c r="H925"/>
    </row>
    <row r="926" spans="8:8">
      <c r="H926"/>
    </row>
    <row r="927" spans="8:8">
      <c r="H927"/>
    </row>
    <row r="928" spans="8:8">
      <c r="H928"/>
    </row>
    <row r="929" spans="8:8">
      <c r="H929"/>
    </row>
    <row r="930" spans="8:8">
      <c r="H930"/>
    </row>
    <row r="931" spans="8:8">
      <c r="H931"/>
    </row>
    <row r="932" spans="8:8">
      <c r="H932"/>
    </row>
    <row r="933" spans="8:8">
      <c r="H933"/>
    </row>
    <row r="934" spans="8:8">
      <c r="H934"/>
    </row>
    <row r="935" spans="8:8">
      <c r="H935"/>
    </row>
    <row r="936" spans="8:8">
      <c r="H936"/>
    </row>
    <row r="937" spans="8:8">
      <c r="H937"/>
    </row>
    <row r="938" spans="8:8">
      <c r="H938"/>
    </row>
    <row r="939" spans="8:8">
      <c r="H939"/>
    </row>
    <row r="940" spans="8:8">
      <c r="H940"/>
    </row>
    <row r="941" spans="8:8">
      <c r="H941"/>
    </row>
    <row r="942" spans="8:8">
      <c r="H942"/>
    </row>
    <row r="943" spans="8:8">
      <c r="H943"/>
    </row>
    <row r="944" spans="8:8">
      <c r="H944"/>
    </row>
    <row r="945" spans="8:8">
      <c r="H945"/>
    </row>
    <row r="946" spans="8:8">
      <c r="H946"/>
    </row>
    <row r="947" spans="8:8">
      <c r="H947"/>
    </row>
    <row r="948" spans="8:8">
      <c r="H948"/>
    </row>
    <row r="949" spans="8:8">
      <c r="H949"/>
    </row>
    <row r="950" spans="8:8">
      <c r="H950"/>
    </row>
    <row r="951" spans="8:8">
      <c r="H951"/>
    </row>
    <row r="952" spans="8:8">
      <c r="H952"/>
    </row>
    <row r="953" spans="8:8">
      <c r="H953"/>
    </row>
    <row r="954" spans="8:8">
      <c r="H954"/>
    </row>
    <row r="955" spans="8:8">
      <c r="H955"/>
    </row>
    <row r="956" spans="8:8">
      <c r="H956"/>
    </row>
    <row r="957" spans="8:8">
      <c r="H957"/>
    </row>
    <row r="958" spans="8:8">
      <c r="H958"/>
    </row>
    <row r="959" spans="8:8">
      <c r="H959"/>
    </row>
    <row r="960" spans="8:8">
      <c r="H960"/>
    </row>
    <row r="961" spans="8:8">
      <c r="H961"/>
    </row>
    <row r="962" spans="8:8">
      <c r="H962"/>
    </row>
    <row r="963" spans="8:8">
      <c r="H963"/>
    </row>
    <row r="964" spans="8:8">
      <c r="H964"/>
    </row>
    <row r="965" spans="8:8">
      <c r="H965"/>
    </row>
    <row r="966" spans="8:8">
      <c r="H966"/>
    </row>
    <row r="967" spans="8:8">
      <c r="H967"/>
    </row>
    <row r="968" spans="8:8">
      <c r="H968"/>
    </row>
    <row r="969" spans="8:8">
      <c r="H969"/>
    </row>
    <row r="970" spans="8:8">
      <c r="H970"/>
    </row>
    <row r="971" spans="8:8">
      <c r="H971"/>
    </row>
    <row r="972" spans="8:8">
      <c r="H972"/>
    </row>
    <row r="973" spans="8:8">
      <c r="H973"/>
    </row>
    <row r="974" spans="8:8">
      <c r="H974"/>
    </row>
    <row r="975" spans="8:8">
      <c r="H975"/>
    </row>
    <row r="976" spans="8:8">
      <c r="H976"/>
    </row>
    <row r="977" spans="8:8">
      <c r="H977"/>
    </row>
    <row r="978" spans="8:8">
      <c r="H978"/>
    </row>
    <row r="979" spans="8:8">
      <c r="H979"/>
    </row>
    <row r="980" spans="8:8">
      <c r="H980"/>
    </row>
    <row r="981" spans="8:8">
      <c r="H981"/>
    </row>
    <row r="982" spans="8:8">
      <c r="H982"/>
    </row>
    <row r="983" spans="8:8">
      <c r="H983"/>
    </row>
    <row r="984" spans="8:8">
      <c r="H984"/>
    </row>
    <row r="985" spans="8:8">
      <c r="H985"/>
    </row>
    <row r="986" spans="8:8">
      <c r="H986"/>
    </row>
    <row r="987" spans="8:8">
      <c r="H987"/>
    </row>
    <row r="988" spans="8:8">
      <c r="H988"/>
    </row>
    <row r="989" spans="8:8">
      <c r="H989"/>
    </row>
    <row r="990" spans="8:8">
      <c r="H990"/>
    </row>
    <row r="991" spans="8:8">
      <c r="H991"/>
    </row>
    <row r="992" spans="8:8">
      <c r="H992"/>
    </row>
    <row r="993" spans="8:8">
      <c r="H993"/>
    </row>
    <row r="994" spans="8:8">
      <c r="H994"/>
    </row>
    <row r="995" spans="8:8">
      <c r="H995"/>
    </row>
    <row r="996" spans="8:8">
      <c r="H996"/>
    </row>
    <row r="997" spans="8:8">
      <c r="H997"/>
    </row>
    <row r="998" spans="8:8">
      <c r="H998"/>
    </row>
    <row r="999" spans="8:8">
      <c r="H999"/>
    </row>
    <row r="1000" spans="8:8">
      <c r="H1000"/>
    </row>
    <row r="1001" spans="8:8">
      <c r="H1001"/>
    </row>
    <row r="1002" spans="8:8">
      <c r="H1002"/>
    </row>
    <row r="1003" spans="8:8">
      <c r="H1003"/>
    </row>
    <row r="1004" spans="8:8">
      <c r="H1004"/>
    </row>
    <row r="1005" spans="8:8">
      <c r="H1005"/>
    </row>
    <row r="1006" spans="8:8">
      <c r="H1006"/>
    </row>
    <row r="1007" spans="8:8">
      <c r="H1007"/>
    </row>
    <row r="1008" spans="8:8">
      <c r="H1008"/>
    </row>
    <row r="1009" spans="8:8">
      <c r="H1009"/>
    </row>
    <row r="1010" spans="8:8">
      <c r="H1010"/>
    </row>
    <row r="1011" spans="8:8">
      <c r="H1011"/>
    </row>
    <row r="1012" spans="8:8">
      <c r="H1012"/>
    </row>
    <row r="1013" spans="8:8">
      <c r="H1013"/>
    </row>
    <row r="1014" spans="8:8">
      <c r="H1014"/>
    </row>
    <row r="1015" spans="8:8">
      <c r="H1015"/>
    </row>
    <row r="1016" spans="8:8">
      <c r="H1016"/>
    </row>
    <row r="1017" spans="8:8">
      <c r="H1017"/>
    </row>
    <row r="1018" spans="8:8">
      <c r="H1018"/>
    </row>
    <row r="1019" spans="8:8">
      <c r="H1019"/>
    </row>
    <row r="1020" spans="8:8">
      <c r="H1020"/>
    </row>
    <row r="1021" spans="8:8">
      <c r="H1021"/>
    </row>
    <row r="1022" spans="8:8">
      <c r="H1022"/>
    </row>
    <row r="1023" spans="8:8">
      <c r="H1023"/>
    </row>
    <row r="1024" spans="8:8">
      <c r="H1024"/>
    </row>
    <row r="1025" spans="8:8">
      <c r="H1025"/>
    </row>
    <row r="1026" spans="8:8">
      <c r="H1026"/>
    </row>
    <row r="1027" spans="8:8">
      <c r="H1027"/>
    </row>
    <row r="1028" spans="8:8">
      <c r="H1028"/>
    </row>
    <row r="1029" spans="8:8">
      <c r="H1029"/>
    </row>
    <row r="1030" spans="8:8">
      <c r="H1030"/>
    </row>
    <row r="1031" spans="8:8">
      <c r="H1031"/>
    </row>
    <row r="1032" spans="8:8">
      <c r="H1032"/>
    </row>
    <row r="1033" spans="8:8">
      <c r="H1033"/>
    </row>
    <row r="1034" spans="8:8">
      <c r="H1034"/>
    </row>
    <row r="1035" spans="8:8">
      <c r="H1035"/>
    </row>
    <row r="1036" spans="8:8">
      <c r="H1036"/>
    </row>
    <row r="1037" spans="8:8">
      <c r="H1037"/>
    </row>
    <row r="1038" spans="8:8">
      <c r="H1038"/>
    </row>
    <row r="1039" spans="8:8">
      <c r="H1039"/>
    </row>
    <row r="1040" spans="8:8">
      <c r="H1040"/>
    </row>
    <row r="1041" spans="8:8">
      <c r="H1041"/>
    </row>
    <row r="1042" spans="8:8">
      <c r="H1042"/>
    </row>
    <row r="1043" spans="8:8">
      <c r="H1043"/>
    </row>
    <row r="1044" spans="8:8">
      <c r="H1044"/>
    </row>
    <row r="1045" spans="8:8">
      <c r="H1045"/>
    </row>
    <row r="1046" spans="8:8">
      <c r="H1046"/>
    </row>
    <row r="1047" spans="8:8">
      <c r="H1047"/>
    </row>
    <row r="1048" spans="8:8">
      <c r="H1048"/>
    </row>
    <row r="1049" spans="8:8">
      <c r="H1049"/>
    </row>
    <row r="1050" spans="8:8">
      <c r="H1050"/>
    </row>
    <row r="1051" spans="8:8">
      <c r="H1051"/>
    </row>
    <row r="1052" spans="8:8">
      <c r="H1052"/>
    </row>
    <row r="1053" spans="8:8">
      <c r="H1053"/>
    </row>
    <row r="1054" spans="8:8">
      <c r="H1054"/>
    </row>
    <row r="1055" spans="8:8">
      <c r="H1055"/>
    </row>
    <row r="1056" spans="8:8">
      <c r="H1056"/>
    </row>
    <row r="1057" spans="8:8">
      <c r="H1057"/>
    </row>
    <row r="1058" spans="8:8">
      <c r="H1058"/>
    </row>
    <row r="1059" spans="8:8">
      <c r="H1059"/>
    </row>
    <row r="1060" spans="8:8">
      <c r="H1060"/>
    </row>
    <row r="1061" spans="8:8">
      <c r="H1061"/>
    </row>
    <row r="1062" spans="8:8">
      <c r="H1062"/>
    </row>
    <row r="1063" spans="8:8">
      <c r="H1063"/>
    </row>
    <row r="1064" spans="8:8">
      <c r="H1064"/>
    </row>
    <row r="1065" spans="8:8">
      <c r="H1065"/>
    </row>
    <row r="1066" spans="8:8">
      <c r="H1066"/>
    </row>
    <row r="1067" spans="8:8">
      <c r="H1067"/>
    </row>
    <row r="1068" spans="8:8">
      <c r="H1068"/>
    </row>
    <row r="1069" spans="8:8">
      <c r="H1069"/>
    </row>
    <row r="1070" spans="8:8">
      <c r="H1070"/>
    </row>
    <row r="1071" spans="8:8">
      <c r="H1071"/>
    </row>
    <row r="1072" spans="8:8">
      <c r="H1072"/>
    </row>
    <row r="1073" spans="8:8">
      <c r="H1073"/>
    </row>
    <row r="1074" spans="8:8">
      <c r="H1074"/>
    </row>
    <row r="1075" spans="8:8">
      <c r="H1075"/>
    </row>
    <row r="1076" spans="8:8">
      <c r="H1076"/>
    </row>
    <row r="1077" spans="8:8">
      <c r="H1077"/>
    </row>
    <row r="1078" spans="8:8">
      <c r="H1078"/>
    </row>
    <row r="1079" spans="8:8">
      <c r="H1079"/>
    </row>
    <row r="1080" spans="8:8">
      <c r="H1080"/>
    </row>
    <row r="1081" spans="8:8">
      <c r="H1081"/>
    </row>
    <row r="1082" spans="8:8">
      <c r="H1082"/>
    </row>
    <row r="1083" spans="8:8">
      <c r="H1083"/>
    </row>
    <row r="1084" spans="8:8">
      <c r="H1084"/>
    </row>
    <row r="1085" spans="8:8">
      <c r="H1085"/>
    </row>
    <row r="1086" spans="8:8">
      <c r="H1086"/>
    </row>
    <row r="1087" spans="8:8">
      <c r="H1087"/>
    </row>
    <row r="1088" spans="8:8">
      <c r="H1088"/>
    </row>
    <row r="1089" spans="8:8">
      <c r="H1089"/>
    </row>
    <row r="1090" spans="8:8">
      <c r="H1090"/>
    </row>
    <row r="1091" spans="8:8">
      <c r="H1091"/>
    </row>
    <row r="1092" spans="8:8">
      <c r="H1092"/>
    </row>
    <row r="1093" spans="8:8">
      <c r="H1093"/>
    </row>
    <row r="1094" spans="8:8">
      <c r="H1094"/>
    </row>
    <row r="1095" spans="8:8">
      <c r="H1095"/>
    </row>
    <row r="1096" spans="8:8">
      <c r="H1096"/>
    </row>
    <row r="1097" spans="8:8">
      <c r="H1097"/>
    </row>
    <row r="1098" spans="8:8">
      <c r="H1098"/>
    </row>
    <row r="1099" spans="8:8">
      <c r="H1099"/>
    </row>
    <row r="1100" spans="8:8">
      <c r="H1100"/>
    </row>
    <row r="1101" spans="8:8">
      <c r="H1101"/>
    </row>
    <row r="1102" spans="8:8">
      <c r="H1102"/>
    </row>
    <row r="1103" spans="8:8">
      <c r="H1103"/>
    </row>
    <row r="1104" spans="8:8">
      <c r="H1104"/>
    </row>
    <row r="1105" spans="8:8">
      <c r="H1105"/>
    </row>
    <row r="1106" spans="8:8">
      <c r="H1106"/>
    </row>
    <row r="1107" spans="8:8">
      <c r="H1107"/>
    </row>
    <row r="1108" spans="8:8">
      <c r="H1108"/>
    </row>
    <row r="1109" spans="8:8">
      <c r="H1109"/>
    </row>
    <row r="1110" spans="8:8">
      <c r="H1110"/>
    </row>
    <row r="1111" spans="8:8">
      <c r="H1111"/>
    </row>
    <row r="1112" spans="8:8">
      <c r="H1112"/>
    </row>
    <row r="1113" spans="8:8">
      <c r="H1113"/>
    </row>
    <row r="1114" spans="8:8">
      <c r="H1114"/>
    </row>
    <row r="1115" spans="8:8">
      <c r="H1115"/>
    </row>
    <row r="1116" spans="8:8">
      <c r="H1116"/>
    </row>
    <row r="1117" spans="8:8">
      <c r="H1117"/>
    </row>
    <row r="1118" spans="8:8">
      <c r="H1118"/>
    </row>
    <row r="1119" spans="8:8">
      <c r="H1119"/>
    </row>
    <row r="1120" spans="8:8">
      <c r="H1120"/>
    </row>
    <row r="1121" spans="8:8">
      <c r="H1121"/>
    </row>
    <row r="1122" spans="8:8">
      <c r="H1122"/>
    </row>
    <row r="1123" spans="8:8">
      <c r="H1123"/>
    </row>
    <row r="1124" spans="8:8">
      <c r="H1124"/>
    </row>
    <row r="1125" spans="8:8">
      <c r="H1125"/>
    </row>
    <row r="1126" spans="8:8">
      <c r="H1126"/>
    </row>
    <row r="1127" spans="8:8">
      <c r="H1127"/>
    </row>
    <row r="1128" spans="8:8">
      <c r="H1128"/>
    </row>
    <row r="1129" spans="8:8">
      <c r="H1129"/>
    </row>
    <row r="1130" spans="8:8">
      <c r="H1130"/>
    </row>
    <row r="1131" spans="8:8">
      <c r="H1131"/>
    </row>
    <row r="1132" spans="8:8">
      <c r="H1132"/>
    </row>
    <row r="1133" spans="8:8">
      <c r="H1133"/>
    </row>
    <row r="1134" spans="8:8">
      <c r="H1134"/>
    </row>
    <row r="1135" spans="8:8">
      <c r="H1135"/>
    </row>
    <row r="1136" spans="8:8">
      <c r="H1136"/>
    </row>
    <row r="1137" spans="8:8">
      <c r="H1137"/>
    </row>
    <row r="1138" spans="8:8">
      <c r="H1138"/>
    </row>
    <row r="1139" spans="8:8">
      <c r="H1139"/>
    </row>
    <row r="1140" spans="8:8">
      <c r="H1140"/>
    </row>
    <row r="1141" spans="8:8">
      <c r="H1141"/>
    </row>
    <row r="1142" spans="8:8">
      <c r="H1142"/>
    </row>
    <row r="1143" spans="8:8">
      <c r="H1143"/>
    </row>
    <row r="1144" spans="8:8">
      <c r="H1144"/>
    </row>
    <row r="1145" spans="8:8">
      <c r="H1145"/>
    </row>
    <row r="1146" spans="8:8">
      <c r="H1146"/>
    </row>
    <row r="1147" spans="8:8">
      <c r="H1147"/>
    </row>
    <row r="1148" spans="8:8">
      <c r="H1148"/>
    </row>
    <row r="1149" spans="8:8">
      <c r="H1149"/>
    </row>
    <row r="1150" spans="8:8">
      <c r="H1150"/>
    </row>
    <row r="1151" spans="8:8">
      <c r="H1151"/>
    </row>
    <row r="1152" spans="8:8">
      <c r="H1152"/>
    </row>
    <row r="1153" spans="8:8">
      <c r="H1153"/>
    </row>
    <row r="1154" spans="8:8">
      <c r="H1154"/>
    </row>
    <row r="1155" spans="8:8">
      <c r="H1155"/>
    </row>
    <row r="1156" spans="8:8">
      <c r="H1156"/>
    </row>
    <row r="1157" spans="8:8">
      <c r="H1157"/>
    </row>
    <row r="1158" spans="8:8">
      <c r="H1158"/>
    </row>
    <row r="1159" spans="8:8">
      <c r="H1159"/>
    </row>
    <row r="1160" spans="8:8">
      <c r="H1160"/>
    </row>
    <row r="1161" spans="8:8">
      <c r="H1161"/>
    </row>
    <row r="1162" spans="8:8">
      <c r="H1162"/>
    </row>
    <row r="1163" spans="8:8">
      <c r="H1163"/>
    </row>
    <row r="1164" spans="8:8">
      <c r="H1164"/>
    </row>
    <row r="1165" spans="8:8">
      <c r="H1165"/>
    </row>
    <row r="1166" spans="8:8">
      <c r="H1166"/>
    </row>
    <row r="1167" spans="8:8">
      <c r="H1167"/>
    </row>
    <row r="1168" spans="8:8">
      <c r="H1168"/>
    </row>
    <row r="1169" spans="8:8">
      <c r="H1169"/>
    </row>
    <row r="1170" spans="8:8">
      <c r="H1170"/>
    </row>
    <row r="1171" spans="8:8">
      <c r="H1171"/>
    </row>
    <row r="1172" spans="8:8">
      <c r="H1172"/>
    </row>
    <row r="1173" spans="8:8">
      <c r="H1173"/>
    </row>
    <row r="1174" spans="8:8">
      <c r="H1174"/>
    </row>
    <row r="1175" spans="8:8">
      <c r="H1175"/>
    </row>
    <row r="1176" spans="8:8">
      <c r="H1176"/>
    </row>
    <row r="1177" spans="8:8">
      <c r="H1177"/>
    </row>
    <row r="1178" spans="8:8">
      <c r="H1178"/>
    </row>
    <row r="1179" spans="8:8">
      <c r="H1179"/>
    </row>
    <row r="1180" spans="8:8">
      <c r="H1180"/>
    </row>
    <row r="1181" spans="8:8">
      <c r="H1181"/>
    </row>
    <row r="1182" spans="8:8">
      <c r="H1182"/>
    </row>
    <row r="1183" spans="8:8">
      <c r="H1183"/>
    </row>
    <row r="1184" spans="8:8">
      <c r="H1184"/>
    </row>
    <row r="1185" spans="8:8">
      <c r="H1185"/>
    </row>
    <row r="1186" spans="8:8">
      <c r="H1186"/>
    </row>
    <row r="1187" spans="8:8">
      <c r="H1187"/>
    </row>
    <row r="1188" spans="8:8">
      <c r="H1188"/>
    </row>
    <row r="1189" spans="8:8">
      <c r="H1189"/>
    </row>
    <row r="1190" spans="8:8">
      <c r="H1190"/>
    </row>
    <row r="1191" spans="8:8">
      <c r="H1191"/>
    </row>
    <row r="1192" spans="8:8">
      <c r="H1192"/>
    </row>
    <row r="1193" spans="8:8">
      <c r="H1193"/>
    </row>
    <row r="1194" spans="8:8">
      <c r="H1194"/>
    </row>
    <row r="1195" spans="8:8">
      <c r="H1195"/>
    </row>
    <row r="1196" spans="8:8">
      <c r="H1196"/>
    </row>
    <row r="1197" spans="8:8">
      <c r="H1197"/>
    </row>
    <row r="1198" spans="8:8">
      <c r="H1198"/>
    </row>
    <row r="1199" spans="8:8">
      <c r="H1199"/>
    </row>
    <row r="1200" spans="8:8">
      <c r="H1200"/>
    </row>
    <row r="1201" spans="8:8">
      <c r="H1201"/>
    </row>
    <row r="1202" spans="8:8">
      <c r="H1202"/>
    </row>
    <row r="1203" spans="8:8">
      <c r="H1203"/>
    </row>
    <row r="1204" spans="8:8">
      <c r="H1204"/>
    </row>
    <row r="1205" spans="8:8">
      <c r="H1205"/>
    </row>
    <row r="1206" spans="8:8">
      <c r="H1206"/>
    </row>
    <row r="1207" spans="8:8">
      <c r="H1207"/>
    </row>
    <row r="1208" spans="8:8">
      <c r="H1208"/>
    </row>
    <row r="1209" spans="8:8">
      <c r="H1209"/>
    </row>
    <row r="1210" spans="8:8">
      <c r="H1210"/>
    </row>
    <row r="1211" spans="8:8">
      <c r="H1211"/>
    </row>
    <row r="1212" spans="8:8">
      <c r="H1212"/>
    </row>
    <row r="1213" spans="8:8">
      <c r="H1213"/>
    </row>
    <row r="1214" spans="8:8">
      <c r="H1214"/>
    </row>
    <row r="1215" spans="8:8">
      <c r="H1215"/>
    </row>
    <row r="1216" spans="8:8">
      <c r="H1216"/>
    </row>
    <row r="1217" spans="8:8">
      <c r="H1217"/>
    </row>
    <row r="1218" spans="8:8">
      <c r="H1218"/>
    </row>
    <row r="1219" spans="8:8">
      <c r="H1219"/>
    </row>
    <row r="1220" spans="8:8">
      <c r="H1220"/>
    </row>
    <row r="1221" spans="8:8">
      <c r="H1221"/>
    </row>
    <row r="1222" spans="8:8">
      <c r="H1222"/>
    </row>
    <row r="1223" spans="8:8">
      <c r="H1223"/>
    </row>
    <row r="1224" spans="8:8">
      <c r="H1224"/>
    </row>
    <row r="1225" spans="8:8">
      <c r="H1225"/>
    </row>
    <row r="1226" spans="8:8">
      <c r="H1226"/>
    </row>
    <row r="1227" spans="8:8">
      <c r="H1227"/>
    </row>
    <row r="1228" spans="8:8">
      <c r="H1228"/>
    </row>
    <row r="1229" spans="8:8">
      <c r="H1229"/>
    </row>
    <row r="1230" spans="8:8">
      <c r="H1230"/>
    </row>
    <row r="1231" spans="8:8">
      <c r="H1231"/>
    </row>
    <row r="1232" spans="8:8">
      <c r="H1232"/>
    </row>
    <row r="1233" spans="8:8">
      <c r="H1233"/>
    </row>
    <row r="1234" spans="8:8">
      <c r="H1234"/>
    </row>
    <row r="1235" spans="8:8">
      <c r="H1235"/>
    </row>
    <row r="1236" spans="8:8">
      <c r="H1236"/>
    </row>
    <row r="1237" spans="8:8">
      <c r="H1237"/>
    </row>
    <row r="1238" spans="8:8">
      <c r="H1238"/>
    </row>
    <row r="1239" spans="8:8">
      <c r="H1239"/>
    </row>
    <row r="1240" spans="8:8">
      <c r="H1240"/>
    </row>
    <row r="1241" spans="8:8">
      <c r="H1241"/>
    </row>
    <row r="1242" spans="8:8">
      <c r="H1242"/>
    </row>
    <row r="1243" spans="8:8">
      <c r="H1243"/>
    </row>
    <row r="1244" spans="8:8">
      <c r="H1244"/>
    </row>
    <row r="1245" spans="8:8">
      <c r="H1245"/>
    </row>
    <row r="1246" spans="8:8">
      <c r="H1246"/>
    </row>
    <row r="1247" spans="8:8">
      <c r="H1247"/>
    </row>
    <row r="1248" spans="8:8">
      <c r="H1248"/>
    </row>
    <row r="1249" spans="8:8">
      <c r="H1249"/>
    </row>
    <row r="1250" spans="8:8">
      <c r="H1250"/>
    </row>
    <row r="1251" spans="8:8">
      <c r="H1251"/>
    </row>
    <row r="1252" spans="8:8">
      <c r="H1252"/>
    </row>
    <row r="1253" spans="8:8">
      <c r="H1253"/>
    </row>
    <row r="1254" spans="8:8">
      <c r="H1254"/>
    </row>
    <row r="1255" spans="8:8">
      <c r="H1255"/>
    </row>
    <row r="1256" spans="8:8">
      <c r="H1256"/>
    </row>
    <row r="1257" spans="8:8">
      <c r="H1257"/>
    </row>
    <row r="1258" spans="8:8">
      <c r="H1258"/>
    </row>
    <row r="1259" spans="8:8">
      <c r="H1259"/>
    </row>
    <row r="1260" spans="8:8">
      <c r="H1260"/>
    </row>
    <row r="1261" spans="8:8">
      <c r="H1261"/>
    </row>
    <row r="1262" spans="8:8">
      <c r="H1262"/>
    </row>
    <row r="1263" spans="8:8">
      <c r="H1263"/>
    </row>
    <row r="1264" spans="8:8">
      <c r="H1264"/>
    </row>
    <row r="1265" spans="8:8">
      <c r="H1265"/>
    </row>
    <row r="1266" spans="8:8">
      <c r="H1266"/>
    </row>
    <row r="1267" spans="8:8">
      <c r="H1267"/>
    </row>
    <row r="1268" spans="8:8">
      <c r="H1268"/>
    </row>
    <row r="1269" spans="8:8">
      <c r="H1269"/>
    </row>
    <row r="1270" spans="8:8">
      <c r="H1270"/>
    </row>
    <row r="1271" spans="8:8">
      <c r="H1271"/>
    </row>
    <row r="1272" spans="8:8">
      <c r="H1272"/>
    </row>
    <row r="1273" spans="8:8">
      <c r="H1273"/>
    </row>
    <row r="1274" spans="8:8">
      <c r="H1274"/>
    </row>
    <row r="1275" spans="8:8">
      <c r="H1275"/>
    </row>
    <row r="1276" spans="8:8">
      <c r="H1276"/>
    </row>
    <row r="1277" spans="8:8">
      <c r="H1277"/>
    </row>
    <row r="1278" spans="8:8">
      <c r="H1278"/>
    </row>
    <row r="1279" spans="8:8">
      <c r="H1279"/>
    </row>
    <row r="1280" spans="8:8">
      <c r="H1280"/>
    </row>
    <row r="1281" spans="8:8">
      <c r="H1281"/>
    </row>
    <row r="1282" spans="8:8">
      <c r="H1282"/>
    </row>
    <row r="1283" spans="8:8">
      <c r="H1283"/>
    </row>
    <row r="1284" spans="8:8">
      <c r="H1284"/>
    </row>
    <row r="1285" spans="8:8">
      <c r="H1285"/>
    </row>
    <row r="1286" spans="8:8">
      <c r="H1286"/>
    </row>
    <row r="1287" spans="8:8">
      <c r="H1287"/>
    </row>
    <row r="1288" spans="8:8">
      <c r="H1288"/>
    </row>
    <row r="1289" spans="8:8">
      <c r="H1289"/>
    </row>
    <row r="1290" spans="8:8">
      <c r="H1290"/>
    </row>
    <row r="1291" spans="8:8">
      <c r="H1291"/>
    </row>
    <row r="1292" spans="8:8">
      <c r="H1292"/>
    </row>
    <row r="1293" spans="8:8">
      <c r="H1293"/>
    </row>
    <row r="1294" spans="8:8">
      <c r="H1294"/>
    </row>
    <row r="1295" spans="8:8">
      <c r="H1295"/>
    </row>
    <row r="1296" spans="8:8">
      <c r="H1296"/>
    </row>
    <row r="1297" spans="8:8">
      <c r="H1297"/>
    </row>
    <row r="1298" spans="8:8">
      <c r="H1298"/>
    </row>
    <row r="1299" spans="8:8">
      <c r="H1299"/>
    </row>
    <row r="1300" spans="8:8">
      <c r="H1300"/>
    </row>
    <row r="1301" spans="8:8">
      <c r="H1301"/>
    </row>
    <row r="1302" spans="8:8">
      <c r="H1302"/>
    </row>
    <row r="1303" spans="8:8">
      <c r="H1303"/>
    </row>
    <row r="1304" spans="8:8">
      <c r="H1304"/>
    </row>
    <row r="1305" spans="8:8">
      <c r="H1305"/>
    </row>
    <row r="1306" spans="8:8">
      <c r="H1306"/>
    </row>
    <row r="1307" spans="8:8">
      <c r="H1307"/>
    </row>
    <row r="1308" spans="8:8">
      <c r="H1308"/>
    </row>
    <row r="1309" spans="8:8">
      <c r="H1309"/>
    </row>
    <row r="1310" spans="8:8">
      <c r="H1310"/>
    </row>
    <row r="1311" spans="8:8">
      <c r="H1311"/>
    </row>
    <row r="1312" spans="8:8">
      <c r="H1312"/>
    </row>
    <row r="1313" spans="8:8">
      <c r="H1313"/>
    </row>
    <row r="1314" spans="8:8">
      <c r="H1314"/>
    </row>
    <row r="1315" spans="8:8">
      <c r="H1315"/>
    </row>
    <row r="1316" spans="8:8">
      <c r="H1316"/>
    </row>
    <row r="1317" spans="8:8">
      <c r="H1317"/>
    </row>
    <row r="1318" spans="8:8">
      <c r="H1318"/>
    </row>
    <row r="1319" spans="8:8">
      <c r="H1319"/>
    </row>
    <row r="1320" spans="8:8">
      <c r="H1320"/>
    </row>
    <row r="1321" spans="8:8">
      <c r="H1321"/>
    </row>
    <row r="1322" spans="8:8">
      <c r="H1322"/>
    </row>
    <row r="1323" spans="8:8">
      <c r="H1323"/>
    </row>
    <row r="1324" spans="8:8">
      <c r="H1324"/>
    </row>
    <row r="1325" spans="8:8">
      <c r="H1325"/>
    </row>
    <row r="1326" spans="8:8">
      <c r="H1326"/>
    </row>
    <row r="1327" spans="8:8">
      <c r="H1327"/>
    </row>
    <row r="1328" spans="8:8">
      <c r="H1328"/>
    </row>
    <row r="1329" spans="8:8">
      <c r="H1329"/>
    </row>
    <row r="1330" spans="8:8">
      <c r="H1330"/>
    </row>
    <row r="1331" spans="8:8">
      <c r="H1331"/>
    </row>
    <row r="1332" spans="8:8">
      <c r="H1332"/>
    </row>
    <row r="1333" spans="8:8">
      <c r="H1333"/>
    </row>
    <row r="1334" spans="8:8">
      <c r="H1334"/>
    </row>
    <row r="1335" spans="8:8">
      <c r="H1335"/>
    </row>
    <row r="1336" spans="8:8">
      <c r="H1336"/>
    </row>
    <row r="1337" spans="8:8">
      <c r="H1337"/>
    </row>
    <row r="1338" spans="8:8">
      <c r="H1338"/>
    </row>
    <row r="1339" spans="8:8">
      <c r="H1339"/>
    </row>
    <row r="1340" spans="8:8">
      <c r="H1340"/>
    </row>
    <row r="1341" spans="8:8">
      <c r="H1341"/>
    </row>
    <row r="1342" spans="8:8">
      <c r="H1342"/>
    </row>
    <row r="1343" spans="8:8">
      <c r="H1343"/>
    </row>
    <row r="1344" spans="8:8">
      <c r="H1344"/>
    </row>
    <row r="1345" spans="8:8">
      <c r="H1345"/>
    </row>
    <row r="1346" spans="8:8">
      <c r="H1346"/>
    </row>
    <row r="1347" spans="8:8">
      <c r="H1347"/>
    </row>
    <row r="1348" spans="8:8">
      <c r="H1348"/>
    </row>
    <row r="1349" spans="8:8">
      <c r="H1349"/>
    </row>
    <row r="1350" spans="8:8">
      <c r="H1350"/>
    </row>
    <row r="1351" spans="8:8">
      <c r="H1351"/>
    </row>
    <row r="1352" spans="8:8">
      <c r="H1352"/>
    </row>
    <row r="1353" spans="8:8">
      <c r="H1353"/>
    </row>
    <row r="1354" spans="8:8">
      <c r="H1354"/>
    </row>
    <row r="1355" spans="8:8">
      <c r="H1355"/>
    </row>
    <row r="1356" spans="8:8">
      <c r="H1356"/>
    </row>
    <row r="1357" spans="8:8">
      <c r="H1357"/>
    </row>
    <row r="1358" spans="8:8">
      <c r="H1358"/>
    </row>
    <row r="1359" spans="8:8">
      <c r="H1359"/>
    </row>
    <row r="1360" spans="8:8">
      <c r="H1360"/>
    </row>
    <row r="1361" spans="8:8">
      <c r="H1361"/>
    </row>
    <row r="1362" spans="8:8">
      <c r="H1362"/>
    </row>
    <row r="1363" spans="8:8">
      <c r="H1363"/>
    </row>
    <row r="1364" spans="8:8">
      <c r="H1364"/>
    </row>
    <row r="1365" spans="8:8">
      <c r="H1365"/>
    </row>
    <row r="1366" spans="8:8">
      <c r="H1366"/>
    </row>
    <row r="1367" spans="8:8">
      <c r="H1367"/>
    </row>
    <row r="1368" spans="8:8">
      <c r="H1368"/>
    </row>
    <row r="1369" spans="8:8">
      <c r="H1369"/>
    </row>
    <row r="1370" spans="8:8">
      <c r="H1370"/>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88A-D21A-4371-9881-5FF12C7C7DF4}">
  <dimension ref="A1:T683"/>
  <sheetViews>
    <sheetView workbookViewId="0">
      <selection activeCell="D8" sqref="D8"/>
    </sheetView>
  </sheetViews>
  <sheetFormatPr defaultColWidth="12.25" defaultRowHeight="18.75"/>
  <cols>
    <col min="1" max="1" width="10.125" style="10" bestFit="1" customWidth="1"/>
    <col min="2" max="4" width="12.25" style="10"/>
    <col min="5" max="5" width="18.25" style="10" customWidth="1"/>
    <col min="6" max="6" width="12.25" style="10"/>
    <col min="7" max="7" width="5.125" style="10" customWidth="1"/>
    <col min="8" max="8" width="18.875" style="10" bestFit="1" customWidth="1"/>
    <col min="9" max="9" width="9.875" style="10" customWidth="1"/>
    <col min="10" max="11" width="12.625" style="10" customWidth="1"/>
    <col min="12" max="15" width="12.25" style="10"/>
    <col min="16" max="18" width="11" style="10" customWidth="1"/>
    <col min="19" max="16384" width="12.25" style="10"/>
  </cols>
  <sheetData>
    <row r="1" spans="1:20">
      <c r="A1" s="10" t="s">
        <v>3</v>
      </c>
      <c r="B1" s="10" t="s">
        <v>8</v>
      </c>
      <c r="C1" s="10" t="s">
        <v>9</v>
      </c>
    </row>
    <row r="2" spans="1:20" ht="19.5">
      <c r="A2" s="10" t="s">
        <v>22</v>
      </c>
      <c r="B2" s="59">
        <v>2000</v>
      </c>
      <c r="C2" s="59">
        <v>2680</v>
      </c>
      <c r="E2" s="10" t="s">
        <v>912</v>
      </c>
    </row>
    <row r="3" spans="1:20" ht="19.5">
      <c r="A3" s="10" t="s">
        <v>14</v>
      </c>
      <c r="B3" s="59">
        <v>1000</v>
      </c>
      <c r="C3" s="59">
        <v>1520</v>
      </c>
      <c r="S3" s="59"/>
      <c r="T3" s="59"/>
    </row>
    <row r="4" spans="1:20" ht="19.5" thickBot="1">
      <c r="A4" s="10" t="s">
        <v>393</v>
      </c>
      <c r="B4" s="10">
        <v>102</v>
      </c>
      <c r="C4" s="10">
        <v>245</v>
      </c>
    </row>
    <row r="5" spans="1:20">
      <c r="A5" s="10" t="s">
        <v>590</v>
      </c>
      <c r="B5" s="10">
        <v>94</v>
      </c>
      <c r="C5" s="10">
        <v>234</v>
      </c>
      <c r="E5" s="57" t="s">
        <v>776</v>
      </c>
      <c r="F5" s="57"/>
    </row>
    <row r="6" spans="1:20">
      <c r="A6" s="10" t="s">
        <v>254</v>
      </c>
      <c r="B6" s="10">
        <v>151</v>
      </c>
      <c r="C6" s="10">
        <v>234</v>
      </c>
    </row>
    <row r="7" spans="1:20">
      <c r="A7" s="10" t="s">
        <v>409</v>
      </c>
      <c r="B7" s="10">
        <v>78</v>
      </c>
      <c r="C7" s="10">
        <v>231</v>
      </c>
      <c r="E7" s="10" t="s">
        <v>717</v>
      </c>
      <c r="F7" s="10">
        <v>80.243401759530798</v>
      </c>
    </row>
    <row r="8" spans="1:20">
      <c r="A8" s="10" t="s">
        <v>361</v>
      </c>
      <c r="B8" s="10">
        <v>82</v>
      </c>
      <c r="C8" s="10">
        <v>231</v>
      </c>
      <c r="E8" s="10" t="s">
        <v>718</v>
      </c>
      <c r="F8" s="10">
        <v>3.2651982842114102</v>
      </c>
    </row>
    <row r="9" spans="1:20" ht="19.5">
      <c r="A9" s="10" t="s">
        <v>246</v>
      </c>
      <c r="B9" s="10">
        <v>103</v>
      </c>
      <c r="C9" s="10">
        <v>226</v>
      </c>
      <c r="E9" s="10" t="s">
        <v>719</v>
      </c>
      <c r="F9" s="10">
        <v>76.5</v>
      </c>
      <c r="S9" s="59"/>
      <c r="T9" s="59"/>
    </row>
    <row r="10" spans="1:20">
      <c r="A10" s="10" t="s">
        <v>480</v>
      </c>
      <c r="B10" s="10">
        <v>112</v>
      </c>
      <c r="C10" s="10">
        <v>226</v>
      </c>
      <c r="E10" s="10" t="s">
        <v>720</v>
      </c>
      <c r="F10" s="10">
        <v>82</v>
      </c>
    </row>
    <row r="11" spans="1:20">
      <c r="A11" s="10" t="s">
        <v>214</v>
      </c>
      <c r="B11" s="10">
        <v>130</v>
      </c>
      <c r="C11" s="10">
        <v>226</v>
      </c>
      <c r="E11" s="10" t="s">
        <v>721</v>
      </c>
      <c r="F11" s="10">
        <v>85.27107673542119</v>
      </c>
    </row>
    <row r="12" spans="1:20">
      <c r="A12" s="10" t="s">
        <v>529</v>
      </c>
      <c r="B12" s="10">
        <v>131</v>
      </c>
      <c r="C12" s="10">
        <v>224</v>
      </c>
      <c r="E12" s="10" t="s">
        <v>722</v>
      </c>
      <c r="F12" s="10">
        <v>7271.1565276180881</v>
      </c>
    </row>
    <row r="13" spans="1:20">
      <c r="A13" s="10" t="s">
        <v>357</v>
      </c>
      <c r="B13" s="10">
        <v>101</v>
      </c>
      <c r="C13" s="10">
        <v>223</v>
      </c>
      <c r="E13" s="10" t="s">
        <v>723</v>
      </c>
      <c r="F13" s="10">
        <v>397.65079523558495</v>
      </c>
    </row>
    <row r="14" spans="1:20">
      <c r="A14" s="10" t="s">
        <v>630</v>
      </c>
      <c r="B14" s="10">
        <v>104</v>
      </c>
      <c r="C14" s="10">
        <v>222</v>
      </c>
      <c r="E14" s="10" t="s">
        <v>724</v>
      </c>
      <c r="F14" s="10">
        <v>18.643938676820621</v>
      </c>
    </row>
    <row r="15" spans="1:20">
      <c r="A15" s="10" t="s">
        <v>281</v>
      </c>
      <c r="B15" s="10">
        <v>106</v>
      </c>
      <c r="C15" s="10">
        <v>222</v>
      </c>
      <c r="E15" s="10" t="s">
        <v>725</v>
      </c>
      <c r="F15" s="10">
        <v>1985</v>
      </c>
    </row>
    <row r="16" spans="1:20">
      <c r="A16" s="10" t="s">
        <v>83</v>
      </c>
      <c r="B16" s="10">
        <v>98</v>
      </c>
      <c r="C16" s="10">
        <v>221</v>
      </c>
      <c r="E16" s="10" t="s">
        <v>726</v>
      </c>
      <c r="F16" s="10">
        <v>15</v>
      </c>
    </row>
    <row r="17" spans="1:6" ht="19.5">
      <c r="A17" s="10" t="s">
        <v>318</v>
      </c>
      <c r="B17" s="10">
        <v>159</v>
      </c>
      <c r="C17" s="10">
        <v>221</v>
      </c>
      <c r="E17" s="10" t="s">
        <v>727</v>
      </c>
      <c r="F17" s="60">
        <v>2000</v>
      </c>
    </row>
    <row r="18" spans="1:6">
      <c r="A18" s="10" t="s">
        <v>260</v>
      </c>
      <c r="B18" s="10">
        <v>103</v>
      </c>
      <c r="C18" s="10">
        <v>220</v>
      </c>
      <c r="E18" s="10" t="s">
        <v>728</v>
      </c>
      <c r="F18" s="10">
        <v>54726</v>
      </c>
    </row>
    <row r="19" spans="1:6" ht="19.5" thickBot="1">
      <c r="A19" s="10" t="s">
        <v>77</v>
      </c>
      <c r="B19" s="10">
        <v>109</v>
      </c>
      <c r="C19" s="10">
        <v>220</v>
      </c>
      <c r="E19" s="58" t="s">
        <v>906</v>
      </c>
      <c r="F19" s="58">
        <v>682</v>
      </c>
    </row>
    <row r="20" spans="1:6">
      <c r="A20" s="10" t="s">
        <v>660</v>
      </c>
      <c r="B20" s="10">
        <v>89</v>
      </c>
      <c r="C20" s="10">
        <v>218</v>
      </c>
    </row>
    <row r="21" spans="1:6">
      <c r="A21" s="10" t="s">
        <v>683</v>
      </c>
      <c r="B21" s="10">
        <v>93</v>
      </c>
      <c r="C21" s="10">
        <v>216</v>
      </c>
    </row>
    <row r="22" spans="1:6">
      <c r="A22" s="10" t="s">
        <v>108</v>
      </c>
      <c r="B22" s="10">
        <v>122</v>
      </c>
      <c r="C22" s="10">
        <v>216</v>
      </c>
    </row>
    <row r="23" spans="1:6" ht="19.5" thickBot="1">
      <c r="A23" s="10" t="s">
        <v>459</v>
      </c>
      <c r="B23" s="10">
        <v>126</v>
      </c>
      <c r="C23" s="10">
        <v>213</v>
      </c>
    </row>
    <row r="24" spans="1:6">
      <c r="A24" s="10" t="s">
        <v>316</v>
      </c>
      <c r="B24" s="10">
        <v>91</v>
      </c>
      <c r="C24" s="10">
        <v>212</v>
      </c>
      <c r="E24" s="57" t="s">
        <v>9</v>
      </c>
      <c r="F24" s="57"/>
    </row>
    <row r="25" spans="1:6">
      <c r="A25" s="10" t="s">
        <v>448</v>
      </c>
      <c r="B25" s="10">
        <v>94</v>
      </c>
      <c r="C25" s="10">
        <v>212</v>
      </c>
    </row>
    <row r="26" spans="1:6">
      <c r="A26" s="10" t="s">
        <v>140</v>
      </c>
      <c r="B26" s="10">
        <v>113</v>
      </c>
      <c r="C26" s="10">
        <v>212</v>
      </c>
      <c r="E26" s="10" t="s">
        <v>717</v>
      </c>
      <c r="F26" s="10">
        <v>158.2741935483871</v>
      </c>
    </row>
    <row r="27" spans="1:6">
      <c r="A27" s="10" t="s">
        <v>353</v>
      </c>
      <c r="B27" s="10">
        <v>126</v>
      </c>
      <c r="C27" s="10">
        <v>212</v>
      </c>
      <c r="E27" s="10" t="s">
        <v>718</v>
      </c>
      <c r="F27" s="10">
        <v>4.4027298507830732</v>
      </c>
    </row>
    <row r="28" spans="1:6">
      <c r="A28" s="10" t="s">
        <v>401</v>
      </c>
      <c r="B28" s="10">
        <v>132</v>
      </c>
      <c r="C28" s="10">
        <v>212</v>
      </c>
      <c r="E28" s="10" t="s">
        <v>719</v>
      </c>
      <c r="F28" s="10">
        <v>152</v>
      </c>
    </row>
    <row r="29" spans="1:6">
      <c r="A29" s="10" t="s">
        <v>442</v>
      </c>
      <c r="B29" s="10">
        <v>110</v>
      </c>
      <c r="C29" s="10">
        <v>211</v>
      </c>
      <c r="E29" s="10" t="s">
        <v>720</v>
      </c>
      <c r="F29" s="10">
        <v>130</v>
      </c>
    </row>
    <row r="30" spans="1:6">
      <c r="A30" s="10" t="s">
        <v>36</v>
      </c>
      <c r="B30" s="10">
        <v>114</v>
      </c>
      <c r="C30" s="10">
        <v>211</v>
      </c>
      <c r="E30" s="10" t="s">
        <v>721</v>
      </c>
      <c r="F30" s="10">
        <v>114.97786115066617</v>
      </c>
    </row>
    <row r="31" spans="1:6">
      <c r="A31" s="10" t="s">
        <v>64</v>
      </c>
      <c r="B31" s="10">
        <v>96</v>
      </c>
      <c r="C31" s="10">
        <v>210</v>
      </c>
      <c r="E31" s="10" t="s">
        <v>722</v>
      </c>
      <c r="F31" s="10">
        <v>13219.908554781869</v>
      </c>
    </row>
    <row r="32" spans="1:6">
      <c r="A32" s="10" t="s">
        <v>84</v>
      </c>
      <c r="B32" s="10">
        <v>114</v>
      </c>
      <c r="C32" s="10">
        <v>210</v>
      </c>
      <c r="E32" s="10" t="s">
        <v>723</v>
      </c>
      <c r="F32" s="10">
        <v>368.94490479865823</v>
      </c>
    </row>
    <row r="33" spans="1:6">
      <c r="A33" s="10" t="s">
        <v>269</v>
      </c>
      <c r="B33" s="10">
        <v>150</v>
      </c>
      <c r="C33" s="10">
        <v>210</v>
      </c>
      <c r="E33" s="10" t="s">
        <v>724</v>
      </c>
      <c r="F33" s="10">
        <v>17.962782566107482</v>
      </c>
    </row>
    <row r="34" spans="1:6">
      <c r="A34" s="10" t="s">
        <v>278</v>
      </c>
      <c r="B34" s="10">
        <v>97</v>
      </c>
      <c r="C34" s="10">
        <v>208</v>
      </c>
      <c r="E34" s="10" t="s">
        <v>725</v>
      </c>
      <c r="F34" s="10">
        <v>2680</v>
      </c>
    </row>
    <row r="35" spans="1:6" ht="19.5">
      <c r="A35" s="10" t="s">
        <v>15</v>
      </c>
      <c r="B35" s="10">
        <v>139</v>
      </c>
      <c r="C35" s="10">
        <v>208</v>
      </c>
      <c r="E35" s="10" t="s">
        <v>726</v>
      </c>
      <c r="F35" s="60">
        <v>0</v>
      </c>
    </row>
    <row r="36" spans="1:6" ht="19.5">
      <c r="A36" s="10" t="s">
        <v>251</v>
      </c>
      <c r="B36" s="10">
        <v>128</v>
      </c>
      <c r="C36" s="10">
        <v>207</v>
      </c>
      <c r="E36" s="10" t="s">
        <v>727</v>
      </c>
      <c r="F36" s="60">
        <v>2680</v>
      </c>
    </row>
    <row r="37" spans="1:6">
      <c r="A37" s="10" t="s">
        <v>295</v>
      </c>
      <c r="B37" s="10">
        <v>92</v>
      </c>
      <c r="C37" s="10">
        <v>206</v>
      </c>
      <c r="E37" s="10" t="s">
        <v>728</v>
      </c>
      <c r="F37" s="10">
        <v>107943</v>
      </c>
    </row>
    <row r="38" spans="1:6" ht="19.5" thickBot="1">
      <c r="A38" s="10" t="s">
        <v>222</v>
      </c>
      <c r="B38" s="10">
        <v>97</v>
      </c>
      <c r="C38" s="10">
        <v>206</v>
      </c>
      <c r="E38" s="58" t="s">
        <v>906</v>
      </c>
      <c r="F38" s="58">
        <v>682</v>
      </c>
    </row>
    <row r="39" spans="1:6">
      <c r="A39" s="10" t="s">
        <v>47</v>
      </c>
      <c r="B39" s="10">
        <v>105</v>
      </c>
      <c r="C39" s="10">
        <v>206</v>
      </c>
    </row>
    <row r="40" spans="1:6">
      <c r="A40" s="10" t="s">
        <v>490</v>
      </c>
      <c r="B40" s="10">
        <v>105</v>
      </c>
      <c r="C40" s="10">
        <v>205</v>
      </c>
    </row>
    <row r="41" spans="1:6">
      <c r="A41" s="10" t="s">
        <v>346</v>
      </c>
      <c r="B41" s="10">
        <v>106</v>
      </c>
      <c r="C41" s="10">
        <v>205</v>
      </c>
    </row>
    <row r="42" spans="1:6">
      <c r="A42" s="10" t="s">
        <v>582</v>
      </c>
      <c r="B42" s="10">
        <v>107</v>
      </c>
      <c r="C42" s="10">
        <v>205</v>
      </c>
    </row>
    <row r="43" spans="1:6">
      <c r="A43" s="10" t="s">
        <v>688</v>
      </c>
      <c r="B43" s="10">
        <v>111</v>
      </c>
      <c r="C43" s="10">
        <v>205</v>
      </c>
    </row>
    <row r="44" spans="1:6">
      <c r="A44" s="10" t="s">
        <v>550</v>
      </c>
      <c r="B44" s="10">
        <v>127</v>
      </c>
      <c r="C44" s="10">
        <v>205</v>
      </c>
    </row>
    <row r="45" spans="1:6">
      <c r="A45" s="10" t="s">
        <v>541</v>
      </c>
      <c r="B45" s="10">
        <v>76</v>
      </c>
      <c r="C45" s="10">
        <v>204</v>
      </c>
    </row>
    <row r="46" spans="1:6">
      <c r="A46" s="10" t="s">
        <v>261</v>
      </c>
      <c r="B46" s="10">
        <v>87</v>
      </c>
      <c r="C46" s="10">
        <v>204</v>
      </c>
    </row>
    <row r="47" spans="1:6">
      <c r="A47" s="10" t="s">
        <v>697</v>
      </c>
      <c r="B47" s="10">
        <v>126</v>
      </c>
      <c r="C47" s="10">
        <v>204</v>
      </c>
    </row>
    <row r="48" spans="1:6">
      <c r="A48" s="10" t="s">
        <v>133</v>
      </c>
      <c r="B48" s="10">
        <v>90</v>
      </c>
      <c r="C48" s="10">
        <v>203</v>
      </c>
    </row>
    <row r="49" spans="1:3">
      <c r="A49" s="10" t="s">
        <v>472</v>
      </c>
      <c r="B49" s="10">
        <v>131</v>
      </c>
      <c r="C49" s="10">
        <v>203</v>
      </c>
    </row>
    <row r="50" spans="1:3">
      <c r="A50" s="10" t="s">
        <v>308</v>
      </c>
      <c r="B50" s="10">
        <v>84</v>
      </c>
      <c r="C50" s="10">
        <v>202</v>
      </c>
    </row>
    <row r="51" spans="1:3">
      <c r="A51" s="10" t="s">
        <v>235</v>
      </c>
      <c r="B51" s="10">
        <v>93</v>
      </c>
      <c r="C51" s="10">
        <v>202</v>
      </c>
    </row>
    <row r="52" spans="1:3">
      <c r="A52" s="10" t="s">
        <v>255</v>
      </c>
      <c r="B52" s="10">
        <v>114</v>
      </c>
      <c r="C52" s="10">
        <v>202</v>
      </c>
    </row>
    <row r="53" spans="1:3">
      <c r="A53" s="10" t="s">
        <v>674</v>
      </c>
      <c r="B53" s="10">
        <v>110</v>
      </c>
      <c r="C53" s="10">
        <v>201</v>
      </c>
    </row>
    <row r="54" spans="1:3">
      <c r="A54" s="10" t="s">
        <v>203</v>
      </c>
      <c r="B54" s="10">
        <v>72</v>
      </c>
      <c r="C54" s="10">
        <v>200</v>
      </c>
    </row>
    <row r="55" spans="1:3">
      <c r="A55" s="10" t="s">
        <v>509</v>
      </c>
      <c r="B55" s="10">
        <v>82</v>
      </c>
      <c r="C55" s="10">
        <v>200</v>
      </c>
    </row>
    <row r="56" spans="1:3">
      <c r="A56" s="10" t="s">
        <v>44</v>
      </c>
      <c r="B56" s="10">
        <v>102</v>
      </c>
      <c r="C56" s="10">
        <v>199</v>
      </c>
    </row>
    <row r="57" spans="1:3">
      <c r="A57" s="10" t="s">
        <v>181</v>
      </c>
      <c r="B57" s="10">
        <v>98</v>
      </c>
      <c r="C57" s="10">
        <v>198</v>
      </c>
    </row>
    <row r="58" spans="1:3">
      <c r="A58" s="10" t="s">
        <v>132</v>
      </c>
      <c r="B58" s="10">
        <v>105</v>
      </c>
      <c r="C58" s="10">
        <v>198</v>
      </c>
    </row>
    <row r="59" spans="1:3">
      <c r="A59" s="10" t="s">
        <v>85</v>
      </c>
      <c r="B59" s="10">
        <v>119</v>
      </c>
      <c r="C59" s="10">
        <v>198</v>
      </c>
    </row>
    <row r="60" spans="1:3">
      <c r="A60" s="10" t="s">
        <v>248</v>
      </c>
      <c r="B60" s="10">
        <v>66</v>
      </c>
      <c r="C60" s="10">
        <v>197</v>
      </c>
    </row>
    <row r="61" spans="1:3">
      <c r="A61" s="10" t="s">
        <v>445</v>
      </c>
      <c r="B61" s="10">
        <v>74</v>
      </c>
      <c r="C61" s="10">
        <v>197</v>
      </c>
    </row>
    <row r="62" spans="1:3">
      <c r="A62" s="10" t="s">
        <v>378</v>
      </c>
      <c r="B62" s="10">
        <v>79</v>
      </c>
      <c r="C62" s="10">
        <v>197</v>
      </c>
    </row>
    <row r="63" spans="1:3">
      <c r="A63" s="10" t="s">
        <v>652</v>
      </c>
      <c r="B63" s="10">
        <v>68</v>
      </c>
      <c r="C63" s="10">
        <v>196</v>
      </c>
    </row>
    <row r="64" spans="1:3">
      <c r="A64" s="10" t="s">
        <v>199</v>
      </c>
      <c r="B64" s="10">
        <v>86</v>
      </c>
      <c r="C64" s="10">
        <v>196</v>
      </c>
    </row>
    <row r="65" spans="1:3">
      <c r="A65" s="10" t="s">
        <v>556</v>
      </c>
      <c r="B65" s="10">
        <v>89</v>
      </c>
      <c r="C65" s="10">
        <v>196</v>
      </c>
    </row>
    <row r="66" spans="1:3">
      <c r="A66" s="10" t="s">
        <v>341</v>
      </c>
      <c r="B66" s="10">
        <v>96</v>
      </c>
      <c r="C66" s="10">
        <v>196</v>
      </c>
    </row>
    <row r="67" spans="1:3">
      <c r="A67" s="10" t="s">
        <v>565</v>
      </c>
      <c r="B67" s="10">
        <v>102</v>
      </c>
      <c r="C67" s="10">
        <v>196</v>
      </c>
    </row>
    <row r="68" spans="1:3">
      <c r="A68" s="10" t="s">
        <v>437</v>
      </c>
      <c r="B68" s="10">
        <v>104</v>
      </c>
      <c r="C68" s="10">
        <v>196</v>
      </c>
    </row>
    <row r="69" spans="1:3">
      <c r="A69" s="10" t="s">
        <v>111</v>
      </c>
      <c r="B69" s="10">
        <v>55</v>
      </c>
      <c r="C69" s="10">
        <v>195</v>
      </c>
    </row>
    <row r="70" spans="1:3">
      <c r="A70" s="10" t="s">
        <v>24</v>
      </c>
      <c r="B70" s="10">
        <v>100</v>
      </c>
      <c r="C70" s="10">
        <v>195</v>
      </c>
    </row>
    <row r="71" spans="1:3">
      <c r="A71" s="10" t="s">
        <v>292</v>
      </c>
      <c r="B71" s="10">
        <v>101</v>
      </c>
      <c r="C71" s="10">
        <v>195</v>
      </c>
    </row>
    <row r="72" spans="1:3">
      <c r="A72" s="10" t="s">
        <v>597</v>
      </c>
      <c r="B72" s="10">
        <v>103</v>
      </c>
      <c r="C72" s="10">
        <v>195</v>
      </c>
    </row>
    <row r="73" spans="1:3">
      <c r="A73" s="10" t="s">
        <v>204</v>
      </c>
      <c r="B73" s="10">
        <v>89</v>
      </c>
      <c r="C73" s="10">
        <v>194</v>
      </c>
    </row>
    <row r="74" spans="1:3">
      <c r="A74" s="10" t="s">
        <v>682</v>
      </c>
      <c r="B74" s="10">
        <v>102</v>
      </c>
      <c r="C74" s="10">
        <v>194</v>
      </c>
    </row>
    <row r="75" spans="1:3">
      <c r="A75" s="10" t="s">
        <v>282</v>
      </c>
      <c r="B75" s="10">
        <v>104</v>
      </c>
      <c r="C75" s="10">
        <v>194</v>
      </c>
    </row>
    <row r="76" spans="1:3">
      <c r="A76" s="10" t="s">
        <v>339</v>
      </c>
      <c r="B76" s="10">
        <v>107</v>
      </c>
      <c r="C76" s="10">
        <v>194</v>
      </c>
    </row>
    <row r="77" spans="1:3">
      <c r="A77" s="10" t="s">
        <v>333</v>
      </c>
      <c r="B77" s="10">
        <v>112</v>
      </c>
      <c r="C77" s="10">
        <v>194</v>
      </c>
    </row>
    <row r="78" spans="1:3">
      <c r="A78" s="10" t="s">
        <v>530</v>
      </c>
      <c r="B78" s="10">
        <v>79</v>
      </c>
      <c r="C78" s="10">
        <v>193</v>
      </c>
    </row>
    <row r="79" spans="1:3">
      <c r="A79" s="10" t="s">
        <v>421</v>
      </c>
      <c r="B79" s="10">
        <v>86</v>
      </c>
      <c r="C79" s="10">
        <v>193</v>
      </c>
    </row>
    <row r="80" spans="1:3">
      <c r="A80" s="10" t="s">
        <v>386</v>
      </c>
      <c r="B80" s="10">
        <v>112</v>
      </c>
      <c r="C80" s="10">
        <v>193</v>
      </c>
    </row>
    <row r="81" spans="1:3">
      <c r="A81" s="10" t="s">
        <v>198</v>
      </c>
      <c r="B81" s="10">
        <v>121</v>
      </c>
      <c r="C81" s="10">
        <v>193</v>
      </c>
    </row>
    <row r="82" spans="1:3">
      <c r="A82" s="10" t="s">
        <v>324</v>
      </c>
      <c r="B82" s="10">
        <v>78</v>
      </c>
      <c r="C82" s="10">
        <v>192</v>
      </c>
    </row>
    <row r="83" spans="1:3">
      <c r="A83" s="10" t="s">
        <v>486</v>
      </c>
      <c r="B83" s="10">
        <v>85</v>
      </c>
      <c r="C83" s="10">
        <v>192</v>
      </c>
    </row>
    <row r="84" spans="1:3">
      <c r="A84" s="10" t="s">
        <v>68</v>
      </c>
      <c r="B84" s="10">
        <v>95</v>
      </c>
      <c r="C84" s="10">
        <v>192</v>
      </c>
    </row>
    <row r="85" spans="1:3">
      <c r="A85" s="10" t="s">
        <v>217</v>
      </c>
      <c r="B85" s="10">
        <v>105</v>
      </c>
      <c r="C85" s="10">
        <v>192</v>
      </c>
    </row>
    <row r="86" spans="1:3">
      <c r="A86" s="10" t="s">
        <v>223</v>
      </c>
      <c r="B86" s="10">
        <v>127</v>
      </c>
      <c r="C86" s="10">
        <v>192</v>
      </c>
    </row>
    <row r="87" spans="1:3">
      <c r="A87" s="10" t="s">
        <v>532</v>
      </c>
      <c r="B87" s="10">
        <v>93</v>
      </c>
      <c r="C87" s="10">
        <v>191</v>
      </c>
    </row>
    <row r="88" spans="1:3">
      <c r="A88" s="10" t="s">
        <v>676</v>
      </c>
      <c r="B88" s="10">
        <v>98</v>
      </c>
      <c r="C88" s="10">
        <v>191</v>
      </c>
    </row>
    <row r="89" spans="1:3">
      <c r="A89" s="10" t="s">
        <v>104</v>
      </c>
      <c r="B89" s="10">
        <v>105</v>
      </c>
      <c r="C89" s="10">
        <v>191</v>
      </c>
    </row>
    <row r="90" spans="1:3">
      <c r="A90" s="10" t="s">
        <v>59</v>
      </c>
      <c r="B90" s="10">
        <v>109</v>
      </c>
      <c r="C90" s="10">
        <v>191</v>
      </c>
    </row>
    <row r="91" spans="1:3">
      <c r="A91" s="10" t="s">
        <v>620</v>
      </c>
      <c r="B91" s="10">
        <v>99</v>
      </c>
      <c r="C91" s="10">
        <v>190</v>
      </c>
    </row>
    <row r="92" spans="1:3">
      <c r="A92" s="10" t="s">
        <v>336</v>
      </c>
      <c r="B92" s="10">
        <v>102</v>
      </c>
      <c r="C92" s="10">
        <v>190</v>
      </c>
    </row>
    <row r="93" spans="1:3">
      <c r="A93" s="10" t="s">
        <v>436</v>
      </c>
      <c r="B93" s="10">
        <v>102</v>
      </c>
      <c r="C93" s="10">
        <v>190</v>
      </c>
    </row>
    <row r="94" spans="1:3">
      <c r="A94" s="10" t="s">
        <v>701</v>
      </c>
      <c r="B94" s="10">
        <v>154</v>
      </c>
      <c r="C94" s="10">
        <v>190</v>
      </c>
    </row>
    <row r="95" spans="1:3">
      <c r="A95" s="10" t="s">
        <v>236</v>
      </c>
      <c r="B95" s="10">
        <v>62</v>
      </c>
      <c r="C95" s="10">
        <v>189</v>
      </c>
    </row>
    <row r="96" spans="1:3">
      <c r="A96" s="10" t="s">
        <v>322</v>
      </c>
      <c r="B96" s="10">
        <v>68</v>
      </c>
      <c r="C96" s="10">
        <v>189</v>
      </c>
    </row>
    <row r="97" spans="1:3">
      <c r="A97" s="10" t="s">
        <v>440</v>
      </c>
      <c r="B97" s="10">
        <v>79</v>
      </c>
      <c r="C97" s="10">
        <v>189</v>
      </c>
    </row>
    <row r="98" spans="1:3">
      <c r="A98" s="10" t="s">
        <v>180</v>
      </c>
      <c r="B98" s="10">
        <v>111</v>
      </c>
      <c r="C98" s="10">
        <v>189</v>
      </c>
    </row>
    <row r="99" spans="1:3">
      <c r="A99" s="10" t="s">
        <v>244</v>
      </c>
      <c r="B99" s="10">
        <v>116</v>
      </c>
      <c r="C99" s="10">
        <v>189</v>
      </c>
    </row>
    <row r="100" spans="1:3">
      <c r="A100" s="10" t="s">
        <v>468</v>
      </c>
      <c r="B100" s="10">
        <v>75</v>
      </c>
      <c r="C100" s="10">
        <v>188</v>
      </c>
    </row>
    <row r="101" spans="1:3">
      <c r="A101" s="10" t="s">
        <v>253</v>
      </c>
      <c r="B101" s="10">
        <v>78</v>
      </c>
      <c r="C101" s="10">
        <v>188</v>
      </c>
    </row>
    <row r="102" spans="1:3">
      <c r="A102" s="10" t="s">
        <v>457</v>
      </c>
      <c r="B102" s="10">
        <v>82</v>
      </c>
      <c r="C102" s="10">
        <v>188</v>
      </c>
    </row>
    <row r="103" spans="1:3">
      <c r="A103" s="10" t="s">
        <v>249</v>
      </c>
      <c r="B103" s="10">
        <v>87</v>
      </c>
      <c r="C103" s="10">
        <v>188</v>
      </c>
    </row>
    <row r="104" spans="1:3">
      <c r="A104" s="10" t="s">
        <v>553</v>
      </c>
      <c r="B104" s="10">
        <v>100</v>
      </c>
      <c r="C104" s="10">
        <v>188</v>
      </c>
    </row>
    <row r="105" spans="1:3">
      <c r="A105" s="10" t="s">
        <v>537</v>
      </c>
      <c r="B105" s="10">
        <v>104</v>
      </c>
      <c r="C105" s="10">
        <v>188</v>
      </c>
    </row>
    <row r="106" spans="1:3">
      <c r="A106" s="10" t="s">
        <v>299</v>
      </c>
      <c r="B106" s="10">
        <v>89</v>
      </c>
      <c r="C106" s="10">
        <v>187</v>
      </c>
    </row>
    <row r="107" spans="1:3">
      <c r="A107" s="10" t="s">
        <v>413</v>
      </c>
      <c r="B107" s="10">
        <v>94</v>
      </c>
      <c r="C107" s="10">
        <v>187</v>
      </c>
    </row>
    <row r="108" spans="1:3">
      <c r="A108" s="10" t="s">
        <v>678</v>
      </c>
      <c r="B108" s="10">
        <v>94</v>
      </c>
      <c r="C108" s="10">
        <v>187</v>
      </c>
    </row>
    <row r="109" spans="1:3">
      <c r="A109" s="10" t="s">
        <v>152</v>
      </c>
      <c r="B109" s="10">
        <v>117</v>
      </c>
      <c r="C109" s="10">
        <v>187</v>
      </c>
    </row>
    <row r="110" spans="1:3">
      <c r="A110" s="10" t="s">
        <v>82</v>
      </c>
      <c r="B110" s="10">
        <v>51</v>
      </c>
      <c r="C110" s="10">
        <v>186</v>
      </c>
    </row>
    <row r="111" spans="1:3">
      <c r="A111" s="10" t="s">
        <v>192</v>
      </c>
      <c r="B111" s="10">
        <v>67</v>
      </c>
      <c r="C111" s="10">
        <v>186</v>
      </c>
    </row>
    <row r="112" spans="1:3">
      <c r="A112" s="10" t="s">
        <v>240</v>
      </c>
      <c r="B112" s="10">
        <v>81</v>
      </c>
      <c r="C112" s="10">
        <v>186</v>
      </c>
    </row>
    <row r="113" spans="1:3">
      <c r="A113" s="10" t="s">
        <v>675</v>
      </c>
      <c r="B113" s="10">
        <v>83</v>
      </c>
      <c r="C113" s="10">
        <v>186</v>
      </c>
    </row>
    <row r="114" spans="1:3">
      <c r="A114" s="10" t="s">
        <v>227</v>
      </c>
      <c r="B114" s="10">
        <v>84</v>
      </c>
      <c r="C114" s="10">
        <v>186</v>
      </c>
    </row>
    <row r="115" spans="1:3">
      <c r="A115" s="10" t="s">
        <v>693</v>
      </c>
      <c r="B115" s="10">
        <v>95</v>
      </c>
      <c r="C115" s="10">
        <v>186</v>
      </c>
    </row>
    <row r="116" spans="1:3">
      <c r="A116" s="10" t="s">
        <v>396</v>
      </c>
      <c r="B116" s="10">
        <v>107</v>
      </c>
      <c r="C116" s="10">
        <v>186</v>
      </c>
    </row>
    <row r="117" spans="1:3">
      <c r="A117" s="10" t="s">
        <v>151</v>
      </c>
      <c r="B117" s="10">
        <v>108</v>
      </c>
      <c r="C117" s="10">
        <v>186</v>
      </c>
    </row>
    <row r="118" spans="1:3">
      <c r="A118" s="10" t="s">
        <v>160</v>
      </c>
      <c r="B118" s="10">
        <v>138</v>
      </c>
      <c r="C118" s="10">
        <v>186</v>
      </c>
    </row>
    <row r="119" spans="1:3">
      <c r="A119" s="10" t="s">
        <v>571</v>
      </c>
      <c r="B119" s="10">
        <v>82</v>
      </c>
      <c r="C119" s="10">
        <v>185</v>
      </c>
    </row>
    <row r="120" spans="1:3">
      <c r="A120" s="10" t="s">
        <v>549</v>
      </c>
      <c r="B120" s="10">
        <v>86</v>
      </c>
      <c r="C120" s="10">
        <v>185</v>
      </c>
    </row>
    <row r="121" spans="1:3">
      <c r="A121" s="10" t="s">
        <v>166</v>
      </c>
      <c r="B121" s="10">
        <v>121</v>
      </c>
      <c r="C121" s="10">
        <v>185</v>
      </c>
    </row>
    <row r="122" spans="1:3">
      <c r="A122" s="10" t="s">
        <v>337</v>
      </c>
      <c r="B122" s="10">
        <v>125</v>
      </c>
      <c r="C122" s="10">
        <v>185</v>
      </c>
    </row>
    <row r="123" spans="1:3">
      <c r="A123" s="10" t="s">
        <v>611</v>
      </c>
      <c r="B123" s="10">
        <v>58</v>
      </c>
      <c r="C123" s="10">
        <v>184</v>
      </c>
    </row>
    <row r="124" spans="1:3">
      <c r="A124" s="10" t="s">
        <v>527</v>
      </c>
      <c r="B124" s="10">
        <v>77</v>
      </c>
      <c r="C124" s="10">
        <v>184</v>
      </c>
    </row>
    <row r="125" spans="1:3">
      <c r="A125" s="10" t="s">
        <v>595</v>
      </c>
      <c r="B125" s="10">
        <v>78</v>
      </c>
      <c r="C125" s="10">
        <v>184</v>
      </c>
    </row>
    <row r="126" spans="1:3">
      <c r="A126" s="10" t="s">
        <v>419</v>
      </c>
      <c r="B126" s="10">
        <v>82</v>
      </c>
      <c r="C126" s="10">
        <v>184</v>
      </c>
    </row>
    <row r="127" spans="1:3">
      <c r="A127" s="10" t="s">
        <v>165</v>
      </c>
      <c r="B127" s="10">
        <v>86</v>
      </c>
      <c r="C127" s="10">
        <v>184</v>
      </c>
    </row>
    <row r="128" spans="1:3">
      <c r="A128" s="10" t="s">
        <v>487</v>
      </c>
      <c r="B128" s="10">
        <v>94</v>
      </c>
      <c r="C128" s="10">
        <v>184</v>
      </c>
    </row>
    <row r="129" spans="1:3">
      <c r="A129" s="10" t="s">
        <v>142</v>
      </c>
      <c r="B129" s="10">
        <v>127</v>
      </c>
      <c r="C129" s="10">
        <v>184</v>
      </c>
    </row>
    <row r="130" spans="1:3">
      <c r="A130" s="10" t="s">
        <v>647</v>
      </c>
      <c r="B130" s="10">
        <v>138</v>
      </c>
      <c r="C130" s="10">
        <v>184</v>
      </c>
    </row>
    <row r="131" spans="1:3">
      <c r="A131" s="10" t="s">
        <v>514</v>
      </c>
      <c r="B131" s="10">
        <v>105</v>
      </c>
      <c r="C131" s="10">
        <v>183</v>
      </c>
    </row>
    <row r="132" spans="1:3">
      <c r="A132" s="10" t="s">
        <v>155</v>
      </c>
      <c r="B132" s="10">
        <v>108</v>
      </c>
      <c r="C132" s="10">
        <v>183</v>
      </c>
    </row>
    <row r="133" spans="1:3">
      <c r="A133" s="10" t="s">
        <v>447</v>
      </c>
      <c r="B133" s="10">
        <v>45</v>
      </c>
      <c r="C133" s="10">
        <v>182</v>
      </c>
    </row>
    <row r="134" spans="1:3">
      <c r="A134" s="10" t="s">
        <v>493</v>
      </c>
      <c r="B134" s="10">
        <v>59</v>
      </c>
      <c r="C134" s="10">
        <v>182</v>
      </c>
    </row>
    <row r="135" spans="1:3">
      <c r="A135" s="10" t="s">
        <v>109</v>
      </c>
      <c r="B135" s="10">
        <v>106</v>
      </c>
      <c r="C135" s="10">
        <v>182</v>
      </c>
    </row>
    <row r="136" spans="1:3">
      <c r="A136" s="10" t="s">
        <v>533</v>
      </c>
      <c r="B136" s="10">
        <v>75</v>
      </c>
      <c r="C136" s="10">
        <v>181</v>
      </c>
    </row>
    <row r="137" spans="1:3">
      <c r="A137" s="10" t="s">
        <v>593</v>
      </c>
      <c r="B137" s="10">
        <v>84</v>
      </c>
      <c r="C137" s="10">
        <v>181</v>
      </c>
    </row>
    <row r="138" spans="1:3">
      <c r="A138" s="10" t="s">
        <v>194</v>
      </c>
      <c r="B138" s="10">
        <v>86</v>
      </c>
      <c r="C138" s="10">
        <v>181</v>
      </c>
    </row>
    <row r="139" spans="1:3">
      <c r="A139" s="10" t="s">
        <v>390</v>
      </c>
      <c r="B139" s="10">
        <v>101</v>
      </c>
      <c r="C139" s="10">
        <v>181</v>
      </c>
    </row>
    <row r="140" spans="1:3">
      <c r="A140" s="10" t="s">
        <v>560</v>
      </c>
      <c r="B140" s="10">
        <v>114</v>
      </c>
      <c r="C140" s="10">
        <v>181</v>
      </c>
    </row>
    <row r="141" spans="1:3">
      <c r="A141" s="10" t="s">
        <v>375</v>
      </c>
      <c r="B141" s="10">
        <v>70</v>
      </c>
      <c r="C141" s="10">
        <v>180</v>
      </c>
    </row>
    <row r="142" spans="1:3">
      <c r="A142" s="10" t="s">
        <v>291</v>
      </c>
      <c r="B142" s="10">
        <v>78</v>
      </c>
      <c r="C142" s="10">
        <v>180</v>
      </c>
    </row>
    <row r="143" spans="1:3">
      <c r="A143" s="10" t="s">
        <v>596</v>
      </c>
      <c r="B143" s="10">
        <v>78</v>
      </c>
      <c r="C143" s="10">
        <v>180</v>
      </c>
    </row>
    <row r="144" spans="1:3">
      <c r="A144" s="10" t="s">
        <v>400</v>
      </c>
      <c r="B144" s="10">
        <v>83</v>
      </c>
      <c r="C144" s="10">
        <v>180</v>
      </c>
    </row>
    <row r="145" spans="1:3">
      <c r="A145" s="10" t="s">
        <v>258</v>
      </c>
      <c r="B145" s="10">
        <v>88</v>
      </c>
      <c r="C145" s="10">
        <v>180</v>
      </c>
    </row>
    <row r="146" spans="1:3">
      <c r="A146" s="10" t="s">
        <v>343</v>
      </c>
      <c r="B146" s="10">
        <v>105</v>
      </c>
      <c r="C146" s="10">
        <v>180</v>
      </c>
    </row>
    <row r="147" spans="1:3">
      <c r="A147" s="10" t="s">
        <v>551</v>
      </c>
      <c r="B147" s="10">
        <v>114</v>
      </c>
      <c r="C147" s="10">
        <v>180</v>
      </c>
    </row>
    <row r="148" spans="1:3">
      <c r="A148" s="10" t="s">
        <v>368</v>
      </c>
      <c r="B148" s="10">
        <v>50</v>
      </c>
      <c r="C148" s="10">
        <v>179</v>
      </c>
    </row>
    <row r="149" spans="1:3">
      <c r="A149" s="10" t="s">
        <v>266</v>
      </c>
      <c r="B149" s="10">
        <v>66</v>
      </c>
      <c r="C149" s="10">
        <v>179</v>
      </c>
    </row>
    <row r="150" spans="1:3">
      <c r="A150" s="10" t="s">
        <v>293</v>
      </c>
      <c r="B150" s="10">
        <v>79</v>
      </c>
      <c r="C150" s="10">
        <v>179</v>
      </c>
    </row>
    <row r="151" spans="1:3">
      <c r="A151" s="10" t="s">
        <v>605</v>
      </c>
      <c r="B151" s="10">
        <v>95</v>
      </c>
      <c r="C151" s="10">
        <v>179</v>
      </c>
    </row>
    <row r="152" spans="1:3">
      <c r="A152" s="10" t="s">
        <v>144</v>
      </c>
      <c r="B152" s="10">
        <v>105</v>
      </c>
      <c r="C152" s="10">
        <v>179</v>
      </c>
    </row>
    <row r="153" spans="1:3">
      <c r="A153" s="10" t="s">
        <v>625</v>
      </c>
      <c r="B153" s="10">
        <v>107</v>
      </c>
      <c r="C153" s="10">
        <v>179</v>
      </c>
    </row>
    <row r="154" spans="1:3">
      <c r="A154" s="10" t="s">
        <v>96</v>
      </c>
      <c r="B154" s="10">
        <v>60</v>
      </c>
      <c r="C154" s="10">
        <v>178</v>
      </c>
    </row>
    <row r="155" spans="1:3">
      <c r="A155" s="10" t="s">
        <v>554</v>
      </c>
      <c r="B155" s="10">
        <v>60</v>
      </c>
      <c r="C155" s="10">
        <v>178</v>
      </c>
    </row>
    <row r="156" spans="1:3">
      <c r="A156" s="10" t="s">
        <v>200</v>
      </c>
      <c r="B156" s="10">
        <v>67</v>
      </c>
      <c r="C156" s="10">
        <v>178</v>
      </c>
    </row>
    <row r="157" spans="1:3">
      <c r="A157" s="10" t="s">
        <v>657</v>
      </c>
      <c r="B157" s="10">
        <v>78</v>
      </c>
      <c r="C157" s="10">
        <v>178</v>
      </c>
    </row>
    <row r="158" spans="1:3">
      <c r="A158" s="10" t="s">
        <v>619</v>
      </c>
      <c r="B158" s="10">
        <v>84</v>
      </c>
      <c r="C158" s="10">
        <v>178</v>
      </c>
    </row>
    <row r="159" spans="1:3">
      <c r="A159" s="10" t="s">
        <v>667</v>
      </c>
      <c r="B159" s="10">
        <v>92</v>
      </c>
      <c r="C159" s="10">
        <v>178</v>
      </c>
    </row>
    <row r="160" spans="1:3">
      <c r="A160" s="10" t="s">
        <v>69</v>
      </c>
      <c r="B160" s="10">
        <v>101</v>
      </c>
      <c r="C160" s="10">
        <v>178</v>
      </c>
    </row>
    <row r="161" spans="1:3">
      <c r="A161" s="10" t="s">
        <v>171</v>
      </c>
      <c r="B161" s="10">
        <v>112</v>
      </c>
      <c r="C161" s="10">
        <v>178</v>
      </c>
    </row>
    <row r="162" spans="1:3">
      <c r="A162" s="10" t="s">
        <v>458</v>
      </c>
      <c r="B162" s="10">
        <v>59</v>
      </c>
      <c r="C162" s="10">
        <v>177</v>
      </c>
    </row>
    <row r="163" spans="1:3">
      <c r="A163" s="10" t="s">
        <v>79</v>
      </c>
      <c r="B163" s="10">
        <v>72</v>
      </c>
      <c r="C163" s="10">
        <v>177</v>
      </c>
    </row>
    <row r="164" spans="1:3">
      <c r="A164" s="10" t="s">
        <v>354</v>
      </c>
      <c r="B164" s="10">
        <v>77</v>
      </c>
      <c r="C164" s="10">
        <v>177</v>
      </c>
    </row>
    <row r="165" spans="1:3">
      <c r="A165" s="10" t="s">
        <v>51</v>
      </c>
      <c r="B165" s="10">
        <v>84</v>
      </c>
      <c r="C165" s="10">
        <v>177</v>
      </c>
    </row>
    <row r="166" spans="1:3">
      <c r="A166" s="10" t="s">
        <v>80</v>
      </c>
      <c r="B166" s="10">
        <v>86</v>
      </c>
      <c r="C166" s="10">
        <v>177</v>
      </c>
    </row>
    <row r="167" spans="1:3">
      <c r="A167" s="10" t="s">
        <v>201</v>
      </c>
      <c r="B167" s="10">
        <v>87</v>
      </c>
      <c r="C167" s="10">
        <v>177</v>
      </c>
    </row>
    <row r="168" spans="1:3">
      <c r="A168" s="10" t="s">
        <v>495</v>
      </c>
      <c r="B168" s="10">
        <v>89</v>
      </c>
      <c r="C168" s="10">
        <v>177</v>
      </c>
    </row>
    <row r="169" spans="1:3">
      <c r="A169" s="10" t="s">
        <v>538</v>
      </c>
      <c r="B169" s="10">
        <v>97</v>
      </c>
      <c r="C169" s="10">
        <v>177</v>
      </c>
    </row>
    <row r="170" spans="1:3">
      <c r="A170" s="10" t="s">
        <v>158</v>
      </c>
      <c r="B170" s="10">
        <v>107</v>
      </c>
      <c r="C170" s="10">
        <v>177</v>
      </c>
    </row>
    <row r="171" spans="1:3">
      <c r="A171" s="10" t="s">
        <v>669</v>
      </c>
      <c r="B171" s="10">
        <v>112</v>
      </c>
      <c r="C171" s="10">
        <v>177</v>
      </c>
    </row>
    <row r="172" spans="1:3">
      <c r="A172" s="10" t="s">
        <v>45</v>
      </c>
      <c r="B172" s="10">
        <v>54</v>
      </c>
      <c r="C172" s="10">
        <v>176</v>
      </c>
    </row>
    <row r="173" spans="1:3">
      <c r="A173" s="10" t="s">
        <v>494</v>
      </c>
      <c r="B173" s="10">
        <v>79</v>
      </c>
      <c r="C173" s="10">
        <v>176</v>
      </c>
    </row>
    <row r="174" spans="1:3">
      <c r="A174" s="10" t="s">
        <v>65</v>
      </c>
      <c r="B174" s="10">
        <v>93</v>
      </c>
      <c r="C174" s="10">
        <v>176</v>
      </c>
    </row>
    <row r="175" spans="1:3">
      <c r="A175" s="10" t="s">
        <v>229</v>
      </c>
      <c r="B175" s="10">
        <v>98</v>
      </c>
      <c r="C175" s="10">
        <v>176</v>
      </c>
    </row>
    <row r="176" spans="1:3">
      <c r="A176" s="10" t="s">
        <v>661</v>
      </c>
      <c r="B176" s="10">
        <v>98</v>
      </c>
      <c r="C176" s="10">
        <v>176</v>
      </c>
    </row>
    <row r="177" spans="1:3">
      <c r="A177" s="10" t="s">
        <v>162</v>
      </c>
      <c r="B177" s="10">
        <v>109</v>
      </c>
      <c r="C177" s="10">
        <v>176</v>
      </c>
    </row>
    <row r="178" spans="1:3">
      <c r="A178" s="10" t="s">
        <v>481</v>
      </c>
      <c r="B178" s="10">
        <v>114</v>
      </c>
      <c r="C178" s="10">
        <v>176</v>
      </c>
    </row>
    <row r="179" spans="1:3">
      <c r="A179" s="10" t="s">
        <v>460</v>
      </c>
      <c r="B179" s="10">
        <v>66</v>
      </c>
      <c r="C179" s="10">
        <v>175</v>
      </c>
    </row>
    <row r="180" spans="1:3">
      <c r="A180" s="10" t="s">
        <v>156</v>
      </c>
      <c r="B180" s="10">
        <v>79</v>
      </c>
      <c r="C180" s="10">
        <v>175</v>
      </c>
    </row>
    <row r="181" spans="1:3">
      <c r="A181" s="10" t="s">
        <v>546</v>
      </c>
      <c r="B181" s="10">
        <v>90</v>
      </c>
      <c r="C181" s="10">
        <v>175</v>
      </c>
    </row>
    <row r="182" spans="1:3">
      <c r="A182" s="10" t="s">
        <v>112</v>
      </c>
      <c r="B182" s="10">
        <v>92</v>
      </c>
      <c r="C182" s="10">
        <v>175</v>
      </c>
    </row>
    <row r="183" spans="1:3">
      <c r="A183" s="10" t="s">
        <v>233</v>
      </c>
      <c r="B183" s="10">
        <v>93</v>
      </c>
      <c r="C183" s="10">
        <v>175</v>
      </c>
    </row>
    <row r="184" spans="1:3">
      <c r="A184" s="10" t="s">
        <v>147</v>
      </c>
      <c r="B184" s="10">
        <v>102</v>
      </c>
      <c r="C184" s="10">
        <v>175</v>
      </c>
    </row>
    <row r="185" spans="1:3">
      <c r="A185" s="10" t="s">
        <v>416</v>
      </c>
      <c r="B185" s="10">
        <v>47</v>
      </c>
      <c r="C185" s="10">
        <v>174</v>
      </c>
    </row>
    <row r="186" spans="1:3">
      <c r="A186" s="10" t="s">
        <v>579</v>
      </c>
      <c r="B186" s="10">
        <v>82</v>
      </c>
      <c r="C186" s="10">
        <v>174</v>
      </c>
    </row>
    <row r="187" spans="1:3">
      <c r="A187" s="10" t="s">
        <v>187</v>
      </c>
      <c r="B187" s="10">
        <v>83</v>
      </c>
      <c r="C187" s="10">
        <v>174</v>
      </c>
    </row>
    <row r="188" spans="1:3">
      <c r="A188" s="10" t="s">
        <v>347</v>
      </c>
      <c r="B188" s="10">
        <v>107</v>
      </c>
      <c r="C188" s="10">
        <v>174</v>
      </c>
    </row>
    <row r="189" spans="1:3">
      <c r="A189" s="10" t="s">
        <v>150</v>
      </c>
      <c r="B189" s="10">
        <v>63</v>
      </c>
      <c r="C189" s="10">
        <v>173</v>
      </c>
    </row>
    <row r="190" spans="1:3">
      <c r="A190" s="10" t="s">
        <v>539</v>
      </c>
      <c r="B190" s="10">
        <v>79</v>
      </c>
      <c r="C190" s="10">
        <v>173</v>
      </c>
    </row>
    <row r="191" spans="1:3">
      <c r="A191" s="10" t="s">
        <v>161</v>
      </c>
      <c r="B191" s="10">
        <v>84</v>
      </c>
      <c r="C191" s="10">
        <v>173</v>
      </c>
    </row>
    <row r="192" spans="1:3">
      <c r="A192" s="10" t="s">
        <v>449</v>
      </c>
      <c r="B192" s="10">
        <v>128</v>
      </c>
      <c r="C192" s="10">
        <v>173</v>
      </c>
    </row>
    <row r="193" spans="1:3">
      <c r="A193" s="10" t="s">
        <v>274</v>
      </c>
      <c r="B193" s="10">
        <v>69</v>
      </c>
      <c r="C193" s="10">
        <v>172</v>
      </c>
    </row>
    <row r="194" spans="1:3">
      <c r="A194" s="10" t="s">
        <v>303</v>
      </c>
      <c r="B194" s="10">
        <v>73</v>
      </c>
      <c r="C194" s="10">
        <v>172</v>
      </c>
    </row>
    <row r="195" spans="1:3">
      <c r="A195" s="10" t="s">
        <v>289</v>
      </c>
      <c r="B195" s="10">
        <v>75</v>
      </c>
      <c r="C195" s="10">
        <v>172</v>
      </c>
    </row>
    <row r="196" spans="1:3">
      <c r="A196" s="10" t="s">
        <v>429</v>
      </c>
      <c r="B196" s="10">
        <v>81</v>
      </c>
      <c r="C196" s="10">
        <v>172</v>
      </c>
    </row>
    <row r="197" spans="1:3">
      <c r="A197" s="10" t="s">
        <v>139</v>
      </c>
      <c r="B197" s="10">
        <v>39</v>
      </c>
      <c r="C197" s="10">
        <v>171</v>
      </c>
    </row>
    <row r="198" spans="1:3">
      <c r="A198" s="10" t="s">
        <v>485</v>
      </c>
      <c r="B198" s="10">
        <v>51</v>
      </c>
      <c r="C198" s="10">
        <v>171</v>
      </c>
    </row>
    <row r="199" spans="1:3">
      <c r="A199" s="10" t="s">
        <v>591</v>
      </c>
      <c r="B199" s="10">
        <v>66</v>
      </c>
      <c r="C199" s="10">
        <v>171</v>
      </c>
    </row>
    <row r="200" spans="1:3">
      <c r="A200" s="10" t="s">
        <v>470</v>
      </c>
      <c r="B200" s="10">
        <v>68</v>
      </c>
      <c r="C200" s="10">
        <v>171</v>
      </c>
    </row>
    <row r="201" spans="1:3">
      <c r="A201" s="10" t="s">
        <v>699</v>
      </c>
      <c r="B201" s="10">
        <v>84</v>
      </c>
      <c r="C201" s="10">
        <v>171</v>
      </c>
    </row>
    <row r="202" spans="1:3">
      <c r="A202" s="10" t="s">
        <v>406</v>
      </c>
      <c r="B202" s="10">
        <v>91</v>
      </c>
      <c r="C202" s="10">
        <v>171</v>
      </c>
    </row>
    <row r="203" spans="1:3">
      <c r="A203" s="10" t="s">
        <v>505</v>
      </c>
      <c r="B203" s="10">
        <v>65</v>
      </c>
      <c r="C203" s="10">
        <v>170</v>
      </c>
    </row>
    <row r="204" spans="1:3">
      <c r="A204" s="10" t="s">
        <v>411</v>
      </c>
      <c r="B204" s="10">
        <v>72</v>
      </c>
      <c r="C204" s="10">
        <v>170</v>
      </c>
    </row>
    <row r="205" spans="1:3">
      <c r="A205" s="10" t="s">
        <v>658</v>
      </c>
      <c r="B205" s="10">
        <v>79</v>
      </c>
      <c r="C205" s="10">
        <v>170</v>
      </c>
    </row>
    <row r="206" spans="1:3">
      <c r="A206" s="10" t="s">
        <v>239</v>
      </c>
      <c r="B206" s="10">
        <v>83</v>
      </c>
      <c r="C206" s="10">
        <v>170</v>
      </c>
    </row>
    <row r="207" spans="1:3">
      <c r="A207" s="10" t="s">
        <v>689</v>
      </c>
      <c r="B207" s="10">
        <v>84</v>
      </c>
      <c r="C207" s="10">
        <v>170</v>
      </c>
    </row>
    <row r="208" spans="1:3">
      <c r="A208" s="10" t="s">
        <v>58</v>
      </c>
      <c r="B208" s="10">
        <v>88</v>
      </c>
      <c r="C208" s="10">
        <v>170</v>
      </c>
    </row>
    <row r="209" spans="1:20">
      <c r="A209" s="10" t="s">
        <v>383</v>
      </c>
      <c r="B209" s="10">
        <v>89</v>
      </c>
      <c r="C209" s="10">
        <v>170</v>
      </c>
    </row>
    <row r="210" spans="1:20">
      <c r="A210" s="10" t="s">
        <v>581</v>
      </c>
      <c r="B210" s="10">
        <v>91</v>
      </c>
      <c r="C210" s="10">
        <v>170</v>
      </c>
    </row>
    <row r="211" spans="1:20">
      <c r="A211" s="10" t="s">
        <v>86</v>
      </c>
      <c r="B211" s="10">
        <v>93</v>
      </c>
      <c r="C211" s="10">
        <v>170</v>
      </c>
    </row>
    <row r="212" spans="1:20">
      <c r="A212" s="10" t="s">
        <v>428</v>
      </c>
      <c r="B212" s="10">
        <v>93</v>
      </c>
      <c r="C212" s="10">
        <v>170</v>
      </c>
    </row>
    <row r="213" spans="1:20">
      <c r="A213" s="10" t="s">
        <v>106</v>
      </c>
      <c r="B213" s="10">
        <v>98</v>
      </c>
      <c r="C213" s="10">
        <v>170</v>
      </c>
    </row>
    <row r="214" spans="1:20">
      <c r="A214" s="10" t="s">
        <v>115</v>
      </c>
      <c r="B214" s="10">
        <v>98</v>
      </c>
      <c r="C214" s="10">
        <v>170</v>
      </c>
    </row>
    <row r="215" spans="1:20">
      <c r="A215" s="10" t="s">
        <v>587</v>
      </c>
      <c r="B215" s="10">
        <v>66</v>
      </c>
      <c r="C215" s="10">
        <v>169</v>
      </c>
    </row>
    <row r="216" spans="1:20">
      <c r="A216" s="10" t="s">
        <v>298</v>
      </c>
      <c r="B216" s="10">
        <v>79</v>
      </c>
      <c r="C216" s="10">
        <v>169</v>
      </c>
    </row>
    <row r="217" spans="1:20">
      <c r="A217" s="10" t="s">
        <v>348</v>
      </c>
      <c r="B217" s="10">
        <v>85</v>
      </c>
      <c r="C217" s="10">
        <v>169</v>
      </c>
    </row>
    <row r="218" spans="1:20">
      <c r="A218" s="10" t="s">
        <v>438</v>
      </c>
      <c r="B218" s="10">
        <v>88</v>
      </c>
      <c r="C218" s="10">
        <v>169</v>
      </c>
    </row>
    <row r="219" spans="1:20">
      <c r="A219" s="10" t="s">
        <v>74</v>
      </c>
      <c r="B219" s="10">
        <v>89</v>
      </c>
      <c r="C219" s="10">
        <v>169</v>
      </c>
    </row>
    <row r="220" spans="1:20">
      <c r="A220" s="10" t="s">
        <v>114</v>
      </c>
      <c r="B220" s="10">
        <v>103</v>
      </c>
      <c r="C220" s="10">
        <v>169</v>
      </c>
    </row>
    <row r="221" spans="1:20">
      <c r="A221" s="10" t="s">
        <v>231</v>
      </c>
      <c r="B221" s="10">
        <v>109</v>
      </c>
      <c r="C221" s="10">
        <v>169</v>
      </c>
    </row>
    <row r="222" spans="1:20" ht="19.5">
      <c r="A222" s="10" t="s">
        <v>443</v>
      </c>
      <c r="B222" s="10">
        <v>45</v>
      </c>
      <c r="C222" s="10">
        <v>168</v>
      </c>
      <c r="T222" s="59"/>
    </row>
    <row r="223" spans="1:20">
      <c r="A223" s="10" t="s">
        <v>639</v>
      </c>
      <c r="B223" s="10">
        <v>51</v>
      </c>
      <c r="C223" s="10">
        <v>168</v>
      </c>
    </row>
    <row r="224" spans="1:20">
      <c r="A224" s="10" t="s">
        <v>54</v>
      </c>
      <c r="B224" s="10">
        <v>55</v>
      </c>
      <c r="C224" s="10">
        <v>168</v>
      </c>
    </row>
    <row r="225" spans="1:3">
      <c r="A225" s="10" t="s">
        <v>536</v>
      </c>
      <c r="B225" s="10">
        <v>64</v>
      </c>
      <c r="C225" s="10">
        <v>168</v>
      </c>
    </row>
    <row r="226" spans="1:3">
      <c r="A226" s="10" t="s">
        <v>376</v>
      </c>
      <c r="B226" s="10">
        <v>68</v>
      </c>
      <c r="C226" s="10">
        <v>168</v>
      </c>
    </row>
    <row r="227" spans="1:3">
      <c r="A227" s="10" t="s">
        <v>71</v>
      </c>
      <c r="B227" s="10">
        <v>77</v>
      </c>
      <c r="C227" s="10">
        <v>168</v>
      </c>
    </row>
    <row r="228" spans="1:3">
      <c r="A228" s="10" t="s">
        <v>76</v>
      </c>
      <c r="B228" s="10">
        <v>79</v>
      </c>
      <c r="C228" s="10">
        <v>168</v>
      </c>
    </row>
    <row r="229" spans="1:3">
      <c r="A229" s="10" t="s">
        <v>434</v>
      </c>
      <c r="B229" s="10">
        <v>83</v>
      </c>
      <c r="C229" s="10">
        <v>168</v>
      </c>
    </row>
    <row r="230" spans="1:3">
      <c r="A230" s="10" t="s">
        <v>599</v>
      </c>
      <c r="B230" s="10">
        <v>84</v>
      </c>
      <c r="C230" s="10">
        <v>168</v>
      </c>
    </row>
    <row r="231" spans="1:3">
      <c r="A231" s="10" t="s">
        <v>125</v>
      </c>
      <c r="B231" s="10">
        <v>106</v>
      </c>
      <c r="C231" s="10">
        <v>168</v>
      </c>
    </row>
    <row r="232" spans="1:3">
      <c r="A232" s="10" t="s">
        <v>218</v>
      </c>
      <c r="B232" s="10">
        <v>117</v>
      </c>
      <c r="C232" s="10">
        <v>168</v>
      </c>
    </row>
    <row r="233" spans="1:3">
      <c r="A233" s="10" t="s">
        <v>706</v>
      </c>
      <c r="B233" s="10">
        <v>64</v>
      </c>
      <c r="C233" s="10">
        <v>167</v>
      </c>
    </row>
    <row r="234" spans="1:3">
      <c r="A234" s="10" t="s">
        <v>656</v>
      </c>
      <c r="B234" s="10">
        <v>75</v>
      </c>
      <c r="C234" s="10">
        <v>167</v>
      </c>
    </row>
    <row r="235" spans="1:3">
      <c r="A235" s="10" t="s">
        <v>40</v>
      </c>
      <c r="B235" s="10">
        <v>86</v>
      </c>
      <c r="C235" s="10">
        <v>167</v>
      </c>
    </row>
    <row r="236" spans="1:3">
      <c r="A236" s="10" t="s">
        <v>531</v>
      </c>
      <c r="B236" s="10">
        <v>86</v>
      </c>
      <c r="C236" s="10">
        <v>167</v>
      </c>
    </row>
    <row r="237" spans="1:3">
      <c r="A237" s="10" t="s">
        <v>540</v>
      </c>
      <c r="B237" s="10">
        <v>100</v>
      </c>
      <c r="C237" s="10">
        <v>167</v>
      </c>
    </row>
    <row r="238" spans="1:3">
      <c r="A238" s="10" t="s">
        <v>464</v>
      </c>
      <c r="B238" s="10">
        <v>115</v>
      </c>
      <c r="C238" s="10">
        <v>167</v>
      </c>
    </row>
    <row r="239" spans="1:3">
      <c r="A239" s="10" t="s">
        <v>589</v>
      </c>
      <c r="B239" s="10">
        <v>128</v>
      </c>
      <c r="C239" s="10">
        <v>167</v>
      </c>
    </row>
    <row r="240" spans="1:3">
      <c r="A240" s="10" t="s">
        <v>606</v>
      </c>
      <c r="B240" s="10">
        <v>48</v>
      </c>
      <c r="C240" s="10">
        <v>166</v>
      </c>
    </row>
    <row r="241" spans="1:3">
      <c r="A241" s="10" t="s">
        <v>395</v>
      </c>
      <c r="B241" s="10">
        <v>65</v>
      </c>
      <c r="C241" s="10">
        <v>166</v>
      </c>
    </row>
    <row r="242" spans="1:3">
      <c r="A242" s="10" t="s">
        <v>612</v>
      </c>
      <c r="B242" s="10">
        <v>75</v>
      </c>
      <c r="C242" s="10">
        <v>166</v>
      </c>
    </row>
    <row r="243" spans="1:3">
      <c r="A243" s="10" t="s">
        <v>512</v>
      </c>
      <c r="B243" s="10">
        <v>80</v>
      </c>
      <c r="C243" s="10">
        <v>166</v>
      </c>
    </row>
    <row r="244" spans="1:3">
      <c r="A244" s="10" t="s">
        <v>677</v>
      </c>
      <c r="B244" s="10">
        <v>86</v>
      </c>
      <c r="C244" s="10">
        <v>166</v>
      </c>
    </row>
    <row r="245" spans="1:3">
      <c r="A245" s="10" t="s">
        <v>172</v>
      </c>
      <c r="B245" s="10">
        <v>90</v>
      </c>
      <c r="C245" s="10">
        <v>166</v>
      </c>
    </row>
    <row r="246" spans="1:3">
      <c r="A246" s="10" t="s">
        <v>224</v>
      </c>
      <c r="B246" s="10">
        <v>92</v>
      </c>
      <c r="C246" s="10">
        <v>166</v>
      </c>
    </row>
    <row r="247" spans="1:3">
      <c r="A247" s="10" t="s">
        <v>403</v>
      </c>
      <c r="B247" s="10">
        <v>93</v>
      </c>
      <c r="C247" s="10">
        <v>166</v>
      </c>
    </row>
    <row r="248" spans="1:3">
      <c r="A248" s="10" t="s">
        <v>371</v>
      </c>
      <c r="B248" s="10">
        <v>59</v>
      </c>
      <c r="C248" s="10">
        <v>165</v>
      </c>
    </row>
    <row r="249" spans="1:3">
      <c r="A249" s="10" t="s">
        <v>350</v>
      </c>
      <c r="B249" s="10">
        <v>74</v>
      </c>
      <c r="C249" s="10">
        <v>165</v>
      </c>
    </row>
    <row r="250" spans="1:3">
      <c r="A250" s="10" t="s">
        <v>659</v>
      </c>
      <c r="B250" s="10">
        <v>81</v>
      </c>
      <c r="C250" s="10">
        <v>165</v>
      </c>
    </row>
    <row r="251" spans="1:3">
      <c r="A251" s="10" t="s">
        <v>547</v>
      </c>
      <c r="B251" s="10">
        <v>92</v>
      </c>
      <c r="C251" s="10">
        <v>165</v>
      </c>
    </row>
    <row r="252" spans="1:3">
      <c r="A252" s="10" t="s">
        <v>501</v>
      </c>
      <c r="B252" s="10">
        <v>126</v>
      </c>
      <c r="C252" s="10">
        <v>165</v>
      </c>
    </row>
    <row r="253" spans="1:3">
      <c r="A253" s="10" t="s">
        <v>402</v>
      </c>
      <c r="B253" s="10">
        <v>60</v>
      </c>
      <c r="C253" s="10">
        <v>164</v>
      </c>
    </row>
    <row r="254" spans="1:3">
      <c r="A254" s="10" t="s">
        <v>381</v>
      </c>
      <c r="B254" s="10">
        <v>76</v>
      </c>
      <c r="C254" s="10">
        <v>164</v>
      </c>
    </row>
    <row r="255" spans="1:3">
      <c r="A255" s="10" t="s">
        <v>123</v>
      </c>
      <c r="B255" s="10">
        <v>88</v>
      </c>
      <c r="C255" s="10">
        <v>164</v>
      </c>
    </row>
    <row r="256" spans="1:3">
      <c r="A256" s="10" t="s">
        <v>567</v>
      </c>
      <c r="B256" s="10">
        <v>89</v>
      </c>
      <c r="C256" s="10">
        <v>164</v>
      </c>
    </row>
    <row r="257" spans="1:3">
      <c r="A257" s="10" t="s">
        <v>143</v>
      </c>
      <c r="B257" s="10">
        <v>90</v>
      </c>
      <c r="C257" s="10">
        <v>164</v>
      </c>
    </row>
    <row r="258" spans="1:3">
      <c r="A258" s="10" t="s">
        <v>522</v>
      </c>
      <c r="B258" s="10">
        <v>92</v>
      </c>
      <c r="C258" s="10">
        <v>164</v>
      </c>
    </row>
    <row r="259" spans="1:3">
      <c r="A259" s="10" t="s">
        <v>690</v>
      </c>
      <c r="B259" s="10">
        <v>104</v>
      </c>
      <c r="C259" s="10">
        <v>164</v>
      </c>
    </row>
    <row r="260" spans="1:3">
      <c r="A260" s="10" t="s">
        <v>297</v>
      </c>
      <c r="B260" s="10">
        <v>73</v>
      </c>
      <c r="C260" s="10">
        <v>163</v>
      </c>
    </row>
    <row r="261" spans="1:3">
      <c r="A261" s="10" t="s">
        <v>666</v>
      </c>
      <c r="B261" s="10">
        <v>82</v>
      </c>
      <c r="C261" s="10">
        <v>163</v>
      </c>
    </row>
    <row r="262" spans="1:3">
      <c r="A262" s="10" t="s">
        <v>388</v>
      </c>
      <c r="B262" s="10">
        <v>94</v>
      </c>
      <c r="C262" s="10">
        <v>163</v>
      </c>
    </row>
    <row r="263" spans="1:3">
      <c r="A263" s="10" t="s">
        <v>206</v>
      </c>
      <c r="B263" s="10">
        <v>99</v>
      </c>
      <c r="C263" s="10">
        <v>163</v>
      </c>
    </row>
    <row r="264" spans="1:3">
      <c r="A264" s="10" t="s">
        <v>29</v>
      </c>
      <c r="B264" s="10">
        <v>101</v>
      </c>
      <c r="C264" s="10">
        <v>163</v>
      </c>
    </row>
    <row r="265" spans="1:3">
      <c r="A265" s="10" t="s">
        <v>617</v>
      </c>
      <c r="B265" s="10">
        <v>125</v>
      </c>
      <c r="C265" s="10">
        <v>163</v>
      </c>
    </row>
    <row r="266" spans="1:3">
      <c r="A266" s="10" t="s">
        <v>91</v>
      </c>
      <c r="B266" s="10">
        <v>61</v>
      </c>
      <c r="C266" s="10">
        <v>162</v>
      </c>
    </row>
    <row r="267" spans="1:3">
      <c r="A267" s="10" t="s">
        <v>305</v>
      </c>
      <c r="B267" s="10">
        <v>61</v>
      </c>
      <c r="C267" s="10">
        <v>162</v>
      </c>
    </row>
    <row r="268" spans="1:3">
      <c r="A268" s="10" t="s">
        <v>312</v>
      </c>
      <c r="B268" s="10">
        <v>67</v>
      </c>
      <c r="C268" s="10">
        <v>162</v>
      </c>
    </row>
    <row r="269" spans="1:3">
      <c r="A269" s="10" t="s">
        <v>575</v>
      </c>
      <c r="B269" s="10">
        <v>73</v>
      </c>
      <c r="C269" s="10">
        <v>162</v>
      </c>
    </row>
    <row r="270" spans="1:3">
      <c r="A270" s="10" t="s">
        <v>35</v>
      </c>
      <c r="B270" s="10">
        <v>77</v>
      </c>
      <c r="C270" s="10">
        <v>162</v>
      </c>
    </row>
    <row r="271" spans="1:3">
      <c r="A271" s="10" t="s">
        <v>313</v>
      </c>
      <c r="B271" s="10">
        <v>77</v>
      </c>
      <c r="C271" s="10">
        <v>162</v>
      </c>
    </row>
    <row r="272" spans="1:3">
      <c r="A272" s="10" t="s">
        <v>195</v>
      </c>
      <c r="B272" s="10">
        <v>79</v>
      </c>
      <c r="C272" s="10">
        <v>162</v>
      </c>
    </row>
    <row r="273" spans="1:20">
      <c r="A273" s="10" t="s">
        <v>543</v>
      </c>
      <c r="B273" s="10">
        <v>82</v>
      </c>
      <c r="C273" s="10">
        <v>162</v>
      </c>
    </row>
    <row r="274" spans="1:20">
      <c r="A274" s="10" t="s">
        <v>307</v>
      </c>
      <c r="B274" s="10">
        <v>85</v>
      </c>
      <c r="C274" s="10">
        <v>162</v>
      </c>
    </row>
    <row r="275" spans="1:20">
      <c r="A275" s="10" t="s">
        <v>465</v>
      </c>
      <c r="B275" s="10">
        <v>97</v>
      </c>
      <c r="C275" s="10">
        <v>162</v>
      </c>
    </row>
    <row r="276" spans="1:20">
      <c r="A276" s="10" t="s">
        <v>644</v>
      </c>
      <c r="B276" s="10">
        <v>56</v>
      </c>
      <c r="C276" s="10">
        <v>161</v>
      </c>
    </row>
    <row r="277" spans="1:20">
      <c r="A277" s="10" t="s">
        <v>489</v>
      </c>
      <c r="B277" s="10">
        <v>69</v>
      </c>
      <c r="C277" s="10">
        <v>161</v>
      </c>
    </row>
    <row r="278" spans="1:20">
      <c r="A278" s="10" t="s">
        <v>374</v>
      </c>
      <c r="B278" s="10">
        <v>86</v>
      </c>
      <c r="C278" s="10">
        <v>161</v>
      </c>
    </row>
    <row r="279" spans="1:20">
      <c r="A279" s="10" t="s">
        <v>607</v>
      </c>
      <c r="B279" s="10">
        <v>93</v>
      </c>
      <c r="C279" s="10">
        <v>161</v>
      </c>
    </row>
    <row r="280" spans="1:20">
      <c r="A280" s="10" t="s">
        <v>148</v>
      </c>
      <c r="B280" s="10">
        <v>95</v>
      </c>
      <c r="C280" s="10">
        <v>161</v>
      </c>
    </row>
    <row r="281" spans="1:20">
      <c r="A281" s="10" t="s">
        <v>525</v>
      </c>
      <c r="B281" s="10">
        <v>105</v>
      </c>
      <c r="C281" s="10">
        <v>161</v>
      </c>
    </row>
    <row r="282" spans="1:20">
      <c r="A282" s="10" t="s">
        <v>696</v>
      </c>
      <c r="B282" s="10">
        <v>105</v>
      </c>
      <c r="C282" s="10">
        <v>161</v>
      </c>
    </row>
    <row r="283" spans="1:20">
      <c r="A283" s="10" t="s">
        <v>130</v>
      </c>
      <c r="B283" s="10">
        <v>106</v>
      </c>
      <c r="C283" s="10">
        <v>161</v>
      </c>
    </row>
    <row r="284" spans="1:20" ht="19.5">
      <c r="A284" s="10" t="s">
        <v>616</v>
      </c>
      <c r="B284" s="10">
        <v>106</v>
      </c>
      <c r="C284" s="10">
        <v>161</v>
      </c>
      <c r="T284" s="59"/>
    </row>
    <row r="285" spans="1:20">
      <c r="A285" s="10" t="s">
        <v>53</v>
      </c>
      <c r="B285" s="10">
        <v>70</v>
      </c>
      <c r="C285" s="10">
        <v>160</v>
      </c>
    </row>
    <row r="286" spans="1:20">
      <c r="A286" s="10" t="s">
        <v>450</v>
      </c>
      <c r="B286" s="10">
        <v>70</v>
      </c>
      <c r="C286" s="10">
        <v>160</v>
      </c>
    </row>
    <row r="287" spans="1:20">
      <c r="A287" s="10" t="s">
        <v>707</v>
      </c>
      <c r="B287" s="10">
        <v>73</v>
      </c>
      <c r="C287" s="10">
        <v>160</v>
      </c>
    </row>
    <row r="288" spans="1:20">
      <c r="A288" s="10" t="s">
        <v>360</v>
      </c>
      <c r="B288" s="10">
        <v>91</v>
      </c>
      <c r="C288" s="10">
        <v>160</v>
      </c>
    </row>
    <row r="289" spans="1:3">
      <c r="A289" s="10" t="s">
        <v>232</v>
      </c>
      <c r="B289" s="10">
        <v>112</v>
      </c>
      <c r="C289" s="10">
        <v>160</v>
      </c>
    </row>
    <row r="290" spans="1:3">
      <c r="A290" s="10" t="s">
        <v>117</v>
      </c>
      <c r="B290" s="10">
        <v>58</v>
      </c>
      <c r="C290" s="10">
        <v>159</v>
      </c>
    </row>
    <row r="291" spans="1:3">
      <c r="A291" s="10" t="s">
        <v>344</v>
      </c>
      <c r="B291" s="10">
        <v>58</v>
      </c>
      <c r="C291" s="10">
        <v>159</v>
      </c>
    </row>
    <row r="292" spans="1:3">
      <c r="A292" s="10" t="s">
        <v>330</v>
      </c>
      <c r="B292" s="10">
        <v>78</v>
      </c>
      <c r="C292" s="10">
        <v>159</v>
      </c>
    </row>
    <row r="293" spans="1:3">
      <c r="A293" s="10" t="s">
        <v>621</v>
      </c>
      <c r="B293" s="10">
        <v>80</v>
      </c>
      <c r="C293" s="10">
        <v>159</v>
      </c>
    </row>
    <row r="294" spans="1:3">
      <c r="A294" s="10" t="s">
        <v>500</v>
      </c>
      <c r="B294" s="10">
        <v>88</v>
      </c>
      <c r="C294" s="10">
        <v>159</v>
      </c>
    </row>
    <row r="295" spans="1:3">
      <c r="A295" s="10" t="s">
        <v>314</v>
      </c>
      <c r="B295" s="10">
        <v>90</v>
      </c>
      <c r="C295" s="10">
        <v>159</v>
      </c>
    </row>
    <row r="296" spans="1:3">
      <c r="A296" s="10" t="s">
        <v>685</v>
      </c>
      <c r="B296" s="10">
        <v>94</v>
      </c>
      <c r="C296" s="10">
        <v>159</v>
      </c>
    </row>
    <row r="297" spans="1:3">
      <c r="A297" s="10" t="s">
        <v>404</v>
      </c>
      <c r="B297" s="10">
        <v>105</v>
      </c>
      <c r="C297" s="10">
        <v>159</v>
      </c>
    </row>
    <row r="298" spans="1:3">
      <c r="A298" s="10" t="s">
        <v>145</v>
      </c>
      <c r="B298" s="10">
        <v>126</v>
      </c>
      <c r="C298" s="10">
        <v>159</v>
      </c>
    </row>
    <row r="299" spans="1:3">
      <c r="A299" s="10" t="s">
        <v>329</v>
      </c>
      <c r="B299" s="10">
        <v>46</v>
      </c>
      <c r="C299" s="10">
        <v>158</v>
      </c>
    </row>
    <row r="300" spans="1:3">
      <c r="A300" s="10" t="s">
        <v>415</v>
      </c>
      <c r="B300" s="10">
        <v>53</v>
      </c>
      <c r="C300" s="10">
        <v>158</v>
      </c>
    </row>
    <row r="301" spans="1:3">
      <c r="A301" s="10" t="s">
        <v>573</v>
      </c>
      <c r="B301" s="10">
        <v>67</v>
      </c>
      <c r="C301" s="10">
        <v>158</v>
      </c>
    </row>
    <row r="302" spans="1:3">
      <c r="A302" s="10" t="s">
        <v>482</v>
      </c>
      <c r="B302" s="10">
        <v>78</v>
      </c>
      <c r="C302" s="10">
        <v>158</v>
      </c>
    </row>
    <row r="303" spans="1:3">
      <c r="A303" s="10" t="s">
        <v>518</v>
      </c>
      <c r="B303" s="10">
        <v>78</v>
      </c>
      <c r="C303" s="10">
        <v>158</v>
      </c>
    </row>
    <row r="304" spans="1:3">
      <c r="A304" s="10" t="s">
        <v>46</v>
      </c>
      <c r="B304" s="10">
        <v>86</v>
      </c>
      <c r="C304" s="10">
        <v>158</v>
      </c>
    </row>
    <row r="305" spans="1:3">
      <c r="A305" s="10" t="s">
        <v>300</v>
      </c>
      <c r="B305" s="10">
        <v>93</v>
      </c>
      <c r="C305" s="10">
        <v>158</v>
      </c>
    </row>
    <row r="306" spans="1:3">
      <c r="A306" s="10" t="s">
        <v>627</v>
      </c>
      <c r="B306" s="10">
        <v>115</v>
      </c>
      <c r="C306" s="10">
        <v>158</v>
      </c>
    </row>
    <row r="307" spans="1:3">
      <c r="A307" s="10" t="s">
        <v>220</v>
      </c>
      <c r="B307" s="10">
        <v>60</v>
      </c>
      <c r="C307" s="10">
        <v>157</v>
      </c>
    </row>
    <row r="308" spans="1:3">
      <c r="A308" s="10" t="s">
        <v>277</v>
      </c>
      <c r="B308" s="10">
        <v>76</v>
      </c>
      <c r="C308" s="10">
        <v>157</v>
      </c>
    </row>
    <row r="309" spans="1:3">
      <c r="A309" s="10" t="s">
        <v>695</v>
      </c>
      <c r="B309" s="10">
        <v>76</v>
      </c>
      <c r="C309" s="10">
        <v>157</v>
      </c>
    </row>
    <row r="310" spans="1:3">
      <c r="A310" s="10" t="s">
        <v>19</v>
      </c>
      <c r="B310" s="10">
        <v>82</v>
      </c>
      <c r="C310" s="10">
        <v>157</v>
      </c>
    </row>
    <row r="311" spans="1:3">
      <c r="A311" s="10" t="s">
        <v>624</v>
      </c>
      <c r="B311" s="10">
        <v>86</v>
      </c>
      <c r="C311" s="10">
        <v>157</v>
      </c>
    </row>
    <row r="312" spans="1:3">
      <c r="A312" s="10" t="s">
        <v>552</v>
      </c>
      <c r="B312" s="10">
        <v>102</v>
      </c>
      <c r="C312" s="10">
        <v>157</v>
      </c>
    </row>
    <row r="313" spans="1:3">
      <c r="A313" s="10" t="s">
        <v>407</v>
      </c>
      <c r="B313" s="10">
        <v>53</v>
      </c>
      <c r="C313" s="10">
        <v>156</v>
      </c>
    </row>
    <row r="314" spans="1:3">
      <c r="A314" s="10" t="s">
        <v>226</v>
      </c>
      <c r="B314" s="10">
        <v>57</v>
      </c>
      <c r="C314" s="10">
        <v>156</v>
      </c>
    </row>
    <row r="315" spans="1:3">
      <c r="A315" s="10" t="s">
        <v>103</v>
      </c>
      <c r="B315" s="10">
        <v>79</v>
      </c>
      <c r="C315" s="10">
        <v>156</v>
      </c>
    </row>
    <row r="316" spans="1:3">
      <c r="A316" s="10" t="s">
        <v>394</v>
      </c>
      <c r="B316" s="10">
        <v>93</v>
      </c>
      <c r="C316" s="10">
        <v>156</v>
      </c>
    </row>
    <row r="317" spans="1:3">
      <c r="A317" s="10" t="s">
        <v>613</v>
      </c>
      <c r="B317" s="10">
        <v>96</v>
      </c>
      <c r="C317" s="10">
        <v>156</v>
      </c>
    </row>
    <row r="318" spans="1:3">
      <c r="A318" s="10" t="s">
        <v>67</v>
      </c>
      <c r="B318" s="10">
        <v>37</v>
      </c>
      <c r="C318" s="10">
        <v>155</v>
      </c>
    </row>
    <row r="319" spans="1:3">
      <c r="A319" s="10" t="s">
        <v>56</v>
      </c>
      <c r="B319" s="10">
        <v>52</v>
      </c>
      <c r="C319" s="10">
        <v>155</v>
      </c>
    </row>
    <row r="320" spans="1:3">
      <c r="A320" s="10" t="s">
        <v>207</v>
      </c>
      <c r="B320" s="10">
        <v>68</v>
      </c>
      <c r="C320" s="10">
        <v>155</v>
      </c>
    </row>
    <row r="321" spans="1:3">
      <c r="A321" s="10" t="s">
        <v>33</v>
      </c>
      <c r="B321" s="10">
        <v>70</v>
      </c>
      <c r="C321" s="10">
        <v>155</v>
      </c>
    </row>
    <row r="322" spans="1:3">
      <c r="A322" s="10" t="s">
        <v>668</v>
      </c>
      <c r="B322" s="10">
        <v>97</v>
      </c>
      <c r="C322" s="10">
        <v>155</v>
      </c>
    </row>
    <row r="323" spans="1:3">
      <c r="A323" s="10" t="s">
        <v>110</v>
      </c>
      <c r="B323" s="10">
        <v>52</v>
      </c>
      <c r="C323" s="10">
        <v>154</v>
      </c>
    </row>
    <row r="324" spans="1:3">
      <c r="A324" s="10" t="s">
        <v>634</v>
      </c>
      <c r="B324" s="10">
        <v>60</v>
      </c>
      <c r="C324" s="10">
        <v>154</v>
      </c>
    </row>
    <row r="325" spans="1:3">
      <c r="A325" s="10" t="s">
        <v>93</v>
      </c>
      <c r="B325" s="10">
        <v>63</v>
      </c>
      <c r="C325" s="10">
        <v>154</v>
      </c>
    </row>
    <row r="326" spans="1:3">
      <c r="A326" s="10" t="s">
        <v>577</v>
      </c>
      <c r="B326" s="10">
        <v>70</v>
      </c>
      <c r="C326" s="10">
        <v>154</v>
      </c>
    </row>
    <row r="327" spans="1:3">
      <c r="A327" s="10" t="s">
        <v>113</v>
      </c>
      <c r="B327" s="10">
        <v>82</v>
      </c>
      <c r="C327" s="10">
        <v>154</v>
      </c>
    </row>
    <row r="328" spans="1:3">
      <c r="A328" s="10" t="s">
        <v>410</v>
      </c>
      <c r="B328" s="10">
        <v>82</v>
      </c>
      <c r="C328" s="10">
        <v>154</v>
      </c>
    </row>
    <row r="329" spans="1:3">
      <c r="A329" s="10" t="s">
        <v>511</v>
      </c>
      <c r="B329" s="10">
        <v>88</v>
      </c>
      <c r="C329" s="10">
        <v>154</v>
      </c>
    </row>
    <row r="330" spans="1:3">
      <c r="A330" s="10" t="s">
        <v>285</v>
      </c>
      <c r="B330" s="10">
        <v>90</v>
      </c>
      <c r="C330" s="10">
        <v>154</v>
      </c>
    </row>
    <row r="331" spans="1:3">
      <c r="A331" s="10" t="s">
        <v>636</v>
      </c>
      <c r="B331" s="10">
        <v>97</v>
      </c>
      <c r="C331" s="10">
        <v>154</v>
      </c>
    </row>
    <row r="332" spans="1:3">
      <c r="A332" s="10" t="s">
        <v>441</v>
      </c>
      <c r="B332" s="10">
        <v>101</v>
      </c>
      <c r="C332" s="10">
        <v>154</v>
      </c>
    </row>
    <row r="333" spans="1:3">
      <c r="A333" s="10" t="s">
        <v>576</v>
      </c>
      <c r="B333" s="10">
        <v>18</v>
      </c>
      <c r="C333" s="10">
        <v>153</v>
      </c>
    </row>
    <row r="334" spans="1:3">
      <c r="A334" s="10" t="s">
        <v>635</v>
      </c>
      <c r="B334" s="10">
        <v>82</v>
      </c>
      <c r="C334" s="10">
        <v>153</v>
      </c>
    </row>
    <row r="335" spans="1:3">
      <c r="A335" s="10" t="s">
        <v>270</v>
      </c>
      <c r="B335" s="10">
        <v>86</v>
      </c>
      <c r="C335" s="10">
        <v>153</v>
      </c>
    </row>
    <row r="336" spans="1:3">
      <c r="A336" s="10" t="s">
        <v>356</v>
      </c>
      <c r="B336" s="10">
        <v>97</v>
      </c>
      <c r="C336" s="10">
        <v>153</v>
      </c>
    </row>
    <row r="337" spans="1:3">
      <c r="A337" s="10" t="s">
        <v>262</v>
      </c>
      <c r="B337" s="10">
        <v>105</v>
      </c>
      <c r="C337" s="10">
        <v>153</v>
      </c>
    </row>
    <row r="338" spans="1:3">
      <c r="A338" s="10" t="s">
        <v>601</v>
      </c>
      <c r="B338" s="10">
        <v>109</v>
      </c>
      <c r="C338" s="10">
        <v>153</v>
      </c>
    </row>
    <row r="339" spans="1:3">
      <c r="A339" s="10" t="s">
        <v>670</v>
      </c>
      <c r="B339" s="10">
        <v>53</v>
      </c>
      <c r="C339" s="10">
        <v>152</v>
      </c>
    </row>
    <row r="340" spans="1:3">
      <c r="A340" s="10" t="s">
        <v>48</v>
      </c>
      <c r="B340" s="10">
        <v>55</v>
      </c>
      <c r="C340" s="10">
        <v>152</v>
      </c>
    </row>
    <row r="341" spans="1:3">
      <c r="A341" s="10" t="s">
        <v>221</v>
      </c>
      <c r="B341" s="10">
        <v>63</v>
      </c>
      <c r="C341" s="10">
        <v>152</v>
      </c>
    </row>
    <row r="342" spans="1:3">
      <c r="A342" s="10" t="s">
        <v>433</v>
      </c>
      <c r="B342" s="10">
        <v>66</v>
      </c>
      <c r="C342" s="10">
        <v>152</v>
      </c>
    </row>
    <row r="343" spans="1:3">
      <c r="A343" s="10" t="s">
        <v>578</v>
      </c>
      <c r="B343" s="10">
        <v>70</v>
      </c>
      <c r="C343" s="10">
        <v>152</v>
      </c>
    </row>
    <row r="344" spans="1:3">
      <c r="A344" s="10" t="s">
        <v>510</v>
      </c>
      <c r="B344" s="10">
        <v>71</v>
      </c>
      <c r="C344" s="10">
        <v>152</v>
      </c>
    </row>
    <row r="345" spans="1:3">
      <c r="A345" s="10" t="s">
        <v>608</v>
      </c>
      <c r="B345" s="10">
        <v>71</v>
      </c>
      <c r="C345" s="10">
        <v>152</v>
      </c>
    </row>
    <row r="346" spans="1:3">
      <c r="A346" s="10" t="s">
        <v>245</v>
      </c>
      <c r="B346" s="10">
        <v>72</v>
      </c>
      <c r="C346" s="10">
        <v>152</v>
      </c>
    </row>
    <row r="347" spans="1:3">
      <c r="A347" s="10" t="s">
        <v>385</v>
      </c>
      <c r="B347" s="10">
        <v>81</v>
      </c>
      <c r="C347" s="10">
        <v>152</v>
      </c>
    </row>
    <row r="348" spans="1:3">
      <c r="A348" s="10" t="s">
        <v>528</v>
      </c>
      <c r="B348" s="10">
        <v>83</v>
      </c>
      <c r="C348" s="10">
        <v>152</v>
      </c>
    </row>
    <row r="349" spans="1:3">
      <c r="A349" s="10" t="s">
        <v>367</v>
      </c>
      <c r="B349" s="10">
        <v>88</v>
      </c>
      <c r="C349" s="10">
        <v>152</v>
      </c>
    </row>
    <row r="350" spans="1:3">
      <c r="A350" s="10" t="s">
        <v>170</v>
      </c>
      <c r="B350" s="10">
        <v>92</v>
      </c>
      <c r="C350" s="10">
        <v>152</v>
      </c>
    </row>
    <row r="351" spans="1:3">
      <c r="A351" s="10" t="s">
        <v>215</v>
      </c>
      <c r="B351" s="10">
        <v>71</v>
      </c>
      <c r="C351" s="10">
        <v>151</v>
      </c>
    </row>
    <row r="352" spans="1:3">
      <c r="A352" s="10" t="s">
        <v>515</v>
      </c>
      <c r="B352" s="10">
        <v>71</v>
      </c>
      <c r="C352" s="10">
        <v>151</v>
      </c>
    </row>
    <row r="353" spans="1:3">
      <c r="A353" s="10" t="s">
        <v>610</v>
      </c>
      <c r="B353" s="10">
        <v>72</v>
      </c>
      <c r="C353" s="10">
        <v>151</v>
      </c>
    </row>
    <row r="354" spans="1:3">
      <c r="A354" s="10" t="s">
        <v>296</v>
      </c>
      <c r="B354" s="10">
        <v>73</v>
      </c>
      <c r="C354" s="10">
        <v>151</v>
      </c>
    </row>
    <row r="355" spans="1:3">
      <c r="A355" s="10" t="s">
        <v>557</v>
      </c>
      <c r="B355" s="10">
        <v>80</v>
      </c>
      <c r="C355" s="10">
        <v>151</v>
      </c>
    </row>
    <row r="356" spans="1:3">
      <c r="A356" s="10" t="s">
        <v>250</v>
      </c>
      <c r="B356" s="10">
        <v>109</v>
      </c>
      <c r="C356" s="10">
        <v>151</v>
      </c>
    </row>
    <row r="357" spans="1:3">
      <c r="A357" s="10" t="s">
        <v>25</v>
      </c>
      <c r="B357" s="10">
        <v>41</v>
      </c>
      <c r="C357" s="10">
        <v>150</v>
      </c>
    </row>
    <row r="358" spans="1:3">
      <c r="A358" s="10" t="s">
        <v>392</v>
      </c>
      <c r="B358" s="10">
        <v>45</v>
      </c>
      <c r="C358" s="10">
        <v>150</v>
      </c>
    </row>
    <row r="359" spans="1:3">
      <c r="A359" s="10" t="s">
        <v>604</v>
      </c>
      <c r="B359" s="10">
        <v>46</v>
      </c>
      <c r="C359" s="10">
        <v>150</v>
      </c>
    </row>
    <row r="360" spans="1:3">
      <c r="A360" s="10" t="s">
        <v>27</v>
      </c>
      <c r="B360" s="10">
        <v>59</v>
      </c>
      <c r="C360" s="10">
        <v>150</v>
      </c>
    </row>
    <row r="361" spans="1:3">
      <c r="A361" s="10" t="s">
        <v>703</v>
      </c>
      <c r="B361" s="10">
        <v>66</v>
      </c>
      <c r="C361" s="10">
        <v>150</v>
      </c>
    </row>
    <row r="362" spans="1:3">
      <c r="A362" s="10" t="s">
        <v>626</v>
      </c>
      <c r="B362" s="10">
        <v>73</v>
      </c>
      <c r="C362" s="10">
        <v>150</v>
      </c>
    </row>
    <row r="363" spans="1:3">
      <c r="A363" s="10" t="s">
        <v>562</v>
      </c>
      <c r="B363" s="10">
        <v>77</v>
      </c>
      <c r="C363" s="10">
        <v>150</v>
      </c>
    </row>
    <row r="364" spans="1:3">
      <c r="A364" s="10" t="s">
        <v>564</v>
      </c>
      <c r="B364" s="10">
        <v>77</v>
      </c>
      <c r="C364" s="10">
        <v>150</v>
      </c>
    </row>
    <row r="365" spans="1:3">
      <c r="A365" s="10" t="s">
        <v>372</v>
      </c>
      <c r="B365" s="10">
        <v>78</v>
      </c>
      <c r="C365" s="10">
        <v>150</v>
      </c>
    </row>
    <row r="366" spans="1:3">
      <c r="A366" s="10" t="s">
        <v>75</v>
      </c>
      <c r="B366" s="10">
        <v>89</v>
      </c>
      <c r="C366" s="10">
        <v>150</v>
      </c>
    </row>
    <row r="367" spans="1:3">
      <c r="A367" s="10" t="s">
        <v>629</v>
      </c>
      <c r="B367" s="10">
        <v>97</v>
      </c>
      <c r="C367" s="10">
        <v>150</v>
      </c>
    </row>
    <row r="368" spans="1:3">
      <c r="A368" s="10" t="s">
        <v>478</v>
      </c>
      <c r="B368" s="10">
        <v>98</v>
      </c>
      <c r="C368" s="10">
        <v>150</v>
      </c>
    </row>
    <row r="369" spans="1:3">
      <c r="A369" s="10" t="s">
        <v>502</v>
      </c>
      <c r="B369" s="10">
        <v>100</v>
      </c>
      <c r="C369" s="10">
        <v>150</v>
      </c>
    </row>
    <row r="370" spans="1:3">
      <c r="A370" s="10" t="s">
        <v>101</v>
      </c>
      <c r="B370" s="10">
        <v>105</v>
      </c>
      <c r="C370" s="10">
        <v>150</v>
      </c>
    </row>
    <row r="371" spans="1:3">
      <c r="A371" s="10" t="s">
        <v>640</v>
      </c>
      <c r="B371" s="10">
        <v>53</v>
      </c>
      <c r="C371" s="10">
        <v>149</v>
      </c>
    </row>
    <row r="372" spans="1:3">
      <c r="A372" s="10" t="s">
        <v>23</v>
      </c>
      <c r="B372" s="10">
        <v>61</v>
      </c>
      <c r="C372" s="10">
        <v>149</v>
      </c>
    </row>
    <row r="373" spans="1:3">
      <c r="A373" s="10" t="s">
        <v>526</v>
      </c>
      <c r="B373" s="10">
        <v>70</v>
      </c>
      <c r="C373" s="10">
        <v>149</v>
      </c>
    </row>
    <row r="374" spans="1:3">
      <c r="A374" s="10" t="s">
        <v>124</v>
      </c>
      <c r="B374" s="10">
        <v>74</v>
      </c>
      <c r="C374" s="10">
        <v>149</v>
      </c>
    </row>
    <row r="375" spans="1:3">
      <c r="A375" s="10" t="s">
        <v>315</v>
      </c>
      <c r="B375" s="10">
        <v>76</v>
      </c>
      <c r="C375" s="10">
        <v>149</v>
      </c>
    </row>
    <row r="376" spans="1:3">
      <c r="A376" s="10" t="s">
        <v>90</v>
      </c>
      <c r="B376" s="10">
        <v>30</v>
      </c>
      <c r="C376" s="10">
        <v>148</v>
      </c>
    </row>
    <row r="377" spans="1:3">
      <c r="A377" s="10" t="s">
        <v>327</v>
      </c>
      <c r="B377" s="10">
        <v>35</v>
      </c>
      <c r="C377" s="10">
        <v>148</v>
      </c>
    </row>
    <row r="378" spans="1:3">
      <c r="A378" s="10" t="s">
        <v>673</v>
      </c>
      <c r="B378" s="10">
        <v>52</v>
      </c>
      <c r="C378" s="10">
        <v>148</v>
      </c>
    </row>
    <row r="379" spans="1:3">
      <c r="A379" s="10" t="s">
        <v>583</v>
      </c>
      <c r="B379" s="10">
        <v>68</v>
      </c>
      <c r="C379" s="10">
        <v>148</v>
      </c>
    </row>
    <row r="380" spans="1:3">
      <c r="A380" s="10" t="s">
        <v>267</v>
      </c>
      <c r="B380" s="10">
        <v>74</v>
      </c>
      <c r="C380" s="10">
        <v>148</v>
      </c>
    </row>
    <row r="381" spans="1:3">
      <c r="A381" s="10" t="s">
        <v>373</v>
      </c>
      <c r="B381" s="10">
        <v>76</v>
      </c>
      <c r="C381" s="10">
        <v>148</v>
      </c>
    </row>
    <row r="382" spans="1:3">
      <c r="A382" s="10" t="s">
        <v>272</v>
      </c>
      <c r="B382" s="10">
        <v>80</v>
      </c>
      <c r="C382" s="10">
        <v>148</v>
      </c>
    </row>
    <row r="383" spans="1:3">
      <c r="A383" s="10" t="s">
        <v>542</v>
      </c>
      <c r="B383" s="10">
        <v>81</v>
      </c>
      <c r="C383" s="10">
        <v>148</v>
      </c>
    </row>
    <row r="384" spans="1:3">
      <c r="A384" s="10" t="s">
        <v>364</v>
      </c>
      <c r="B384" s="10">
        <v>82</v>
      </c>
      <c r="C384" s="10">
        <v>148</v>
      </c>
    </row>
    <row r="385" spans="1:3">
      <c r="A385" s="10" t="s">
        <v>310</v>
      </c>
      <c r="B385" s="10">
        <v>92</v>
      </c>
      <c r="C385" s="10">
        <v>148</v>
      </c>
    </row>
    <row r="386" spans="1:3">
      <c r="A386" s="10" t="s">
        <v>686</v>
      </c>
      <c r="B386" s="10">
        <v>58</v>
      </c>
      <c r="C386" s="10">
        <v>147</v>
      </c>
    </row>
    <row r="387" spans="1:3">
      <c r="A387" s="10" t="s">
        <v>193</v>
      </c>
      <c r="B387" s="10">
        <v>82</v>
      </c>
      <c r="C387" s="10">
        <v>147</v>
      </c>
    </row>
    <row r="388" spans="1:3">
      <c r="A388" s="10" t="s">
        <v>212</v>
      </c>
      <c r="B388" s="10">
        <v>51</v>
      </c>
      <c r="C388" s="10">
        <v>146</v>
      </c>
    </row>
    <row r="389" spans="1:3">
      <c r="A389" s="10" t="s">
        <v>168</v>
      </c>
      <c r="B389" s="10">
        <v>53</v>
      </c>
      <c r="C389" s="10">
        <v>146</v>
      </c>
    </row>
    <row r="390" spans="1:3">
      <c r="A390" s="10" t="s">
        <v>265</v>
      </c>
      <c r="B390" s="10">
        <v>62</v>
      </c>
      <c r="C390" s="10">
        <v>146</v>
      </c>
    </row>
    <row r="391" spans="1:3">
      <c r="A391" s="10" t="s">
        <v>247</v>
      </c>
      <c r="B391" s="10">
        <v>76</v>
      </c>
      <c r="C391" s="10">
        <v>146</v>
      </c>
    </row>
    <row r="392" spans="1:3">
      <c r="A392" s="10" t="s">
        <v>491</v>
      </c>
      <c r="B392" s="10">
        <v>77</v>
      </c>
      <c r="C392" s="10">
        <v>146</v>
      </c>
    </row>
    <row r="393" spans="1:3">
      <c r="A393" s="10" t="s">
        <v>122</v>
      </c>
      <c r="B393" s="10">
        <v>79</v>
      </c>
      <c r="C393" s="10">
        <v>146</v>
      </c>
    </row>
    <row r="394" spans="1:3">
      <c r="A394" s="10" t="s">
        <v>379</v>
      </c>
      <c r="B394" s="10">
        <v>83</v>
      </c>
      <c r="C394" s="10">
        <v>146</v>
      </c>
    </row>
    <row r="395" spans="1:3">
      <c r="A395" s="10" t="s">
        <v>62</v>
      </c>
      <c r="B395" s="10">
        <v>90</v>
      </c>
      <c r="C395" s="10">
        <v>146</v>
      </c>
    </row>
    <row r="396" spans="1:3">
      <c r="A396" s="10" t="s">
        <v>422</v>
      </c>
      <c r="B396" s="10">
        <v>90</v>
      </c>
      <c r="C396" s="10">
        <v>146</v>
      </c>
    </row>
    <row r="397" spans="1:3">
      <c r="A397" s="10" t="s">
        <v>164</v>
      </c>
      <c r="B397" s="10">
        <v>100</v>
      </c>
      <c r="C397" s="10">
        <v>146</v>
      </c>
    </row>
    <row r="398" spans="1:3">
      <c r="A398" s="10" t="s">
        <v>454</v>
      </c>
      <c r="B398" s="10">
        <v>101</v>
      </c>
      <c r="C398" s="10">
        <v>146</v>
      </c>
    </row>
    <row r="399" spans="1:3">
      <c r="A399" s="10" t="s">
        <v>694</v>
      </c>
      <c r="B399" s="10">
        <v>111</v>
      </c>
      <c r="C399" s="10">
        <v>146</v>
      </c>
    </row>
    <row r="400" spans="1:3">
      <c r="A400" s="10" t="s">
        <v>643</v>
      </c>
      <c r="B400" s="10">
        <v>45</v>
      </c>
      <c r="C400" s="10">
        <v>145</v>
      </c>
    </row>
    <row r="401" spans="1:20">
      <c r="A401" s="10" t="s">
        <v>190</v>
      </c>
      <c r="B401" s="10">
        <v>59</v>
      </c>
      <c r="C401" s="10">
        <v>145</v>
      </c>
    </row>
    <row r="402" spans="1:20">
      <c r="A402" s="10" t="s">
        <v>284</v>
      </c>
      <c r="B402" s="10">
        <v>63</v>
      </c>
      <c r="C402" s="10">
        <v>145</v>
      </c>
    </row>
    <row r="403" spans="1:20">
      <c r="A403" s="10" t="s">
        <v>655</v>
      </c>
      <c r="B403" s="10">
        <v>78</v>
      </c>
      <c r="C403" s="10">
        <v>145</v>
      </c>
    </row>
    <row r="404" spans="1:20">
      <c r="A404" s="10" t="s">
        <v>279</v>
      </c>
      <c r="B404" s="10">
        <v>81</v>
      </c>
      <c r="C404" s="10">
        <v>145</v>
      </c>
    </row>
    <row r="405" spans="1:20">
      <c r="A405" s="10" t="s">
        <v>97</v>
      </c>
      <c r="B405" s="10">
        <v>82</v>
      </c>
      <c r="C405" s="10">
        <v>145</v>
      </c>
    </row>
    <row r="406" spans="1:20">
      <c r="A406" s="10" t="s">
        <v>332</v>
      </c>
      <c r="B406" s="10">
        <v>86</v>
      </c>
      <c r="C406" s="10">
        <v>145</v>
      </c>
    </row>
    <row r="407" spans="1:20">
      <c r="A407" s="10" t="s">
        <v>453</v>
      </c>
      <c r="B407" s="10">
        <v>93</v>
      </c>
      <c r="C407" s="10">
        <v>145</v>
      </c>
    </row>
    <row r="408" spans="1:20">
      <c r="A408" s="10" t="s">
        <v>466</v>
      </c>
      <c r="B408" s="10">
        <v>58</v>
      </c>
      <c r="C408" s="10">
        <v>144</v>
      </c>
    </row>
    <row r="409" spans="1:20">
      <c r="A409" s="10" t="s">
        <v>345</v>
      </c>
      <c r="B409" s="10">
        <v>59</v>
      </c>
      <c r="C409" s="10">
        <v>144</v>
      </c>
    </row>
    <row r="410" spans="1:20">
      <c r="A410" s="10" t="s">
        <v>257</v>
      </c>
      <c r="B410" s="10">
        <v>69</v>
      </c>
      <c r="C410" s="10">
        <v>144</v>
      </c>
    </row>
    <row r="411" spans="1:20">
      <c r="A411" s="10" t="s">
        <v>622</v>
      </c>
      <c r="B411" s="10">
        <v>70</v>
      </c>
      <c r="C411" s="10">
        <v>144</v>
      </c>
    </row>
    <row r="412" spans="1:20">
      <c r="A412" s="10" t="s">
        <v>548</v>
      </c>
      <c r="B412" s="10">
        <v>71</v>
      </c>
      <c r="C412" s="10">
        <v>144</v>
      </c>
    </row>
    <row r="413" spans="1:20" ht="19.5">
      <c r="A413" s="10" t="s">
        <v>163</v>
      </c>
      <c r="B413" s="10">
        <v>74</v>
      </c>
      <c r="C413" s="10">
        <v>144</v>
      </c>
      <c r="T413" s="59"/>
    </row>
    <row r="414" spans="1:20">
      <c r="A414" s="10" t="s">
        <v>508</v>
      </c>
      <c r="B414" s="10">
        <v>76</v>
      </c>
      <c r="C414" s="10">
        <v>144</v>
      </c>
    </row>
    <row r="415" spans="1:20">
      <c r="A415" s="10" t="s">
        <v>499</v>
      </c>
      <c r="B415" s="10">
        <v>88</v>
      </c>
      <c r="C415" s="10">
        <v>144</v>
      </c>
    </row>
    <row r="416" spans="1:20">
      <c r="A416" s="10" t="s">
        <v>425</v>
      </c>
      <c r="B416" s="10">
        <v>38</v>
      </c>
      <c r="C416" s="10">
        <v>143</v>
      </c>
    </row>
    <row r="417" spans="1:3">
      <c r="A417" s="10" t="s">
        <v>679</v>
      </c>
      <c r="B417" s="10">
        <v>43</v>
      </c>
      <c r="C417" s="10">
        <v>143</v>
      </c>
    </row>
    <row r="418" spans="1:3">
      <c r="A418" s="10" t="s">
        <v>609</v>
      </c>
      <c r="B418" s="10">
        <v>95</v>
      </c>
      <c r="C418" s="10">
        <v>143</v>
      </c>
    </row>
    <row r="419" spans="1:3">
      <c r="A419" s="10" t="s">
        <v>534</v>
      </c>
      <c r="B419" s="10">
        <v>109</v>
      </c>
      <c r="C419" s="10">
        <v>143</v>
      </c>
    </row>
    <row r="420" spans="1:3">
      <c r="A420" s="10" t="s">
        <v>17</v>
      </c>
      <c r="B420" s="10">
        <v>41</v>
      </c>
      <c r="C420" s="10">
        <v>142</v>
      </c>
    </row>
    <row r="421" spans="1:3">
      <c r="A421" s="10" t="s">
        <v>41</v>
      </c>
      <c r="B421" s="10">
        <v>44</v>
      </c>
      <c r="C421" s="10">
        <v>142</v>
      </c>
    </row>
    <row r="422" spans="1:3">
      <c r="A422" s="10" t="s">
        <v>102</v>
      </c>
      <c r="B422" s="10">
        <v>51</v>
      </c>
      <c r="C422" s="10">
        <v>142</v>
      </c>
    </row>
    <row r="423" spans="1:3">
      <c r="A423" s="10" t="s">
        <v>602</v>
      </c>
      <c r="B423" s="10">
        <v>66</v>
      </c>
      <c r="C423" s="10">
        <v>142</v>
      </c>
    </row>
    <row r="424" spans="1:3">
      <c r="A424" s="10" t="s">
        <v>513</v>
      </c>
      <c r="B424" s="10">
        <v>68</v>
      </c>
      <c r="C424" s="10">
        <v>142</v>
      </c>
    </row>
    <row r="425" spans="1:3">
      <c r="A425" s="10" t="s">
        <v>641</v>
      </c>
      <c r="B425" s="10">
        <v>68</v>
      </c>
      <c r="C425" s="10">
        <v>142</v>
      </c>
    </row>
    <row r="426" spans="1:3">
      <c r="A426" s="10" t="s">
        <v>430</v>
      </c>
      <c r="B426" s="10">
        <v>71</v>
      </c>
      <c r="C426" s="10">
        <v>142</v>
      </c>
    </row>
    <row r="427" spans="1:3">
      <c r="A427" s="10" t="s">
        <v>414</v>
      </c>
      <c r="B427" s="10">
        <v>79</v>
      </c>
      <c r="C427" s="10">
        <v>142</v>
      </c>
    </row>
    <row r="428" spans="1:3">
      <c r="A428" s="10" t="s">
        <v>100</v>
      </c>
      <c r="B428" s="10">
        <v>85</v>
      </c>
      <c r="C428" s="10">
        <v>142</v>
      </c>
    </row>
    <row r="429" spans="1:3">
      <c r="A429" s="10" t="s">
        <v>517</v>
      </c>
      <c r="B429" s="10">
        <v>89</v>
      </c>
      <c r="C429" s="10">
        <v>142</v>
      </c>
    </row>
    <row r="430" spans="1:3">
      <c r="A430" s="10" t="s">
        <v>138</v>
      </c>
      <c r="B430" s="10">
        <v>90</v>
      </c>
      <c r="C430" s="10">
        <v>142</v>
      </c>
    </row>
    <row r="431" spans="1:3">
      <c r="A431" s="10" t="s">
        <v>397</v>
      </c>
      <c r="B431" s="10">
        <v>104</v>
      </c>
      <c r="C431" s="10">
        <v>142</v>
      </c>
    </row>
    <row r="432" spans="1:3">
      <c r="A432" s="10" t="s">
        <v>384</v>
      </c>
      <c r="B432" s="10">
        <v>49</v>
      </c>
      <c r="C432" s="10">
        <v>141</v>
      </c>
    </row>
    <row r="433" spans="1:3">
      <c r="A433" s="10" t="s">
        <v>81</v>
      </c>
      <c r="B433" s="10">
        <v>58</v>
      </c>
      <c r="C433" s="10">
        <v>141</v>
      </c>
    </row>
    <row r="434" spans="1:3">
      <c r="A434" s="10" t="s">
        <v>503</v>
      </c>
      <c r="B434" s="10">
        <v>72</v>
      </c>
      <c r="C434" s="10">
        <v>141</v>
      </c>
    </row>
    <row r="435" spans="1:3">
      <c r="A435" s="10" t="s">
        <v>89</v>
      </c>
      <c r="B435" s="10">
        <v>76</v>
      </c>
      <c r="C435" s="10">
        <v>141</v>
      </c>
    </row>
    <row r="436" spans="1:3">
      <c r="A436" s="10" t="s">
        <v>141</v>
      </c>
      <c r="B436" s="10">
        <v>78</v>
      </c>
      <c r="C436" s="10">
        <v>141</v>
      </c>
    </row>
    <row r="437" spans="1:3">
      <c r="A437" s="10" t="s">
        <v>631</v>
      </c>
      <c r="B437" s="10">
        <v>37</v>
      </c>
      <c r="C437" s="10">
        <v>140</v>
      </c>
    </row>
    <row r="438" spans="1:3">
      <c r="A438" s="10" t="s">
        <v>146</v>
      </c>
      <c r="B438" s="10">
        <v>45</v>
      </c>
      <c r="C438" s="10">
        <v>140</v>
      </c>
    </row>
    <row r="439" spans="1:3">
      <c r="A439" s="10" t="s">
        <v>615</v>
      </c>
      <c r="B439" s="10">
        <v>54</v>
      </c>
      <c r="C439" s="10">
        <v>140</v>
      </c>
    </row>
    <row r="440" spans="1:3">
      <c r="A440" s="10" t="s">
        <v>213</v>
      </c>
      <c r="B440" s="10">
        <v>58</v>
      </c>
      <c r="C440" s="10">
        <v>140</v>
      </c>
    </row>
    <row r="441" spans="1:3">
      <c r="A441" s="10" t="s">
        <v>157</v>
      </c>
      <c r="B441" s="10">
        <v>68</v>
      </c>
      <c r="C441" s="10">
        <v>140</v>
      </c>
    </row>
    <row r="442" spans="1:3">
      <c r="A442" s="10" t="s">
        <v>186</v>
      </c>
      <c r="B442" s="10">
        <v>83</v>
      </c>
      <c r="C442" s="10">
        <v>140</v>
      </c>
    </row>
    <row r="443" spans="1:3">
      <c r="A443" s="10" t="s">
        <v>585</v>
      </c>
      <c r="B443" s="10">
        <v>88</v>
      </c>
      <c r="C443" s="10">
        <v>140</v>
      </c>
    </row>
    <row r="444" spans="1:3">
      <c r="A444" s="10" t="s">
        <v>136</v>
      </c>
      <c r="B444" s="10">
        <v>93</v>
      </c>
      <c r="C444" s="10">
        <v>140</v>
      </c>
    </row>
    <row r="445" spans="1:3">
      <c r="A445" s="10" t="s">
        <v>321</v>
      </c>
      <c r="B445" s="10">
        <v>38</v>
      </c>
      <c r="C445" s="10">
        <v>139</v>
      </c>
    </row>
    <row r="446" spans="1:3">
      <c r="A446" s="10" t="s">
        <v>159</v>
      </c>
      <c r="B446" s="10">
        <v>46</v>
      </c>
      <c r="C446" s="10">
        <v>139</v>
      </c>
    </row>
    <row r="447" spans="1:3">
      <c r="A447" s="10" t="s">
        <v>439</v>
      </c>
      <c r="B447" s="10">
        <v>50</v>
      </c>
      <c r="C447" s="10">
        <v>139</v>
      </c>
    </row>
    <row r="448" spans="1:3">
      <c r="A448" s="10" t="s">
        <v>569</v>
      </c>
      <c r="B448" s="10">
        <v>58</v>
      </c>
      <c r="C448" s="10">
        <v>139</v>
      </c>
    </row>
    <row r="449" spans="1:3">
      <c r="A449" s="10" t="s">
        <v>665</v>
      </c>
      <c r="B449" s="10">
        <v>67</v>
      </c>
      <c r="C449" s="10">
        <v>139</v>
      </c>
    </row>
    <row r="450" spans="1:3">
      <c r="A450" s="10" t="s">
        <v>561</v>
      </c>
      <c r="B450" s="10">
        <v>73</v>
      </c>
      <c r="C450" s="10">
        <v>139</v>
      </c>
    </row>
    <row r="451" spans="1:3">
      <c r="A451" s="10" t="s">
        <v>426</v>
      </c>
      <c r="B451" s="10">
        <v>75</v>
      </c>
      <c r="C451" s="10">
        <v>139</v>
      </c>
    </row>
    <row r="452" spans="1:3">
      <c r="A452" s="10" t="s">
        <v>584</v>
      </c>
      <c r="B452" s="10">
        <v>76</v>
      </c>
      <c r="C452" s="10">
        <v>139</v>
      </c>
    </row>
    <row r="453" spans="1:3">
      <c r="A453" s="10" t="s">
        <v>363</v>
      </c>
      <c r="B453" s="10">
        <v>102</v>
      </c>
      <c r="C453" s="10">
        <v>139</v>
      </c>
    </row>
    <row r="454" spans="1:3">
      <c r="A454" s="10" t="s">
        <v>645</v>
      </c>
      <c r="B454" s="10">
        <v>50</v>
      </c>
      <c r="C454" s="10">
        <v>138</v>
      </c>
    </row>
    <row r="455" spans="1:3">
      <c r="A455" s="10" t="s">
        <v>238</v>
      </c>
      <c r="B455" s="10">
        <v>51</v>
      </c>
      <c r="C455" s="10">
        <v>138</v>
      </c>
    </row>
    <row r="456" spans="1:3">
      <c r="A456" s="10" t="s">
        <v>588</v>
      </c>
      <c r="B456" s="10">
        <v>56</v>
      </c>
      <c r="C456" s="10">
        <v>138</v>
      </c>
    </row>
    <row r="457" spans="1:3">
      <c r="A457" s="10" t="s">
        <v>520</v>
      </c>
      <c r="B457" s="10">
        <v>57</v>
      </c>
      <c r="C457" s="10">
        <v>138</v>
      </c>
    </row>
    <row r="458" spans="1:3">
      <c r="A458" s="10" t="s">
        <v>259</v>
      </c>
      <c r="B458" s="10">
        <v>58</v>
      </c>
      <c r="C458" s="10">
        <v>138</v>
      </c>
    </row>
    <row r="459" spans="1:3">
      <c r="A459" s="10" t="s">
        <v>496</v>
      </c>
      <c r="B459" s="10">
        <v>65</v>
      </c>
      <c r="C459" s="10">
        <v>138</v>
      </c>
    </row>
    <row r="460" spans="1:3">
      <c r="A460" s="10" t="s">
        <v>572</v>
      </c>
      <c r="B460" s="10">
        <v>66</v>
      </c>
      <c r="C460" s="10">
        <v>138</v>
      </c>
    </row>
    <row r="461" spans="1:3">
      <c r="A461" s="10" t="s">
        <v>78</v>
      </c>
      <c r="B461" s="10">
        <v>74</v>
      </c>
      <c r="C461" s="10">
        <v>138</v>
      </c>
    </row>
    <row r="462" spans="1:3">
      <c r="A462" s="10" t="s">
        <v>317</v>
      </c>
      <c r="B462" s="10">
        <v>75</v>
      </c>
      <c r="C462" s="10">
        <v>138</v>
      </c>
    </row>
    <row r="463" spans="1:3">
      <c r="A463" s="10" t="s">
        <v>463</v>
      </c>
      <c r="B463" s="10">
        <v>90</v>
      </c>
      <c r="C463" s="10">
        <v>138</v>
      </c>
    </row>
    <row r="464" spans="1:3">
      <c r="A464" s="10" t="s">
        <v>184</v>
      </c>
      <c r="B464" s="10">
        <v>53</v>
      </c>
      <c r="C464" s="10">
        <v>137</v>
      </c>
    </row>
    <row r="465" spans="1:3">
      <c r="A465" s="10" t="s">
        <v>30</v>
      </c>
      <c r="B465" s="10">
        <v>63</v>
      </c>
      <c r="C465" s="10">
        <v>137</v>
      </c>
    </row>
    <row r="466" spans="1:3">
      <c r="A466" s="10" t="s">
        <v>304</v>
      </c>
      <c r="B466" s="10">
        <v>67</v>
      </c>
      <c r="C466" s="10">
        <v>137</v>
      </c>
    </row>
    <row r="467" spans="1:3">
      <c r="A467" s="10" t="s">
        <v>228</v>
      </c>
      <c r="B467" s="10">
        <v>82</v>
      </c>
      <c r="C467" s="10">
        <v>137</v>
      </c>
    </row>
    <row r="468" spans="1:3">
      <c r="A468" s="10" t="s">
        <v>698</v>
      </c>
      <c r="B468" s="10">
        <v>87</v>
      </c>
      <c r="C468" s="10">
        <v>137</v>
      </c>
    </row>
    <row r="469" spans="1:3">
      <c r="A469" s="10" t="s">
        <v>118</v>
      </c>
      <c r="B469" s="10">
        <v>92</v>
      </c>
      <c r="C469" s="10">
        <v>137</v>
      </c>
    </row>
    <row r="470" spans="1:3">
      <c r="A470" s="10" t="s">
        <v>488</v>
      </c>
      <c r="B470" s="10">
        <v>98</v>
      </c>
      <c r="C470" s="10">
        <v>137</v>
      </c>
    </row>
    <row r="471" spans="1:3">
      <c r="A471" s="10" t="s">
        <v>417</v>
      </c>
      <c r="B471" s="10">
        <v>50</v>
      </c>
      <c r="C471" s="10">
        <v>136</v>
      </c>
    </row>
    <row r="472" spans="1:3">
      <c r="A472" s="10" t="s">
        <v>73</v>
      </c>
      <c r="B472" s="10">
        <v>57</v>
      </c>
      <c r="C472" s="10">
        <v>136</v>
      </c>
    </row>
    <row r="473" spans="1:3">
      <c r="A473" s="10" t="s">
        <v>483</v>
      </c>
      <c r="B473" s="10">
        <v>68</v>
      </c>
      <c r="C473" s="10">
        <v>136</v>
      </c>
    </row>
    <row r="474" spans="1:3">
      <c r="A474" s="10" t="s">
        <v>649</v>
      </c>
      <c r="B474" s="10">
        <v>68</v>
      </c>
      <c r="C474" s="10">
        <v>136</v>
      </c>
    </row>
    <row r="475" spans="1:3">
      <c r="A475" s="10" t="s">
        <v>129</v>
      </c>
      <c r="B475" s="10">
        <v>72</v>
      </c>
      <c r="C475" s="10">
        <v>136</v>
      </c>
    </row>
    <row r="476" spans="1:3">
      <c r="A476" s="10" t="s">
        <v>618</v>
      </c>
      <c r="B476" s="10">
        <v>95</v>
      </c>
      <c r="C476" s="10">
        <v>136</v>
      </c>
    </row>
    <row r="477" spans="1:3">
      <c r="A477" s="10" t="s">
        <v>219</v>
      </c>
      <c r="B477" s="10">
        <v>39</v>
      </c>
      <c r="C477" s="10">
        <v>135</v>
      </c>
    </row>
    <row r="478" spans="1:3">
      <c r="A478" s="10" t="s">
        <v>331</v>
      </c>
      <c r="B478" s="10">
        <v>40</v>
      </c>
      <c r="C478" s="10">
        <v>135</v>
      </c>
    </row>
    <row r="479" spans="1:3">
      <c r="A479" s="10" t="s">
        <v>234</v>
      </c>
      <c r="B479" s="10">
        <v>64</v>
      </c>
      <c r="C479" s="10">
        <v>135</v>
      </c>
    </row>
    <row r="480" spans="1:3">
      <c r="A480" s="10" t="s">
        <v>603</v>
      </c>
      <c r="B480" s="10">
        <v>68</v>
      </c>
      <c r="C480" s="10">
        <v>135</v>
      </c>
    </row>
    <row r="481" spans="1:3">
      <c r="A481" s="10" t="s">
        <v>185</v>
      </c>
      <c r="B481" s="10">
        <v>72</v>
      </c>
      <c r="C481" s="10">
        <v>135</v>
      </c>
    </row>
    <row r="482" spans="1:3">
      <c r="A482" s="10" t="s">
        <v>57</v>
      </c>
      <c r="B482" s="10">
        <v>76</v>
      </c>
      <c r="C482" s="10">
        <v>135</v>
      </c>
    </row>
    <row r="483" spans="1:3">
      <c r="A483" s="10" t="s">
        <v>479</v>
      </c>
      <c r="B483" s="10">
        <v>86</v>
      </c>
      <c r="C483" s="10">
        <v>135</v>
      </c>
    </row>
    <row r="484" spans="1:3">
      <c r="A484" s="10" t="s">
        <v>273</v>
      </c>
      <c r="B484" s="10">
        <v>30</v>
      </c>
      <c r="C484" s="10">
        <v>134</v>
      </c>
    </row>
    <row r="485" spans="1:3">
      <c r="A485" s="10" t="s">
        <v>55</v>
      </c>
      <c r="B485" s="10">
        <v>43</v>
      </c>
      <c r="C485" s="10">
        <v>134</v>
      </c>
    </row>
    <row r="486" spans="1:3">
      <c r="A486" s="10" t="s">
        <v>92</v>
      </c>
      <c r="B486" s="10">
        <v>48</v>
      </c>
      <c r="C486" s="10">
        <v>134</v>
      </c>
    </row>
    <row r="487" spans="1:3">
      <c r="A487" s="10" t="s">
        <v>484</v>
      </c>
      <c r="B487" s="10">
        <v>62</v>
      </c>
      <c r="C487" s="10">
        <v>134</v>
      </c>
    </row>
    <row r="488" spans="1:3">
      <c r="A488" s="10" t="s">
        <v>580</v>
      </c>
      <c r="B488" s="10">
        <v>63</v>
      </c>
      <c r="C488" s="10">
        <v>134</v>
      </c>
    </row>
    <row r="489" spans="1:3">
      <c r="A489" s="10" t="s">
        <v>325</v>
      </c>
      <c r="B489" s="10">
        <v>67</v>
      </c>
      <c r="C489" s="10">
        <v>134</v>
      </c>
    </row>
    <row r="490" spans="1:3">
      <c r="A490" s="10" t="s">
        <v>405</v>
      </c>
      <c r="B490" s="10">
        <v>71</v>
      </c>
      <c r="C490" s="10">
        <v>134</v>
      </c>
    </row>
    <row r="491" spans="1:3">
      <c r="A491" s="10" t="s">
        <v>183</v>
      </c>
      <c r="B491" s="10">
        <v>74</v>
      </c>
      <c r="C491" s="10">
        <v>134</v>
      </c>
    </row>
    <row r="492" spans="1:3">
      <c r="A492" s="10" t="s">
        <v>545</v>
      </c>
      <c r="B492" s="10">
        <v>78</v>
      </c>
      <c r="C492" s="10">
        <v>134</v>
      </c>
    </row>
    <row r="493" spans="1:3">
      <c r="A493" s="10" t="s">
        <v>568</v>
      </c>
      <c r="B493" s="10">
        <v>86</v>
      </c>
      <c r="C493" s="10">
        <v>134</v>
      </c>
    </row>
    <row r="494" spans="1:3">
      <c r="A494" s="10" t="s">
        <v>700</v>
      </c>
      <c r="B494" s="10">
        <v>90</v>
      </c>
      <c r="C494" s="10">
        <v>134</v>
      </c>
    </row>
    <row r="495" spans="1:3">
      <c r="A495" s="10" t="s">
        <v>209</v>
      </c>
      <c r="B495" s="10">
        <v>55</v>
      </c>
      <c r="C495" s="10">
        <v>133</v>
      </c>
    </row>
    <row r="496" spans="1:3">
      <c r="A496" s="10" t="s">
        <v>544</v>
      </c>
      <c r="B496" s="10">
        <v>64</v>
      </c>
      <c r="C496" s="10">
        <v>133</v>
      </c>
    </row>
    <row r="497" spans="1:3">
      <c r="A497" s="10" t="s">
        <v>189</v>
      </c>
      <c r="B497" s="10">
        <v>67</v>
      </c>
      <c r="C497" s="10">
        <v>133</v>
      </c>
    </row>
    <row r="498" spans="1:3">
      <c r="A498" s="10" t="s">
        <v>497</v>
      </c>
      <c r="B498" s="10">
        <v>67</v>
      </c>
      <c r="C498" s="10">
        <v>133</v>
      </c>
    </row>
    <row r="499" spans="1:3">
      <c r="A499" s="10" t="s">
        <v>268</v>
      </c>
      <c r="B499" s="10">
        <v>73</v>
      </c>
      <c r="C499" s="10">
        <v>133</v>
      </c>
    </row>
    <row r="500" spans="1:3">
      <c r="A500" s="10" t="s">
        <v>121</v>
      </c>
      <c r="B500" s="10">
        <v>77</v>
      </c>
      <c r="C500" s="10">
        <v>133</v>
      </c>
    </row>
    <row r="501" spans="1:3">
      <c r="A501" s="10" t="s">
        <v>370</v>
      </c>
      <c r="B501" s="10">
        <v>83</v>
      </c>
      <c r="C501" s="10">
        <v>133</v>
      </c>
    </row>
    <row r="502" spans="1:3">
      <c r="A502" s="10" t="s">
        <v>614</v>
      </c>
      <c r="B502" s="10">
        <v>70</v>
      </c>
      <c r="C502" s="10">
        <v>132</v>
      </c>
    </row>
    <row r="503" spans="1:3">
      <c r="A503" s="10" t="s">
        <v>237</v>
      </c>
      <c r="B503" s="10">
        <v>71</v>
      </c>
      <c r="C503" s="10">
        <v>132</v>
      </c>
    </row>
    <row r="504" spans="1:3">
      <c r="A504" s="10" t="s">
        <v>427</v>
      </c>
      <c r="B504" s="10">
        <v>76</v>
      </c>
      <c r="C504" s="10">
        <v>132</v>
      </c>
    </row>
    <row r="505" spans="1:3">
      <c r="A505" s="10" t="s">
        <v>558</v>
      </c>
      <c r="B505" s="10">
        <v>78</v>
      </c>
      <c r="C505" s="10">
        <v>132</v>
      </c>
    </row>
    <row r="506" spans="1:3">
      <c r="A506" s="10" t="s">
        <v>387</v>
      </c>
      <c r="B506" s="10">
        <v>53</v>
      </c>
      <c r="C506" s="10">
        <v>131</v>
      </c>
    </row>
    <row r="507" spans="1:3">
      <c r="A507" s="10" t="s">
        <v>671</v>
      </c>
      <c r="B507" s="10">
        <v>62</v>
      </c>
      <c r="C507" s="10">
        <v>131</v>
      </c>
    </row>
    <row r="508" spans="1:3">
      <c r="A508" s="10" t="s">
        <v>418</v>
      </c>
      <c r="B508" s="10">
        <v>95</v>
      </c>
      <c r="C508" s="10">
        <v>131</v>
      </c>
    </row>
    <row r="509" spans="1:3">
      <c r="A509" s="10" t="s">
        <v>519</v>
      </c>
      <c r="B509" s="10">
        <v>15</v>
      </c>
      <c r="C509" s="10">
        <v>130</v>
      </c>
    </row>
    <row r="510" spans="1:3">
      <c r="A510" s="10" t="s">
        <v>475</v>
      </c>
      <c r="B510" s="10">
        <v>27</v>
      </c>
      <c r="C510" s="10">
        <v>130</v>
      </c>
    </row>
    <row r="511" spans="1:3">
      <c r="A511" s="10" t="s">
        <v>574</v>
      </c>
      <c r="B511" s="10">
        <v>42</v>
      </c>
      <c r="C511" s="10">
        <v>130</v>
      </c>
    </row>
    <row r="512" spans="1:3">
      <c r="A512" s="10" t="s">
        <v>28</v>
      </c>
      <c r="B512" s="10">
        <v>43</v>
      </c>
      <c r="C512" s="10">
        <v>130</v>
      </c>
    </row>
    <row r="513" spans="1:3">
      <c r="A513" s="10" t="s">
        <v>311</v>
      </c>
      <c r="B513" s="10">
        <v>44</v>
      </c>
      <c r="C513" s="10">
        <v>130</v>
      </c>
    </row>
    <row r="514" spans="1:3">
      <c r="A514" s="10" t="s">
        <v>451</v>
      </c>
      <c r="B514" s="10">
        <v>45</v>
      </c>
      <c r="C514" s="10">
        <v>130</v>
      </c>
    </row>
    <row r="515" spans="1:3">
      <c r="A515" s="10" t="s">
        <v>126</v>
      </c>
      <c r="B515" s="10">
        <v>51</v>
      </c>
      <c r="C515" s="10">
        <v>130</v>
      </c>
    </row>
    <row r="516" spans="1:3">
      <c r="A516" s="10" t="s">
        <v>302</v>
      </c>
      <c r="B516" s="10">
        <v>55</v>
      </c>
      <c r="C516" s="10">
        <v>130</v>
      </c>
    </row>
    <row r="517" spans="1:3">
      <c r="A517" s="10" t="s">
        <v>326</v>
      </c>
      <c r="B517" s="10">
        <v>56</v>
      </c>
      <c r="C517" s="10">
        <v>130</v>
      </c>
    </row>
    <row r="518" spans="1:3">
      <c r="A518" s="10" t="s">
        <v>153</v>
      </c>
      <c r="B518" s="10">
        <v>61</v>
      </c>
      <c r="C518" s="10">
        <v>130</v>
      </c>
    </row>
    <row r="519" spans="1:3">
      <c r="A519" s="10" t="s">
        <v>309</v>
      </c>
      <c r="B519" s="10">
        <v>67</v>
      </c>
      <c r="C519" s="10">
        <v>130</v>
      </c>
    </row>
    <row r="520" spans="1:3">
      <c r="A520" s="10" t="s">
        <v>264</v>
      </c>
      <c r="B520" s="10">
        <v>72</v>
      </c>
      <c r="C520" s="10">
        <v>130</v>
      </c>
    </row>
    <row r="521" spans="1:3">
      <c r="A521" s="10" t="s">
        <v>705</v>
      </c>
      <c r="B521" s="10">
        <v>77</v>
      </c>
      <c r="C521" s="10">
        <v>130</v>
      </c>
    </row>
    <row r="522" spans="1:3">
      <c r="A522" s="10" t="s">
        <v>598</v>
      </c>
      <c r="B522" s="10">
        <v>80</v>
      </c>
      <c r="C522" s="10">
        <v>130</v>
      </c>
    </row>
    <row r="523" spans="1:3">
      <c r="A523" s="10" t="s">
        <v>280</v>
      </c>
      <c r="B523" s="10">
        <v>84</v>
      </c>
      <c r="C523" s="10">
        <v>130</v>
      </c>
    </row>
    <row r="524" spans="1:3">
      <c r="A524" s="10" t="s">
        <v>88</v>
      </c>
      <c r="B524" s="10">
        <v>46</v>
      </c>
      <c r="C524" s="10">
        <v>129</v>
      </c>
    </row>
    <row r="525" spans="1:3">
      <c r="A525" s="10" t="s">
        <v>43</v>
      </c>
      <c r="B525" s="10">
        <v>62</v>
      </c>
      <c r="C525" s="10">
        <v>129</v>
      </c>
    </row>
    <row r="526" spans="1:3">
      <c r="A526" s="10" t="s">
        <v>21</v>
      </c>
      <c r="B526" s="10">
        <v>69</v>
      </c>
      <c r="C526" s="10">
        <v>129</v>
      </c>
    </row>
    <row r="527" spans="1:3">
      <c r="A527" s="10" t="s">
        <v>507</v>
      </c>
      <c r="B527" s="10">
        <v>85</v>
      </c>
      <c r="C527" s="10">
        <v>129</v>
      </c>
    </row>
    <row r="528" spans="1:3">
      <c r="A528" s="10" t="s">
        <v>99</v>
      </c>
      <c r="B528" s="10">
        <v>15</v>
      </c>
      <c r="C528" s="10">
        <v>128</v>
      </c>
    </row>
    <row r="529" spans="1:3">
      <c r="A529" s="10" t="s">
        <v>120</v>
      </c>
      <c r="B529" s="10">
        <v>38</v>
      </c>
      <c r="C529" s="10">
        <v>128</v>
      </c>
    </row>
    <row r="530" spans="1:3">
      <c r="A530" s="10" t="s">
        <v>179</v>
      </c>
      <c r="B530" s="10">
        <v>45</v>
      </c>
      <c r="C530" s="10">
        <v>128</v>
      </c>
    </row>
    <row r="531" spans="1:3">
      <c r="A531" s="10" t="s">
        <v>555</v>
      </c>
      <c r="B531" s="10">
        <v>63</v>
      </c>
      <c r="C531" s="10">
        <v>128</v>
      </c>
    </row>
    <row r="532" spans="1:3">
      <c r="A532" s="10" t="s">
        <v>116</v>
      </c>
      <c r="B532" s="10">
        <v>82</v>
      </c>
      <c r="C532" s="10">
        <v>128</v>
      </c>
    </row>
    <row r="533" spans="1:3">
      <c r="A533" s="10" t="s">
        <v>412</v>
      </c>
      <c r="B533" s="10">
        <v>82</v>
      </c>
      <c r="C533" s="10">
        <v>128</v>
      </c>
    </row>
    <row r="534" spans="1:3">
      <c r="A534" s="10" t="s">
        <v>474</v>
      </c>
      <c r="B534" s="10">
        <v>93</v>
      </c>
      <c r="C534" s="10">
        <v>128</v>
      </c>
    </row>
    <row r="535" spans="1:3">
      <c r="A535" s="10" t="s">
        <v>60</v>
      </c>
      <c r="B535" s="10">
        <v>48</v>
      </c>
      <c r="C535" s="10">
        <v>127</v>
      </c>
    </row>
    <row r="536" spans="1:3">
      <c r="A536" s="10" t="s">
        <v>420</v>
      </c>
      <c r="B536" s="10">
        <v>59</v>
      </c>
      <c r="C536" s="10">
        <v>127</v>
      </c>
    </row>
    <row r="537" spans="1:3">
      <c r="A537" s="10" t="s">
        <v>18</v>
      </c>
      <c r="B537" s="10">
        <v>66</v>
      </c>
      <c r="C537" s="10">
        <v>127</v>
      </c>
    </row>
    <row r="538" spans="1:3">
      <c r="A538" s="10" t="s">
        <v>408</v>
      </c>
      <c r="B538" s="10">
        <v>66</v>
      </c>
      <c r="C538" s="10">
        <v>127</v>
      </c>
    </row>
    <row r="539" spans="1:3">
      <c r="A539" s="10" t="s">
        <v>492</v>
      </c>
      <c r="B539" s="10">
        <v>68</v>
      </c>
      <c r="C539" s="10">
        <v>127</v>
      </c>
    </row>
    <row r="540" spans="1:3">
      <c r="A540" s="10" t="s">
        <v>633</v>
      </c>
      <c r="B540" s="10">
        <v>72</v>
      </c>
      <c r="C540" s="10">
        <v>127</v>
      </c>
    </row>
    <row r="541" spans="1:3">
      <c r="A541" s="10" t="s">
        <v>455</v>
      </c>
      <c r="B541" s="10">
        <v>75</v>
      </c>
      <c r="C541" s="10">
        <v>127</v>
      </c>
    </row>
    <row r="542" spans="1:3">
      <c r="A542" s="10" t="s">
        <v>637</v>
      </c>
      <c r="B542" s="10">
        <v>87</v>
      </c>
      <c r="C542" s="10">
        <v>127</v>
      </c>
    </row>
    <row r="543" spans="1:3">
      <c r="A543" s="10" t="s">
        <v>389</v>
      </c>
      <c r="B543" s="10">
        <v>25</v>
      </c>
      <c r="C543" s="10">
        <v>126</v>
      </c>
    </row>
    <row r="544" spans="1:3">
      <c r="A544" s="10" t="s">
        <v>127</v>
      </c>
      <c r="B544" s="10">
        <v>39</v>
      </c>
      <c r="C544" s="10">
        <v>126</v>
      </c>
    </row>
    <row r="545" spans="1:3">
      <c r="A545" s="10" t="s">
        <v>653</v>
      </c>
      <c r="B545" s="10">
        <v>40</v>
      </c>
      <c r="C545" s="10">
        <v>126</v>
      </c>
    </row>
    <row r="546" spans="1:3">
      <c r="A546" s="10" t="s">
        <v>256</v>
      </c>
      <c r="B546" s="10">
        <v>60</v>
      </c>
      <c r="C546" s="10">
        <v>126</v>
      </c>
    </row>
    <row r="547" spans="1:3">
      <c r="A547" s="10" t="s">
        <v>286</v>
      </c>
      <c r="B547" s="10">
        <v>63</v>
      </c>
      <c r="C547" s="10">
        <v>126</v>
      </c>
    </row>
    <row r="548" spans="1:3">
      <c r="A548" s="10" t="s">
        <v>424</v>
      </c>
      <c r="B548" s="10">
        <v>66</v>
      </c>
      <c r="C548" s="10">
        <v>126</v>
      </c>
    </row>
    <row r="549" spans="1:3">
      <c r="A549" s="10" t="s">
        <v>294</v>
      </c>
      <c r="B549" s="10">
        <v>67</v>
      </c>
      <c r="C549" s="10">
        <v>126</v>
      </c>
    </row>
    <row r="550" spans="1:3">
      <c r="A550" s="10" t="s">
        <v>338</v>
      </c>
      <c r="B550" s="10">
        <v>69</v>
      </c>
      <c r="C550" s="10">
        <v>126</v>
      </c>
    </row>
    <row r="551" spans="1:3">
      <c r="A551" s="10" t="s">
        <v>473</v>
      </c>
      <c r="B551" s="10">
        <v>78</v>
      </c>
      <c r="C551" s="10">
        <v>126</v>
      </c>
    </row>
    <row r="552" spans="1:3">
      <c r="A552" s="10" t="s">
        <v>642</v>
      </c>
      <c r="B552" s="10">
        <v>78</v>
      </c>
      <c r="C552" s="10">
        <v>126</v>
      </c>
    </row>
    <row r="553" spans="1:3">
      <c r="A553" s="10" t="s">
        <v>290</v>
      </c>
      <c r="B553" s="10">
        <v>82</v>
      </c>
      <c r="C553" s="10">
        <v>126</v>
      </c>
    </row>
    <row r="554" spans="1:3">
      <c r="A554" s="10" t="s">
        <v>38</v>
      </c>
      <c r="B554" s="10">
        <v>85</v>
      </c>
      <c r="C554" s="10">
        <v>126</v>
      </c>
    </row>
    <row r="555" spans="1:3">
      <c r="A555" s="10" t="s">
        <v>398</v>
      </c>
      <c r="B555" s="10">
        <v>37</v>
      </c>
      <c r="C555" s="10">
        <v>125</v>
      </c>
    </row>
    <row r="556" spans="1:3">
      <c r="A556" s="10" t="s">
        <v>205</v>
      </c>
      <c r="B556" s="10">
        <v>40</v>
      </c>
      <c r="C556" s="10">
        <v>125</v>
      </c>
    </row>
    <row r="557" spans="1:3">
      <c r="A557" s="10" t="s">
        <v>566</v>
      </c>
      <c r="B557" s="10">
        <v>61</v>
      </c>
      <c r="C557" s="10">
        <v>125</v>
      </c>
    </row>
    <row r="558" spans="1:3">
      <c r="A558" s="10" t="s">
        <v>334</v>
      </c>
      <c r="B558" s="10">
        <v>64</v>
      </c>
      <c r="C558" s="10">
        <v>125</v>
      </c>
    </row>
    <row r="559" spans="1:3">
      <c r="A559" s="10" t="s">
        <v>592</v>
      </c>
      <c r="B559" s="10">
        <v>74</v>
      </c>
      <c r="C559" s="10">
        <v>125</v>
      </c>
    </row>
    <row r="560" spans="1:3">
      <c r="A560" s="10" t="s">
        <v>328</v>
      </c>
      <c r="B560" s="10">
        <v>95</v>
      </c>
      <c r="C560" s="10">
        <v>125</v>
      </c>
    </row>
    <row r="561" spans="1:3">
      <c r="A561" s="10" t="s">
        <v>182</v>
      </c>
      <c r="B561" s="10">
        <v>18</v>
      </c>
      <c r="C561" s="10">
        <v>124</v>
      </c>
    </row>
    <row r="562" spans="1:3">
      <c r="A562" s="10" t="s">
        <v>366</v>
      </c>
      <c r="B562" s="10">
        <v>57</v>
      </c>
      <c r="C562" s="10">
        <v>124</v>
      </c>
    </row>
    <row r="563" spans="1:3">
      <c r="A563" s="10" t="s">
        <v>225</v>
      </c>
      <c r="B563" s="10">
        <v>71</v>
      </c>
      <c r="C563" s="10">
        <v>124</v>
      </c>
    </row>
    <row r="564" spans="1:3">
      <c r="A564" s="10" t="s">
        <v>167</v>
      </c>
      <c r="B564" s="10">
        <v>82</v>
      </c>
      <c r="C564" s="10">
        <v>124</v>
      </c>
    </row>
    <row r="565" spans="1:3">
      <c r="A565" s="10" t="s">
        <v>535</v>
      </c>
      <c r="B565" s="10">
        <v>92</v>
      </c>
      <c r="C565" s="10">
        <v>123</v>
      </c>
    </row>
    <row r="566" spans="1:3">
      <c r="A566" s="10" t="s">
        <v>452</v>
      </c>
      <c r="B566" s="10">
        <v>46</v>
      </c>
      <c r="C566" s="10">
        <v>122</v>
      </c>
    </row>
    <row r="567" spans="1:3">
      <c r="A567" s="10" t="s">
        <v>684</v>
      </c>
      <c r="B567" s="10">
        <v>53</v>
      </c>
      <c r="C567" s="10">
        <v>122</v>
      </c>
    </row>
    <row r="568" spans="1:3">
      <c r="A568" s="10" t="s">
        <v>342</v>
      </c>
      <c r="B568" s="10">
        <v>66</v>
      </c>
      <c r="C568" s="10">
        <v>122</v>
      </c>
    </row>
    <row r="569" spans="1:3">
      <c r="A569" s="10" t="s">
        <v>432</v>
      </c>
      <c r="B569" s="10">
        <v>68</v>
      </c>
      <c r="C569" s="10">
        <v>122</v>
      </c>
    </row>
    <row r="570" spans="1:3">
      <c r="A570" s="10" t="s">
        <v>352</v>
      </c>
      <c r="B570" s="10">
        <v>90</v>
      </c>
      <c r="C570" s="10">
        <v>122</v>
      </c>
    </row>
    <row r="571" spans="1:3">
      <c r="A571" s="10" t="s">
        <v>476</v>
      </c>
      <c r="B571" s="10">
        <v>39</v>
      </c>
      <c r="C571" s="10">
        <v>121</v>
      </c>
    </row>
    <row r="572" spans="1:3">
      <c r="A572" s="10" t="s">
        <v>66</v>
      </c>
      <c r="B572" s="10">
        <v>29</v>
      </c>
      <c r="C572" s="10">
        <v>120</v>
      </c>
    </row>
    <row r="573" spans="1:3">
      <c r="A573" s="10" t="s">
        <v>288</v>
      </c>
      <c r="B573" s="10">
        <v>56</v>
      </c>
      <c r="C573" s="10">
        <v>120</v>
      </c>
    </row>
    <row r="574" spans="1:3">
      <c r="A574" s="10" t="s">
        <v>663</v>
      </c>
      <c r="B574" s="10">
        <v>58</v>
      </c>
      <c r="C574" s="10">
        <v>120</v>
      </c>
    </row>
    <row r="575" spans="1:3">
      <c r="A575" s="10" t="s">
        <v>11</v>
      </c>
      <c r="B575" s="10">
        <v>65</v>
      </c>
      <c r="C575" s="10">
        <v>120</v>
      </c>
    </row>
    <row r="576" spans="1:3">
      <c r="A576" s="10" t="s">
        <v>197</v>
      </c>
      <c r="B576" s="10">
        <v>74</v>
      </c>
      <c r="C576" s="10">
        <v>120</v>
      </c>
    </row>
    <row r="577" spans="1:3">
      <c r="A577" s="10" t="s">
        <v>467</v>
      </c>
      <c r="B577" s="10">
        <v>75</v>
      </c>
      <c r="C577" s="10">
        <v>120</v>
      </c>
    </row>
    <row r="578" spans="1:3">
      <c r="A578" s="10" t="s">
        <v>359</v>
      </c>
      <c r="B578" s="10">
        <v>39</v>
      </c>
      <c r="C578" s="10">
        <v>119</v>
      </c>
    </row>
    <row r="579" spans="1:3">
      <c r="A579" s="10" t="s">
        <v>98</v>
      </c>
      <c r="B579" s="10">
        <v>44</v>
      </c>
      <c r="C579" s="10">
        <v>119</v>
      </c>
    </row>
    <row r="580" spans="1:3">
      <c r="A580" s="10" t="s">
        <v>107</v>
      </c>
      <c r="B580" s="10">
        <v>44</v>
      </c>
      <c r="C580" s="10">
        <v>119</v>
      </c>
    </row>
    <row r="581" spans="1:3">
      <c r="A581" s="10" t="s">
        <v>210</v>
      </c>
      <c r="B581" s="10">
        <v>62</v>
      </c>
      <c r="C581" s="10">
        <v>119</v>
      </c>
    </row>
    <row r="582" spans="1:3">
      <c r="A582" s="10" t="s">
        <v>70</v>
      </c>
      <c r="B582" s="10">
        <v>42</v>
      </c>
      <c r="C582" s="10">
        <v>118</v>
      </c>
    </row>
    <row r="583" spans="1:3">
      <c r="A583" s="10" t="s">
        <v>340</v>
      </c>
      <c r="B583" s="10">
        <v>48</v>
      </c>
      <c r="C583" s="10">
        <v>118</v>
      </c>
    </row>
    <row r="584" spans="1:3">
      <c r="A584" s="10" t="s">
        <v>600</v>
      </c>
      <c r="B584" s="10">
        <v>61</v>
      </c>
      <c r="C584" s="10">
        <v>118</v>
      </c>
    </row>
    <row r="585" spans="1:3">
      <c r="A585" s="10" t="s">
        <v>196</v>
      </c>
      <c r="B585" s="10">
        <v>67</v>
      </c>
      <c r="C585" s="10">
        <v>118</v>
      </c>
    </row>
    <row r="586" spans="1:3">
      <c r="A586" s="10" t="s">
        <v>516</v>
      </c>
      <c r="B586" s="10">
        <v>106</v>
      </c>
      <c r="C586" s="10">
        <v>118</v>
      </c>
    </row>
    <row r="587" spans="1:3">
      <c r="A587" s="10" t="s">
        <v>623</v>
      </c>
      <c r="B587" s="10">
        <v>42</v>
      </c>
      <c r="C587" s="10">
        <v>117</v>
      </c>
    </row>
    <row r="588" spans="1:3">
      <c r="A588" s="10" t="s">
        <v>446</v>
      </c>
      <c r="B588" s="10">
        <v>52</v>
      </c>
      <c r="C588" s="10">
        <v>117</v>
      </c>
    </row>
    <row r="589" spans="1:3">
      <c r="A589" s="10" t="s">
        <v>335</v>
      </c>
      <c r="B589" s="10">
        <v>74</v>
      </c>
      <c r="C589" s="10">
        <v>117</v>
      </c>
    </row>
    <row r="590" spans="1:3">
      <c r="A590" s="10" t="s">
        <v>664</v>
      </c>
      <c r="B590" s="10">
        <v>15</v>
      </c>
      <c r="C590" s="10">
        <v>116</v>
      </c>
    </row>
    <row r="591" spans="1:3">
      <c r="A591" s="10" t="s">
        <v>94</v>
      </c>
      <c r="B591" s="10">
        <v>47</v>
      </c>
      <c r="C591" s="10">
        <v>116</v>
      </c>
    </row>
    <row r="592" spans="1:3">
      <c r="A592" s="10" t="s">
        <v>105</v>
      </c>
      <c r="B592" s="10">
        <v>47</v>
      </c>
      <c r="C592" s="10">
        <v>116</v>
      </c>
    </row>
    <row r="593" spans="1:3">
      <c r="A593" s="10" t="s">
        <v>431</v>
      </c>
      <c r="B593" s="10">
        <v>70</v>
      </c>
      <c r="C593" s="10">
        <v>116</v>
      </c>
    </row>
    <row r="594" spans="1:3">
      <c r="A594" s="10" t="s">
        <v>275</v>
      </c>
      <c r="B594" s="10">
        <v>73</v>
      </c>
      <c r="C594" s="10">
        <v>116</v>
      </c>
    </row>
    <row r="595" spans="1:3">
      <c r="A595" s="10" t="s">
        <v>128</v>
      </c>
      <c r="B595" s="10">
        <v>36</v>
      </c>
      <c r="C595" s="10">
        <v>115</v>
      </c>
    </row>
    <row r="596" spans="1:3">
      <c r="A596" s="10" t="s">
        <v>276</v>
      </c>
      <c r="B596" s="10">
        <v>44</v>
      </c>
      <c r="C596" s="10">
        <v>115</v>
      </c>
    </row>
    <row r="597" spans="1:3">
      <c r="A597" s="10" t="s">
        <v>263</v>
      </c>
      <c r="B597" s="10">
        <v>53</v>
      </c>
      <c r="C597" s="10">
        <v>114</v>
      </c>
    </row>
    <row r="598" spans="1:3">
      <c r="A598" s="10" t="s">
        <v>691</v>
      </c>
      <c r="B598" s="10">
        <v>61</v>
      </c>
      <c r="C598" s="10">
        <v>114</v>
      </c>
    </row>
    <row r="599" spans="1:3">
      <c r="A599" s="10" t="s">
        <v>680</v>
      </c>
      <c r="B599" s="10">
        <v>35</v>
      </c>
      <c r="C599" s="10">
        <v>113</v>
      </c>
    </row>
    <row r="600" spans="1:3">
      <c r="A600" s="10" t="s">
        <v>692</v>
      </c>
      <c r="B600" s="10">
        <v>41</v>
      </c>
      <c r="C600" s="10">
        <v>113</v>
      </c>
    </row>
    <row r="601" spans="1:3">
      <c r="A601" s="10" t="s">
        <v>382</v>
      </c>
      <c r="B601" s="10">
        <v>49</v>
      </c>
      <c r="C601" s="10">
        <v>113</v>
      </c>
    </row>
    <row r="602" spans="1:3">
      <c r="A602" s="10" t="s">
        <v>208</v>
      </c>
      <c r="B602" s="10">
        <v>60</v>
      </c>
      <c r="C602" s="10">
        <v>113</v>
      </c>
    </row>
    <row r="603" spans="1:3">
      <c r="A603" s="10" t="s">
        <v>283</v>
      </c>
      <c r="B603" s="10">
        <v>67</v>
      </c>
      <c r="C603" s="10">
        <v>113</v>
      </c>
    </row>
    <row r="604" spans="1:3">
      <c r="A604" s="10" t="s">
        <v>524</v>
      </c>
      <c r="B604" s="10">
        <v>67</v>
      </c>
      <c r="C604" s="10">
        <v>113</v>
      </c>
    </row>
    <row r="605" spans="1:3">
      <c r="A605" s="10" t="s">
        <v>461</v>
      </c>
      <c r="B605" s="10">
        <v>74</v>
      </c>
      <c r="C605" s="10">
        <v>113</v>
      </c>
    </row>
    <row r="606" spans="1:3">
      <c r="A606" s="10" t="s">
        <v>469</v>
      </c>
      <c r="B606" s="10">
        <v>42</v>
      </c>
      <c r="C606" s="10">
        <v>112</v>
      </c>
    </row>
    <row r="607" spans="1:3">
      <c r="A607" s="10" t="s">
        <v>498</v>
      </c>
      <c r="B607" s="10">
        <v>65</v>
      </c>
      <c r="C607" s="10">
        <v>112</v>
      </c>
    </row>
    <row r="608" spans="1:3">
      <c r="A608" s="10" t="s">
        <v>702</v>
      </c>
      <c r="B608" s="10">
        <v>66</v>
      </c>
      <c r="C608" s="10">
        <v>112</v>
      </c>
    </row>
    <row r="609" spans="1:3">
      <c r="A609" s="10" t="s">
        <v>49</v>
      </c>
      <c r="B609" s="10">
        <v>69</v>
      </c>
      <c r="C609" s="10">
        <v>112</v>
      </c>
    </row>
    <row r="610" spans="1:3">
      <c r="A610" s="10" t="s">
        <v>154</v>
      </c>
      <c r="B610" s="10">
        <v>72</v>
      </c>
      <c r="C610" s="10">
        <v>112</v>
      </c>
    </row>
    <row r="611" spans="1:3">
      <c r="A611" s="10" t="s">
        <v>188</v>
      </c>
      <c r="B611" s="10">
        <v>81</v>
      </c>
      <c r="C611" s="10">
        <v>112</v>
      </c>
    </row>
    <row r="612" spans="1:3">
      <c r="A612" s="10" t="s">
        <v>52</v>
      </c>
      <c r="B612" s="10">
        <v>82</v>
      </c>
      <c r="C612" s="10">
        <v>112</v>
      </c>
    </row>
    <row r="613" spans="1:3">
      <c r="A613" s="10" t="s">
        <v>594</v>
      </c>
      <c r="B613" s="10">
        <v>25</v>
      </c>
      <c r="C613" s="10">
        <v>111</v>
      </c>
    </row>
    <row r="614" spans="1:3">
      <c r="A614" s="10" t="s">
        <v>646</v>
      </c>
      <c r="B614" s="10">
        <v>64</v>
      </c>
      <c r="C614" s="10">
        <v>111</v>
      </c>
    </row>
    <row r="615" spans="1:3">
      <c r="A615" s="10" t="s">
        <v>648</v>
      </c>
      <c r="B615" s="10">
        <v>64</v>
      </c>
      <c r="C615" s="10">
        <v>111</v>
      </c>
    </row>
    <row r="616" spans="1:3">
      <c r="A616" s="10" t="s">
        <v>377</v>
      </c>
      <c r="B616" s="10">
        <v>61</v>
      </c>
      <c r="C616" s="10">
        <v>110</v>
      </c>
    </row>
    <row r="617" spans="1:3">
      <c r="A617" s="10" t="s">
        <v>216</v>
      </c>
      <c r="B617" s="10">
        <v>71</v>
      </c>
      <c r="C617" s="10">
        <v>110</v>
      </c>
    </row>
    <row r="618" spans="1:3">
      <c r="A618" s="10" t="s">
        <v>319</v>
      </c>
      <c r="B618" s="10">
        <v>74</v>
      </c>
      <c r="C618" s="10">
        <v>110</v>
      </c>
    </row>
    <row r="619" spans="1:3">
      <c r="A619" s="10" t="s">
        <v>704</v>
      </c>
      <c r="B619" s="10">
        <v>96</v>
      </c>
      <c r="C619" s="10">
        <v>110</v>
      </c>
    </row>
    <row r="620" spans="1:3">
      <c r="A620" s="10" t="s">
        <v>135</v>
      </c>
      <c r="B620" s="10">
        <v>15</v>
      </c>
      <c r="C620" s="10">
        <v>109</v>
      </c>
    </row>
    <row r="621" spans="1:3">
      <c r="A621" s="10" t="s">
        <v>654</v>
      </c>
      <c r="B621" s="10">
        <v>35</v>
      </c>
      <c r="C621" s="10">
        <v>109</v>
      </c>
    </row>
    <row r="622" spans="1:3">
      <c r="A622" s="10" t="s">
        <v>119</v>
      </c>
      <c r="B622" s="10">
        <v>58</v>
      </c>
      <c r="C622" s="10">
        <v>109</v>
      </c>
    </row>
    <row r="623" spans="1:3">
      <c r="A623" s="10" t="s">
        <v>134</v>
      </c>
      <c r="B623" s="10">
        <v>70</v>
      </c>
      <c r="C623" s="10">
        <v>109</v>
      </c>
    </row>
    <row r="624" spans="1:3">
      <c r="A624" s="10" t="s">
        <v>349</v>
      </c>
      <c r="B624" s="10">
        <v>39</v>
      </c>
      <c r="C624" s="10">
        <v>108</v>
      </c>
    </row>
    <row r="625" spans="1:3">
      <c r="A625" s="10" t="s">
        <v>26</v>
      </c>
      <c r="B625" s="10">
        <v>41</v>
      </c>
      <c r="C625" s="10">
        <v>108</v>
      </c>
    </row>
    <row r="626" spans="1:3">
      <c r="A626" s="10" t="s">
        <v>131</v>
      </c>
      <c r="B626" s="10">
        <v>43</v>
      </c>
      <c r="C626" s="10">
        <v>108</v>
      </c>
    </row>
    <row r="627" spans="1:3">
      <c r="A627" s="10" t="s">
        <v>287</v>
      </c>
      <c r="B627" s="10">
        <v>46</v>
      </c>
      <c r="C627" s="10">
        <v>108</v>
      </c>
    </row>
    <row r="628" spans="1:3">
      <c r="A628" s="10" t="s">
        <v>423</v>
      </c>
      <c r="B628" s="10">
        <v>59</v>
      </c>
      <c r="C628" s="10">
        <v>108</v>
      </c>
    </row>
    <row r="629" spans="1:3">
      <c r="A629" s="10" t="s">
        <v>191</v>
      </c>
      <c r="B629" s="10">
        <v>43</v>
      </c>
      <c r="C629" s="10">
        <v>107</v>
      </c>
    </row>
    <row r="630" spans="1:3">
      <c r="A630" s="10" t="s">
        <v>63</v>
      </c>
      <c r="B630" s="10">
        <v>60</v>
      </c>
      <c r="C630" s="10">
        <v>107</v>
      </c>
    </row>
    <row r="631" spans="1:3">
      <c r="A631" s="10" t="s">
        <v>211</v>
      </c>
      <c r="B631" s="10">
        <v>53</v>
      </c>
      <c r="C631" s="10">
        <v>106</v>
      </c>
    </row>
    <row r="632" spans="1:3">
      <c r="A632" s="10" t="s">
        <v>323</v>
      </c>
      <c r="B632" s="10">
        <v>62</v>
      </c>
      <c r="C632" s="10">
        <v>106</v>
      </c>
    </row>
    <row r="633" spans="1:3">
      <c r="A633" s="10" t="s">
        <v>681</v>
      </c>
      <c r="B633" s="10">
        <v>87</v>
      </c>
      <c r="C633" s="10">
        <v>106</v>
      </c>
    </row>
    <row r="634" spans="1:3">
      <c r="A634" s="10" t="s">
        <v>242</v>
      </c>
      <c r="B634" s="10">
        <v>45</v>
      </c>
      <c r="C634" s="10">
        <v>105</v>
      </c>
    </row>
    <row r="635" spans="1:3">
      <c r="A635" s="10" t="s">
        <v>570</v>
      </c>
      <c r="B635" s="10">
        <v>51</v>
      </c>
      <c r="C635" s="10">
        <v>105</v>
      </c>
    </row>
    <row r="636" spans="1:3">
      <c r="A636" s="10" t="s">
        <v>177</v>
      </c>
      <c r="B636" s="10">
        <v>55</v>
      </c>
      <c r="C636" s="10">
        <v>104</v>
      </c>
    </row>
    <row r="637" spans="1:3">
      <c r="A637" s="10" t="s">
        <v>95</v>
      </c>
      <c r="B637" s="10">
        <v>60</v>
      </c>
      <c r="C637" s="10">
        <v>104</v>
      </c>
    </row>
    <row r="638" spans="1:3">
      <c r="A638" s="10" t="s">
        <v>178</v>
      </c>
      <c r="B638" s="10">
        <v>62</v>
      </c>
      <c r="C638" s="10">
        <v>104</v>
      </c>
    </row>
    <row r="639" spans="1:3">
      <c r="A639" s="10" t="s">
        <v>252</v>
      </c>
      <c r="B639" s="10">
        <v>73</v>
      </c>
      <c r="C639" s="10">
        <v>104</v>
      </c>
    </row>
    <row r="640" spans="1:3">
      <c r="A640" s="10" t="s">
        <v>72</v>
      </c>
      <c r="B640" s="10">
        <v>42</v>
      </c>
      <c r="C640" s="10">
        <v>103</v>
      </c>
    </row>
    <row r="641" spans="1:3">
      <c r="A641" s="10" t="s">
        <v>444</v>
      </c>
      <c r="B641" s="10">
        <v>42</v>
      </c>
      <c r="C641" s="10">
        <v>103</v>
      </c>
    </row>
    <row r="642" spans="1:3">
      <c r="A642" s="10" t="s">
        <v>87</v>
      </c>
      <c r="B642" s="10">
        <v>15</v>
      </c>
      <c r="C642" s="10">
        <v>102</v>
      </c>
    </row>
    <row r="643" spans="1:3">
      <c r="A643" s="10" t="s">
        <v>355</v>
      </c>
      <c r="B643" s="10">
        <v>23</v>
      </c>
      <c r="C643" s="10">
        <v>102</v>
      </c>
    </row>
    <row r="644" spans="1:3">
      <c r="A644" s="10" t="s">
        <v>358</v>
      </c>
      <c r="B644" s="10">
        <v>29</v>
      </c>
      <c r="C644" s="10">
        <v>102</v>
      </c>
    </row>
    <row r="645" spans="1:3">
      <c r="A645" s="10" t="s">
        <v>174</v>
      </c>
      <c r="B645" s="10">
        <v>41</v>
      </c>
      <c r="C645" s="10">
        <v>102</v>
      </c>
    </row>
    <row r="646" spans="1:3">
      <c r="A646" s="10" t="s">
        <v>137</v>
      </c>
      <c r="B646" s="10">
        <v>60</v>
      </c>
      <c r="C646" s="10">
        <v>102</v>
      </c>
    </row>
    <row r="647" spans="1:3">
      <c r="A647" s="10" t="s">
        <v>523</v>
      </c>
      <c r="B647" s="10">
        <v>72</v>
      </c>
      <c r="C647" s="10">
        <v>102</v>
      </c>
    </row>
    <row r="648" spans="1:3">
      <c r="A648" s="10" t="s">
        <v>632</v>
      </c>
      <c r="B648" s="10">
        <v>77</v>
      </c>
      <c r="C648" s="10">
        <v>102</v>
      </c>
    </row>
    <row r="649" spans="1:3">
      <c r="A649" s="10" t="s">
        <v>173</v>
      </c>
      <c r="B649" s="10">
        <v>35</v>
      </c>
      <c r="C649" s="10">
        <v>101</v>
      </c>
    </row>
    <row r="650" spans="1:3">
      <c r="A650" s="10" t="s">
        <v>456</v>
      </c>
      <c r="B650" s="10">
        <v>49</v>
      </c>
      <c r="C650" s="10">
        <v>101</v>
      </c>
    </row>
    <row r="651" spans="1:3">
      <c r="A651" s="10" t="s">
        <v>351</v>
      </c>
      <c r="B651" s="10">
        <v>18</v>
      </c>
      <c r="C651" s="10">
        <v>100</v>
      </c>
    </row>
    <row r="652" spans="1:3">
      <c r="A652" s="10" t="s">
        <v>176</v>
      </c>
      <c r="B652" s="10">
        <v>24</v>
      </c>
      <c r="C652" s="10">
        <v>100</v>
      </c>
    </row>
    <row r="653" spans="1:3">
      <c r="A653" s="10" t="s">
        <v>687</v>
      </c>
      <c r="B653" s="10">
        <v>26</v>
      </c>
      <c r="C653" s="10">
        <v>100</v>
      </c>
    </row>
    <row r="654" spans="1:3">
      <c r="A654" s="10" t="s">
        <v>369</v>
      </c>
      <c r="B654" s="10">
        <v>50</v>
      </c>
      <c r="C654" s="10">
        <v>100</v>
      </c>
    </row>
    <row r="655" spans="1:3">
      <c r="A655" s="10" t="s">
        <v>506</v>
      </c>
      <c r="B655" s="10">
        <v>74</v>
      </c>
      <c r="C655" s="10">
        <v>100</v>
      </c>
    </row>
    <row r="656" spans="1:3">
      <c r="A656" s="10" t="s">
        <v>391</v>
      </c>
      <c r="B656" s="10">
        <v>45</v>
      </c>
      <c r="C656" s="10">
        <v>99</v>
      </c>
    </row>
    <row r="657" spans="1:3">
      <c r="A657" s="10" t="s">
        <v>504</v>
      </c>
      <c r="B657" s="10">
        <v>77</v>
      </c>
      <c r="C657" s="10">
        <v>99</v>
      </c>
    </row>
    <row r="658" spans="1:3">
      <c r="A658" s="10" t="s">
        <v>271</v>
      </c>
      <c r="B658" s="10">
        <v>79</v>
      </c>
      <c r="C658" s="10">
        <v>99</v>
      </c>
    </row>
    <row r="659" spans="1:3">
      <c r="A659" s="10" t="s">
        <v>169</v>
      </c>
      <c r="B659" s="10">
        <v>40</v>
      </c>
      <c r="C659" s="10">
        <v>97</v>
      </c>
    </row>
    <row r="660" spans="1:3">
      <c r="A660" s="10" t="s">
        <v>61</v>
      </c>
      <c r="B660" s="10">
        <v>44</v>
      </c>
      <c r="C660" s="10">
        <v>97</v>
      </c>
    </row>
    <row r="661" spans="1:3">
      <c r="A661" s="10" t="s">
        <v>399</v>
      </c>
      <c r="B661" s="10">
        <v>48</v>
      </c>
      <c r="C661" s="10">
        <v>97</v>
      </c>
    </row>
    <row r="662" spans="1:3">
      <c r="A662" s="10" t="s">
        <v>362</v>
      </c>
      <c r="B662" s="10">
        <v>56</v>
      </c>
      <c r="C662" s="10">
        <v>97</v>
      </c>
    </row>
    <row r="663" spans="1:3">
      <c r="A663" s="10" t="s">
        <v>651</v>
      </c>
      <c r="B663" s="10">
        <v>36</v>
      </c>
      <c r="C663" s="10">
        <v>96</v>
      </c>
    </row>
    <row r="664" spans="1:3">
      <c r="A664" s="10" t="s">
        <v>380</v>
      </c>
      <c r="B664" s="10">
        <v>47</v>
      </c>
      <c r="C664" s="10">
        <v>94</v>
      </c>
    </row>
    <row r="665" spans="1:3">
      <c r="A665" s="10" t="s">
        <v>365</v>
      </c>
      <c r="B665" s="10">
        <v>42</v>
      </c>
      <c r="C665" s="10">
        <v>92</v>
      </c>
    </row>
    <row r="666" spans="1:3">
      <c r="A666" s="10" t="s">
        <v>559</v>
      </c>
      <c r="B666" s="10">
        <v>51</v>
      </c>
      <c r="C666" s="10">
        <v>90</v>
      </c>
    </row>
    <row r="667" spans="1:3">
      <c r="A667" s="10" t="s">
        <v>230</v>
      </c>
      <c r="B667" s="10">
        <v>33</v>
      </c>
      <c r="C667" s="10">
        <v>89</v>
      </c>
    </row>
    <row r="668" spans="1:3">
      <c r="A668" s="10" t="s">
        <v>241</v>
      </c>
      <c r="B668" s="10">
        <v>52</v>
      </c>
      <c r="C668" s="10">
        <v>89</v>
      </c>
    </row>
    <row r="669" spans="1:3">
      <c r="A669" s="10" t="s">
        <v>586</v>
      </c>
      <c r="B669" s="10">
        <v>15</v>
      </c>
      <c r="C669" s="10">
        <v>86</v>
      </c>
    </row>
    <row r="670" spans="1:3">
      <c r="A670" s="10" t="s">
        <v>202</v>
      </c>
      <c r="B670" s="10">
        <v>50</v>
      </c>
      <c r="C670" s="10">
        <v>84</v>
      </c>
    </row>
    <row r="671" spans="1:3">
      <c r="A671" s="10" t="s">
        <v>563</v>
      </c>
      <c r="B671" s="10">
        <v>53</v>
      </c>
      <c r="C671" s="10">
        <v>84</v>
      </c>
    </row>
    <row r="672" spans="1:3">
      <c r="A672" s="10" t="s">
        <v>638</v>
      </c>
      <c r="B672" s="10">
        <v>61</v>
      </c>
      <c r="C672" s="10">
        <v>81</v>
      </c>
    </row>
    <row r="673" spans="1:3">
      <c r="A673" s="10" t="s">
        <v>662</v>
      </c>
      <c r="B673" s="10">
        <v>44</v>
      </c>
      <c r="C673" s="10">
        <v>80</v>
      </c>
    </row>
    <row r="674" spans="1:3">
      <c r="A674" s="10" t="s">
        <v>477</v>
      </c>
      <c r="B674" s="10">
        <v>15</v>
      </c>
      <c r="C674" s="10">
        <v>79</v>
      </c>
    </row>
    <row r="675" spans="1:3">
      <c r="A675" s="10" t="s">
        <v>471</v>
      </c>
      <c r="B675" s="10">
        <v>37</v>
      </c>
      <c r="C675" s="10">
        <v>78</v>
      </c>
    </row>
    <row r="676" spans="1:3">
      <c r="A676" s="10" t="s">
        <v>320</v>
      </c>
      <c r="B676" s="10">
        <v>39</v>
      </c>
      <c r="C676" s="10">
        <v>76</v>
      </c>
    </row>
    <row r="677" spans="1:3">
      <c r="A677" s="10" t="s">
        <v>521</v>
      </c>
      <c r="B677" s="10">
        <v>54</v>
      </c>
      <c r="C677" s="10">
        <v>76</v>
      </c>
    </row>
    <row r="678" spans="1:3">
      <c r="A678" s="10" t="s">
        <v>175</v>
      </c>
      <c r="B678" s="10">
        <v>60</v>
      </c>
      <c r="C678" s="10">
        <v>72</v>
      </c>
    </row>
    <row r="679" spans="1:3">
      <c r="A679" s="10" t="s">
        <v>462</v>
      </c>
      <c r="B679" s="10">
        <v>15</v>
      </c>
      <c r="C679" s="10">
        <v>61</v>
      </c>
    </row>
    <row r="680" spans="1:3">
      <c r="A680" s="10" t="s">
        <v>672</v>
      </c>
      <c r="B680" s="10">
        <v>30</v>
      </c>
      <c r="C680" s="10">
        <v>59</v>
      </c>
    </row>
    <row r="681" spans="1:3" ht="19.5">
      <c r="A681" s="10" t="s">
        <v>243</v>
      </c>
      <c r="B681" s="10">
        <v>54</v>
      </c>
      <c r="C681" s="59">
        <v>0</v>
      </c>
    </row>
    <row r="682" spans="1:3" ht="19.5">
      <c r="A682" s="10" t="s">
        <v>435</v>
      </c>
      <c r="B682" s="10">
        <v>59</v>
      </c>
      <c r="C682" s="59">
        <v>0</v>
      </c>
    </row>
    <row r="683" spans="1:3" ht="19.5">
      <c r="A683" s="10" t="s">
        <v>306</v>
      </c>
      <c r="B683" s="10">
        <v>81</v>
      </c>
      <c r="C683" s="59">
        <v>0</v>
      </c>
    </row>
  </sheetData>
  <autoFilter ref="A1:C1" xr:uid="{3550788A-D21A-4371-9881-5FF12C7C7DF4}">
    <sortState xmlns:xlrd2="http://schemas.microsoft.com/office/spreadsheetml/2017/richdata2" ref="A2:C683">
      <sortCondition descending="1" ref="C1"/>
    </sortState>
  </autoFilter>
  <phoneticPr fontId="2"/>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AD73-4539-4658-9FCE-C588796A3114}">
  <dimension ref="A1:AH683"/>
  <sheetViews>
    <sheetView topLeftCell="I1" workbookViewId="0">
      <selection activeCell="V2" sqref="V2:V683"/>
    </sheetView>
  </sheetViews>
  <sheetFormatPr defaultColWidth="12.25" defaultRowHeight="18.75"/>
  <cols>
    <col min="1" max="1" width="10.125" style="10" bestFit="1" customWidth="1"/>
    <col min="2" max="2" width="15.5" style="10" bestFit="1" customWidth="1"/>
    <col min="3" max="3" width="9.625" style="10" bestFit="1" customWidth="1"/>
    <col min="4" max="4" width="6.125" style="10" customWidth="1"/>
    <col min="5" max="5" width="15.5" style="10" bestFit="1" customWidth="1"/>
    <col min="6" max="6" width="13.75" style="10" bestFit="1" customWidth="1"/>
    <col min="7" max="7" width="12.125" style="10" bestFit="1" customWidth="1"/>
    <col min="8" max="8" width="15.75" style="10" bestFit="1" customWidth="1"/>
    <col min="9" max="9" width="12.25" style="10"/>
    <col min="10" max="10" width="10.125" style="10" bestFit="1" customWidth="1"/>
    <col min="11" max="16384" width="12.25" style="10"/>
  </cols>
  <sheetData>
    <row r="1" spans="1:34">
      <c r="A1" s="10" t="s">
        <v>3</v>
      </c>
      <c r="B1" s="10" t="s">
        <v>834</v>
      </c>
      <c r="C1" s="10" t="s">
        <v>5</v>
      </c>
      <c r="J1" s="61" t="s">
        <v>3</v>
      </c>
      <c r="K1" s="15" t="s">
        <v>39</v>
      </c>
      <c r="L1" s="15" t="s">
        <v>42</v>
      </c>
      <c r="M1" s="15" t="s">
        <v>37</v>
      </c>
      <c r="N1" s="15" t="s">
        <v>737</v>
      </c>
      <c r="O1" s="15" t="s">
        <v>740</v>
      </c>
      <c r="P1" s="15" t="s">
        <v>739</v>
      </c>
      <c r="Q1" s="15" t="s">
        <v>628</v>
      </c>
      <c r="R1" s="15" t="s">
        <v>736</v>
      </c>
      <c r="S1" s="15" t="s">
        <v>734</v>
      </c>
      <c r="T1" s="15" t="s">
        <v>735</v>
      </c>
      <c r="U1" s="15" t="s">
        <v>738</v>
      </c>
      <c r="V1" s="15" t="s">
        <v>914</v>
      </c>
    </row>
    <row r="2" spans="1:34" ht="19.5">
      <c r="A2" s="10" t="s">
        <v>11</v>
      </c>
      <c r="B2" s="10" t="s">
        <v>735</v>
      </c>
      <c r="C2" s="10" t="s">
        <v>13</v>
      </c>
      <c r="E2" s="10" t="s">
        <v>913</v>
      </c>
      <c r="J2" s="10" t="s">
        <v>11</v>
      </c>
      <c r="K2" s="62">
        <f>IF($B2=W$9, 1, 0)</f>
        <v>0</v>
      </c>
      <c r="L2" s="62">
        <f t="shared" ref="L2:U17" si="0">IF($B2=X$9, 1, 0)</f>
        <v>0</v>
      </c>
      <c r="M2" s="62">
        <f t="shared" si="0"/>
        <v>0</v>
      </c>
      <c r="N2" s="62">
        <f t="shared" si="0"/>
        <v>0</v>
      </c>
      <c r="O2" s="62">
        <f t="shared" si="0"/>
        <v>0</v>
      </c>
      <c r="P2" s="62">
        <f t="shared" si="0"/>
        <v>0</v>
      </c>
      <c r="Q2" s="62">
        <f t="shared" si="0"/>
        <v>0</v>
      </c>
      <c r="R2" s="62">
        <f t="shared" si="0"/>
        <v>0</v>
      </c>
      <c r="S2" s="62">
        <f t="shared" si="0"/>
        <v>0</v>
      </c>
      <c r="T2" s="62">
        <f t="shared" si="0"/>
        <v>1</v>
      </c>
      <c r="U2" s="62">
        <f t="shared" si="0"/>
        <v>0</v>
      </c>
      <c r="V2" s="62">
        <f>IF($C2=$V$1, 1, 0)</f>
        <v>1</v>
      </c>
    </row>
    <row r="3" spans="1:34" ht="19.5">
      <c r="A3" s="10" t="s">
        <v>14</v>
      </c>
      <c r="B3" s="10" t="s">
        <v>735</v>
      </c>
      <c r="C3" s="10" t="s">
        <v>13</v>
      </c>
      <c r="J3" s="10" t="s">
        <v>14</v>
      </c>
      <c r="K3" s="62">
        <f t="shared" ref="K3:O66" si="1">IF($B3=W$9, 1, 0)</f>
        <v>0</v>
      </c>
      <c r="L3" s="62">
        <f t="shared" si="0"/>
        <v>0</v>
      </c>
      <c r="M3" s="62">
        <f t="shared" si="0"/>
        <v>0</v>
      </c>
      <c r="N3" s="62">
        <f t="shared" si="0"/>
        <v>0</v>
      </c>
      <c r="O3" s="62">
        <f t="shared" si="0"/>
        <v>0</v>
      </c>
      <c r="P3" s="62">
        <f t="shared" si="0"/>
        <v>0</v>
      </c>
      <c r="Q3" s="62">
        <f t="shared" si="0"/>
        <v>0</v>
      </c>
      <c r="R3" s="62">
        <f t="shared" si="0"/>
        <v>0</v>
      </c>
      <c r="S3" s="62">
        <f t="shared" si="0"/>
        <v>0</v>
      </c>
      <c r="T3" s="62">
        <f t="shared" si="0"/>
        <v>1</v>
      </c>
      <c r="U3" s="62">
        <f t="shared" si="0"/>
        <v>0</v>
      </c>
      <c r="V3" s="62">
        <f t="shared" ref="V3:V66" si="2">IF($C3=$V$1, 1, 0)</f>
        <v>1</v>
      </c>
    </row>
    <row r="4" spans="1:34" ht="19.5">
      <c r="A4" s="10" t="s">
        <v>15</v>
      </c>
      <c r="B4" s="10" t="s">
        <v>735</v>
      </c>
      <c r="C4" s="10" t="s">
        <v>20</v>
      </c>
      <c r="E4" s="20" t="s">
        <v>733</v>
      </c>
      <c r="F4" s="10" t="s">
        <v>903</v>
      </c>
      <c r="G4" s="20" t="s">
        <v>733</v>
      </c>
      <c r="H4" s="10" t="s">
        <v>911</v>
      </c>
      <c r="J4" s="10" t="s">
        <v>15</v>
      </c>
      <c r="K4" s="62">
        <f t="shared" si="1"/>
        <v>0</v>
      </c>
      <c r="L4" s="62">
        <f t="shared" si="0"/>
        <v>0</v>
      </c>
      <c r="M4" s="62">
        <f t="shared" si="0"/>
        <v>0</v>
      </c>
      <c r="N4" s="62">
        <f t="shared" si="0"/>
        <v>0</v>
      </c>
      <c r="O4" s="62">
        <f t="shared" si="0"/>
        <v>0</v>
      </c>
      <c r="P4" s="62">
        <f t="shared" si="0"/>
        <v>0</v>
      </c>
      <c r="Q4" s="62">
        <f t="shared" si="0"/>
        <v>0</v>
      </c>
      <c r="R4" s="62">
        <f t="shared" si="0"/>
        <v>0</v>
      </c>
      <c r="S4" s="62">
        <f t="shared" si="0"/>
        <v>0</v>
      </c>
      <c r="T4" s="62">
        <f t="shared" si="0"/>
        <v>1</v>
      </c>
      <c r="U4" s="62">
        <f t="shared" si="0"/>
        <v>0</v>
      </c>
      <c r="V4" s="62">
        <f t="shared" si="2"/>
        <v>0</v>
      </c>
    </row>
    <row r="5" spans="1:34" ht="19.5">
      <c r="A5" s="10" t="s">
        <v>17</v>
      </c>
      <c r="B5" s="10" t="s">
        <v>735</v>
      </c>
      <c r="C5" s="10" t="s">
        <v>13</v>
      </c>
      <c r="E5" s="15" t="s">
        <v>39</v>
      </c>
      <c r="F5" s="10">
        <v>142</v>
      </c>
      <c r="G5" s="15" t="s">
        <v>13</v>
      </c>
      <c r="H5" s="10">
        <v>493</v>
      </c>
      <c r="J5" s="10" t="s">
        <v>17</v>
      </c>
      <c r="K5" s="62">
        <f t="shared" si="1"/>
        <v>0</v>
      </c>
      <c r="L5" s="62">
        <f t="shared" si="0"/>
        <v>0</v>
      </c>
      <c r="M5" s="62">
        <f t="shared" si="0"/>
        <v>0</v>
      </c>
      <c r="N5" s="62">
        <f t="shared" si="0"/>
        <v>0</v>
      </c>
      <c r="O5" s="62">
        <f t="shared" si="0"/>
        <v>0</v>
      </c>
      <c r="P5" s="62">
        <f t="shared" si="0"/>
        <v>0</v>
      </c>
      <c r="Q5" s="62">
        <f t="shared" si="0"/>
        <v>0</v>
      </c>
      <c r="R5" s="62">
        <f t="shared" si="0"/>
        <v>0</v>
      </c>
      <c r="S5" s="62">
        <f t="shared" si="0"/>
        <v>0</v>
      </c>
      <c r="T5" s="62">
        <f t="shared" si="0"/>
        <v>1</v>
      </c>
      <c r="U5" s="62">
        <f t="shared" si="0"/>
        <v>0</v>
      </c>
      <c r="V5" s="62">
        <f t="shared" si="2"/>
        <v>1</v>
      </c>
    </row>
    <row r="6" spans="1:34" ht="19.5">
      <c r="A6" s="10" t="s">
        <v>18</v>
      </c>
      <c r="B6" s="10" t="s">
        <v>735</v>
      </c>
      <c r="C6" s="10" t="s">
        <v>13</v>
      </c>
      <c r="E6" s="15" t="s">
        <v>42</v>
      </c>
      <c r="F6" s="10">
        <v>135</v>
      </c>
      <c r="G6" s="15" t="s">
        <v>20</v>
      </c>
      <c r="H6" s="10">
        <v>189</v>
      </c>
      <c r="J6" s="10" t="s">
        <v>18</v>
      </c>
      <c r="K6" s="62">
        <f t="shared" si="1"/>
        <v>0</v>
      </c>
      <c r="L6" s="62">
        <f t="shared" si="0"/>
        <v>0</v>
      </c>
      <c r="M6" s="62">
        <f t="shared" si="0"/>
        <v>0</v>
      </c>
      <c r="N6" s="62">
        <f t="shared" si="0"/>
        <v>0</v>
      </c>
      <c r="O6" s="62">
        <f t="shared" si="0"/>
        <v>0</v>
      </c>
      <c r="P6" s="62">
        <f t="shared" si="0"/>
        <v>0</v>
      </c>
      <c r="Q6" s="62">
        <f t="shared" si="0"/>
        <v>0</v>
      </c>
      <c r="R6" s="62">
        <f t="shared" si="0"/>
        <v>0</v>
      </c>
      <c r="S6" s="62">
        <f t="shared" si="0"/>
        <v>0</v>
      </c>
      <c r="T6" s="62">
        <f t="shared" si="0"/>
        <v>1</v>
      </c>
      <c r="U6" s="62">
        <f t="shared" si="0"/>
        <v>0</v>
      </c>
      <c r="V6" s="62">
        <f t="shared" si="2"/>
        <v>1</v>
      </c>
    </row>
    <row r="7" spans="1:34" ht="19.5">
      <c r="A7" s="10" t="s">
        <v>19</v>
      </c>
      <c r="B7" s="10" t="s">
        <v>735</v>
      </c>
      <c r="C7" s="10" t="s">
        <v>20</v>
      </c>
      <c r="E7" s="15" t="s">
        <v>37</v>
      </c>
      <c r="F7" s="10">
        <v>89</v>
      </c>
      <c r="G7" s="15" t="s">
        <v>741</v>
      </c>
      <c r="J7" s="10" t="s">
        <v>19</v>
      </c>
      <c r="K7" s="62">
        <f t="shared" si="1"/>
        <v>0</v>
      </c>
      <c r="L7" s="62">
        <f t="shared" si="0"/>
        <v>0</v>
      </c>
      <c r="M7" s="62">
        <f t="shared" si="0"/>
        <v>0</v>
      </c>
      <c r="N7" s="62">
        <f t="shared" si="0"/>
        <v>0</v>
      </c>
      <c r="O7" s="62">
        <f t="shared" si="0"/>
        <v>0</v>
      </c>
      <c r="P7" s="62">
        <f t="shared" si="0"/>
        <v>0</v>
      </c>
      <c r="Q7" s="62">
        <f t="shared" si="0"/>
        <v>0</v>
      </c>
      <c r="R7" s="62">
        <f t="shared" si="0"/>
        <v>0</v>
      </c>
      <c r="S7" s="62">
        <f t="shared" si="0"/>
        <v>0</v>
      </c>
      <c r="T7" s="62">
        <f t="shared" si="0"/>
        <v>1</v>
      </c>
      <c r="U7" s="62">
        <f t="shared" si="0"/>
        <v>0</v>
      </c>
      <c r="V7" s="62">
        <f t="shared" si="2"/>
        <v>0</v>
      </c>
    </row>
    <row r="8" spans="1:34" ht="19.5">
      <c r="A8" s="10" t="s">
        <v>21</v>
      </c>
      <c r="B8" s="10" t="s">
        <v>735</v>
      </c>
      <c r="C8" s="10" t="s">
        <v>13</v>
      </c>
      <c r="E8" s="15" t="s">
        <v>737</v>
      </c>
      <c r="F8" s="10">
        <v>72</v>
      </c>
      <c r="G8" s="15" t="s">
        <v>742</v>
      </c>
      <c r="H8" s="10">
        <v>682</v>
      </c>
      <c r="J8" s="10" t="s">
        <v>21</v>
      </c>
      <c r="K8" s="62">
        <f t="shared" si="1"/>
        <v>0</v>
      </c>
      <c r="L8" s="62">
        <f t="shared" si="0"/>
        <v>0</v>
      </c>
      <c r="M8" s="62">
        <f t="shared" si="0"/>
        <v>0</v>
      </c>
      <c r="N8" s="62">
        <f t="shared" si="0"/>
        <v>0</v>
      </c>
      <c r="O8" s="62">
        <f t="shared" si="0"/>
        <v>0</v>
      </c>
      <c r="P8" s="62">
        <f t="shared" si="0"/>
        <v>0</v>
      </c>
      <c r="Q8" s="62">
        <f t="shared" si="0"/>
        <v>0</v>
      </c>
      <c r="R8" s="62">
        <f t="shared" si="0"/>
        <v>0</v>
      </c>
      <c r="S8" s="62">
        <f t="shared" si="0"/>
        <v>0</v>
      </c>
      <c r="T8" s="62">
        <f t="shared" si="0"/>
        <v>1</v>
      </c>
      <c r="U8" s="62">
        <f t="shared" si="0"/>
        <v>0</v>
      </c>
      <c r="V8" s="62">
        <f t="shared" si="2"/>
        <v>1</v>
      </c>
    </row>
    <row r="9" spans="1:34" ht="19.5">
      <c r="A9" s="10" t="s">
        <v>22</v>
      </c>
      <c r="B9" s="10" t="s">
        <v>735</v>
      </c>
      <c r="C9" s="10" t="s">
        <v>20</v>
      </c>
      <c r="E9" s="15" t="s">
        <v>740</v>
      </c>
      <c r="F9" s="10">
        <v>67</v>
      </c>
      <c r="J9" s="10" t="s">
        <v>22</v>
      </c>
      <c r="K9" s="62">
        <f t="shared" si="1"/>
        <v>0</v>
      </c>
      <c r="L9" s="62">
        <f t="shared" si="0"/>
        <v>0</v>
      </c>
      <c r="M9" s="62">
        <f t="shared" si="0"/>
        <v>0</v>
      </c>
      <c r="N9" s="62">
        <f t="shared" si="0"/>
        <v>0</v>
      </c>
      <c r="O9" s="62">
        <f t="shared" si="0"/>
        <v>0</v>
      </c>
      <c r="P9" s="62">
        <f t="shared" si="0"/>
        <v>0</v>
      </c>
      <c r="Q9" s="62">
        <f t="shared" si="0"/>
        <v>0</v>
      </c>
      <c r="R9" s="62">
        <f t="shared" si="0"/>
        <v>0</v>
      </c>
      <c r="S9" s="62">
        <f t="shared" si="0"/>
        <v>0</v>
      </c>
      <c r="T9" s="62">
        <f t="shared" si="0"/>
        <v>1</v>
      </c>
      <c r="U9" s="62">
        <f t="shared" si="0"/>
        <v>0</v>
      </c>
      <c r="V9" s="62">
        <f t="shared" si="2"/>
        <v>0</v>
      </c>
      <c r="W9" s="15" t="s">
        <v>39</v>
      </c>
      <c r="X9" s="15" t="s">
        <v>42</v>
      </c>
      <c r="Y9" s="15" t="s">
        <v>37</v>
      </c>
      <c r="Z9" s="15" t="s">
        <v>737</v>
      </c>
      <c r="AA9" s="15" t="s">
        <v>740</v>
      </c>
      <c r="AB9" s="15" t="s">
        <v>739</v>
      </c>
      <c r="AC9" s="15" t="s">
        <v>628</v>
      </c>
      <c r="AD9" s="15" t="s">
        <v>736</v>
      </c>
      <c r="AE9" s="15" t="s">
        <v>734</v>
      </c>
      <c r="AF9" s="15" t="s">
        <v>735</v>
      </c>
      <c r="AG9" s="15" t="s">
        <v>738</v>
      </c>
      <c r="AH9" s="15" t="s">
        <v>741</v>
      </c>
    </row>
    <row r="10" spans="1:34" ht="19.5">
      <c r="A10" s="10" t="s">
        <v>23</v>
      </c>
      <c r="B10" s="10" t="s">
        <v>735</v>
      </c>
      <c r="C10" s="10" t="s">
        <v>20</v>
      </c>
      <c r="E10" s="15" t="s">
        <v>739</v>
      </c>
      <c r="F10" s="10">
        <v>56</v>
      </c>
      <c r="J10" s="10" t="s">
        <v>23</v>
      </c>
      <c r="K10" s="62">
        <f t="shared" si="1"/>
        <v>0</v>
      </c>
      <c r="L10" s="62">
        <f t="shared" si="0"/>
        <v>0</v>
      </c>
      <c r="M10" s="62">
        <f t="shared" si="0"/>
        <v>0</v>
      </c>
      <c r="N10" s="62">
        <f t="shared" si="0"/>
        <v>0</v>
      </c>
      <c r="O10" s="62">
        <f t="shared" si="0"/>
        <v>0</v>
      </c>
      <c r="P10" s="62">
        <f t="shared" si="0"/>
        <v>0</v>
      </c>
      <c r="Q10" s="62">
        <f t="shared" si="0"/>
        <v>0</v>
      </c>
      <c r="R10" s="62">
        <f t="shared" si="0"/>
        <v>0</v>
      </c>
      <c r="S10" s="62">
        <f t="shared" si="0"/>
        <v>0</v>
      </c>
      <c r="T10" s="62">
        <f t="shared" si="0"/>
        <v>1</v>
      </c>
      <c r="U10" s="62">
        <f t="shared" si="0"/>
        <v>0</v>
      </c>
      <c r="V10" s="62">
        <f t="shared" si="2"/>
        <v>0</v>
      </c>
    </row>
    <row r="11" spans="1:34" ht="19.5">
      <c r="A11" s="10" t="s">
        <v>24</v>
      </c>
      <c r="B11" s="10" t="s">
        <v>735</v>
      </c>
      <c r="C11" s="10" t="s">
        <v>13</v>
      </c>
      <c r="E11" s="15" t="s">
        <v>628</v>
      </c>
      <c r="F11" s="10">
        <v>45</v>
      </c>
      <c r="J11" s="10" t="s">
        <v>24</v>
      </c>
      <c r="K11" s="62">
        <f t="shared" si="1"/>
        <v>0</v>
      </c>
      <c r="L11" s="62">
        <f t="shared" si="0"/>
        <v>0</v>
      </c>
      <c r="M11" s="62">
        <f t="shared" si="0"/>
        <v>0</v>
      </c>
      <c r="N11" s="62">
        <f t="shared" si="0"/>
        <v>0</v>
      </c>
      <c r="O11" s="62">
        <f t="shared" si="0"/>
        <v>0</v>
      </c>
      <c r="P11" s="62">
        <f t="shared" si="0"/>
        <v>0</v>
      </c>
      <c r="Q11" s="62">
        <f t="shared" si="0"/>
        <v>0</v>
      </c>
      <c r="R11" s="62">
        <f t="shared" si="0"/>
        <v>0</v>
      </c>
      <c r="S11" s="62">
        <f t="shared" si="0"/>
        <v>0</v>
      </c>
      <c r="T11" s="62">
        <f t="shared" si="0"/>
        <v>1</v>
      </c>
      <c r="U11" s="62">
        <f t="shared" si="0"/>
        <v>0</v>
      </c>
      <c r="V11" s="62">
        <f t="shared" si="2"/>
        <v>1</v>
      </c>
    </row>
    <row r="12" spans="1:34" ht="19.5">
      <c r="A12" s="10" t="s">
        <v>25</v>
      </c>
      <c r="B12" s="10" t="s">
        <v>735</v>
      </c>
      <c r="C12" s="10" t="s">
        <v>20</v>
      </c>
      <c r="E12" s="15" t="s">
        <v>736</v>
      </c>
      <c r="F12" s="10">
        <v>31</v>
      </c>
      <c r="J12" s="10" t="s">
        <v>25</v>
      </c>
      <c r="K12" s="62">
        <f t="shared" si="1"/>
        <v>0</v>
      </c>
      <c r="L12" s="62">
        <f t="shared" si="0"/>
        <v>0</v>
      </c>
      <c r="M12" s="62">
        <f t="shared" si="0"/>
        <v>0</v>
      </c>
      <c r="N12" s="62">
        <f t="shared" si="0"/>
        <v>0</v>
      </c>
      <c r="O12" s="62">
        <f t="shared" si="0"/>
        <v>0</v>
      </c>
      <c r="P12" s="62">
        <f t="shared" si="0"/>
        <v>0</v>
      </c>
      <c r="Q12" s="62">
        <f t="shared" si="0"/>
        <v>0</v>
      </c>
      <c r="R12" s="62">
        <f t="shared" si="0"/>
        <v>0</v>
      </c>
      <c r="S12" s="62">
        <f t="shared" si="0"/>
        <v>0</v>
      </c>
      <c r="T12" s="62">
        <f t="shared" si="0"/>
        <v>1</v>
      </c>
      <c r="U12" s="62">
        <f t="shared" si="0"/>
        <v>0</v>
      </c>
      <c r="V12" s="62">
        <f t="shared" si="2"/>
        <v>0</v>
      </c>
    </row>
    <row r="13" spans="1:34" ht="19.5">
      <c r="A13" s="10" t="s">
        <v>26</v>
      </c>
      <c r="B13" s="10" t="s">
        <v>735</v>
      </c>
      <c r="C13" s="10" t="s">
        <v>13</v>
      </c>
      <c r="E13" s="15" t="s">
        <v>734</v>
      </c>
      <c r="F13" s="10">
        <v>23</v>
      </c>
      <c r="J13" s="10" t="s">
        <v>26</v>
      </c>
      <c r="K13" s="62">
        <f t="shared" si="1"/>
        <v>0</v>
      </c>
      <c r="L13" s="62">
        <f t="shared" si="0"/>
        <v>0</v>
      </c>
      <c r="M13" s="62">
        <f t="shared" si="0"/>
        <v>0</v>
      </c>
      <c r="N13" s="62">
        <f t="shared" si="0"/>
        <v>0</v>
      </c>
      <c r="O13" s="62">
        <f t="shared" si="0"/>
        <v>0</v>
      </c>
      <c r="P13" s="62">
        <f t="shared" si="0"/>
        <v>0</v>
      </c>
      <c r="Q13" s="62">
        <f t="shared" si="0"/>
        <v>0</v>
      </c>
      <c r="R13" s="62">
        <f t="shared" si="0"/>
        <v>0</v>
      </c>
      <c r="S13" s="62">
        <f t="shared" si="0"/>
        <v>0</v>
      </c>
      <c r="T13" s="62">
        <f t="shared" si="0"/>
        <v>1</v>
      </c>
      <c r="U13" s="62">
        <f t="shared" si="0"/>
        <v>0</v>
      </c>
      <c r="V13" s="62">
        <f t="shared" si="2"/>
        <v>1</v>
      </c>
    </row>
    <row r="14" spans="1:34" ht="19.5">
      <c r="A14" s="10" t="s">
        <v>27</v>
      </c>
      <c r="B14" s="10" t="s">
        <v>735</v>
      </c>
      <c r="C14" s="10" t="s">
        <v>13</v>
      </c>
      <c r="E14" s="15" t="s">
        <v>735</v>
      </c>
      <c r="F14" s="10">
        <v>15</v>
      </c>
      <c r="J14" s="10" t="s">
        <v>27</v>
      </c>
      <c r="K14" s="62">
        <f t="shared" si="1"/>
        <v>0</v>
      </c>
      <c r="L14" s="62">
        <f t="shared" si="0"/>
        <v>0</v>
      </c>
      <c r="M14" s="62">
        <f t="shared" si="0"/>
        <v>0</v>
      </c>
      <c r="N14" s="62">
        <f t="shared" si="0"/>
        <v>0</v>
      </c>
      <c r="O14" s="62">
        <f t="shared" si="0"/>
        <v>0</v>
      </c>
      <c r="P14" s="62">
        <f t="shared" si="0"/>
        <v>0</v>
      </c>
      <c r="Q14" s="62">
        <f t="shared" si="0"/>
        <v>0</v>
      </c>
      <c r="R14" s="62">
        <f t="shared" si="0"/>
        <v>0</v>
      </c>
      <c r="S14" s="62">
        <f t="shared" si="0"/>
        <v>0</v>
      </c>
      <c r="T14" s="62">
        <f t="shared" si="0"/>
        <v>1</v>
      </c>
      <c r="U14" s="62">
        <f t="shared" si="0"/>
        <v>0</v>
      </c>
      <c r="V14" s="62">
        <f t="shared" si="2"/>
        <v>1</v>
      </c>
    </row>
    <row r="15" spans="1:34" ht="19.5">
      <c r="A15" s="10" t="s">
        <v>28</v>
      </c>
      <c r="B15" s="10" t="s">
        <v>735</v>
      </c>
      <c r="C15" s="10" t="s">
        <v>13</v>
      </c>
      <c r="E15" s="15" t="s">
        <v>738</v>
      </c>
      <c r="F15" s="10">
        <v>7</v>
      </c>
      <c r="J15" s="10" t="s">
        <v>28</v>
      </c>
      <c r="K15" s="62">
        <f t="shared" si="1"/>
        <v>0</v>
      </c>
      <c r="L15" s="62">
        <f t="shared" si="0"/>
        <v>0</v>
      </c>
      <c r="M15" s="62">
        <f t="shared" si="0"/>
        <v>0</v>
      </c>
      <c r="N15" s="62">
        <f t="shared" si="0"/>
        <v>0</v>
      </c>
      <c r="O15" s="62">
        <f t="shared" si="0"/>
        <v>0</v>
      </c>
      <c r="P15" s="62">
        <f t="shared" si="0"/>
        <v>0</v>
      </c>
      <c r="Q15" s="62">
        <f t="shared" si="0"/>
        <v>0</v>
      </c>
      <c r="R15" s="62">
        <f t="shared" si="0"/>
        <v>0</v>
      </c>
      <c r="S15" s="62">
        <f t="shared" si="0"/>
        <v>0</v>
      </c>
      <c r="T15" s="62">
        <f t="shared" si="0"/>
        <v>1</v>
      </c>
      <c r="U15" s="62">
        <f t="shared" si="0"/>
        <v>0</v>
      </c>
      <c r="V15" s="62">
        <f t="shared" si="2"/>
        <v>1</v>
      </c>
    </row>
    <row r="16" spans="1:34" ht="19.5">
      <c r="A16" s="10" t="s">
        <v>29</v>
      </c>
      <c r="B16" s="10" t="s">
        <v>735</v>
      </c>
      <c r="C16" s="10" t="s">
        <v>13</v>
      </c>
      <c r="E16" s="15" t="s">
        <v>741</v>
      </c>
      <c r="J16" s="10" t="s">
        <v>29</v>
      </c>
      <c r="K16" s="62">
        <f t="shared" si="1"/>
        <v>0</v>
      </c>
      <c r="L16" s="62">
        <f t="shared" si="0"/>
        <v>0</v>
      </c>
      <c r="M16" s="62">
        <f t="shared" si="0"/>
        <v>0</v>
      </c>
      <c r="N16" s="62">
        <f t="shared" si="0"/>
        <v>0</v>
      </c>
      <c r="O16" s="62">
        <f t="shared" si="0"/>
        <v>0</v>
      </c>
      <c r="P16" s="62">
        <f t="shared" si="0"/>
        <v>0</v>
      </c>
      <c r="Q16" s="62">
        <f t="shared" si="0"/>
        <v>0</v>
      </c>
      <c r="R16" s="62">
        <f t="shared" si="0"/>
        <v>0</v>
      </c>
      <c r="S16" s="62">
        <f t="shared" si="0"/>
        <v>0</v>
      </c>
      <c r="T16" s="62">
        <f t="shared" si="0"/>
        <v>1</v>
      </c>
      <c r="U16" s="62">
        <f t="shared" si="0"/>
        <v>0</v>
      </c>
      <c r="V16" s="62">
        <f t="shared" si="2"/>
        <v>1</v>
      </c>
    </row>
    <row r="17" spans="1:22" ht="19.5">
      <c r="A17" s="10" t="s">
        <v>30</v>
      </c>
      <c r="B17" s="10" t="s">
        <v>737</v>
      </c>
      <c r="C17" s="10" t="s">
        <v>13</v>
      </c>
      <c r="E17" s="15" t="s">
        <v>742</v>
      </c>
      <c r="F17" s="10">
        <v>682</v>
      </c>
      <c r="J17" s="10" t="s">
        <v>30</v>
      </c>
      <c r="K17" s="62">
        <f t="shared" si="1"/>
        <v>0</v>
      </c>
      <c r="L17" s="62">
        <f t="shared" si="0"/>
        <v>0</v>
      </c>
      <c r="M17" s="62">
        <f t="shared" si="0"/>
        <v>0</v>
      </c>
      <c r="N17" s="62">
        <f t="shared" si="0"/>
        <v>1</v>
      </c>
      <c r="O17" s="62">
        <f t="shared" si="0"/>
        <v>0</v>
      </c>
      <c r="P17" s="62">
        <f t="shared" si="0"/>
        <v>0</v>
      </c>
      <c r="Q17" s="62">
        <f t="shared" si="0"/>
        <v>0</v>
      </c>
      <c r="R17" s="62">
        <f t="shared" si="0"/>
        <v>0</v>
      </c>
      <c r="S17" s="62">
        <f t="shared" si="0"/>
        <v>0</v>
      </c>
      <c r="T17" s="62">
        <f t="shared" si="0"/>
        <v>0</v>
      </c>
      <c r="U17" s="62">
        <f t="shared" si="0"/>
        <v>0</v>
      </c>
      <c r="V17" s="62">
        <f t="shared" si="2"/>
        <v>1</v>
      </c>
    </row>
    <row r="18" spans="1:22" ht="19.5">
      <c r="A18" s="10" t="s">
        <v>33</v>
      </c>
      <c r="B18" s="10" t="s">
        <v>740</v>
      </c>
      <c r="C18" s="10" t="s">
        <v>13</v>
      </c>
      <c r="J18" s="10" t="s">
        <v>33</v>
      </c>
      <c r="K18" s="62">
        <f t="shared" si="1"/>
        <v>0</v>
      </c>
      <c r="L18" s="62">
        <f t="shared" si="1"/>
        <v>0</v>
      </c>
      <c r="M18" s="62">
        <f t="shared" si="1"/>
        <v>0</v>
      </c>
      <c r="N18" s="62">
        <f t="shared" si="1"/>
        <v>0</v>
      </c>
      <c r="O18" s="62">
        <f t="shared" si="1"/>
        <v>1</v>
      </c>
      <c r="P18" s="62">
        <f t="shared" ref="P18:S81" si="3">IF($B18=AB$9, 1, 0)</f>
        <v>0</v>
      </c>
      <c r="Q18" s="62">
        <f t="shared" si="3"/>
        <v>0</v>
      </c>
      <c r="R18" s="62">
        <f t="shared" si="3"/>
        <v>0</v>
      </c>
      <c r="S18" s="62">
        <f t="shared" si="3"/>
        <v>0</v>
      </c>
      <c r="T18" s="62">
        <f t="shared" ref="T18:U81" si="4">IF($B18=AF$9, 1, 0)</f>
        <v>0</v>
      </c>
      <c r="U18" s="62">
        <f t="shared" si="4"/>
        <v>0</v>
      </c>
      <c r="V18" s="62">
        <f t="shared" si="2"/>
        <v>1</v>
      </c>
    </row>
    <row r="19" spans="1:22" ht="19.5">
      <c r="A19" s="10" t="s">
        <v>35</v>
      </c>
      <c r="B19" s="10" t="s">
        <v>740</v>
      </c>
      <c r="C19" s="10" t="s">
        <v>13</v>
      </c>
      <c r="J19" s="10" t="s">
        <v>35</v>
      </c>
      <c r="K19" s="62">
        <f t="shared" si="1"/>
        <v>0</v>
      </c>
      <c r="L19" s="62">
        <f t="shared" si="1"/>
        <v>0</v>
      </c>
      <c r="M19" s="62">
        <f t="shared" si="1"/>
        <v>0</v>
      </c>
      <c r="N19" s="62">
        <f t="shared" si="1"/>
        <v>0</v>
      </c>
      <c r="O19" s="62">
        <f t="shared" si="1"/>
        <v>1</v>
      </c>
      <c r="P19" s="62">
        <f t="shared" si="3"/>
        <v>0</v>
      </c>
      <c r="Q19" s="62">
        <f t="shared" si="3"/>
        <v>0</v>
      </c>
      <c r="R19" s="62">
        <f t="shared" si="3"/>
        <v>0</v>
      </c>
      <c r="S19" s="62">
        <f t="shared" si="3"/>
        <v>0</v>
      </c>
      <c r="T19" s="62">
        <f t="shared" si="4"/>
        <v>0</v>
      </c>
      <c r="U19" s="62">
        <f t="shared" si="4"/>
        <v>0</v>
      </c>
      <c r="V19" s="62">
        <f t="shared" si="2"/>
        <v>1</v>
      </c>
    </row>
    <row r="20" spans="1:22" ht="19.5">
      <c r="A20" s="10" t="s">
        <v>36</v>
      </c>
      <c r="B20" s="10" t="s">
        <v>37</v>
      </c>
      <c r="C20" s="10" t="s">
        <v>13</v>
      </c>
      <c r="J20" s="10" t="s">
        <v>36</v>
      </c>
      <c r="K20" s="62">
        <f t="shared" si="1"/>
        <v>0</v>
      </c>
      <c r="L20" s="62">
        <f t="shared" si="1"/>
        <v>0</v>
      </c>
      <c r="M20" s="62">
        <f t="shared" si="1"/>
        <v>1</v>
      </c>
      <c r="N20" s="62">
        <f t="shared" si="1"/>
        <v>0</v>
      </c>
      <c r="O20" s="62">
        <f t="shared" si="1"/>
        <v>0</v>
      </c>
      <c r="P20" s="62">
        <f t="shared" si="3"/>
        <v>0</v>
      </c>
      <c r="Q20" s="62">
        <f t="shared" si="3"/>
        <v>0</v>
      </c>
      <c r="R20" s="62">
        <f t="shared" si="3"/>
        <v>0</v>
      </c>
      <c r="S20" s="62">
        <f t="shared" si="3"/>
        <v>0</v>
      </c>
      <c r="T20" s="62">
        <f t="shared" si="4"/>
        <v>0</v>
      </c>
      <c r="U20" s="62">
        <f t="shared" si="4"/>
        <v>0</v>
      </c>
      <c r="V20" s="62">
        <f t="shared" si="2"/>
        <v>1</v>
      </c>
    </row>
    <row r="21" spans="1:22" ht="19.5">
      <c r="A21" s="10" t="s">
        <v>38</v>
      </c>
      <c r="B21" s="10" t="s">
        <v>39</v>
      </c>
      <c r="C21" s="10" t="s">
        <v>13</v>
      </c>
      <c r="J21" s="10" t="s">
        <v>38</v>
      </c>
      <c r="K21" s="62">
        <f t="shared" si="1"/>
        <v>1</v>
      </c>
      <c r="L21" s="62">
        <f t="shared" si="1"/>
        <v>0</v>
      </c>
      <c r="M21" s="62">
        <f t="shared" si="1"/>
        <v>0</v>
      </c>
      <c r="N21" s="62">
        <f t="shared" si="1"/>
        <v>0</v>
      </c>
      <c r="O21" s="62">
        <f t="shared" si="1"/>
        <v>0</v>
      </c>
      <c r="P21" s="62">
        <f t="shared" si="3"/>
        <v>0</v>
      </c>
      <c r="Q21" s="62">
        <f t="shared" si="3"/>
        <v>0</v>
      </c>
      <c r="R21" s="62">
        <f t="shared" si="3"/>
        <v>0</v>
      </c>
      <c r="S21" s="62">
        <f t="shared" si="3"/>
        <v>0</v>
      </c>
      <c r="T21" s="62">
        <f t="shared" si="4"/>
        <v>0</v>
      </c>
      <c r="U21" s="62">
        <f t="shared" si="4"/>
        <v>0</v>
      </c>
      <c r="V21" s="62">
        <f t="shared" si="2"/>
        <v>1</v>
      </c>
    </row>
    <row r="22" spans="1:22" ht="19.5">
      <c r="A22" s="10" t="s">
        <v>40</v>
      </c>
      <c r="B22" s="10" t="s">
        <v>39</v>
      </c>
      <c r="C22" s="10" t="s">
        <v>13</v>
      </c>
      <c r="J22" s="10" t="s">
        <v>40</v>
      </c>
      <c r="K22" s="62">
        <f t="shared" si="1"/>
        <v>1</v>
      </c>
      <c r="L22" s="62">
        <f t="shared" si="1"/>
        <v>0</v>
      </c>
      <c r="M22" s="62">
        <f t="shared" si="1"/>
        <v>0</v>
      </c>
      <c r="N22" s="62">
        <f t="shared" si="1"/>
        <v>0</v>
      </c>
      <c r="O22" s="62">
        <f t="shared" si="1"/>
        <v>0</v>
      </c>
      <c r="P22" s="62">
        <f t="shared" si="3"/>
        <v>0</v>
      </c>
      <c r="Q22" s="62">
        <f t="shared" si="3"/>
        <v>0</v>
      </c>
      <c r="R22" s="62">
        <f t="shared" si="3"/>
        <v>0</v>
      </c>
      <c r="S22" s="62">
        <f t="shared" si="3"/>
        <v>0</v>
      </c>
      <c r="T22" s="62">
        <f t="shared" si="4"/>
        <v>0</v>
      </c>
      <c r="U22" s="62">
        <f t="shared" si="4"/>
        <v>0</v>
      </c>
      <c r="V22" s="62">
        <f t="shared" si="2"/>
        <v>1</v>
      </c>
    </row>
    <row r="23" spans="1:22" ht="19.5">
      <c r="A23" s="10" t="s">
        <v>41</v>
      </c>
      <c r="B23" s="10" t="s">
        <v>42</v>
      </c>
      <c r="C23" s="10" t="s">
        <v>20</v>
      </c>
      <c r="J23" s="10" t="s">
        <v>41</v>
      </c>
      <c r="K23" s="62">
        <f t="shared" si="1"/>
        <v>0</v>
      </c>
      <c r="L23" s="62">
        <f t="shared" si="1"/>
        <v>1</v>
      </c>
      <c r="M23" s="62">
        <f t="shared" si="1"/>
        <v>0</v>
      </c>
      <c r="N23" s="62">
        <f t="shared" si="1"/>
        <v>0</v>
      </c>
      <c r="O23" s="62">
        <f t="shared" si="1"/>
        <v>0</v>
      </c>
      <c r="P23" s="62">
        <f t="shared" si="3"/>
        <v>0</v>
      </c>
      <c r="Q23" s="62">
        <f t="shared" si="3"/>
        <v>0</v>
      </c>
      <c r="R23" s="62">
        <f t="shared" si="3"/>
        <v>0</v>
      </c>
      <c r="S23" s="62">
        <f t="shared" si="3"/>
        <v>0</v>
      </c>
      <c r="T23" s="62">
        <f t="shared" si="4"/>
        <v>0</v>
      </c>
      <c r="U23" s="62">
        <f t="shared" si="4"/>
        <v>0</v>
      </c>
      <c r="V23" s="62">
        <f t="shared" si="2"/>
        <v>0</v>
      </c>
    </row>
    <row r="24" spans="1:22" ht="19.5">
      <c r="A24" s="10" t="s">
        <v>43</v>
      </c>
      <c r="B24" s="10" t="s">
        <v>737</v>
      </c>
      <c r="C24" s="10" t="s">
        <v>13</v>
      </c>
      <c r="J24" s="10" t="s">
        <v>43</v>
      </c>
      <c r="K24" s="62">
        <f t="shared" si="1"/>
        <v>0</v>
      </c>
      <c r="L24" s="62">
        <f t="shared" si="1"/>
        <v>0</v>
      </c>
      <c r="M24" s="62">
        <f t="shared" si="1"/>
        <v>0</v>
      </c>
      <c r="N24" s="62">
        <f t="shared" si="1"/>
        <v>1</v>
      </c>
      <c r="O24" s="62">
        <f t="shared" si="1"/>
        <v>0</v>
      </c>
      <c r="P24" s="62">
        <f t="shared" si="3"/>
        <v>0</v>
      </c>
      <c r="Q24" s="62">
        <f t="shared" si="3"/>
        <v>0</v>
      </c>
      <c r="R24" s="62">
        <f t="shared" si="3"/>
        <v>0</v>
      </c>
      <c r="S24" s="62">
        <f t="shared" si="3"/>
        <v>0</v>
      </c>
      <c r="T24" s="62">
        <f t="shared" si="4"/>
        <v>0</v>
      </c>
      <c r="U24" s="62">
        <f t="shared" si="4"/>
        <v>0</v>
      </c>
      <c r="V24" s="62">
        <f t="shared" si="2"/>
        <v>1</v>
      </c>
    </row>
    <row r="25" spans="1:22" ht="19.5">
      <c r="A25" s="10" t="s">
        <v>44</v>
      </c>
      <c r="B25" s="10" t="s">
        <v>740</v>
      </c>
      <c r="C25" s="10" t="s">
        <v>13</v>
      </c>
      <c r="J25" s="10" t="s">
        <v>44</v>
      </c>
      <c r="K25" s="62">
        <f t="shared" si="1"/>
        <v>0</v>
      </c>
      <c r="L25" s="62">
        <f t="shared" si="1"/>
        <v>0</v>
      </c>
      <c r="M25" s="62">
        <f t="shared" si="1"/>
        <v>0</v>
      </c>
      <c r="N25" s="62">
        <f t="shared" si="1"/>
        <v>0</v>
      </c>
      <c r="O25" s="62">
        <f t="shared" si="1"/>
        <v>1</v>
      </c>
      <c r="P25" s="62">
        <f t="shared" si="3"/>
        <v>0</v>
      </c>
      <c r="Q25" s="62">
        <f t="shared" si="3"/>
        <v>0</v>
      </c>
      <c r="R25" s="62">
        <f t="shared" si="3"/>
        <v>0</v>
      </c>
      <c r="S25" s="62">
        <f t="shared" si="3"/>
        <v>0</v>
      </c>
      <c r="T25" s="62">
        <f t="shared" si="4"/>
        <v>0</v>
      </c>
      <c r="U25" s="62">
        <f t="shared" si="4"/>
        <v>0</v>
      </c>
      <c r="V25" s="62">
        <f t="shared" si="2"/>
        <v>1</v>
      </c>
    </row>
    <row r="26" spans="1:22" ht="19.5">
      <c r="A26" s="10" t="s">
        <v>45</v>
      </c>
      <c r="B26" s="10" t="s">
        <v>37</v>
      </c>
      <c r="C26" s="10" t="s">
        <v>13</v>
      </c>
      <c r="J26" s="10" t="s">
        <v>45</v>
      </c>
      <c r="K26" s="62">
        <f t="shared" si="1"/>
        <v>0</v>
      </c>
      <c r="L26" s="62">
        <f t="shared" si="1"/>
        <v>0</v>
      </c>
      <c r="M26" s="62">
        <f t="shared" si="1"/>
        <v>1</v>
      </c>
      <c r="N26" s="62">
        <f t="shared" si="1"/>
        <v>0</v>
      </c>
      <c r="O26" s="62">
        <f t="shared" si="1"/>
        <v>0</v>
      </c>
      <c r="P26" s="62">
        <f t="shared" si="3"/>
        <v>0</v>
      </c>
      <c r="Q26" s="62">
        <f t="shared" si="3"/>
        <v>0</v>
      </c>
      <c r="R26" s="62">
        <f t="shared" si="3"/>
        <v>0</v>
      </c>
      <c r="S26" s="62">
        <f t="shared" si="3"/>
        <v>0</v>
      </c>
      <c r="T26" s="62">
        <f t="shared" si="4"/>
        <v>0</v>
      </c>
      <c r="U26" s="62">
        <f t="shared" si="4"/>
        <v>0</v>
      </c>
      <c r="V26" s="62">
        <f t="shared" si="2"/>
        <v>1</v>
      </c>
    </row>
    <row r="27" spans="1:22" ht="19.5">
      <c r="A27" s="10" t="s">
        <v>46</v>
      </c>
      <c r="B27" s="10" t="s">
        <v>39</v>
      </c>
      <c r="C27" s="10" t="s">
        <v>20</v>
      </c>
      <c r="J27" s="10" t="s">
        <v>46</v>
      </c>
      <c r="K27" s="62">
        <f t="shared" si="1"/>
        <v>1</v>
      </c>
      <c r="L27" s="62">
        <f t="shared" si="1"/>
        <v>0</v>
      </c>
      <c r="M27" s="62">
        <f t="shared" si="1"/>
        <v>0</v>
      </c>
      <c r="N27" s="62">
        <f t="shared" si="1"/>
        <v>0</v>
      </c>
      <c r="O27" s="62">
        <f t="shared" si="1"/>
        <v>0</v>
      </c>
      <c r="P27" s="62">
        <f t="shared" si="3"/>
        <v>0</v>
      </c>
      <c r="Q27" s="62">
        <f t="shared" si="3"/>
        <v>0</v>
      </c>
      <c r="R27" s="62">
        <f t="shared" si="3"/>
        <v>0</v>
      </c>
      <c r="S27" s="62">
        <f t="shared" si="3"/>
        <v>0</v>
      </c>
      <c r="T27" s="62">
        <f t="shared" si="4"/>
        <v>0</v>
      </c>
      <c r="U27" s="62">
        <f t="shared" si="4"/>
        <v>0</v>
      </c>
      <c r="V27" s="62">
        <f t="shared" si="2"/>
        <v>0</v>
      </c>
    </row>
    <row r="28" spans="1:22" ht="19.5">
      <c r="A28" s="10" t="s">
        <v>47</v>
      </c>
      <c r="B28" s="10" t="s">
        <v>740</v>
      </c>
      <c r="C28" s="10" t="s">
        <v>13</v>
      </c>
      <c r="J28" s="10" t="s">
        <v>47</v>
      </c>
      <c r="K28" s="62">
        <f t="shared" si="1"/>
        <v>0</v>
      </c>
      <c r="L28" s="62">
        <f t="shared" si="1"/>
        <v>0</v>
      </c>
      <c r="M28" s="62">
        <f t="shared" si="1"/>
        <v>0</v>
      </c>
      <c r="N28" s="62">
        <f t="shared" si="1"/>
        <v>0</v>
      </c>
      <c r="O28" s="62">
        <f t="shared" si="1"/>
        <v>1</v>
      </c>
      <c r="P28" s="62">
        <f t="shared" si="3"/>
        <v>0</v>
      </c>
      <c r="Q28" s="62">
        <f t="shared" si="3"/>
        <v>0</v>
      </c>
      <c r="R28" s="62">
        <f t="shared" si="3"/>
        <v>0</v>
      </c>
      <c r="S28" s="62">
        <f t="shared" si="3"/>
        <v>0</v>
      </c>
      <c r="T28" s="62">
        <f t="shared" si="4"/>
        <v>0</v>
      </c>
      <c r="U28" s="62">
        <f t="shared" si="4"/>
        <v>0</v>
      </c>
      <c r="V28" s="62">
        <f t="shared" si="2"/>
        <v>1</v>
      </c>
    </row>
    <row r="29" spans="1:22" ht="19.5">
      <c r="A29" s="10" t="s">
        <v>48</v>
      </c>
      <c r="B29" s="10" t="s">
        <v>37</v>
      </c>
      <c r="C29" s="10" t="s">
        <v>13</v>
      </c>
      <c r="J29" s="10" t="s">
        <v>48</v>
      </c>
      <c r="K29" s="62">
        <f t="shared" si="1"/>
        <v>0</v>
      </c>
      <c r="L29" s="62">
        <f t="shared" si="1"/>
        <v>0</v>
      </c>
      <c r="M29" s="62">
        <f t="shared" si="1"/>
        <v>1</v>
      </c>
      <c r="N29" s="62">
        <f t="shared" si="1"/>
        <v>0</v>
      </c>
      <c r="O29" s="62">
        <f t="shared" si="1"/>
        <v>0</v>
      </c>
      <c r="P29" s="62">
        <f t="shared" si="3"/>
        <v>0</v>
      </c>
      <c r="Q29" s="62">
        <f t="shared" si="3"/>
        <v>0</v>
      </c>
      <c r="R29" s="62">
        <f t="shared" si="3"/>
        <v>0</v>
      </c>
      <c r="S29" s="62">
        <f t="shared" si="3"/>
        <v>0</v>
      </c>
      <c r="T29" s="62">
        <f t="shared" si="4"/>
        <v>0</v>
      </c>
      <c r="U29" s="62">
        <f t="shared" si="4"/>
        <v>0</v>
      </c>
      <c r="V29" s="62">
        <f t="shared" si="2"/>
        <v>1</v>
      </c>
    </row>
    <row r="30" spans="1:22" ht="19.5">
      <c r="A30" s="10" t="s">
        <v>49</v>
      </c>
      <c r="B30" s="10" t="s">
        <v>739</v>
      </c>
      <c r="C30" s="10" t="s">
        <v>13</v>
      </c>
      <c r="J30" s="10" t="s">
        <v>49</v>
      </c>
      <c r="K30" s="62">
        <f t="shared" si="1"/>
        <v>0</v>
      </c>
      <c r="L30" s="62">
        <f t="shared" si="1"/>
        <v>0</v>
      </c>
      <c r="M30" s="62">
        <f t="shared" si="1"/>
        <v>0</v>
      </c>
      <c r="N30" s="62">
        <f t="shared" si="1"/>
        <v>0</v>
      </c>
      <c r="O30" s="62">
        <f t="shared" si="1"/>
        <v>0</v>
      </c>
      <c r="P30" s="62">
        <f t="shared" si="3"/>
        <v>1</v>
      </c>
      <c r="Q30" s="62">
        <f t="shared" si="3"/>
        <v>0</v>
      </c>
      <c r="R30" s="62">
        <f t="shared" si="3"/>
        <v>0</v>
      </c>
      <c r="S30" s="62">
        <f t="shared" si="3"/>
        <v>0</v>
      </c>
      <c r="T30" s="62">
        <f t="shared" si="4"/>
        <v>0</v>
      </c>
      <c r="U30" s="62">
        <f t="shared" si="4"/>
        <v>0</v>
      </c>
      <c r="V30" s="62">
        <f t="shared" si="2"/>
        <v>1</v>
      </c>
    </row>
    <row r="31" spans="1:22" ht="19.5">
      <c r="A31" s="10" t="s">
        <v>51</v>
      </c>
      <c r="B31" s="10" t="s">
        <v>39</v>
      </c>
      <c r="C31" s="10" t="s">
        <v>13</v>
      </c>
      <c r="J31" s="10" t="s">
        <v>51</v>
      </c>
      <c r="K31" s="62">
        <f t="shared" si="1"/>
        <v>1</v>
      </c>
      <c r="L31" s="62">
        <f t="shared" si="1"/>
        <v>0</v>
      </c>
      <c r="M31" s="62">
        <f t="shared" si="1"/>
        <v>0</v>
      </c>
      <c r="N31" s="62">
        <f t="shared" si="1"/>
        <v>0</v>
      </c>
      <c r="O31" s="62">
        <f t="shared" si="1"/>
        <v>0</v>
      </c>
      <c r="P31" s="62">
        <f t="shared" si="3"/>
        <v>0</v>
      </c>
      <c r="Q31" s="62">
        <f t="shared" si="3"/>
        <v>0</v>
      </c>
      <c r="R31" s="62">
        <f t="shared" si="3"/>
        <v>0</v>
      </c>
      <c r="S31" s="62">
        <f t="shared" si="3"/>
        <v>0</v>
      </c>
      <c r="T31" s="62">
        <f t="shared" si="4"/>
        <v>0</v>
      </c>
      <c r="U31" s="62">
        <f t="shared" si="4"/>
        <v>0</v>
      </c>
      <c r="V31" s="62">
        <f t="shared" si="2"/>
        <v>1</v>
      </c>
    </row>
    <row r="32" spans="1:22" ht="19.5">
      <c r="A32" s="10" t="s">
        <v>52</v>
      </c>
      <c r="B32" s="10" t="s">
        <v>39</v>
      </c>
      <c r="C32" s="10" t="s">
        <v>13</v>
      </c>
      <c r="J32" s="10" t="s">
        <v>52</v>
      </c>
      <c r="K32" s="62">
        <f t="shared" si="1"/>
        <v>1</v>
      </c>
      <c r="L32" s="62">
        <f t="shared" si="1"/>
        <v>0</v>
      </c>
      <c r="M32" s="62">
        <f t="shared" si="1"/>
        <v>0</v>
      </c>
      <c r="N32" s="62">
        <f t="shared" si="1"/>
        <v>0</v>
      </c>
      <c r="O32" s="62">
        <f t="shared" si="1"/>
        <v>0</v>
      </c>
      <c r="P32" s="62">
        <f t="shared" si="3"/>
        <v>0</v>
      </c>
      <c r="Q32" s="62">
        <f t="shared" si="3"/>
        <v>0</v>
      </c>
      <c r="R32" s="62">
        <f t="shared" si="3"/>
        <v>0</v>
      </c>
      <c r="S32" s="62">
        <f t="shared" si="3"/>
        <v>0</v>
      </c>
      <c r="T32" s="62">
        <f t="shared" si="4"/>
        <v>0</v>
      </c>
      <c r="U32" s="62">
        <f t="shared" si="4"/>
        <v>0</v>
      </c>
      <c r="V32" s="62">
        <f t="shared" si="2"/>
        <v>1</v>
      </c>
    </row>
    <row r="33" spans="1:22" ht="19.5">
      <c r="A33" s="10" t="s">
        <v>53</v>
      </c>
      <c r="B33" s="10" t="s">
        <v>42</v>
      </c>
      <c r="C33" s="10" t="s">
        <v>13</v>
      </c>
      <c r="J33" s="10" t="s">
        <v>53</v>
      </c>
      <c r="K33" s="62">
        <f t="shared" si="1"/>
        <v>0</v>
      </c>
      <c r="L33" s="62">
        <f t="shared" si="1"/>
        <v>1</v>
      </c>
      <c r="M33" s="62">
        <f t="shared" si="1"/>
        <v>0</v>
      </c>
      <c r="N33" s="62">
        <f t="shared" si="1"/>
        <v>0</v>
      </c>
      <c r="O33" s="62">
        <f t="shared" si="1"/>
        <v>0</v>
      </c>
      <c r="P33" s="62">
        <f t="shared" si="3"/>
        <v>0</v>
      </c>
      <c r="Q33" s="62">
        <f t="shared" si="3"/>
        <v>0</v>
      </c>
      <c r="R33" s="62">
        <f t="shared" si="3"/>
        <v>0</v>
      </c>
      <c r="S33" s="62">
        <f t="shared" si="3"/>
        <v>0</v>
      </c>
      <c r="T33" s="62">
        <f t="shared" si="4"/>
        <v>0</v>
      </c>
      <c r="U33" s="62">
        <f t="shared" si="4"/>
        <v>0</v>
      </c>
      <c r="V33" s="62">
        <f t="shared" si="2"/>
        <v>1</v>
      </c>
    </row>
    <row r="34" spans="1:22" ht="19.5">
      <c r="A34" s="10" t="s">
        <v>54</v>
      </c>
      <c r="B34" s="10" t="s">
        <v>42</v>
      </c>
      <c r="C34" s="10" t="s">
        <v>13</v>
      </c>
      <c r="J34" s="10" t="s">
        <v>54</v>
      </c>
      <c r="K34" s="62">
        <f t="shared" si="1"/>
        <v>0</v>
      </c>
      <c r="L34" s="62">
        <f t="shared" si="1"/>
        <v>1</v>
      </c>
      <c r="M34" s="62">
        <f t="shared" si="1"/>
        <v>0</v>
      </c>
      <c r="N34" s="62">
        <f t="shared" si="1"/>
        <v>0</v>
      </c>
      <c r="O34" s="62">
        <f t="shared" si="1"/>
        <v>0</v>
      </c>
      <c r="P34" s="62">
        <f t="shared" si="3"/>
        <v>0</v>
      </c>
      <c r="Q34" s="62">
        <f t="shared" si="3"/>
        <v>0</v>
      </c>
      <c r="R34" s="62">
        <f t="shared" si="3"/>
        <v>0</v>
      </c>
      <c r="S34" s="62">
        <f t="shared" si="3"/>
        <v>0</v>
      </c>
      <c r="T34" s="62">
        <f t="shared" si="4"/>
        <v>0</v>
      </c>
      <c r="U34" s="62">
        <f t="shared" si="4"/>
        <v>0</v>
      </c>
      <c r="V34" s="62">
        <f t="shared" si="2"/>
        <v>1</v>
      </c>
    </row>
    <row r="35" spans="1:22" ht="19.5">
      <c r="A35" s="10" t="s">
        <v>55</v>
      </c>
      <c r="B35" s="10" t="s">
        <v>737</v>
      </c>
      <c r="C35" s="10" t="s">
        <v>13</v>
      </c>
      <c r="J35" s="10" t="s">
        <v>55</v>
      </c>
      <c r="K35" s="62">
        <f t="shared" si="1"/>
        <v>0</v>
      </c>
      <c r="L35" s="62">
        <f t="shared" si="1"/>
        <v>0</v>
      </c>
      <c r="M35" s="62">
        <f t="shared" si="1"/>
        <v>0</v>
      </c>
      <c r="N35" s="62">
        <f t="shared" si="1"/>
        <v>1</v>
      </c>
      <c r="O35" s="62">
        <f t="shared" si="1"/>
        <v>0</v>
      </c>
      <c r="P35" s="62">
        <f t="shared" si="3"/>
        <v>0</v>
      </c>
      <c r="Q35" s="62">
        <f t="shared" si="3"/>
        <v>0</v>
      </c>
      <c r="R35" s="62">
        <f t="shared" si="3"/>
        <v>0</v>
      </c>
      <c r="S35" s="62">
        <f t="shared" si="3"/>
        <v>0</v>
      </c>
      <c r="T35" s="62">
        <f t="shared" si="4"/>
        <v>0</v>
      </c>
      <c r="U35" s="62">
        <f t="shared" si="4"/>
        <v>0</v>
      </c>
      <c r="V35" s="62">
        <f t="shared" si="2"/>
        <v>1</v>
      </c>
    </row>
    <row r="36" spans="1:22" ht="19.5">
      <c r="A36" s="10" t="s">
        <v>56</v>
      </c>
      <c r="B36" s="10" t="s">
        <v>740</v>
      </c>
      <c r="C36" s="10" t="s">
        <v>13</v>
      </c>
      <c r="J36" s="10" t="s">
        <v>56</v>
      </c>
      <c r="K36" s="62">
        <f t="shared" si="1"/>
        <v>0</v>
      </c>
      <c r="L36" s="62">
        <f t="shared" si="1"/>
        <v>0</v>
      </c>
      <c r="M36" s="62">
        <f t="shared" si="1"/>
        <v>0</v>
      </c>
      <c r="N36" s="62">
        <f t="shared" si="1"/>
        <v>0</v>
      </c>
      <c r="O36" s="62">
        <f t="shared" si="1"/>
        <v>1</v>
      </c>
      <c r="P36" s="62">
        <f t="shared" si="3"/>
        <v>0</v>
      </c>
      <c r="Q36" s="62">
        <f t="shared" si="3"/>
        <v>0</v>
      </c>
      <c r="R36" s="62">
        <f t="shared" si="3"/>
        <v>0</v>
      </c>
      <c r="S36" s="62">
        <f t="shared" si="3"/>
        <v>0</v>
      </c>
      <c r="T36" s="62">
        <f t="shared" si="4"/>
        <v>0</v>
      </c>
      <c r="U36" s="62">
        <f t="shared" si="4"/>
        <v>0</v>
      </c>
      <c r="V36" s="62">
        <f t="shared" si="2"/>
        <v>1</v>
      </c>
    </row>
    <row r="37" spans="1:22" ht="19.5">
      <c r="A37" s="10" t="s">
        <v>57</v>
      </c>
      <c r="B37" s="10" t="s">
        <v>740</v>
      </c>
      <c r="C37" s="10" t="s">
        <v>13</v>
      </c>
      <c r="J37" s="10" t="s">
        <v>57</v>
      </c>
      <c r="K37" s="62">
        <f t="shared" si="1"/>
        <v>0</v>
      </c>
      <c r="L37" s="62">
        <f t="shared" si="1"/>
        <v>0</v>
      </c>
      <c r="M37" s="62">
        <f t="shared" si="1"/>
        <v>0</v>
      </c>
      <c r="N37" s="62">
        <f t="shared" si="1"/>
        <v>0</v>
      </c>
      <c r="O37" s="62">
        <f t="shared" si="1"/>
        <v>1</v>
      </c>
      <c r="P37" s="62">
        <f t="shared" si="3"/>
        <v>0</v>
      </c>
      <c r="Q37" s="62">
        <f t="shared" si="3"/>
        <v>0</v>
      </c>
      <c r="R37" s="62">
        <f t="shared" si="3"/>
        <v>0</v>
      </c>
      <c r="S37" s="62">
        <f t="shared" si="3"/>
        <v>0</v>
      </c>
      <c r="T37" s="62">
        <f t="shared" si="4"/>
        <v>0</v>
      </c>
      <c r="U37" s="62">
        <f t="shared" si="4"/>
        <v>0</v>
      </c>
      <c r="V37" s="62">
        <f t="shared" si="2"/>
        <v>1</v>
      </c>
    </row>
    <row r="38" spans="1:22" ht="19.5">
      <c r="A38" s="10" t="s">
        <v>58</v>
      </c>
      <c r="B38" s="10" t="s">
        <v>37</v>
      </c>
      <c r="C38" s="10" t="s">
        <v>20</v>
      </c>
      <c r="J38" s="10" t="s">
        <v>58</v>
      </c>
      <c r="K38" s="62">
        <f t="shared" si="1"/>
        <v>0</v>
      </c>
      <c r="L38" s="62">
        <f t="shared" si="1"/>
        <v>0</v>
      </c>
      <c r="M38" s="62">
        <f t="shared" si="1"/>
        <v>1</v>
      </c>
      <c r="N38" s="62">
        <f t="shared" si="1"/>
        <v>0</v>
      </c>
      <c r="O38" s="62">
        <f t="shared" si="1"/>
        <v>0</v>
      </c>
      <c r="P38" s="62">
        <f t="shared" si="3"/>
        <v>0</v>
      </c>
      <c r="Q38" s="62">
        <f t="shared" si="3"/>
        <v>0</v>
      </c>
      <c r="R38" s="62">
        <f t="shared" si="3"/>
        <v>0</v>
      </c>
      <c r="S38" s="62">
        <f t="shared" si="3"/>
        <v>0</v>
      </c>
      <c r="T38" s="62">
        <f t="shared" si="4"/>
        <v>0</v>
      </c>
      <c r="U38" s="62">
        <f t="shared" si="4"/>
        <v>0</v>
      </c>
      <c r="V38" s="62">
        <f t="shared" si="2"/>
        <v>0</v>
      </c>
    </row>
    <row r="39" spans="1:22" ht="19.5">
      <c r="A39" s="10" t="s">
        <v>59</v>
      </c>
      <c r="B39" s="10" t="s">
        <v>39</v>
      </c>
      <c r="C39" s="10" t="s">
        <v>13</v>
      </c>
      <c r="J39" s="10" t="s">
        <v>59</v>
      </c>
      <c r="K39" s="62">
        <f t="shared" si="1"/>
        <v>1</v>
      </c>
      <c r="L39" s="62">
        <f t="shared" si="1"/>
        <v>0</v>
      </c>
      <c r="M39" s="62">
        <f t="shared" si="1"/>
        <v>0</v>
      </c>
      <c r="N39" s="62">
        <f t="shared" si="1"/>
        <v>0</v>
      </c>
      <c r="O39" s="62">
        <f t="shared" si="1"/>
        <v>0</v>
      </c>
      <c r="P39" s="62">
        <f t="shared" si="3"/>
        <v>0</v>
      </c>
      <c r="Q39" s="62">
        <f t="shared" si="3"/>
        <v>0</v>
      </c>
      <c r="R39" s="62">
        <f t="shared" si="3"/>
        <v>0</v>
      </c>
      <c r="S39" s="62">
        <f t="shared" si="3"/>
        <v>0</v>
      </c>
      <c r="T39" s="62">
        <f t="shared" si="4"/>
        <v>0</v>
      </c>
      <c r="U39" s="62">
        <f t="shared" si="4"/>
        <v>0</v>
      </c>
      <c r="V39" s="62">
        <f t="shared" si="2"/>
        <v>1</v>
      </c>
    </row>
    <row r="40" spans="1:22" ht="19.5">
      <c r="A40" s="10" t="s">
        <v>60</v>
      </c>
      <c r="B40" s="10" t="s">
        <v>39</v>
      </c>
      <c r="C40" s="10" t="s">
        <v>13</v>
      </c>
      <c r="J40" s="10" t="s">
        <v>60</v>
      </c>
      <c r="K40" s="62">
        <f t="shared" si="1"/>
        <v>1</v>
      </c>
      <c r="L40" s="62">
        <f t="shared" si="1"/>
        <v>0</v>
      </c>
      <c r="M40" s="62">
        <f t="shared" si="1"/>
        <v>0</v>
      </c>
      <c r="N40" s="62">
        <f t="shared" si="1"/>
        <v>0</v>
      </c>
      <c r="O40" s="62">
        <f t="shared" si="1"/>
        <v>0</v>
      </c>
      <c r="P40" s="62">
        <f t="shared" si="3"/>
        <v>0</v>
      </c>
      <c r="Q40" s="62">
        <f t="shared" si="3"/>
        <v>0</v>
      </c>
      <c r="R40" s="62">
        <f t="shared" si="3"/>
        <v>0</v>
      </c>
      <c r="S40" s="62">
        <f t="shared" si="3"/>
        <v>0</v>
      </c>
      <c r="T40" s="62">
        <f t="shared" si="4"/>
        <v>0</v>
      </c>
      <c r="U40" s="62">
        <f t="shared" si="4"/>
        <v>0</v>
      </c>
      <c r="V40" s="62">
        <f t="shared" si="2"/>
        <v>1</v>
      </c>
    </row>
    <row r="41" spans="1:22" ht="19.5">
      <c r="A41" s="10" t="s">
        <v>61</v>
      </c>
      <c r="B41" s="10" t="s">
        <v>42</v>
      </c>
      <c r="C41" s="10" t="s">
        <v>13</v>
      </c>
      <c r="J41" s="10" t="s">
        <v>61</v>
      </c>
      <c r="K41" s="62">
        <f t="shared" si="1"/>
        <v>0</v>
      </c>
      <c r="L41" s="62">
        <f t="shared" si="1"/>
        <v>1</v>
      </c>
      <c r="M41" s="62">
        <f t="shared" si="1"/>
        <v>0</v>
      </c>
      <c r="N41" s="62">
        <f t="shared" si="1"/>
        <v>0</v>
      </c>
      <c r="O41" s="62">
        <f t="shared" si="1"/>
        <v>0</v>
      </c>
      <c r="P41" s="62">
        <f t="shared" si="3"/>
        <v>0</v>
      </c>
      <c r="Q41" s="62">
        <f t="shared" si="3"/>
        <v>0</v>
      </c>
      <c r="R41" s="62">
        <f t="shared" si="3"/>
        <v>0</v>
      </c>
      <c r="S41" s="62">
        <f t="shared" si="3"/>
        <v>0</v>
      </c>
      <c r="T41" s="62">
        <f t="shared" si="4"/>
        <v>0</v>
      </c>
      <c r="U41" s="62">
        <f t="shared" si="4"/>
        <v>0</v>
      </c>
      <c r="V41" s="62">
        <f t="shared" si="2"/>
        <v>1</v>
      </c>
    </row>
    <row r="42" spans="1:22" ht="19.5">
      <c r="A42" s="10" t="s">
        <v>62</v>
      </c>
      <c r="B42" s="10" t="s">
        <v>737</v>
      </c>
      <c r="C42" s="10" t="s">
        <v>13</v>
      </c>
      <c r="J42" s="10" t="s">
        <v>62</v>
      </c>
      <c r="K42" s="62">
        <f t="shared" si="1"/>
        <v>0</v>
      </c>
      <c r="L42" s="62">
        <f t="shared" si="1"/>
        <v>0</v>
      </c>
      <c r="M42" s="62">
        <f t="shared" si="1"/>
        <v>0</v>
      </c>
      <c r="N42" s="62">
        <f t="shared" si="1"/>
        <v>1</v>
      </c>
      <c r="O42" s="62">
        <f t="shared" si="1"/>
        <v>0</v>
      </c>
      <c r="P42" s="62">
        <f t="shared" si="3"/>
        <v>0</v>
      </c>
      <c r="Q42" s="62">
        <f t="shared" si="3"/>
        <v>0</v>
      </c>
      <c r="R42" s="62">
        <f t="shared" si="3"/>
        <v>0</v>
      </c>
      <c r="S42" s="62">
        <f t="shared" si="3"/>
        <v>0</v>
      </c>
      <c r="T42" s="62">
        <f t="shared" si="4"/>
        <v>0</v>
      </c>
      <c r="U42" s="62">
        <f t="shared" si="4"/>
        <v>0</v>
      </c>
      <c r="V42" s="62">
        <f t="shared" si="2"/>
        <v>1</v>
      </c>
    </row>
    <row r="43" spans="1:22" ht="19.5">
      <c r="A43" s="10" t="s">
        <v>63</v>
      </c>
      <c r="B43" s="10" t="s">
        <v>740</v>
      </c>
      <c r="C43" s="10" t="s">
        <v>13</v>
      </c>
      <c r="J43" s="10" t="s">
        <v>63</v>
      </c>
      <c r="K43" s="62">
        <f t="shared" si="1"/>
        <v>0</v>
      </c>
      <c r="L43" s="62">
        <f t="shared" si="1"/>
        <v>0</v>
      </c>
      <c r="M43" s="62">
        <f t="shared" si="1"/>
        <v>0</v>
      </c>
      <c r="N43" s="62">
        <f t="shared" si="1"/>
        <v>0</v>
      </c>
      <c r="O43" s="62">
        <f t="shared" si="1"/>
        <v>1</v>
      </c>
      <c r="P43" s="62">
        <f t="shared" si="3"/>
        <v>0</v>
      </c>
      <c r="Q43" s="62">
        <f t="shared" si="3"/>
        <v>0</v>
      </c>
      <c r="R43" s="62">
        <f t="shared" si="3"/>
        <v>0</v>
      </c>
      <c r="S43" s="62">
        <f t="shared" si="3"/>
        <v>0</v>
      </c>
      <c r="T43" s="62">
        <f t="shared" si="4"/>
        <v>0</v>
      </c>
      <c r="U43" s="62">
        <f t="shared" si="4"/>
        <v>0</v>
      </c>
      <c r="V43" s="62">
        <f t="shared" si="2"/>
        <v>1</v>
      </c>
    </row>
    <row r="44" spans="1:22" ht="19.5">
      <c r="A44" s="10" t="s">
        <v>64</v>
      </c>
      <c r="B44" s="10" t="s">
        <v>37</v>
      </c>
      <c r="C44" s="10" t="s">
        <v>20</v>
      </c>
      <c r="J44" s="10" t="s">
        <v>64</v>
      </c>
      <c r="K44" s="62">
        <f t="shared" si="1"/>
        <v>0</v>
      </c>
      <c r="L44" s="62">
        <f t="shared" si="1"/>
        <v>0</v>
      </c>
      <c r="M44" s="62">
        <f t="shared" si="1"/>
        <v>1</v>
      </c>
      <c r="N44" s="62">
        <f t="shared" si="1"/>
        <v>0</v>
      </c>
      <c r="O44" s="62">
        <f t="shared" si="1"/>
        <v>0</v>
      </c>
      <c r="P44" s="62">
        <f t="shared" si="3"/>
        <v>0</v>
      </c>
      <c r="Q44" s="62">
        <f t="shared" si="3"/>
        <v>0</v>
      </c>
      <c r="R44" s="62">
        <f t="shared" si="3"/>
        <v>0</v>
      </c>
      <c r="S44" s="62">
        <f t="shared" si="3"/>
        <v>0</v>
      </c>
      <c r="T44" s="62">
        <f t="shared" si="4"/>
        <v>0</v>
      </c>
      <c r="U44" s="62">
        <f t="shared" si="4"/>
        <v>0</v>
      </c>
      <c r="V44" s="62">
        <f t="shared" si="2"/>
        <v>0</v>
      </c>
    </row>
    <row r="45" spans="1:22" ht="19.5">
      <c r="A45" s="10" t="s">
        <v>65</v>
      </c>
      <c r="B45" s="10" t="s">
        <v>39</v>
      </c>
      <c r="C45" s="10" t="s">
        <v>13</v>
      </c>
      <c r="J45" s="10" t="s">
        <v>65</v>
      </c>
      <c r="K45" s="62">
        <f t="shared" si="1"/>
        <v>1</v>
      </c>
      <c r="L45" s="62">
        <f t="shared" si="1"/>
        <v>0</v>
      </c>
      <c r="M45" s="62">
        <f t="shared" si="1"/>
        <v>0</v>
      </c>
      <c r="N45" s="62">
        <f t="shared" si="1"/>
        <v>0</v>
      </c>
      <c r="O45" s="62">
        <f t="shared" si="1"/>
        <v>0</v>
      </c>
      <c r="P45" s="62">
        <f t="shared" si="3"/>
        <v>0</v>
      </c>
      <c r="Q45" s="62">
        <f t="shared" si="3"/>
        <v>0</v>
      </c>
      <c r="R45" s="62">
        <f t="shared" si="3"/>
        <v>0</v>
      </c>
      <c r="S45" s="62">
        <f t="shared" si="3"/>
        <v>0</v>
      </c>
      <c r="T45" s="62">
        <f t="shared" si="4"/>
        <v>0</v>
      </c>
      <c r="U45" s="62">
        <f t="shared" si="4"/>
        <v>0</v>
      </c>
      <c r="V45" s="62">
        <f t="shared" si="2"/>
        <v>1</v>
      </c>
    </row>
    <row r="46" spans="1:22" ht="19.5">
      <c r="A46" s="10" t="s">
        <v>66</v>
      </c>
      <c r="B46" s="10" t="s">
        <v>737</v>
      </c>
      <c r="C46" s="10" t="s">
        <v>20</v>
      </c>
      <c r="J46" s="10" t="s">
        <v>66</v>
      </c>
      <c r="K46" s="62">
        <f t="shared" si="1"/>
        <v>0</v>
      </c>
      <c r="L46" s="62">
        <f t="shared" si="1"/>
        <v>0</v>
      </c>
      <c r="M46" s="62">
        <f t="shared" si="1"/>
        <v>0</v>
      </c>
      <c r="N46" s="62">
        <f t="shared" si="1"/>
        <v>1</v>
      </c>
      <c r="O46" s="62">
        <f t="shared" si="1"/>
        <v>0</v>
      </c>
      <c r="P46" s="62">
        <f t="shared" si="3"/>
        <v>0</v>
      </c>
      <c r="Q46" s="62">
        <f t="shared" si="3"/>
        <v>0</v>
      </c>
      <c r="R46" s="62">
        <f t="shared" si="3"/>
        <v>0</v>
      </c>
      <c r="S46" s="62">
        <f t="shared" si="3"/>
        <v>0</v>
      </c>
      <c r="T46" s="62">
        <f t="shared" si="4"/>
        <v>0</v>
      </c>
      <c r="U46" s="62">
        <f t="shared" si="4"/>
        <v>0</v>
      </c>
      <c r="V46" s="62">
        <f t="shared" si="2"/>
        <v>0</v>
      </c>
    </row>
    <row r="47" spans="1:22" ht="19.5">
      <c r="A47" s="10" t="s">
        <v>67</v>
      </c>
      <c r="B47" s="10" t="s">
        <v>37</v>
      </c>
      <c r="C47" s="10" t="s">
        <v>13</v>
      </c>
      <c r="J47" s="10" t="s">
        <v>67</v>
      </c>
      <c r="K47" s="62">
        <f t="shared" si="1"/>
        <v>0</v>
      </c>
      <c r="L47" s="62">
        <f t="shared" si="1"/>
        <v>0</v>
      </c>
      <c r="M47" s="62">
        <f t="shared" si="1"/>
        <v>1</v>
      </c>
      <c r="N47" s="62">
        <f t="shared" si="1"/>
        <v>0</v>
      </c>
      <c r="O47" s="62">
        <f t="shared" si="1"/>
        <v>0</v>
      </c>
      <c r="P47" s="62">
        <f t="shared" si="3"/>
        <v>0</v>
      </c>
      <c r="Q47" s="62">
        <f t="shared" si="3"/>
        <v>0</v>
      </c>
      <c r="R47" s="62">
        <f t="shared" si="3"/>
        <v>0</v>
      </c>
      <c r="S47" s="62">
        <f t="shared" si="3"/>
        <v>0</v>
      </c>
      <c r="T47" s="62">
        <f t="shared" si="4"/>
        <v>0</v>
      </c>
      <c r="U47" s="62">
        <f t="shared" si="4"/>
        <v>0</v>
      </c>
      <c r="V47" s="62">
        <f t="shared" si="2"/>
        <v>1</v>
      </c>
    </row>
    <row r="48" spans="1:22" ht="19.5">
      <c r="A48" s="10" t="s">
        <v>68</v>
      </c>
      <c r="B48" s="10" t="s">
        <v>39</v>
      </c>
      <c r="C48" s="10" t="s">
        <v>13</v>
      </c>
      <c r="J48" s="10" t="s">
        <v>68</v>
      </c>
      <c r="K48" s="62">
        <f t="shared" si="1"/>
        <v>1</v>
      </c>
      <c r="L48" s="62">
        <f t="shared" si="1"/>
        <v>0</v>
      </c>
      <c r="M48" s="62">
        <f t="shared" si="1"/>
        <v>0</v>
      </c>
      <c r="N48" s="62">
        <f t="shared" si="1"/>
        <v>0</v>
      </c>
      <c r="O48" s="62">
        <f t="shared" si="1"/>
        <v>0</v>
      </c>
      <c r="P48" s="62">
        <f t="shared" si="3"/>
        <v>0</v>
      </c>
      <c r="Q48" s="62">
        <f t="shared" si="3"/>
        <v>0</v>
      </c>
      <c r="R48" s="62">
        <f t="shared" si="3"/>
        <v>0</v>
      </c>
      <c r="S48" s="62">
        <f t="shared" si="3"/>
        <v>0</v>
      </c>
      <c r="T48" s="62">
        <f t="shared" si="4"/>
        <v>0</v>
      </c>
      <c r="U48" s="62">
        <f t="shared" si="4"/>
        <v>0</v>
      </c>
      <c r="V48" s="62">
        <f t="shared" si="2"/>
        <v>1</v>
      </c>
    </row>
    <row r="49" spans="1:22" ht="19.5">
      <c r="A49" s="10" t="s">
        <v>69</v>
      </c>
      <c r="B49" s="10" t="s">
        <v>42</v>
      </c>
      <c r="C49" s="10" t="s">
        <v>13</v>
      </c>
      <c r="J49" s="10" t="s">
        <v>69</v>
      </c>
      <c r="K49" s="62">
        <f t="shared" si="1"/>
        <v>0</v>
      </c>
      <c r="L49" s="62">
        <f t="shared" si="1"/>
        <v>1</v>
      </c>
      <c r="M49" s="62">
        <f t="shared" si="1"/>
        <v>0</v>
      </c>
      <c r="N49" s="62">
        <f t="shared" si="1"/>
        <v>0</v>
      </c>
      <c r="O49" s="62">
        <f t="shared" si="1"/>
        <v>0</v>
      </c>
      <c r="P49" s="62">
        <f t="shared" si="3"/>
        <v>0</v>
      </c>
      <c r="Q49" s="62">
        <f t="shared" si="3"/>
        <v>0</v>
      </c>
      <c r="R49" s="62">
        <f t="shared" si="3"/>
        <v>0</v>
      </c>
      <c r="S49" s="62">
        <f t="shared" si="3"/>
        <v>0</v>
      </c>
      <c r="T49" s="62">
        <f t="shared" si="4"/>
        <v>0</v>
      </c>
      <c r="U49" s="62">
        <f t="shared" si="4"/>
        <v>0</v>
      </c>
      <c r="V49" s="62">
        <f t="shared" si="2"/>
        <v>1</v>
      </c>
    </row>
    <row r="50" spans="1:22" ht="19.5">
      <c r="A50" s="10" t="s">
        <v>70</v>
      </c>
      <c r="B50" s="10" t="s">
        <v>737</v>
      </c>
      <c r="C50" s="10" t="s">
        <v>20</v>
      </c>
      <c r="J50" s="10" t="s">
        <v>70</v>
      </c>
      <c r="K50" s="62">
        <f t="shared" si="1"/>
        <v>0</v>
      </c>
      <c r="L50" s="62">
        <f t="shared" si="1"/>
        <v>0</v>
      </c>
      <c r="M50" s="62">
        <f t="shared" si="1"/>
        <v>0</v>
      </c>
      <c r="N50" s="62">
        <f t="shared" si="1"/>
        <v>1</v>
      </c>
      <c r="O50" s="62">
        <f t="shared" si="1"/>
        <v>0</v>
      </c>
      <c r="P50" s="62">
        <f t="shared" si="3"/>
        <v>0</v>
      </c>
      <c r="Q50" s="62">
        <f t="shared" si="3"/>
        <v>0</v>
      </c>
      <c r="R50" s="62">
        <f t="shared" si="3"/>
        <v>0</v>
      </c>
      <c r="S50" s="62">
        <f t="shared" si="3"/>
        <v>0</v>
      </c>
      <c r="T50" s="62">
        <f t="shared" si="4"/>
        <v>0</v>
      </c>
      <c r="U50" s="62">
        <f t="shared" si="4"/>
        <v>0</v>
      </c>
      <c r="V50" s="62">
        <f t="shared" si="2"/>
        <v>0</v>
      </c>
    </row>
    <row r="51" spans="1:22" ht="19.5">
      <c r="A51" s="10" t="s">
        <v>71</v>
      </c>
      <c r="B51" s="10" t="s">
        <v>740</v>
      </c>
      <c r="C51" s="10" t="s">
        <v>13</v>
      </c>
      <c r="J51" s="10" t="s">
        <v>71</v>
      </c>
      <c r="K51" s="62">
        <f t="shared" si="1"/>
        <v>0</v>
      </c>
      <c r="L51" s="62">
        <f t="shared" si="1"/>
        <v>0</v>
      </c>
      <c r="M51" s="62">
        <f t="shared" si="1"/>
        <v>0</v>
      </c>
      <c r="N51" s="62">
        <f t="shared" si="1"/>
        <v>0</v>
      </c>
      <c r="O51" s="62">
        <f t="shared" si="1"/>
        <v>1</v>
      </c>
      <c r="P51" s="62">
        <f t="shared" si="3"/>
        <v>0</v>
      </c>
      <c r="Q51" s="62">
        <f t="shared" si="3"/>
        <v>0</v>
      </c>
      <c r="R51" s="62">
        <f t="shared" si="3"/>
        <v>0</v>
      </c>
      <c r="S51" s="62">
        <f t="shared" si="3"/>
        <v>0</v>
      </c>
      <c r="T51" s="62">
        <f t="shared" si="4"/>
        <v>0</v>
      </c>
      <c r="U51" s="62">
        <f t="shared" si="4"/>
        <v>0</v>
      </c>
      <c r="V51" s="62">
        <f t="shared" si="2"/>
        <v>1</v>
      </c>
    </row>
    <row r="52" spans="1:22" ht="19.5">
      <c r="A52" s="10" t="s">
        <v>72</v>
      </c>
      <c r="B52" s="10" t="s">
        <v>39</v>
      </c>
      <c r="C52" s="10" t="s">
        <v>20</v>
      </c>
      <c r="J52" s="10" t="s">
        <v>72</v>
      </c>
      <c r="K52" s="62">
        <f t="shared" si="1"/>
        <v>1</v>
      </c>
      <c r="L52" s="62">
        <f t="shared" si="1"/>
        <v>0</v>
      </c>
      <c r="M52" s="62">
        <f t="shared" si="1"/>
        <v>0</v>
      </c>
      <c r="N52" s="62">
        <f t="shared" si="1"/>
        <v>0</v>
      </c>
      <c r="O52" s="62">
        <f t="shared" si="1"/>
        <v>0</v>
      </c>
      <c r="P52" s="62">
        <f t="shared" si="3"/>
        <v>0</v>
      </c>
      <c r="Q52" s="62">
        <f t="shared" si="3"/>
        <v>0</v>
      </c>
      <c r="R52" s="62">
        <f t="shared" si="3"/>
        <v>0</v>
      </c>
      <c r="S52" s="62">
        <f t="shared" si="3"/>
        <v>0</v>
      </c>
      <c r="T52" s="62">
        <f t="shared" si="4"/>
        <v>0</v>
      </c>
      <c r="U52" s="62">
        <f t="shared" si="4"/>
        <v>0</v>
      </c>
      <c r="V52" s="62">
        <f t="shared" si="2"/>
        <v>0</v>
      </c>
    </row>
    <row r="53" spans="1:22" ht="19.5">
      <c r="A53" s="10" t="s">
        <v>73</v>
      </c>
      <c r="B53" s="10" t="s">
        <v>42</v>
      </c>
      <c r="C53" s="10" t="s">
        <v>20</v>
      </c>
      <c r="J53" s="10" t="s">
        <v>73</v>
      </c>
      <c r="K53" s="62">
        <f t="shared" si="1"/>
        <v>0</v>
      </c>
      <c r="L53" s="62">
        <f t="shared" si="1"/>
        <v>1</v>
      </c>
      <c r="M53" s="62">
        <f t="shared" si="1"/>
        <v>0</v>
      </c>
      <c r="N53" s="62">
        <f t="shared" si="1"/>
        <v>0</v>
      </c>
      <c r="O53" s="62">
        <f t="shared" si="1"/>
        <v>0</v>
      </c>
      <c r="P53" s="62">
        <f t="shared" si="3"/>
        <v>0</v>
      </c>
      <c r="Q53" s="62">
        <f t="shared" si="3"/>
        <v>0</v>
      </c>
      <c r="R53" s="62">
        <f t="shared" si="3"/>
        <v>0</v>
      </c>
      <c r="S53" s="62">
        <f t="shared" si="3"/>
        <v>0</v>
      </c>
      <c r="T53" s="62">
        <f t="shared" si="4"/>
        <v>0</v>
      </c>
      <c r="U53" s="62">
        <f t="shared" si="4"/>
        <v>0</v>
      </c>
      <c r="V53" s="62">
        <f t="shared" si="2"/>
        <v>0</v>
      </c>
    </row>
    <row r="54" spans="1:22" ht="19.5">
      <c r="A54" s="10" t="s">
        <v>74</v>
      </c>
      <c r="B54" s="10" t="s">
        <v>737</v>
      </c>
      <c r="C54" s="10" t="s">
        <v>13</v>
      </c>
      <c r="J54" s="10" t="s">
        <v>74</v>
      </c>
      <c r="K54" s="62">
        <f t="shared" si="1"/>
        <v>0</v>
      </c>
      <c r="L54" s="62">
        <f t="shared" si="1"/>
        <v>0</v>
      </c>
      <c r="M54" s="62">
        <f t="shared" si="1"/>
        <v>0</v>
      </c>
      <c r="N54" s="62">
        <f t="shared" si="1"/>
        <v>1</v>
      </c>
      <c r="O54" s="62">
        <f t="shared" si="1"/>
        <v>0</v>
      </c>
      <c r="P54" s="62">
        <f t="shared" si="3"/>
        <v>0</v>
      </c>
      <c r="Q54" s="62">
        <f t="shared" si="3"/>
        <v>0</v>
      </c>
      <c r="R54" s="62">
        <f t="shared" si="3"/>
        <v>0</v>
      </c>
      <c r="S54" s="62">
        <f t="shared" si="3"/>
        <v>0</v>
      </c>
      <c r="T54" s="62">
        <f t="shared" si="4"/>
        <v>0</v>
      </c>
      <c r="U54" s="62">
        <f t="shared" si="4"/>
        <v>0</v>
      </c>
      <c r="V54" s="62">
        <f t="shared" si="2"/>
        <v>1</v>
      </c>
    </row>
    <row r="55" spans="1:22" ht="19.5">
      <c r="A55" s="10" t="s">
        <v>75</v>
      </c>
      <c r="B55" s="10" t="s">
        <v>740</v>
      </c>
      <c r="C55" s="10" t="s">
        <v>13</v>
      </c>
      <c r="J55" s="10" t="s">
        <v>75</v>
      </c>
      <c r="K55" s="62">
        <f t="shared" si="1"/>
        <v>0</v>
      </c>
      <c r="L55" s="62">
        <f t="shared" si="1"/>
        <v>0</v>
      </c>
      <c r="M55" s="62">
        <f t="shared" si="1"/>
        <v>0</v>
      </c>
      <c r="N55" s="62">
        <f t="shared" si="1"/>
        <v>0</v>
      </c>
      <c r="O55" s="62">
        <f t="shared" si="1"/>
        <v>1</v>
      </c>
      <c r="P55" s="62">
        <f t="shared" si="3"/>
        <v>0</v>
      </c>
      <c r="Q55" s="62">
        <f t="shared" si="3"/>
        <v>0</v>
      </c>
      <c r="R55" s="62">
        <f t="shared" si="3"/>
        <v>0</v>
      </c>
      <c r="S55" s="62">
        <f t="shared" si="3"/>
        <v>0</v>
      </c>
      <c r="T55" s="62">
        <f t="shared" si="4"/>
        <v>0</v>
      </c>
      <c r="U55" s="62">
        <f t="shared" si="4"/>
        <v>0</v>
      </c>
      <c r="V55" s="62">
        <f t="shared" si="2"/>
        <v>1</v>
      </c>
    </row>
    <row r="56" spans="1:22" ht="19.5">
      <c r="A56" s="10" t="s">
        <v>76</v>
      </c>
      <c r="B56" s="10" t="s">
        <v>39</v>
      </c>
      <c r="C56" s="10" t="s">
        <v>20</v>
      </c>
      <c r="J56" s="10" t="s">
        <v>76</v>
      </c>
      <c r="K56" s="62">
        <f t="shared" si="1"/>
        <v>1</v>
      </c>
      <c r="L56" s="62">
        <f t="shared" si="1"/>
        <v>0</v>
      </c>
      <c r="M56" s="62">
        <f t="shared" si="1"/>
        <v>0</v>
      </c>
      <c r="N56" s="62">
        <f t="shared" si="1"/>
        <v>0</v>
      </c>
      <c r="O56" s="62">
        <f t="shared" si="1"/>
        <v>0</v>
      </c>
      <c r="P56" s="62">
        <f t="shared" si="3"/>
        <v>0</v>
      </c>
      <c r="Q56" s="62">
        <f t="shared" si="3"/>
        <v>0</v>
      </c>
      <c r="R56" s="62">
        <f t="shared" si="3"/>
        <v>0</v>
      </c>
      <c r="S56" s="62">
        <f t="shared" si="3"/>
        <v>0</v>
      </c>
      <c r="T56" s="62">
        <f t="shared" si="4"/>
        <v>0</v>
      </c>
      <c r="U56" s="62">
        <f t="shared" si="4"/>
        <v>0</v>
      </c>
      <c r="V56" s="62">
        <f t="shared" si="2"/>
        <v>0</v>
      </c>
    </row>
    <row r="57" spans="1:22" ht="19.5">
      <c r="A57" s="10" t="s">
        <v>77</v>
      </c>
      <c r="B57" s="10" t="s">
        <v>740</v>
      </c>
      <c r="C57" s="10" t="s">
        <v>20</v>
      </c>
      <c r="J57" s="10" t="s">
        <v>77</v>
      </c>
      <c r="K57" s="62">
        <f t="shared" si="1"/>
        <v>0</v>
      </c>
      <c r="L57" s="62">
        <f t="shared" si="1"/>
        <v>0</v>
      </c>
      <c r="M57" s="62">
        <f t="shared" si="1"/>
        <v>0</v>
      </c>
      <c r="N57" s="62">
        <f t="shared" si="1"/>
        <v>0</v>
      </c>
      <c r="O57" s="62">
        <f t="shared" si="1"/>
        <v>1</v>
      </c>
      <c r="P57" s="62">
        <f t="shared" si="3"/>
        <v>0</v>
      </c>
      <c r="Q57" s="62">
        <f t="shared" si="3"/>
        <v>0</v>
      </c>
      <c r="R57" s="62">
        <f t="shared" si="3"/>
        <v>0</v>
      </c>
      <c r="S57" s="62">
        <f t="shared" si="3"/>
        <v>0</v>
      </c>
      <c r="T57" s="62">
        <f t="shared" si="4"/>
        <v>0</v>
      </c>
      <c r="U57" s="62">
        <f t="shared" si="4"/>
        <v>0</v>
      </c>
      <c r="V57" s="62">
        <f t="shared" si="2"/>
        <v>0</v>
      </c>
    </row>
    <row r="58" spans="1:22" ht="19.5">
      <c r="A58" s="10" t="s">
        <v>78</v>
      </c>
      <c r="B58" s="10" t="s">
        <v>37</v>
      </c>
      <c r="C58" s="10" t="s">
        <v>13</v>
      </c>
      <c r="J58" s="10" t="s">
        <v>78</v>
      </c>
      <c r="K58" s="62">
        <f t="shared" si="1"/>
        <v>0</v>
      </c>
      <c r="L58" s="62">
        <f t="shared" si="1"/>
        <v>0</v>
      </c>
      <c r="M58" s="62">
        <f t="shared" si="1"/>
        <v>1</v>
      </c>
      <c r="N58" s="62">
        <f t="shared" si="1"/>
        <v>0</v>
      </c>
      <c r="O58" s="62">
        <f t="shared" si="1"/>
        <v>0</v>
      </c>
      <c r="P58" s="62">
        <f t="shared" si="3"/>
        <v>0</v>
      </c>
      <c r="Q58" s="62">
        <f t="shared" si="3"/>
        <v>0</v>
      </c>
      <c r="R58" s="62">
        <f t="shared" si="3"/>
        <v>0</v>
      </c>
      <c r="S58" s="62">
        <f t="shared" si="3"/>
        <v>0</v>
      </c>
      <c r="T58" s="62">
        <f t="shared" si="4"/>
        <v>0</v>
      </c>
      <c r="U58" s="62">
        <f t="shared" si="4"/>
        <v>0</v>
      </c>
      <c r="V58" s="62">
        <f t="shared" si="2"/>
        <v>1</v>
      </c>
    </row>
    <row r="59" spans="1:22" ht="19.5">
      <c r="A59" s="10" t="s">
        <v>79</v>
      </c>
      <c r="B59" s="10" t="s">
        <v>39</v>
      </c>
      <c r="C59" s="10" t="s">
        <v>13</v>
      </c>
      <c r="J59" s="10" t="s">
        <v>79</v>
      </c>
      <c r="K59" s="62">
        <f t="shared" si="1"/>
        <v>1</v>
      </c>
      <c r="L59" s="62">
        <f t="shared" si="1"/>
        <v>0</v>
      </c>
      <c r="M59" s="62">
        <f t="shared" si="1"/>
        <v>0</v>
      </c>
      <c r="N59" s="62">
        <f t="shared" si="1"/>
        <v>0</v>
      </c>
      <c r="O59" s="62">
        <f t="shared" si="1"/>
        <v>0</v>
      </c>
      <c r="P59" s="62">
        <f t="shared" si="3"/>
        <v>0</v>
      </c>
      <c r="Q59" s="62">
        <f t="shared" si="3"/>
        <v>0</v>
      </c>
      <c r="R59" s="62">
        <f t="shared" si="3"/>
        <v>0</v>
      </c>
      <c r="S59" s="62">
        <f t="shared" si="3"/>
        <v>0</v>
      </c>
      <c r="T59" s="62">
        <f t="shared" si="4"/>
        <v>0</v>
      </c>
      <c r="U59" s="62">
        <f t="shared" si="4"/>
        <v>0</v>
      </c>
      <c r="V59" s="62">
        <f t="shared" si="2"/>
        <v>1</v>
      </c>
    </row>
    <row r="60" spans="1:22" ht="19.5">
      <c r="A60" s="10" t="s">
        <v>80</v>
      </c>
      <c r="B60" s="10" t="s">
        <v>39</v>
      </c>
      <c r="C60" s="10" t="s">
        <v>13</v>
      </c>
      <c r="J60" s="10" t="s">
        <v>80</v>
      </c>
      <c r="K60" s="62">
        <f t="shared" si="1"/>
        <v>1</v>
      </c>
      <c r="L60" s="62">
        <f t="shared" si="1"/>
        <v>0</v>
      </c>
      <c r="M60" s="62">
        <f t="shared" si="1"/>
        <v>0</v>
      </c>
      <c r="N60" s="62">
        <f t="shared" si="1"/>
        <v>0</v>
      </c>
      <c r="O60" s="62">
        <f t="shared" si="1"/>
        <v>0</v>
      </c>
      <c r="P60" s="62">
        <f t="shared" si="3"/>
        <v>0</v>
      </c>
      <c r="Q60" s="62">
        <f t="shared" si="3"/>
        <v>0</v>
      </c>
      <c r="R60" s="62">
        <f t="shared" si="3"/>
        <v>0</v>
      </c>
      <c r="S60" s="62">
        <f t="shared" si="3"/>
        <v>0</v>
      </c>
      <c r="T60" s="62">
        <f t="shared" si="4"/>
        <v>0</v>
      </c>
      <c r="U60" s="62">
        <f t="shared" si="4"/>
        <v>0</v>
      </c>
      <c r="V60" s="62">
        <f t="shared" si="2"/>
        <v>1</v>
      </c>
    </row>
    <row r="61" spans="1:22" ht="19.5">
      <c r="A61" s="10" t="s">
        <v>81</v>
      </c>
      <c r="B61" s="10" t="s">
        <v>42</v>
      </c>
      <c r="C61" s="10" t="s">
        <v>13</v>
      </c>
      <c r="J61" s="10" t="s">
        <v>81</v>
      </c>
      <c r="K61" s="62">
        <f t="shared" si="1"/>
        <v>0</v>
      </c>
      <c r="L61" s="62">
        <f t="shared" si="1"/>
        <v>1</v>
      </c>
      <c r="M61" s="62">
        <f t="shared" si="1"/>
        <v>0</v>
      </c>
      <c r="N61" s="62">
        <f t="shared" si="1"/>
        <v>0</v>
      </c>
      <c r="O61" s="62">
        <f t="shared" si="1"/>
        <v>0</v>
      </c>
      <c r="P61" s="62">
        <f t="shared" si="3"/>
        <v>0</v>
      </c>
      <c r="Q61" s="62">
        <f t="shared" si="3"/>
        <v>0</v>
      </c>
      <c r="R61" s="62">
        <f t="shared" si="3"/>
        <v>0</v>
      </c>
      <c r="S61" s="62">
        <f t="shared" si="3"/>
        <v>0</v>
      </c>
      <c r="T61" s="62">
        <f t="shared" si="4"/>
        <v>0</v>
      </c>
      <c r="U61" s="62">
        <f t="shared" si="4"/>
        <v>0</v>
      </c>
      <c r="V61" s="62">
        <f t="shared" si="2"/>
        <v>1</v>
      </c>
    </row>
    <row r="62" spans="1:22" ht="19.5">
      <c r="A62" s="10" t="s">
        <v>82</v>
      </c>
      <c r="B62" s="10" t="s">
        <v>42</v>
      </c>
      <c r="C62" s="10" t="s">
        <v>20</v>
      </c>
      <c r="J62" s="10" t="s">
        <v>82</v>
      </c>
      <c r="K62" s="62">
        <f t="shared" si="1"/>
        <v>0</v>
      </c>
      <c r="L62" s="62">
        <f t="shared" si="1"/>
        <v>1</v>
      </c>
      <c r="M62" s="62">
        <f t="shared" si="1"/>
        <v>0</v>
      </c>
      <c r="N62" s="62">
        <f t="shared" si="1"/>
        <v>0</v>
      </c>
      <c r="O62" s="62">
        <f t="shared" ref="O62:R125" si="5">IF($B62=AA$9, 1, 0)</f>
        <v>0</v>
      </c>
      <c r="P62" s="62">
        <f t="shared" si="3"/>
        <v>0</v>
      </c>
      <c r="Q62" s="62">
        <f t="shared" si="3"/>
        <v>0</v>
      </c>
      <c r="R62" s="62">
        <f t="shared" si="3"/>
        <v>0</v>
      </c>
      <c r="S62" s="62">
        <f t="shared" si="3"/>
        <v>0</v>
      </c>
      <c r="T62" s="62">
        <f t="shared" si="4"/>
        <v>0</v>
      </c>
      <c r="U62" s="62">
        <f t="shared" si="4"/>
        <v>0</v>
      </c>
      <c r="V62" s="62">
        <f t="shared" si="2"/>
        <v>0</v>
      </c>
    </row>
    <row r="63" spans="1:22" ht="19.5">
      <c r="A63" s="10" t="s">
        <v>83</v>
      </c>
      <c r="B63" s="10" t="s">
        <v>737</v>
      </c>
      <c r="C63" s="10" t="s">
        <v>13</v>
      </c>
      <c r="J63" s="10" t="s">
        <v>83</v>
      </c>
      <c r="K63" s="62">
        <f t="shared" si="1"/>
        <v>0</v>
      </c>
      <c r="L63" s="62">
        <f t="shared" si="1"/>
        <v>0</v>
      </c>
      <c r="M63" s="62">
        <f t="shared" si="1"/>
        <v>0</v>
      </c>
      <c r="N63" s="62">
        <f t="shared" si="1"/>
        <v>1</v>
      </c>
      <c r="O63" s="62">
        <f t="shared" si="5"/>
        <v>0</v>
      </c>
      <c r="P63" s="62">
        <f t="shared" si="3"/>
        <v>0</v>
      </c>
      <c r="Q63" s="62">
        <f t="shared" si="3"/>
        <v>0</v>
      </c>
      <c r="R63" s="62">
        <f t="shared" si="3"/>
        <v>0</v>
      </c>
      <c r="S63" s="62">
        <f t="shared" si="3"/>
        <v>0</v>
      </c>
      <c r="T63" s="62">
        <f t="shared" si="4"/>
        <v>0</v>
      </c>
      <c r="U63" s="62">
        <f t="shared" si="4"/>
        <v>0</v>
      </c>
      <c r="V63" s="62">
        <f t="shared" si="2"/>
        <v>1</v>
      </c>
    </row>
    <row r="64" spans="1:22" ht="19.5">
      <c r="A64" s="10" t="s">
        <v>84</v>
      </c>
      <c r="B64" s="10" t="s">
        <v>740</v>
      </c>
      <c r="C64" s="10" t="s">
        <v>13</v>
      </c>
      <c r="J64" s="10" t="s">
        <v>84</v>
      </c>
      <c r="K64" s="62">
        <f t="shared" si="1"/>
        <v>0</v>
      </c>
      <c r="L64" s="62">
        <f t="shared" si="1"/>
        <v>0</v>
      </c>
      <c r="M64" s="62">
        <f t="shared" si="1"/>
        <v>0</v>
      </c>
      <c r="N64" s="62">
        <f t="shared" si="1"/>
        <v>0</v>
      </c>
      <c r="O64" s="62">
        <f t="shared" si="5"/>
        <v>1</v>
      </c>
      <c r="P64" s="62">
        <f t="shared" si="3"/>
        <v>0</v>
      </c>
      <c r="Q64" s="62">
        <f t="shared" si="3"/>
        <v>0</v>
      </c>
      <c r="R64" s="62">
        <f t="shared" si="3"/>
        <v>0</v>
      </c>
      <c r="S64" s="62">
        <f t="shared" si="3"/>
        <v>0</v>
      </c>
      <c r="T64" s="62">
        <f t="shared" si="4"/>
        <v>0</v>
      </c>
      <c r="U64" s="62">
        <f t="shared" si="4"/>
        <v>0</v>
      </c>
      <c r="V64" s="62">
        <f t="shared" si="2"/>
        <v>1</v>
      </c>
    </row>
    <row r="65" spans="1:22" ht="19.5">
      <c r="A65" s="10" t="s">
        <v>85</v>
      </c>
      <c r="B65" s="10" t="s">
        <v>39</v>
      </c>
      <c r="C65" s="10" t="s">
        <v>13</v>
      </c>
      <c r="J65" s="10" t="s">
        <v>85</v>
      </c>
      <c r="K65" s="62">
        <f t="shared" si="1"/>
        <v>1</v>
      </c>
      <c r="L65" s="62">
        <f t="shared" si="1"/>
        <v>0</v>
      </c>
      <c r="M65" s="62">
        <f t="shared" si="1"/>
        <v>0</v>
      </c>
      <c r="N65" s="62">
        <f t="shared" si="1"/>
        <v>0</v>
      </c>
      <c r="O65" s="62">
        <f t="shared" si="5"/>
        <v>0</v>
      </c>
      <c r="P65" s="62">
        <f t="shared" si="3"/>
        <v>0</v>
      </c>
      <c r="Q65" s="62">
        <f t="shared" si="3"/>
        <v>0</v>
      </c>
      <c r="R65" s="62">
        <f t="shared" si="3"/>
        <v>0</v>
      </c>
      <c r="S65" s="62">
        <f t="shared" si="3"/>
        <v>0</v>
      </c>
      <c r="T65" s="62">
        <f t="shared" si="4"/>
        <v>0</v>
      </c>
      <c r="U65" s="62">
        <f t="shared" si="4"/>
        <v>0</v>
      </c>
      <c r="V65" s="62">
        <f t="shared" si="2"/>
        <v>1</v>
      </c>
    </row>
    <row r="66" spans="1:22" ht="19.5">
      <c r="A66" s="10" t="s">
        <v>86</v>
      </c>
      <c r="B66" s="10" t="s">
        <v>42</v>
      </c>
      <c r="C66" s="10" t="s">
        <v>13</v>
      </c>
      <c r="J66" s="10" t="s">
        <v>86</v>
      </c>
      <c r="K66" s="62">
        <f t="shared" si="1"/>
        <v>0</v>
      </c>
      <c r="L66" s="62">
        <f t="shared" si="1"/>
        <v>1</v>
      </c>
      <c r="M66" s="62">
        <f t="shared" si="1"/>
        <v>0</v>
      </c>
      <c r="N66" s="62">
        <f t="shared" si="1"/>
        <v>0</v>
      </c>
      <c r="O66" s="62">
        <f t="shared" si="5"/>
        <v>0</v>
      </c>
      <c r="P66" s="62">
        <f t="shared" si="3"/>
        <v>0</v>
      </c>
      <c r="Q66" s="62">
        <f t="shared" si="3"/>
        <v>0</v>
      </c>
      <c r="R66" s="62">
        <f t="shared" si="3"/>
        <v>0</v>
      </c>
      <c r="S66" s="62">
        <f t="shared" si="3"/>
        <v>0</v>
      </c>
      <c r="T66" s="62">
        <f t="shared" si="4"/>
        <v>0</v>
      </c>
      <c r="U66" s="62">
        <f t="shared" si="4"/>
        <v>0</v>
      </c>
      <c r="V66" s="62">
        <f t="shared" si="2"/>
        <v>1</v>
      </c>
    </row>
    <row r="67" spans="1:22" ht="19.5">
      <c r="A67" s="10" t="s">
        <v>87</v>
      </c>
      <c r="B67" s="10" t="s">
        <v>737</v>
      </c>
      <c r="C67" s="10" t="s">
        <v>20</v>
      </c>
      <c r="J67" s="10" t="s">
        <v>87</v>
      </c>
      <c r="K67" s="62">
        <f t="shared" ref="K67:N130" si="6">IF($B67=W$9, 1, 0)</f>
        <v>0</v>
      </c>
      <c r="L67" s="62">
        <f t="shared" si="6"/>
        <v>0</v>
      </c>
      <c r="M67" s="62">
        <f t="shared" si="6"/>
        <v>0</v>
      </c>
      <c r="N67" s="62">
        <f t="shared" si="6"/>
        <v>1</v>
      </c>
      <c r="O67" s="62">
        <f t="shared" si="5"/>
        <v>0</v>
      </c>
      <c r="P67" s="62">
        <f t="shared" si="3"/>
        <v>0</v>
      </c>
      <c r="Q67" s="62">
        <f t="shared" si="3"/>
        <v>0</v>
      </c>
      <c r="R67" s="62">
        <f t="shared" si="3"/>
        <v>0</v>
      </c>
      <c r="S67" s="62">
        <f t="shared" si="3"/>
        <v>0</v>
      </c>
      <c r="T67" s="62">
        <f t="shared" si="4"/>
        <v>0</v>
      </c>
      <c r="U67" s="62">
        <f t="shared" si="4"/>
        <v>0</v>
      </c>
      <c r="V67" s="62">
        <f t="shared" ref="V67:V130" si="7">IF($C67=$V$1, 1, 0)</f>
        <v>0</v>
      </c>
    </row>
    <row r="68" spans="1:22" ht="19.5">
      <c r="A68" s="10" t="s">
        <v>88</v>
      </c>
      <c r="B68" s="10" t="s">
        <v>740</v>
      </c>
      <c r="C68" s="10" t="s">
        <v>13</v>
      </c>
      <c r="J68" s="10" t="s">
        <v>88</v>
      </c>
      <c r="K68" s="62">
        <f t="shared" si="6"/>
        <v>0</v>
      </c>
      <c r="L68" s="62">
        <f t="shared" si="6"/>
        <v>0</v>
      </c>
      <c r="M68" s="62">
        <f t="shared" si="6"/>
        <v>0</v>
      </c>
      <c r="N68" s="62">
        <f t="shared" si="6"/>
        <v>0</v>
      </c>
      <c r="O68" s="62">
        <f t="shared" si="5"/>
        <v>1</v>
      </c>
      <c r="P68" s="62">
        <f t="shared" si="3"/>
        <v>0</v>
      </c>
      <c r="Q68" s="62">
        <f t="shared" si="3"/>
        <v>0</v>
      </c>
      <c r="R68" s="62">
        <f t="shared" si="3"/>
        <v>0</v>
      </c>
      <c r="S68" s="62">
        <f t="shared" si="3"/>
        <v>0</v>
      </c>
      <c r="T68" s="62">
        <f t="shared" si="4"/>
        <v>0</v>
      </c>
      <c r="U68" s="62">
        <f t="shared" si="4"/>
        <v>0</v>
      </c>
      <c r="V68" s="62">
        <f t="shared" si="7"/>
        <v>1</v>
      </c>
    </row>
    <row r="69" spans="1:22" ht="19.5">
      <c r="A69" s="10" t="s">
        <v>89</v>
      </c>
      <c r="B69" s="10" t="s">
        <v>37</v>
      </c>
      <c r="C69" s="10" t="s">
        <v>13</v>
      </c>
      <c r="J69" s="10" t="s">
        <v>89</v>
      </c>
      <c r="K69" s="62">
        <f t="shared" si="6"/>
        <v>0</v>
      </c>
      <c r="L69" s="62">
        <f t="shared" si="6"/>
        <v>0</v>
      </c>
      <c r="M69" s="62">
        <f t="shared" si="6"/>
        <v>1</v>
      </c>
      <c r="N69" s="62">
        <f t="shared" si="6"/>
        <v>0</v>
      </c>
      <c r="O69" s="62">
        <f t="shared" si="5"/>
        <v>0</v>
      </c>
      <c r="P69" s="62">
        <f t="shared" si="3"/>
        <v>0</v>
      </c>
      <c r="Q69" s="62">
        <f t="shared" si="3"/>
        <v>0</v>
      </c>
      <c r="R69" s="62">
        <f t="shared" si="3"/>
        <v>0</v>
      </c>
      <c r="S69" s="62">
        <f t="shared" si="3"/>
        <v>0</v>
      </c>
      <c r="T69" s="62">
        <f t="shared" si="4"/>
        <v>0</v>
      </c>
      <c r="U69" s="62">
        <f t="shared" si="4"/>
        <v>0</v>
      </c>
      <c r="V69" s="62">
        <f t="shared" si="7"/>
        <v>1</v>
      </c>
    </row>
    <row r="70" spans="1:22" ht="19.5">
      <c r="A70" s="10" t="s">
        <v>90</v>
      </c>
      <c r="B70" s="10" t="s">
        <v>37</v>
      </c>
      <c r="C70" s="10" t="s">
        <v>13</v>
      </c>
      <c r="J70" s="10" t="s">
        <v>90</v>
      </c>
      <c r="K70" s="62">
        <f t="shared" si="6"/>
        <v>0</v>
      </c>
      <c r="L70" s="62">
        <f t="shared" si="6"/>
        <v>0</v>
      </c>
      <c r="M70" s="62">
        <f t="shared" si="6"/>
        <v>1</v>
      </c>
      <c r="N70" s="62">
        <f t="shared" si="6"/>
        <v>0</v>
      </c>
      <c r="O70" s="62">
        <f t="shared" si="5"/>
        <v>0</v>
      </c>
      <c r="P70" s="62">
        <f t="shared" si="3"/>
        <v>0</v>
      </c>
      <c r="Q70" s="62">
        <f t="shared" si="3"/>
        <v>0</v>
      </c>
      <c r="R70" s="62">
        <f t="shared" si="3"/>
        <v>0</v>
      </c>
      <c r="S70" s="62">
        <f t="shared" si="3"/>
        <v>0</v>
      </c>
      <c r="T70" s="62">
        <f t="shared" si="4"/>
        <v>0</v>
      </c>
      <c r="U70" s="62">
        <f t="shared" si="4"/>
        <v>0</v>
      </c>
      <c r="V70" s="62">
        <f t="shared" si="7"/>
        <v>1</v>
      </c>
    </row>
    <row r="71" spans="1:22" ht="19.5">
      <c r="A71" s="10" t="s">
        <v>91</v>
      </c>
      <c r="B71" s="10" t="s">
        <v>37</v>
      </c>
      <c r="C71" s="10" t="s">
        <v>20</v>
      </c>
      <c r="J71" s="10" t="s">
        <v>91</v>
      </c>
      <c r="K71" s="62">
        <f t="shared" si="6"/>
        <v>0</v>
      </c>
      <c r="L71" s="62">
        <f t="shared" si="6"/>
        <v>0</v>
      </c>
      <c r="M71" s="62">
        <f t="shared" si="6"/>
        <v>1</v>
      </c>
      <c r="N71" s="62">
        <f t="shared" si="6"/>
        <v>0</v>
      </c>
      <c r="O71" s="62">
        <f t="shared" si="5"/>
        <v>0</v>
      </c>
      <c r="P71" s="62">
        <f t="shared" si="3"/>
        <v>0</v>
      </c>
      <c r="Q71" s="62">
        <f t="shared" si="3"/>
        <v>0</v>
      </c>
      <c r="R71" s="62">
        <f t="shared" si="3"/>
        <v>0</v>
      </c>
      <c r="S71" s="62">
        <f t="shared" si="3"/>
        <v>0</v>
      </c>
      <c r="T71" s="62">
        <f t="shared" si="4"/>
        <v>0</v>
      </c>
      <c r="U71" s="62">
        <f t="shared" si="4"/>
        <v>0</v>
      </c>
      <c r="V71" s="62">
        <f t="shared" si="7"/>
        <v>0</v>
      </c>
    </row>
    <row r="72" spans="1:22" ht="19.5">
      <c r="A72" s="10" t="s">
        <v>92</v>
      </c>
      <c r="B72" s="10" t="s">
        <v>39</v>
      </c>
      <c r="C72" s="10" t="s">
        <v>13</v>
      </c>
      <c r="J72" s="10" t="s">
        <v>92</v>
      </c>
      <c r="K72" s="62">
        <f t="shared" si="6"/>
        <v>1</v>
      </c>
      <c r="L72" s="62">
        <f t="shared" si="6"/>
        <v>0</v>
      </c>
      <c r="M72" s="62">
        <f t="shared" si="6"/>
        <v>0</v>
      </c>
      <c r="N72" s="62">
        <f t="shared" si="6"/>
        <v>0</v>
      </c>
      <c r="O72" s="62">
        <f t="shared" si="5"/>
        <v>0</v>
      </c>
      <c r="P72" s="62">
        <f t="shared" si="3"/>
        <v>0</v>
      </c>
      <c r="Q72" s="62">
        <f t="shared" si="3"/>
        <v>0</v>
      </c>
      <c r="R72" s="62">
        <f t="shared" si="3"/>
        <v>0</v>
      </c>
      <c r="S72" s="62">
        <f t="shared" si="3"/>
        <v>0</v>
      </c>
      <c r="T72" s="62">
        <f t="shared" si="4"/>
        <v>0</v>
      </c>
      <c r="U72" s="62">
        <f t="shared" si="4"/>
        <v>0</v>
      </c>
      <c r="V72" s="62">
        <f t="shared" si="7"/>
        <v>1</v>
      </c>
    </row>
    <row r="73" spans="1:22" ht="19.5">
      <c r="A73" s="10" t="s">
        <v>93</v>
      </c>
      <c r="B73" s="10" t="s">
        <v>39</v>
      </c>
      <c r="C73" s="10" t="s">
        <v>20</v>
      </c>
      <c r="J73" s="10" t="s">
        <v>93</v>
      </c>
      <c r="K73" s="62">
        <f t="shared" si="6"/>
        <v>1</v>
      </c>
      <c r="L73" s="62">
        <f t="shared" si="6"/>
        <v>0</v>
      </c>
      <c r="M73" s="62">
        <f t="shared" si="6"/>
        <v>0</v>
      </c>
      <c r="N73" s="62">
        <f t="shared" si="6"/>
        <v>0</v>
      </c>
      <c r="O73" s="62">
        <f t="shared" si="5"/>
        <v>0</v>
      </c>
      <c r="P73" s="62">
        <f t="shared" si="3"/>
        <v>0</v>
      </c>
      <c r="Q73" s="62">
        <f t="shared" si="3"/>
        <v>0</v>
      </c>
      <c r="R73" s="62">
        <f t="shared" si="3"/>
        <v>0</v>
      </c>
      <c r="S73" s="62">
        <f t="shared" si="3"/>
        <v>0</v>
      </c>
      <c r="T73" s="62">
        <f t="shared" si="4"/>
        <v>0</v>
      </c>
      <c r="U73" s="62">
        <f t="shared" si="4"/>
        <v>0</v>
      </c>
      <c r="V73" s="62">
        <f t="shared" si="7"/>
        <v>0</v>
      </c>
    </row>
    <row r="74" spans="1:22" ht="19.5">
      <c r="A74" s="10" t="s">
        <v>94</v>
      </c>
      <c r="B74" s="10" t="s">
        <v>37</v>
      </c>
      <c r="C74" s="10" t="s">
        <v>13</v>
      </c>
      <c r="J74" s="10" t="s">
        <v>94</v>
      </c>
      <c r="K74" s="62">
        <f t="shared" si="6"/>
        <v>0</v>
      </c>
      <c r="L74" s="62">
        <f t="shared" si="6"/>
        <v>0</v>
      </c>
      <c r="M74" s="62">
        <f t="shared" si="6"/>
        <v>1</v>
      </c>
      <c r="N74" s="62">
        <f t="shared" si="6"/>
        <v>0</v>
      </c>
      <c r="O74" s="62">
        <f t="shared" si="5"/>
        <v>0</v>
      </c>
      <c r="P74" s="62">
        <f t="shared" si="3"/>
        <v>0</v>
      </c>
      <c r="Q74" s="62">
        <f t="shared" si="3"/>
        <v>0</v>
      </c>
      <c r="R74" s="62">
        <f t="shared" si="3"/>
        <v>0</v>
      </c>
      <c r="S74" s="62">
        <f t="shared" si="3"/>
        <v>0</v>
      </c>
      <c r="T74" s="62">
        <f t="shared" si="4"/>
        <v>0</v>
      </c>
      <c r="U74" s="62">
        <f t="shared" si="4"/>
        <v>0</v>
      </c>
      <c r="V74" s="62">
        <f t="shared" si="7"/>
        <v>1</v>
      </c>
    </row>
    <row r="75" spans="1:22" ht="19.5">
      <c r="A75" s="10" t="s">
        <v>95</v>
      </c>
      <c r="B75" s="10" t="s">
        <v>39</v>
      </c>
      <c r="C75" s="10" t="s">
        <v>13</v>
      </c>
      <c r="J75" s="10" t="s">
        <v>95</v>
      </c>
      <c r="K75" s="62">
        <f t="shared" si="6"/>
        <v>1</v>
      </c>
      <c r="L75" s="62">
        <f t="shared" si="6"/>
        <v>0</v>
      </c>
      <c r="M75" s="62">
        <f t="shared" si="6"/>
        <v>0</v>
      </c>
      <c r="N75" s="62">
        <f t="shared" si="6"/>
        <v>0</v>
      </c>
      <c r="O75" s="62">
        <f t="shared" si="5"/>
        <v>0</v>
      </c>
      <c r="P75" s="62">
        <f t="shared" si="3"/>
        <v>0</v>
      </c>
      <c r="Q75" s="62">
        <f t="shared" si="3"/>
        <v>0</v>
      </c>
      <c r="R75" s="62">
        <f t="shared" si="3"/>
        <v>0</v>
      </c>
      <c r="S75" s="62">
        <f t="shared" si="3"/>
        <v>0</v>
      </c>
      <c r="T75" s="62">
        <f t="shared" si="4"/>
        <v>0</v>
      </c>
      <c r="U75" s="62">
        <f t="shared" si="4"/>
        <v>0</v>
      </c>
      <c r="V75" s="62">
        <f t="shared" si="7"/>
        <v>1</v>
      </c>
    </row>
    <row r="76" spans="1:22" ht="19.5">
      <c r="A76" s="10" t="s">
        <v>96</v>
      </c>
      <c r="B76" s="10" t="s">
        <v>39</v>
      </c>
      <c r="C76" s="10" t="s">
        <v>13</v>
      </c>
      <c r="J76" s="10" t="s">
        <v>96</v>
      </c>
      <c r="K76" s="62">
        <f t="shared" si="6"/>
        <v>1</v>
      </c>
      <c r="L76" s="62">
        <f t="shared" si="6"/>
        <v>0</v>
      </c>
      <c r="M76" s="62">
        <f t="shared" si="6"/>
        <v>0</v>
      </c>
      <c r="N76" s="62">
        <f t="shared" si="6"/>
        <v>0</v>
      </c>
      <c r="O76" s="62">
        <f t="shared" si="5"/>
        <v>0</v>
      </c>
      <c r="P76" s="62">
        <f t="shared" si="3"/>
        <v>0</v>
      </c>
      <c r="Q76" s="62">
        <f t="shared" si="3"/>
        <v>0</v>
      </c>
      <c r="R76" s="62">
        <f t="shared" si="3"/>
        <v>0</v>
      </c>
      <c r="S76" s="62">
        <f t="shared" si="3"/>
        <v>0</v>
      </c>
      <c r="T76" s="62">
        <f t="shared" si="4"/>
        <v>0</v>
      </c>
      <c r="U76" s="62">
        <f t="shared" si="4"/>
        <v>0</v>
      </c>
      <c r="V76" s="62">
        <f t="shared" si="7"/>
        <v>1</v>
      </c>
    </row>
    <row r="77" spans="1:22" ht="19.5">
      <c r="A77" s="10" t="s">
        <v>97</v>
      </c>
      <c r="B77" s="10" t="s">
        <v>42</v>
      </c>
      <c r="C77" s="10" t="s">
        <v>13</v>
      </c>
      <c r="J77" s="10" t="s">
        <v>97</v>
      </c>
      <c r="K77" s="62">
        <f t="shared" si="6"/>
        <v>0</v>
      </c>
      <c r="L77" s="62">
        <f t="shared" si="6"/>
        <v>1</v>
      </c>
      <c r="M77" s="62">
        <f t="shared" si="6"/>
        <v>0</v>
      </c>
      <c r="N77" s="62">
        <f t="shared" si="6"/>
        <v>0</v>
      </c>
      <c r="O77" s="62">
        <f t="shared" si="5"/>
        <v>0</v>
      </c>
      <c r="P77" s="62">
        <f t="shared" si="3"/>
        <v>0</v>
      </c>
      <c r="Q77" s="62">
        <f t="shared" si="3"/>
        <v>0</v>
      </c>
      <c r="R77" s="62">
        <f t="shared" si="3"/>
        <v>0</v>
      </c>
      <c r="S77" s="62">
        <f t="shared" si="3"/>
        <v>0</v>
      </c>
      <c r="T77" s="62">
        <f t="shared" si="4"/>
        <v>0</v>
      </c>
      <c r="U77" s="62">
        <f t="shared" si="4"/>
        <v>0</v>
      </c>
      <c r="V77" s="62">
        <f t="shared" si="7"/>
        <v>1</v>
      </c>
    </row>
    <row r="78" spans="1:22" ht="19.5">
      <c r="A78" s="10" t="s">
        <v>98</v>
      </c>
      <c r="B78" s="10" t="s">
        <v>737</v>
      </c>
      <c r="C78" s="10" t="s">
        <v>13</v>
      </c>
      <c r="J78" s="10" t="s">
        <v>98</v>
      </c>
      <c r="K78" s="62">
        <f t="shared" si="6"/>
        <v>0</v>
      </c>
      <c r="L78" s="62">
        <f t="shared" si="6"/>
        <v>0</v>
      </c>
      <c r="M78" s="62">
        <f t="shared" si="6"/>
        <v>0</v>
      </c>
      <c r="N78" s="62">
        <f t="shared" si="6"/>
        <v>1</v>
      </c>
      <c r="O78" s="62">
        <f t="shared" si="5"/>
        <v>0</v>
      </c>
      <c r="P78" s="62">
        <f t="shared" si="3"/>
        <v>0</v>
      </c>
      <c r="Q78" s="62">
        <f t="shared" si="3"/>
        <v>0</v>
      </c>
      <c r="R78" s="62">
        <f t="shared" si="3"/>
        <v>0</v>
      </c>
      <c r="S78" s="62">
        <f t="shared" si="3"/>
        <v>0</v>
      </c>
      <c r="T78" s="62">
        <f t="shared" si="4"/>
        <v>0</v>
      </c>
      <c r="U78" s="62">
        <f t="shared" si="4"/>
        <v>0</v>
      </c>
      <c r="V78" s="62">
        <f t="shared" si="7"/>
        <v>1</v>
      </c>
    </row>
    <row r="79" spans="1:22" ht="19.5">
      <c r="A79" s="10" t="s">
        <v>99</v>
      </c>
      <c r="B79" s="10" t="s">
        <v>37</v>
      </c>
      <c r="C79" s="10" t="s">
        <v>13</v>
      </c>
      <c r="J79" s="10" t="s">
        <v>99</v>
      </c>
      <c r="K79" s="62">
        <f t="shared" si="6"/>
        <v>0</v>
      </c>
      <c r="L79" s="62">
        <f t="shared" si="6"/>
        <v>0</v>
      </c>
      <c r="M79" s="62">
        <f t="shared" si="6"/>
        <v>1</v>
      </c>
      <c r="N79" s="62">
        <f t="shared" si="6"/>
        <v>0</v>
      </c>
      <c r="O79" s="62">
        <f t="shared" si="5"/>
        <v>0</v>
      </c>
      <c r="P79" s="62">
        <f t="shared" si="3"/>
        <v>0</v>
      </c>
      <c r="Q79" s="62">
        <f t="shared" si="3"/>
        <v>0</v>
      </c>
      <c r="R79" s="62">
        <f t="shared" si="3"/>
        <v>0</v>
      </c>
      <c r="S79" s="62">
        <f t="shared" si="3"/>
        <v>0</v>
      </c>
      <c r="T79" s="62">
        <f t="shared" si="4"/>
        <v>0</v>
      </c>
      <c r="U79" s="62">
        <f t="shared" si="4"/>
        <v>0</v>
      </c>
      <c r="V79" s="62">
        <f t="shared" si="7"/>
        <v>1</v>
      </c>
    </row>
    <row r="80" spans="1:22" ht="19.5">
      <c r="A80" s="10" t="s">
        <v>100</v>
      </c>
      <c r="B80" s="10" t="s">
        <v>42</v>
      </c>
      <c r="C80" s="10" t="s">
        <v>20</v>
      </c>
      <c r="J80" s="10" t="s">
        <v>100</v>
      </c>
      <c r="K80" s="62">
        <f t="shared" si="6"/>
        <v>0</v>
      </c>
      <c r="L80" s="62">
        <f t="shared" si="6"/>
        <v>1</v>
      </c>
      <c r="M80" s="62">
        <f t="shared" si="6"/>
        <v>0</v>
      </c>
      <c r="N80" s="62">
        <f t="shared" si="6"/>
        <v>0</v>
      </c>
      <c r="O80" s="62">
        <f t="shared" si="5"/>
        <v>0</v>
      </c>
      <c r="P80" s="62">
        <f t="shared" si="3"/>
        <v>0</v>
      </c>
      <c r="Q80" s="62">
        <f t="shared" si="3"/>
        <v>0</v>
      </c>
      <c r="R80" s="62">
        <f t="shared" si="3"/>
        <v>0</v>
      </c>
      <c r="S80" s="62">
        <f t="shared" si="3"/>
        <v>0</v>
      </c>
      <c r="T80" s="62">
        <f t="shared" si="4"/>
        <v>0</v>
      </c>
      <c r="U80" s="62">
        <f t="shared" si="4"/>
        <v>0</v>
      </c>
      <c r="V80" s="62">
        <f t="shared" si="7"/>
        <v>0</v>
      </c>
    </row>
    <row r="81" spans="1:22" ht="19.5">
      <c r="A81" s="10" t="s">
        <v>101</v>
      </c>
      <c r="B81" s="10" t="s">
        <v>37</v>
      </c>
      <c r="C81" s="10" t="s">
        <v>20</v>
      </c>
      <c r="J81" s="10" t="s">
        <v>101</v>
      </c>
      <c r="K81" s="62">
        <f t="shared" si="6"/>
        <v>0</v>
      </c>
      <c r="L81" s="62">
        <f t="shared" si="6"/>
        <v>0</v>
      </c>
      <c r="M81" s="62">
        <f t="shared" si="6"/>
        <v>1</v>
      </c>
      <c r="N81" s="62">
        <f t="shared" si="6"/>
        <v>0</v>
      </c>
      <c r="O81" s="62">
        <f t="shared" si="5"/>
        <v>0</v>
      </c>
      <c r="P81" s="62">
        <f t="shared" si="3"/>
        <v>0</v>
      </c>
      <c r="Q81" s="62">
        <f t="shared" si="3"/>
        <v>0</v>
      </c>
      <c r="R81" s="62">
        <f t="shared" si="3"/>
        <v>0</v>
      </c>
      <c r="S81" s="62">
        <f t="shared" ref="S81:U144" si="8">IF($B81=AE$9, 1, 0)</f>
        <v>0</v>
      </c>
      <c r="T81" s="62">
        <f t="shared" si="4"/>
        <v>0</v>
      </c>
      <c r="U81" s="62">
        <f t="shared" si="4"/>
        <v>0</v>
      </c>
      <c r="V81" s="62">
        <f t="shared" si="7"/>
        <v>0</v>
      </c>
    </row>
    <row r="82" spans="1:22" ht="19.5">
      <c r="A82" s="10" t="s">
        <v>102</v>
      </c>
      <c r="B82" s="10" t="s">
        <v>39</v>
      </c>
      <c r="C82" s="10" t="s">
        <v>13</v>
      </c>
      <c r="J82" s="10" t="s">
        <v>102</v>
      </c>
      <c r="K82" s="62">
        <f t="shared" si="6"/>
        <v>1</v>
      </c>
      <c r="L82" s="62">
        <f t="shared" si="6"/>
        <v>0</v>
      </c>
      <c r="M82" s="62">
        <f t="shared" si="6"/>
        <v>0</v>
      </c>
      <c r="N82" s="62">
        <f t="shared" si="6"/>
        <v>0</v>
      </c>
      <c r="O82" s="62">
        <f t="shared" si="5"/>
        <v>0</v>
      </c>
      <c r="P82" s="62">
        <f t="shared" si="5"/>
        <v>0</v>
      </c>
      <c r="Q82" s="62">
        <f t="shared" si="5"/>
        <v>0</v>
      </c>
      <c r="R82" s="62">
        <f t="shared" si="5"/>
        <v>0</v>
      </c>
      <c r="S82" s="62">
        <f t="shared" si="8"/>
        <v>0</v>
      </c>
      <c r="T82" s="62">
        <f t="shared" si="8"/>
        <v>0</v>
      </c>
      <c r="U82" s="62">
        <f t="shared" si="8"/>
        <v>0</v>
      </c>
      <c r="V82" s="62">
        <f t="shared" si="7"/>
        <v>1</v>
      </c>
    </row>
    <row r="83" spans="1:22" ht="19.5">
      <c r="A83" s="10" t="s">
        <v>103</v>
      </c>
      <c r="B83" s="10" t="s">
        <v>39</v>
      </c>
      <c r="C83" s="10" t="s">
        <v>13</v>
      </c>
      <c r="J83" s="10" t="s">
        <v>103</v>
      </c>
      <c r="K83" s="62">
        <f t="shared" si="6"/>
        <v>1</v>
      </c>
      <c r="L83" s="62">
        <f t="shared" si="6"/>
        <v>0</v>
      </c>
      <c r="M83" s="62">
        <f t="shared" si="6"/>
        <v>0</v>
      </c>
      <c r="N83" s="62">
        <f t="shared" si="6"/>
        <v>0</v>
      </c>
      <c r="O83" s="62">
        <f t="shared" si="5"/>
        <v>0</v>
      </c>
      <c r="P83" s="62">
        <f t="shared" si="5"/>
        <v>0</v>
      </c>
      <c r="Q83" s="62">
        <f t="shared" si="5"/>
        <v>0</v>
      </c>
      <c r="R83" s="62">
        <f t="shared" si="5"/>
        <v>0</v>
      </c>
      <c r="S83" s="62">
        <f t="shared" si="8"/>
        <v>0</v>
      </c>
      <c r="T83" s="62">
        <f t="shared" si="8"/>
        <v>0</v>
      </c>
      <c r="U83" s="62">
        <f t="shared" si="8"/>
        <v>0</v>
      </c>
      <c r="V83" s="62">
        <f t="shared" si="7"/>
        <v>1</v>
      </c>
    </row>
    <row r="84" spans="1:22" ht="19.5">
      <c r="A84" s="10" t="s">
        <v>104</v>
      </c>
      <c r="B84" s="10" t="s">
        <v>42</v>
      </c>
      <c r="C84" s="10" t="s">
        <v>13</v>
      </c>
      <c r="J84" s="10" t="s">
        <v>104</v>
      </c>
      <c r="K84" s="62">
        <f t="shared" si="6"/>
        <v>0</v>
      </c>
      <c r="L84" s="62">
        <f t="shared" si="6"/>
        <v>1</v>
      </c>
      <c r="M84" s="62">
        <f t="shared" si="6"/>
        <v>0</v>
      </c>
      <c r="N84" s="62">
        <f t="shared" si="6"/>
        <v>0</v>
      </c>
      <c r="O84" s="62">
        <f t="shared" si="5"/>
        <v>0</v>
      </c>
      <c r="P84" s="62">
        <f t="shared" si="5"/>
        <v>0</v>
      </c>
      <c r="Q84" s="62">
        <f t="shared" si="5"/>
        <v>0</v>
      </c>
      <c r="R84" s="62">
        <f t="shared" si="5"/>
        <v>0</v>
      </c>
      <c r="S84" s="62">
        <f t="shared" si="8"/>
        <v>0</v>
      </c>
      <c r="T84" s="62">
        <f t="shared" si="8"/>
        <v>0</v>
      </c>
      <c r="U84" s="62">
        <f t="shared" si="8"/>
        <v>0</v>
      </c>
      <c r="V84" s="62">
        <f t="shared" si="7"/>
        <v>1</v>
      </c>
    </row>
    <row r="85" spans="1:22" ht="19.5">
      <c r="A85" s="10" t="s">
        <v>105</v>
      </c>
      <c r="B85" s="10" t="s">
        <v>39</v>
      </c>
      <c r="C85" s="10" t="s">
        <v>13</v>
      </c>
      <c r="J85" s="10" t="s">
        <v>105</v>
      </c>
      <c r="K85" s="62">
        <f t="shared" si="6"/>
        <v>1</v>
      </c>
      <c r="L85" s="62">
        <f t="shared" si="6"/>
        <v>0</v>
      </c>
      <c r="M85" s="62">
        <f t="shared" si="6"/>
        <v>0</v>
      </c>
      <c r="N85" s="62">
        <f t="shared" si="6"/>
        <v>0</v>
      </c>
      <c r="O85" s="62">
        <f t="shared" si="5"/>
        <v>0</v>
      </c>
      <c r="P85" s="62">
        <f t="shared" si="5"/>
        <v>0</v>
      </c>
      <c r="Q85" s="62">
        <f t="shared" si="5"/>
        <v>0</v>
      </c>
      <c r="R85" s="62">
        <f t="shared" si="5"/>
        <v>0</v>
      </c>
      <c r="S85" s="62">
        <f t="shared" si="8"/>
        <v>0</v>
      </c>
      <c r="T85" s="62">
        <f t="shared" si="8"/>
        <v>0</v>
      </c>
      <c r="U85" s="62">
        <f t="shared" si="8"/>
        <v>0</v>
      </c>
      <c r="V85" s="62">
        <f t="shared" si="7"/>
        <v>1</v>
      </c>
    </row>
    <row r="86" spans="1:22" ht="19.5">
      <c r="A86" s="10" t="s">
        <v>106</v>
      </c>
      <c r="B86" s="10" t="s">
        <v>737</v>
      </c>
      <c r="C86" s="10" t="s">
        <v>20</v>
      </c>
      <c r="J86" s="10" t="s">
        <v>106</v>
      </c>
      <c r="K86" s="62">
        <f t="shared" si="6"/>
        <v>0</v>
      </c>
      <c r="L86" s="62">
        <f t="shared" si="6"/>
        <v>0</v>
      </c>
      <c r="M86" s="62">
        <f t="shared" si="6"/>
        <v>0</v>
      </c>
      <c r="N86" s="62">
        <f t="shared" si="6"/>
        <v>1</v>
      </c>
      <c r="O86" s="62">
        <f t="shared" si="5"/>
        <v>0</v>
      </c>
      <c r="P86" s="62">
        <f t="shared" si="5"/>
        <v>0</v>
      </c>
      <c r="Q86" s="62">
        <f t="shared" si="5"/>
        <v>0</v>
      </c>
      <c r="R86" s="62">
        <f t="shared" si="5"/>
        <v>0</v>
      </c>
      <c r="S86" s="62">
        <f t="shared" si="8"/>
        <v>0</v>
      </c>
      <c r="T86" s="62">
        <f t="shared" si="8"/>
        <v>0</v>
      </c>
      <c r="U86" s="62">
        <f t="shared" si="8"/>
        <v>0</v>
      </c>
      <c r="V86" s="62">
        <f t="shared" si="7"/>
        <v>0</v>
      </c>
    </row>
    <row r="87" spans="1:22" ht="19.5">
      <c r="A87" s="10" t="s">
        <v>107</v>
      </c>
      <c r="B87" s="10" t="s">
        <v>37</v>
      </c>
      <c r="C87" s="10" t="s">
        <v>20</v>
      </c>
      <c r="J87" s="10" t="s">
        <v>107</v>
      </c>
      <c r="K87" s="62">
        <f t="shared" si="6"/>
        <v>0</v>
      </c>
      <c r="L87" s="62">
        <f t="shared" si="6"/>
        <v>0</v>
      </c>
      <c r="M87" s="62">
        <f t="shared" si="6"/>
        <v>1</v>
      </c>
      <c r="N87" s="62">
        <f t="shared" si="6"/>
        <v>0</v>
      </c>
      <c r="O87" s="62">
        <f t="shared" si="5"/>
        <v>0</v>
      </c>
      <c r="P87" s="62">
        <f t="shared" si="5"/>
        <v>0</v>
      </c>
      <c r="Q87" s="62">
        <f t="shared" si="5"/>
        <v>0</v>
      </c>
      <c r="R87" s="62">
        <f t="shared" si="5"/>
        <v>0</v>
      </c>
      <c r="S87" s="62">
        <f t="shared" si="8"/>
        <v>0</v>
      </c>
      <c r="T87" s="62">
        <f t="shared" si="8"/>
        <v>0</v>
      </c>
      <c r="U87" s="62">
        <f t="shared" si="8"/>
        <v>0</v>
      </c>
      <c r="V87" s="62">
        <f t="shared" si="7"/>
        <v>0</v>
      </c>
    </row>
    <row r="88" spans="1:22" ht="19.5">
      <c r="A88" s="10" t="s">
        <v>108</v>
      </c>
      <c r="B88" s="10" t="s">
        <v>37</v>
      </c>
      <c r="C88" s="10" t="s">
        <v>13</v>
      </c>
      <c r="J88" s="10" t="s">
        <v>108</v>
      </c>
      <c r="K88" s="62">
        <f t="shared" si="6"/>
        <v>0</v>
      </c>
      <c r="L88" s="62">
        <f t="shared" si="6"/>
        <v>0</v>
      </c>
      <c r="M88" s="62">
        <f t="shared" si="6"/>
        <v>1</v>
      </c>
      <c r="N88" s="62">
        <f t="shared" si="6"/>
        <v>0</v>
      </c>
      <c r="O88" s="62">
        <f t="shared" si="5"/>
        <v>0</v>
      </c>
      <c r="P88" s="62">
        <f t="shared" si="5"/>
        <v>0</v>
      </c>
      <c r="Q88" s="62">
        <f t="shared" si="5"/>
        <v>0</v>
      </c>
      <c r="R88" s="62">
        <f t="shared" si="5"/>
        <v>0</v>
      </c>
      <c r="S88" s="62">
        <f t="shared" si="8"/>
        <v>0</v>
      </c>
      <c r="T88" s="62">
        <f t="shared" si="8"/>
        <v>0</v>
      </c>
      <c r="U88" s="62">
        <f t="shared" si="8"/>
        <v>0</v>
      </c>
      <c r="V88" s="62">
        <f t="shared" si="7"/>
        <v>1</v>
      </c>
    </row>
    <row r="89" spans="1:22" ht="19.5">
      <c r="A89" s="10" t="s">
        <v>109</v>
      </c>
      <c r="B89" s="10" t="s">
        <v>39</v>
      </c>
      <c r="C89" s="10" t="s">
        <v>20</v>
      </c>
      <c r="J89" s="10" t="s">
        <v>109</v>
      </c>
      <c r="K89" s="62">
        <f t="shared" si="6"/>
        <v>1</v>
      </c>
      <c r="L89" s="62">
        <f t="shared" si="6"/>
        <v>0</v>
      </c>
      <c r="M89" s="62">
        <f t="shared" si="6"/>
        <v>0</v>
      </c>
      <c r="N89" s="62">
        <f t="shared" si="6"/>
        <v>0</v>
      </c>
      <c r="O89" s="62">
        <f t="shared" si="5"/>
        <v>0</v>
      </c>
      <c r="P89" s="62">
        <f t="shared" si="5"/>
        <v>0</v>
      </c>
      <c r="Q89" s="62">
        <f t="shared" si="5"/>
        <v>0</v>
      </c>
      <c r="R89" s="62">
        <f t="shared" si="5"/>
        <v>0</v>
      </c>
      <c r="S89" s="62">
        <f t="shared" si="8"/>
        <v>0</v>
      </c>
      <c r="T89" s="62">
        <f t="shared" si="8"/>
        <v>0</v>
      </c>
      <c r="U89" s="62">
        <f t="shared" si="8"/>
        <v>0</v>
      </c>
      <c r="V89" s="62">
        <f t="shared" si="7"/>
        <v>0</v>
      </c>
    </row>
    <row r="90" spans="1:22" ht="19.5">
      <c r="A90" s="10" t="s">
        <v>110</v>
      </c>
      <c r="B90" s="10" t="s">
        <v>737</v>
      </c>
      <c r="C90" s="10" t="s">
        <v>20</v>
      </c>
      <c r="J90" s="10" t="s">
        <v>110</v>
      </c>
      <c r="K90" s="62">
        <f t="shared" si="6"/>
        <v>0</v>
      </c>
      <c r="L90" s="62">
        <f t="shared" si="6"/>
        <v>0</v>
      </c>
      <c r="M90" s="62">
        <f t="shared" si="6"/>
        <v>0</v>
      </c>
      <c r="N90" s="62">
        <f t="shared" si="6"/>
        <v>1</v>
      </c>
      <c r="O90" s="62">
        <f t="shared" si="5"/>
        <v>0</v>
      </c>
      <c r="P90" s="62">
        <f t="shared" si="5"/>
        <v>0</v>
      </c>
      <c r="Q90" s="62">
        <f t="shared" si="5"/>
        <v>0</v>
      </c>
      <c r="R90" s="62">
        <f t="shared" si="5"/>
        <v>0</v>
      </c>
      <c r="S90" s="62">
        <f t="shared" si="8"/>
        <v>0</v>
      </c>
      <c r="T90" s="62">
        <f t="shared" si="8"/>
        <v>0</v>
      </c>
      <c r="U90" s="62">
        <f t="shared" si="8"/>
        <v>0</v>
      </c>
      <c r="V90" s="62">
        <f t="shared" si="7"/>
        <v>0</v>
      </c>
    </row>
    <row r="91" spans="1:22" ht="19.5">
      <c r="A91" s="10" t="s">
        <v>111</v>
      </c>
      <c r="B91" s="10" t="s">
        <v>740</v>
      </c>
      <c r="C91" s="10" t="s">
        <v>13</v>
      </c>
      <c r="J91" s="10" t="s">
        <v>111</v>
      </c>
      <c r="K91" s="62">
        <f t="shared" si="6"/>
        <v>0</v>
      </c>
      <c r="L91" s="62">
        <f t="shared" si="6"/>
        <v>0</v>
      </c>
      <c r="M91" s="62">
        <f t="shared" si="6"/>
        <v>0</v>
      </c>
      <c r="N91" s="62">
        <f t="shared" si="6"/>
        <v>0</v>
      </c>
      <c r="O91" s="62">
        <f t="shared" si="5"/>
        <v>1</v>
      </c>
      <c r="P91" s="62">
        <f t="shared" si="5"/>
        <v>0</v>
      </c>
      <c r="Q91" s="62">
        <f t="shared" si="5"/>
        <v>0</v>
      </c>
      <c r="R91" s="62">
        <f t="shared" si="5"/>
        <v>0</v>
      </c>
      <c r="S91" s="62">
        <f t="shared" si="8"/>
        <v>0</v>
      </c>
      <c r="T91" s="62">
        <f t="shared" si="8"/>
        <v>0</v>
      </c>
      <c r="U91" s="62">
        <f t="shared" si="8"/>
        <v>0</v>
      </c>
      <c r="V91" s="62">
        <f t="shared" si="7"/>
        <v>1</v>
      </c>
    </row>
    <row r="92" spans="1:22" ht="19.5">
      <c r="A92" s="10" t="s">
        <v>112</v>
      </c>
      <c r="B92" s="10" t="s">
        <v>740</v>
      </c>
      <c r="C92" s="10" t="s">
        <v>13</v>
      </c>
      <c r="J92" s="10" t="s">
        <v>112</v>
      </c>
      <c r="K92" s="62">
        <f t="shared" si="6"/>
        <v>0</v>
      </c>
      <c r="L92" s="62">
        <f t="shared" si="6"/>
        <v>0</v>
      </c>
      <c r="M92" s="62">
        <f t="shared" si="6"/>
        <v>0</v>
      </c>
      <c r="N92" s="62">
        <f t="shared" si="6"/>
        <v>0</v>
      </c>
      <c r="O92" s="62">
        <f t="shared" si="5"/>
        <v>1</v>
      </c>
      <c r="P92" s="62">
        <f t="shared" si="5"/>
        <v>0</v>
      </c>
      <c r="Q92" s="62">
        <f t="shared" si="5"/>
        <v>0</v>
      </c>
      <c r="R92" s="62">
        <f t="shared" si="5"/>
        <v>0</v>
      </c>
      <c r="S92" s="62">
        <f t="shared" si="8"/>
        <v>0</v>
      </c>
      <c r="T92" s="62">
        <f t="shared" si="8"/>
        <v>0</v>
      </c>
      <c r="U92" s="62">
        <f t="shared" si="8"/>
        <v>0</v>
      </c>
      <c r="V92" s="62">
        <f t="shared" si="7"/>
        <v>1</v>
      </c>
    </row>
    <row r="93" spans="1:22" ht="19.5">
      <c r="A93" s="10" t="s">
        <v>113</v>
      </c>
      <c r="B93" s="10" t="s">
        <v>37</v>
      </c>
      <c r="C93" s="10" t="s">
        <v>13</v>
      </c>
      <c r="J93" s="10" t="s">
        <v>113</v>
      </c>
      <c r="K93" s="62">
        <f t="shared" si="6"/>
        <v>0</v>
      </c>
      <c r="L93" s="62">
        <f t="shared" si="6"/>
        <v>0</v>
      </c>
      <c r="M93" s="62">
        <f t="shared" si="6"/>
        <v>1</v>
      </c>
      <c r="N93" s="62">
        <f t="shared" si="6"/>
        <v>0</v>
      </c>
      <c r="O93" s="62">
        <f t="shared" si="5"/>
        <v>0</v>
      </c>
      <c r="P93" s="62">
        <f t="shared" si="5"/>
        <v>0</v>
      </c>
      <c r="Q93" s="62">
        <f t="shared" si="5"/>
        <v>0</v>
      </c>
      <c r="R93" s="62">
        <f t="shared" si="5"/>
        <v>0</v>
      </c>
      <c r="S93" s="62">
        <f t="shared" si="8"/>
        <v>0</v>
      </c>
      <c r="T93" s="62">
        <f t="shared" si="8"/>
        <v>0</v>
      </c>
      <c r="U93" s="62">
        <f t="shared" si="8"/>
        <v>0</v>
      </c>
      <c r="V93" s="62">
        <f t="shared" si="7"/>
        <v>1</v>
      </c>
    </row>
    <row r="94" spans="1:22" ht="19.5">
      <c r="A94" s="10" t="s">
        <v>114</v>
      </c>
      <c r="B94" s="10" t="s">
        <v>42</v>
      </c>
      <c r="C94" s="10" t="s">
        <v>13</v>
      </c>
      <c r="J94" s="10" t="s">
        <v>114</v>
      </c>
      <c r="K94" s="62">
        <f t="shared" si="6"/>
        <v>0</v>
      </c>
      <c r="L94" s="62">
        <f t="shared" si="6"/>
        <v>1</v>
      </c>
      <c r="M94" s="62">
        <f t="shared" si="6"/>
        <v>0</v>
      </c>
      <c r="N94" s="62">
        <f t="shared" si="6"/>
        <v>0</v>
      </c>
      <c r="O94" s="62">
        <f t="shared" si="5"/>
        <v>0</v>
      </c>
      <c r="P94" s="62">
        <f t="shared" si="5"/>
        <v>0</v>
      </c>
      <c r="Q94" s="62">
        <f t="shared" si="5"/>
        <v>0</v>
      </c>
      <c r="R94" s="62">
        <f t="shared" si="5"/>
        <v>0</v>
      </c>
      <c r="S94" s="62">
        <f t="shared" si="8"/>
        <v>0</v>
      </c>
      <c r="T94" s="62">
        <f t="shared" si="8"/>
        <v>0</v>
      </c>
      <c r="U94" s="62">
        <f t="shared" si="8"/>
        <v>0</v>
      </c>
      <c r="V94" s="62">
        <f t="shared" si="7"/>
        <v>1</v>
      </c>
    </row>
    <row r="95" spans="1:22" ht="19.5">
      <c r="A95" s="10" t="s">
        <v>115</v>
      </c>
      <c r="B95" s="10" t="s">
        <v>737</v>
      </c>
      <c r="C95" s="10" t="s">
        <v>20</v>
      </c>
      <c r="J95" s="10" t="s">
        <v>115</v>
      </c>
      <c r="K95" s="62">
        <f t="shared" si="6"/>
        <v>0</v>
      </c>
      <c r="L95" s="62">
        <f t="shared" si="6"/>
        <v>0</v>
      </c>
      <c r="M95" s="62">
        <f t="shared" si="6"/>
        <v>0</v>
      </c>
      <c r="N95" s="62">
        <f t="shared" si="6"/>
        <v>1</v>
      </c>
      <c r="O95" s="62">
        <f t="shared" si="5"/>
        <v>0</v>
      </c>
      <c r="P95" s="62">
        <f t="shared" si="5"/>
        <v>0</v>
      </c>
      <c r="Q95" s="62">
        <f t="shared" si="5"/>
        <v>0</v>
      </c>
      <c r="R95" s="62">
        <f t="shared" si="5"/>
        <v>0</v>
      </c>
      <c r="S95" s="62">
        <f t="shared" si="8"/>
        <v>0</v>
      </c>
      <c r="T95" s="62">
        <f t="shared" si="8"/>
        <v>0</v>
      </c>
      <c r="U95" s="62">
        <f t="shared" si="8"/>
        <v>0</v>
      </c>
      <c r="V95" s="62">
        <f t="shared" si="7"/>
        <v>0</v>
      </c>
    </row>
    <row r="96" spans="1:22" ht="19.5">
      <c r="A96" s="10" t="s">
        <v>116</v>
      </c>
      <c r="B96" s="10" t="s">
        <v>740</v>
      </c>
      <c r="C96" s="10" t="s">
        <v>13</v>
      </c>
      <c r="J96" s="10" t="s">
        <v>116</v>
      </c>
      <c r="K96" s="62">
        <f t="shared" si="6"/>
        <v>0</v>
      </c>
      <c r="L96" s="62">
        <f t="shared" si="6"/>
        <v>0</v>
      </c>
      <c r="M96" s="62">
        <f t="shared" si="6"/>
        <v>0</v>
      </c>
      <c r="N96" s="62">
        <f t="shared" si="6"/>
        <v>0</v>
      </c>
      <c r="O96" s="62">
        <f t="shared" si="5"/>
        <v>1</v>
      </c>
      <c r="P96" s="62">
        <f t="shared" si="5"/>
        <v>0</v>
      </c>
      <c r="Q96" s="62">
        <f t="shared" si="5"/>
        <v>0</v>
      </c>
      <c r="R96" s="62">
        <f t="shared" si="5"/>
        <v>0</v>
      </c>
      <c r="S96" s="62">
        <f t="shared" si="8"/>
        <v>0</v>
      </c>
      <c r="T96" s="62">
        <f t="shared" si="8"/>
        <v>0</v>
      </c>
      <c r="U96" s="62">
        <f t="shared" si="8"/>
        <v>0</v>
      </c>
      <c r="V96" s="62">
        <f t="shared" si="7"/>
        <v>1</v>
      </c>
    </row>
    <row r="97" spans="1:22" ht="19.5">
      <c r="A97" s="10" t="s">
        <v>117</v>
      </c>
      <c r="B97" s="10" t="s">
        <v>740</v>
      </c>
      <c r="C97" s="10" t="s">
        <v>13</v>
      </c>
      <c r="J97" s="10" t="s">
        <v>117</v>
      </c>
      <c r="K97" s="62">
        <f t="shared" si="6"/>
        <v>0</v>
      </c>
      <c r="L97" s="62">
        <f t="shared" si="6"/>
        <v>0</v>
      </c>
      <c r="M97" s="62">
        <f t="shared" si="6"/>
        <v>0</v>
      </c>
      <c r="N97" s="62">
        <f t="shared" si="6"/>
        <v>0</v>
      </c>
      <c r="O97" s="62">
        <f t="shared" si="5"/>
        <v>1</v>
      </c>
      <c r="P97" s="62">
        <f t="shared" si="5"/>
        <v>0</v>
      </c>
      <c r="Q97" s="62">
        <f t="shared" si="5"/>
        <v>0</v>
      </c>
      <c r="R97" s="62">
        <f t="shared" si="5"/>
        <v>0</v>
      </c>
      <c r="S97" s="62">
        <f t="shared" si="8"/>
        <v>0</v>
      </c>
      <c r="T97" s="62">
        <f t="shared" si="8"/>
        <v>0</v>
      </c>
      <c r="U97" s="62">
        <f t="shared" si="8"/>
        <v>0</v>
      </c>
      <c r="V97" s="62">
        <f t="shared" si="7"/>
        <v>1</v>
      </c>
    </row>
    <row r="98" spans="1:22" ht="19.5">
      <c r="A98" s="10" t="s">
        <v>118</v>
      </c>
      <c r="B98" s="10" t="s">
        <v>37</v>
      </c>
      <c r="C98" s="10" t="s">
        <v>20</v>
      </c>
      <c r="J98" s="10" t="s">
        <v>118</v>
      </c>
      <c r="K98" s="62">
        <f t="shared" si="6"/>
        <v>0</v>
      </c>
      <c r="L98" s="62">
        <f t="shared" si="6"/>
        <v>0</v>
      </c>
      <c r="M98" s="62">
        <f t="shared" si="6"/>
        <v>1</v>
      </c>
      <c r="N98" s="62">
        <f t="shared" si="6"/>
        <v>0</v>
      </c>
      <c r="O98" s="62">
        <f t="shared" si="5"/>
        <v>0</v>
      </c>
      <c r="P98" s="62">
        <f t="shared" si="5"/>
        <v>0</v>
      </c>
      <c r="Q98" s="62">
        <f t="shared" si="5"/>
        <v>0</v>
      </c>
      <c r="R98" s="62">
        <f t="shared" si="5"/>
        <v>0</v>
      </c>
      <c r="S98" s="62">
        <f t="shared" si="8"/>
        <v>0</v>
      </c>
      <c r="T98" s="62">
        <f t="shared" si="8"/>
        <v>0</v>
      </c>
      <c r="U98" s="62">
        <f t="shared" si="8"/>
        <v>0</v>
      </c>
      <c r="V98" s="62">
        <f t="shared" si="7"/>
        <v>0</v>
      </c>
    </row>
    <row r="99" spans="1:22" ht="19.5">
      <c r="A99" s="10" t="s">
        <v>119</v>
      </c>
      <c r="B99" s="10" t="s">
        <v>39</v>
      </c>
      <c r="C99" s="10" t="s">
        <v>20</v>
      </c>
      <c r="J99" s="10" t="s">
        <v>119</v>
      </c>
      <c r="K99" s="62">
        <f t="shared" si="6"/>
        <v>1</v>
      </c>
      <c r="L99" s="62">
        <f t="shared" si="6"/>
        <v>0</v>
      </c>
      <c r="M99" s="62">
        <f t="shared" si="6"/>
        <v>0</v>
      </c>
      <c r="N99" s="62">
        <f t="shared" si="6"/>
        <v>0</v>
      </c>
      <c r="O99" s="62">
        <f t="shared" si="5"/>
        <v>0</v>
      </c>
      <c r="P99" s="62">
        <f t="shared" si="5"/>
        <v>0</v>
      </c>
      <c r="Q99" s="62">
        <f t="shared" si="5"/>
        <v>0</v>
      </c>
      <c r="R99" s="62">
        <f t="shared" si="5"/>
        <v>0</v>
      </c>
      <c r="S99" s="62">
        <f t="shared" si="8"/>
        <v>0</v>
      </c>
      <c r="T99" s="62">
        <f t="shared" si="8"/>
        <v>0</v>
      </c>
      <c r="U99" s="62">
        <f t="shared" si="8"/>
        <v>0</v>
      </c>
      <c r="V99" s="62">
        <f t="shared" si="7"/>
        <v>0</v>
      </c>
    </row>
    <row r="100" spans="1:22" ht="19.5">
      <c r="A100" s="10" t="s">
        <v>120</v>
      </c>
      <c r="B100" s="10" t="s">
        <v>737</v>
      </c>
      <c r="C100" s="10" t="s">
        <v>13</v>
      </c>
      <c r="J100" s="10" t="s">
        <v>120</v>
      </c>
      <c r="K100" s="62">
        <f t="shared" si="6"/>
        <v>0</v>
      </c>
      <c r="L100" s="62">
        <f t="shared" si="6"/>
        <v>0</v>
      </c>
      <c r="M100" s="62">
        <f t="shared" si="6"/>
        <v>0</v>
      </c>
      <c r="N100" s="62">
        <f t="shared" si="6"/>
        <v>1</v>
      </c>
      <c r="O100" s="62">
        <f t="shared" si="5"/>
        <v>0</v>
      </c>
      <c r="P100" s="62">
        <f t="shared" si="5"/>
        <v>0</v>
      </c>
      <c r="Q100" s="62">
        <f t="shared" si="5"/>
        <v>0</v>
      </c>
      <c r="R100" s="62">
        <f t="shared" si="5"/>
        <v>0</v>
      </c>
      <c r="S100" s="62">
        <f t="shared" si="8"/>
        <v>0</v>
      </c>
      <c r="T100" s="62">
        <f t="shared" si="8"/>
        <v>0</v>
      </c>
      <c r="U100" s="62">
        <f t="shared" si="8"/>
        <v>0</v>
      </c>
      <c r="V100" s="62">
        <f t="shared" si="7"/>
        <v>1</v>
      </c>
    </row>
    <row r="101" spans="1:22" ht="19.5">
      <c r="A101" s="10" t="s">
        <v>121</v>
      </c>
      <c r="B101" s="10" t="s">
        <v>37</v>
      </c>
      <c r="C101" s="10" t="s">
        <v>13</v>
      </c>
      <c r="J101" s="10" t="s">
        <v>121</v>
      </c>
      <c r="K101" s="62">
        <f t="shared" si="6"/>
        <v>0</v>
      </c>
      <c r="L101" s="62">
        <f t="shared" si="6"/>
        <v>0</v>
      </c>
      <c r="M101" s="62">
        <f t="shared" si="6"/>
        <v>1</v>
      </c>
      <c r="N101" s="62">
        <f t="shared" si="6"/>
        <v>0</v>
      </c>
      <c r="O101" s="62">
        <f t="shared" si="5"/>
        <v>0</v>
      </c>
      <c r="P101" s="62">
        <f t="shared" si="5"/>
        <v>0</v>
      </c>
      <c r="Q101" s="62">
        <f t="shared" si="5"/>
        <v>0</v>
      </c>
      <c r="R101" s="62">
        <f t="shared" si="5"/>
        <v>0</v>
      </c>
      <c r="S101" s="62">
        <f t="shared" si="8"/>
        <v>0</v>
      </c>
      <c r="T101" s="62">
        <f t="shared" si="8"/>
        <v>0</v>
      </c>
      <c r="U101" s="62">
        <f t="shared" si="8"/>
        <v>0</v>
      </c>
      <c r="V101" s="62">
        <f t="shared" si="7"/>
        <v>1</v>
      </c>
    </row>
    <row r="102" spans="1:22" ht="19.5">
      <c r="A102" s="10" t="s">
        <v>122</v>
      </c>
      <c r="B102" s="10" t="s">
        <v>39</v>
      </c>
      <c r="C102" s="10" t="s">
        <v>13</v>
      </c>
      <c r="J102" s="10" t="s">
        <v>122</v>
      </c>
      <c r="K102" s="62">
        <f t="shared" si="6"/>
        <v>1</v>
      </c>
      <c r="L102" s="62">
        <f t="shared" si="6"/>
        <v>0</v>
      </c>
      <c r="M102" s="62">
        <f t="shared" si="6"/>
        <v>0</v>
      </c>
      <c r="N102" s="62">
        <f t="shared" si="6"/>
        <v>0</v>
      </c>
      <c r="O102" s="62">
        <f t="shared" si="5"/>
        <v>0</v>
      </c>
      <c r="P102" s="62">
        <f t="shared" si="5"/>
        <v>0</v>
      </c>
      <c r="Q102" s="62">
        <f t="shared" si="5"/>
        <v>0</v>
      </c>
      <c r="R102" s="62">
        <f t="shared" si="5"/>
        <v>0</v>
      </c>
      <c r="S102" s="62">
        <f t="shared" si="8"/>
        <v>0</v>
      </c>
      <c r="T102" s="62">
        <f t="shared" si="8"/>
        <v>0</v>
      </c>
      <c r="U102" s="62">
        <f t="shared" si="8"/>
        <v>0</v>
      </c>
      <c r="V102" s="62">
        <f t="shared" si="7"/>
        <v>1</v>
      </c>
    </row>
    <row r="103" spans="1:22" ht="19.5">
      <c r="A103" s="10" t="s">
        <v>123</v>
      </c>
      <c r="B103" s="10" t="s">
        <v>39</v>
      </c>
      <c r="C103" s="10" t="s">
        <v>13</v>
      </c>
      <c r="J103" s="10" t="s">
        <v>123</v>
      </c>
      <c r="K103" s="62">
        <f t="shared" si="6"/>
        <v>1</v>
      </c>
      <c r="L103" s="62">
        <f t="shared" si="6"/>
        <v>0</v>
      </c>
      <c r="M103" s="62">
        <f t="shared" si="6"/>
        <v>0</v>
      </c>
      <c r="N103" s="62">
        <f t="shared" si="6"/>
        <v>0</v>
      </c>
      <c r="O103" s="62">
        <f t="shared" si="5"/>
        <v>0</v>
      </c>
      <c r="P103" s="62">
        <f t="shared" si="5"/>
        <v>0</v>
      </c>
      <c r="Q103" s="62">
        <f t="shared" si="5"/>
        <v>0</v>
      </c>
      <c r="R103" s="62">
        <f t="shared" si="5"/>
        <v>0</v>
      </c>
      <c r="S103" s="62">
        <f t="shared" si="8"/>
        <v>0</v>
      </c>
      <c r="T103" s="62">
        <f t="shared" si="8"/>
        <v>0</v>
      </c>
      <c r="U103" s="62">
        <f t="shared" si="8"/>
        <v>0</v>
      </c>
      <c r="V103" s="62">
        <f t="shared" si="7"/>
        <v>1</v>
      </c>
    </row>
    <row r="104" spans="1:22" ht="19.5">
      <c r="A104" s="10" t="s">
        <v>124</v>
      </c>
      <c r="B104" s="10" t="s">
        <v>42</v>
      </c>
      <c r="C104" s="10" t="s">
        <v>13</v>
      </c>
      <c r="J104" s="10" t="s">
        <v>124</v>
      </c>
      <c r="K104" s="62">
        <f t="shared" si="6"/>
        <v>0</v>
      </c>
      <c r="L104" s="62">
        <f t="shared" si="6"/>
        <v>1</v>
      </c>
      <c r="M104" s="62">
        <f t="shared" si="6"/>
        <v>0</v>
      </c>
      <c r="N104" s="62">
        <f t="shared" si="6"/>
        <v>0</v>
      </c>
      <c r="O104" s="62">
        <f t="shared" si="5"/>
        <v>0</v>
      </c>
      <c r="P104" s="62">
        <f t="shared" si="5"/>
        <v>0</v>
      </c>
      <c r="Q104" s="62">
        <f t="shared" si="5"/>
        <v>0</v>
      </c>
      <c r="R104" s="62">
        <f t="shared" si="5"/>
        <v>0</v>
      </c>
      <c r="S104" s="62">
        <f t="shared" si="8"/>
        <v>0</v>
      </c>
      <c r="T104" s="62">
        <f t="shared" si="8"/>
        <v>0</v>
      </c>
      <c r="U104" s="62">
        <f t="shared" si="8"/>
        <v>0</v>
      </c>
      <c r="V104" s="62">
        <f t="shared" si="7"/>
        <v>1</v>
      </c>
    </row>
    <row r="105" spans="1:22" ht="19.5">
      <c r="A105" s="10" t="s">
        <v>125</v>
      </c>
      <c r="B105" s="10" t="s">
        <v>37</v>
      </c>
      <c r="C105" s="10" t="s">
        <v>13</v>
      </c>
      <c r="J105" s="10" t="s">
        <v>125</v>
      </c>
      <c r="K105" s="62">
        <f t="shared" si="6"/>
        <v>0</v>
      </c>
      <c r="L105" s="62">
        <f t="shared" si="6"/>
        <v>0</v>
      </c>
      <c r="M105" s="62">
        <f t="shared" si="6"/>
        <v>1</v>
      </c>
      <c r="N105" s="62">
        <f t="shared" si="6"/>
        <v>0</v>
      </c>
      <c r="O105" s="62">
        <f t="shared" si="5"/>
        <v>0</v>
      </c>
      <c r="P105" s="62">
        <f t="shared" si="5"/>
        <v>0</v>
      </c>
      <c r="Q105" s="62">
        <f t="shared" si="5"/>
        <v>0</v>
      </c>
      <c r="R105" s="62">
        <f t="shared" si="5"/>
        <v>0</v>
      </c>
      <c r="S105" s="62">
        <f t="shared" si="8"/>
        <v>0</v>
      </c>
      <c r="T105" s="62">
        <f t="shared" si="8"/>
        <v>0</v>
      </c>
      <c r="U105" s="62">
        <f t="shared" si="8"/>
        <v>0</v>
      </c>
      <c r="V105" s="62">
        <f t="shared" si="7"/>
        <v>1</v>
      </c>
    </row>
    <row r="106" spans="1:22" ht="19.5">
      <c r="A106" s="10" t="s">
        <v>126</v>
      </c>
      <c r="B106" s="10" t="s">
        <v>39</v>
      </c>
      <c r="C106" s="10" t="s">
        <v>20</v>
      </c>
      <c r="J106" s="10" t="s">
        <v>126</v>
      </c>
      <c r="K106" s="62">
        <f t="shared" si="6"/>
        <v>1</v>
      </c>
      <c r="L106" s="62">
        <f t="shared" si="6"/>
        <v>0</v>
      </c>
      <c r="M106" s="62">
        <f t="shared" si="6"/>
        <v>0</v>
      </c>
      <c r="N106" s="62">
        <f t="shared" si="6"/>
        <v>0</v>
      </c>
      <c r="O106" s="62">
        <f t="shared" si="5"/>
        <v>0</v>
      </c>
      <c r="P106" s="62">
        <f t="shared" si="5"/>
        <v>0</v>
      </c>
      <c r="Q106" s="62">
        <f t="shared" si="5"/>
        <v>0</v>
      </c>
      <c r="R106" s="62">
        <f t="shared" si="5"/>
        <v>0</v>
      </c>
      <c r="S106" s="62">
        <f t="shared" si="8"/>
        <v>0</v>
      </c>
      <c r="T106" s="62">
        <f t="shared" si="8"/>
        <v>0</v>
      </c>
      <c r="U106" s="62">
        <f t="shared" si="8"/>
        <v>0</v>
      </c>
      <c r="V106" s="62">
        <f t="shared" si="7"/>
        <v>0</v>
      </c>
    </row>
    <row r="107" spans="1:22" ht="19.5">
      <c r="A107" s="10" t="s">
        <v>127</v>
      </c>
      <c r="B107" s="10" t="s">
        <v>37</v>
      </c>
      <c r="C107" s="10" t="s">
        <v>13</v>
      </c>
      <c r="J107" s="10" t="s">
        <v>127</v>
      </c>
      <c r="K107" s="62">
        <f t="shared" si="6"/>
        <v>0</v>
      </c>
      <c r="L107" s="62">
        <f t="shared" si="6"/>
        <v>0</v>
      </c>
      <c r="M107" s="62">
        <f t="shared" si="6"/>
        <v>1</v>
      </c>
      <c r="N107" s="62">
        <f t="shared" si="6"/>
        <v>0</v>
      </c>
      <c r="O107" s="62">
        <f t="shared" si="5"/>
        <v>0</v>
      </c>
      <c r="P107" s="62">
        <f t="shared" si="5"/>
        <v>0</v>
      </c>
      <c r="Q107" s="62">
        <f t="shared" si="5"/>
        <v>0</v>
      </c>
      <c r="R107" s="62">
        <f t="shared" si="5"/>
        <v>0</v>
      </c>
      <c r="S107" s="62">
        <f t="shared" si="8"/>
        <v>0</v>
      </c>
      <c r="T107" s="62">
        <f t="shared" si="8"/>
        <v>0</v>
      </c>
      <c r="U107" s="62">
        <f t="shared" si="8"/>
        <v>0</v>
      </c>
      <c r="V107" s="62">
        <f t="shared" si="7"/>
        <v>1</v>
      </c>
    </row>
    <row r="108" spans="1:22" ht="19.5">
      <c r="A108" s="10" t="s">
        <v>128</v>
      </c>
      <c r="B108" s="10" t="s">
        <v>39</v>
      </c>
      <c r="C108" s="10" t="s">
        <v>20</v>
      </c>
      <c r="J108" s="10" t="s">
        <v>128</v>
      </c>
      <c r="K108" s="62">
        <f t="shared" si="6"/>
        <v>1</v>
      </c>
      <c r="L108" s="62">
        <f t="shared" si="6"/>
        <v>0</v>
      </c>
      <c r="M108" s="62">
        <f t="shared" si="6"/>
        <v>0</v>
      </c>
      <c r="N108" s="62">
        <f t="shared" si="6"/>
        <v>0</v>
      </c>
      <c r="O108" s="62">
        <f t="shared" si="5"/>
        <v>0</v>
      </c>
      <c r="P108" s="62">
        <f t="shared" si="5"/>
        <v>0</v>
      </c>
      <c r="Q108" s="62">
        <f t="shared" si="5"/>
        <v>0</v>
      </c>
      <c r="R108" s="62">
        <f t="shared" si="5"/>
        <v>0</v>
      </c>
      <c r="S108" s="62">
        <f t="shared" si="8"/>
        <v>0</v>
      </c>
      <c r="T108" s="62">
        <f t="shared" si="8"/>
        <v>0</v>
      </c>
      <c r="U108" s="62">
        <f t="shared" si="8"/>
        <v>0</v>
      </c>
      <c r="V108" s="62">
        <f t="shared" si="7"/>
        <v>0</v>
      </c>
    </row>
    <row r="109" spans="1:22" ht="19.5">
      <c r="A109" s="10" t="s">
        <v>129</v>
      </c>
      <c r="B109" s="10" t="s">
        <v>39</v>
      </c>
      <c r="C109" s="10" t="s">
        <v>13</v>
      </c>
      <c r="J109" s="10" t="s">
        <v>129</v>
      </c>
      <c r="K109" s="62">
        <f t="shared" si="6"/>
        <v>1</v>
      </c>
      <c r="L109" s="62">
        <f t="shared" si="6"/>
        <v>0</v>
      </c>
      <c r="M109" s="62">
        <f t="shared" si="6"/>
        <v>0</v>
      </c>
      <c r="N109" s="62">
        <f t="shared" si="6"/>
        <v>0</v>
      </c>
      <c r="O109" s="62">
        <f t="shared" si="5"/>
        <v>0</v>
      </c>
      <c r="P109" s="62">
        <f t="shared" si="5"/>
        <v>0</v>
      </c>
      <c r="Q109" s="62">
        <f t="shared" si="5"/>
        <v>0</v>
      </c>
      <c r="R109" s="62">
        <f t="shared" si="5"/>
        <v>0</v>
      </c>
      <c r="S109" s="62">
        <f t="shared" si="8"/>
        <v>0</v>
      </c>
      <c r="T109" s="62">
        <f t="shared" si="8"/>
        <v>0</v>
      </c>
      <c r="U109" s="62">
        <f t="shared" si="8"/>
        <v>0</v>
      </c>
      <c r="V109" s="62">
        <f t="shared" si="7"/>
        <v>1</v>
      </c>
    </row>
    <row r="110" spans="1:22" ht="19.5">
      <c r="A110" s="10" t="s">
        <v>130</v>
      </c>
      <c r="B110" s="10" t="s">
        <v>737</v>
      </c>
      <c r="C110" s="10" t="s">
        <v>13</v>
      </c>
      <c r="J110" s="10" t="s">
        <v>130</v>
      </c>
      <c r="K110" s="62">
        <f t="shared" si="6"/>
        <v>0</v>
      </c>
      <c r="L110" s="62">
        <f t="shared" si="6"/>
        <v>0</v>
      </c>
      <c r="M110" s="62">
        <f t="shared" si="6"/>
        <v>0</v>
      </c>
      <c r="N110" s="62">
        <f t="shared" si="6"/>
        <v>1</v>
      </c>
      <c r="O110" s="62">
        <f t="shared" si="5"/>
        <v>0</v>
      </c>
      <c r="P110" s="62">
        <f t="shared" si="5"/>
        <v>0</v>
      </c>
      <c r="Q110" s="62">
        <f t="shared" si="5"/>
        <v>0</v>
      </c>
      <c r="R110" s="62">
        <f t="shared" si="5"/>
        <v>0</v>
      </c>
      <c r="S110" s="62">
        <f t="shared" si="8"/>
        <v>0</v>
      </c>
      <c r="T110" s="62">
        <f t="shared" si="8"/>
        <v>0</v>
      </c>
      <c r="U110" s="62">
        <f t="shared" si="8"/>
        <v>0</v>
      </c>
      <c r="V110" s="62">
        <f t="shared" si="7"/>
        <v>1</v>
      </c>
    </row>
    <row r="111" spans="1:22" ht="19.5">
      <c r="A111" s="10" t="s">
        <v>131</v>
      </c>
      <c r="B111" s="10" t="s">
        <v>740</v>
      </c>
      <c r="C111" s="10" t="s">
        <v>13</v>
      </c>
      <c r="J111" s="10" t="s">
        <v>131</v>
      </c>
      <c r="K111" s="62">
        <f t="shared" si="6"/>
        <v>0</v>
      </c>
      <c r="L111" s="62">
        <f t="shared" si="6"/>
        <v>0</v>
      </c>
      <c r="M111" s="62">
        <f t="shared" si="6"/>
        <v>0</v>
      </c>
      <c r="N111" s="62">
        <f t="shared" si="6"/>
        <v>0</v>
      </c>
      <c r="O111" s="62">
        <f t="shared" si="5"/>
        <v>1</v>
      </c>
      <c r="P111" s="62">
        <f t="shared" si="5"/>
        <v>0</v>
      </c>
      <c r="Q111" s="62">
        <f t="shared" si="5"/>
        <v>0</v>
      </c>
      <c r="R111" s="62">
        <f t="shared" si="5"/>
        <v>0</v>
      </c>
      <c r="S111" s="62">
        <f t="shared" si="8"/>
        <v>0</v>
      </c>
      <c r="T111" s="62">
        <f t="shared" si="8"/>
        <v>0</v>
      </c>
      <c r="U111" s="62">
        <f t="shared" si="8"/>
        <v>0</v>
      </c>
      <c r="V111" s="62">
        <f t="shared" si="7"/>
        <v>1</v>
      </c>
    </row>
    <row r="112" spans="1:22" ht="19.5">
      <c r="A112" s="10" t="s">
        <v>132</v>
      </c>
      <c r="B112" s="10" t="s">
        <v>42</v>
      </c>
      <c r="C112" s="10" t="s">
        <v>13</v>
      </c>
      <c r="J112" s="10" t="s">
        <v>132</v>
      </c>
      <c r="K112" s="62">
        <f t="shared" si="6"/>
        <v>0</v>
      </c>
      <c r="L112" s="62">
        <f t="shared" si="6"/>
        <v>1</v>
      </c>
      <c r="M112" s="62">
        <f t="shared" si="6"/>
        <v>0</v>
      </c>
      <c r="N112" s="62">
        <f t="shared" si="6"/>
        <v>0</v>
      </c>
      <c r="O112" s="62">
        <f t="shared" si="5"/>
        <v>0</v>
      </c>
      <c r="P112" s="62">
        <f t="shared" si="5"/>
        <v>0</v>
      </c>
      <c r="Q112" s="62">
        <f t="shared" si="5"/>
        <v>0</v>
      </c>
      <c r="R112" s="62">
        <f t="shared" si="5"/>
        <v>0</v>
      </c>
      <c r="S112" s="62">
        <f t="shared" si="8"/>
        <v>0</v>
      </c>
      <c r="T112" s="62">
        <f t="shared" si="8"/>
        <v>0</v>
      </c>
      <c r="U112" s="62">
        <f t="shared" si="8"/>
        <v>0</v>
      </c>
      <c r="V112" s="62">
        <f t="shared" si="7"/>
        <v>1</v>
      </c>
    </row>
    <row r="113" spans="1:22" ht="19.5">
      <c r="A113" s="10" t="s">
        <v>133</v>
      </c>
      <c r="B113" s="10" t="s">
        <v>737</v>
      </c>
      <c r="C113" s="10" t="s">
        <v>13</v>
      </c>
      <c r="J113" s="10" t="s">
        <v>133</v>
      </c>
      <c r="K113" s="62">
        <f t="shared" si="6"/>
        <v>0</v>
      </c>
      <c r="L113" s="62">
        <f t="shared" si="6"/>
        <v>0</v>
      </c>
      <c r="M113" s="62">
        <f t="shared" si="6"/>
        <v>0</v>
      </c>
      <c r="N113" s="62">
        <f t="shared" si="6"/>
        <v>1</v>
      </c>
      <c r="O113" s="62">
        <f t="shared" si="5"/>
        <v>0</v>
      </c>
      <c r="P113" s="62">
        <f t="shared" si="5"/>
        <v>0</v>
      </c>
      <c r="Q113" s="62">
        <f t="shared" si="5"/>
        <v>0</v>
      </c>
      <c r="R113" s="62">
        <f t="shared" si="5"/>
        <v>0</v>
      </c>
      <c r="S113" s="62">
        <f t="shared" si="8"/>
        <v>0</v>
      </c>
      <c r="T113" s="62">
        <f t="shared" si="8"/>
        <v>0</v>
      </c>
      <c r="U113" s="62">
        <f t="shared" si="8"/>
        <v>0</v>
      </c>
      <c r="V113" s="62">
        <f t="shared" si="7"/>
        <v>1</v>
      </c>
    </row>
    <row r="114" spans="1:22" ht="19.5">
      <c r="A114" s="10" t="s">
        <v>134</v>
      </c>
      <c r="B114" s="10" t="s">
        <v>740</v>
      </c>
      <c r="C114" s="10" t="s">
        <v>13</v>
      </c>
      <c r="J114" s="10" t="s">
        <v>134</v>
      </c>
      <c r="K114" s="62">
        <f t="shared" si="6"/>
        <v>0</v>
      </c>
      <c r="L114" s="62">
        <f t="shared" si="6"/>
        <v>0</v>
      </c>
      <c r="M114" s="62">
        <f t="shared" si="6"/>
        <v>0</v>
      </c>
      <c r="N114" s="62">
        <f t="shared" si="6"/>
        <v>0</v>
      </c>
      <c r="O114" s="62">
        <f t="shared" si="5"/>
        <v>1</v>
      </c>
      <c r="P114" s="62">
        <f t="shared" si="5"/>
        <v>0</v>
      </c>
      <c r="Q114" s="62">
        <f t="shared" si="5"/>
        <v>0</v>
      </c>
      <c r="R114" s="62">
        <f t="shared" si="5"/>
        <v>0</v>
      </c>
      <c r="S114" s="62">
        <f t="shared" si="8"/>
        <v>0</v>
      </c>
      <c r="T114" s="62">
        <f t="shared" si="8"/>
        <v>0</v>
      </c>
      <c r="U114" s="62">
        <f t="shared" si="8"/>
        <v>0</v>
      </c>
      <c r="V114" s="62">
        <f t="shared" si="7"/>
        <v>1</v>
      </c>
    </row>
    <row r="115" spans="1:22" ht="19.5">
      <c r="A115" s="10" t="s">
        <v>135</v>
      </c>
      <c r="B115" s="10" t="s">
        <v>740</v>
      </c>
      <c r="C115" s="10" t="s">
        <v>20</v>
      </c>
      <c r="J115" s="10" t="s">
        <v>135</v>
      </c>
      <c r="K115" s="62">
        <f t="shared" si="6"/>
        <v>0</v>
      </c>
      <c r="L115" s="62">
        <f t="shared" si="6"/>
        <v>0</v>
      </c>
      <c r="M115" s="62">
        <f t="shared" si="6"/>
        <v>0</v>
      </c>
      <c r="N115" s="62">
        <f t="shared" si="6"/>
        <v>0</v>
      </c>
      <c r="O115" s="62">
        <f t="shared" si="5"/>
        <v>1</v>
      </c>
      <c r="P115" s="62">
        <f t="shared" si="5"/>
        <v>0</v>
      </c>
      <c r="Q115" s="62">
        <f t="shared" si="5"/>
        <v>0</v>
      </c>
      <c r="R115" s="62">
        <f t="shared" si="5"/>
        <v>0</v>
      </c>
      <c r="S115" s="62">
        <f t="shared" si="8"/>
        <v>0</v>
      </c>
      <c r="T115" s="62">
        <f t="shared" si="8"/>
        <v>0</v>
      </c>
      <c r="U115" s="62">
        <f t="shared" si="8"/>
        <v>0</v>
      </c>
      <c r="V115" s="62">
        <f t="shared" si="7"/>
        <v>0</v>
      </c>
    </row>
    <row r="116" spans="1:22" ht="19.5">
      <c r="A116" s="10" t="s">
        <v>136</v>
      </c>
      <c r="B116" s="10" t="s">
        <v>37</v>
      </c>
      <c r="C116" s="10" t="s">
        <v>20</v>
      </c>
      <c r="J116" s="10" t="s">
        <v>136</v>
      </c>
      <c r="K116" s="62">
        <f t="shared" si="6"/>
        <v>0</v>
      </c>
      <c r="L116" s="62">
        <f t="shared" si="6"/>
        <v>0</v>
      </c>
      <c r="M116" s="62">
        <f t="shared" si="6"/>
        <v>1</v>
      </c>
      <c r="N116" s="62">
        <f t="shared" si="6"/>
        <v>0</v>
      </c>
      <c r="O116" s="62">
        <f t="shared" si="5"/>
        <v>0</v>
      </c>
      <c r="P116" s="62">
        <f t="shared" si="5"/>
        <v>0</v>
      </c>
      <c r="Q116" s="62">
        <f t="shared" si="5"/>
        <v>0</v>
      </c>
      <c r="R116" s="62">
        <f t="shared" si="5"/>
        <v>0</v>
      </c>
      <c r="S116" s="62">
        <f t="shared" si="8"/>
        <v>0</v>
      </c>
      <c r="T116" s="62">
        <f t="shared" si="8"/>
        <v>0</v>
      </c>
      <c r="U116" s="62">
        <f t="shared" si="8"/>
        <v>0</v>
      </c>
      <c r="V116" s="62">
        <f t="shared" si="7"/>
        <v>0</v>
      </c>
    </row>
    <row r="117" spans="1:22" ht="19.5">
      <c r="A117" s="10" t="s">
        <v>137</v>
      </c>
      <c r="B117" s="10" t="s">
        <v>39</v>
      </c>
      <c r="C117" s="10" t="s">
        <v>13</v>
      </c>
      <c r="J117" s="10" t="s">
        <v>137</v>
      </c>
      <c r="K117" s="62">
        <f t="shared" si="6"/>
        <v>1</v>
      </c>
      <c r="L117" s="62">
        <f t="shared" si="6"/>
        <v>0</v>
      </c>
      <c r="M117" s="62">
        <f t="shared" si="6"/>
        <v>0</v>
      </c>
      <c r="N117" s="62">
        <f t="shared" si="6"/>
        <v>0</v>
      </c>
      <c r="O117" s="62">
        <f t="shared" si="5"/>
        <v>0</v>
      </c>
      <c r="P117" s="62">
        <f t="shared" si="5"/>
        <v>0</v>
      </c>
      <c r="Q117" s="62">
        <f t="shared" si="5"/>
        <v>0</v>
      </c>
      <c r="R117" s="62">
        <f t="shared" si="5"/>
        <v>0</v>
      </c>
      <c r="S117" s="62">
        <f t="shared" si="8"/>
        <v>0</v>
      </c>
      <c r="T117" s="62">
        <f t="shared" si="8"/>
        <v>0</v>
      </c>
      <c r="U117" s="62">
        <f t="shared" si="8"/>
        <v>0</v>
      </c>
      <c r="V117" s="62">
        <f t="shared" si="7"/>
        <v>1</v>
      </c>
    </row>
    <row r="118" spans="1:22" ht="19.5">
      <c r="A118" s="10" t="s">
        <v>138</v>
      </c>
      <c r="B118" s="10" t="s">
        <v>39</v>
      </c>
      <c r="C118" s="10" t="s">
        <v>13</v>
      </c>
      <c r="J118" s="10" t="s">
        <v>138</v>
      </c>
      <c r="K118" s="62">
        <f t="shared" si="6"/>
        <v>1</v>
      </c>
      <c r="L118" s="62">
        <f t="shared" si="6"/>
        <v>0</v>
      </c>
      <c r="M118" s="62">
        <f t="shared" si="6"/>
        <v>0</v>
      </c>
      <c r="N118" s="62">
        <f t="shared" si="6"/>
        <v>0</v>
      </c>
      <c r="O118" s="62">
        <f t="shared" si="5"/>
        <v>0</v>
      </c>
      <c r="P118" s="62">
        <f t="shared" si="5"/>
        <v>0</v>
      </c>
      <c r="Q118" s="62">
        <f t="shared" si="5"/>
        <v>0</v>
      </c>
      <c r="R118" s="62">
        <f t="shared" si="5"/>
        <v>0</v>
      </c>
      <c r="S118" s="62">
        <f t="shared" si="8"/>
        <v>0</v>
      </c>
      <c r="T118" s="62">
        <f t="shared" si="8"/>
        <v>0</v>
      </c>
      <c r="U118" s="62">
        <f t="shared" si="8"/>
        <v>0</v>
      </c>
      <c r="V118" s="62">
        <f t="shared" si="7"/>
        <v>1</v>
      </c>
    </row>
    <row r="119" spans="1:22" ht="19.5">
      <c r="A119" s="10" t="s">
        <v>139</v>
      </c>
      <c r="B119" s="10" t="s">
        <v>42</v>
      </c>
      <c r="C119" s="10" t="s">
        <v>20</v>
      </c>
      <c r="J119" s="10" t="s">
        <v>139</v>
      </c>
      <c r="K119" s="62">
        <f t="shared" si="6"/>
        <v>0</v>
      </c>
      <c r="L119" s="62">
        <f t="shared" si="6"/>
        <v>1</v>
      </c>
      <c r="M119" s="62">
        <f t="shared" si="6"/>
        <v>0</v>
      </c>
      <c r="N119" s="62">
        <f t="shared" si="6"/>
        <v>0</v>
      </c>
      <c r="O119" s="62">
        <f t="shared" si="5"/>
        <v>0</v>
      </c>
      <c r="P119" s="62">
        <f t="shared" si="5"/>
        <v>0</v>
      </c>
      <c r="Q119" s="62">
        <f t="shared" si="5"/>
        <v>0</v>
      </c>
      <c r="R119" s="62">
        <f t="shared" si="5"/>
        <v>0</v>
      </c>
      <c r="S119" s="62">
        <f t="shared" si="8"/>
        <v>0</v>
      </c>
      <c r="T119" s="62">
        <f t="shared" si="8"/>
        <v>0</v>
      </c>
      <c r="U119" s="62">
        <f t="shared" si="8"/>
        <v>0</v>
      </c>
      <c r="V119" s="62">
        <f t="shared" si="7"/>
        <v>0</v>
      </c>
    </row>
    <row r="120" spans="1:22" ht="19.5">
      <c r="A120" s="10" t="s">
        <v>140</v>
      </c>
      <c r="B120" s="10" t="s">
        <v>37</v>
      </c>
      <c r="C120" s="10" t="s">
        <v>20</v>
      </c>
      <c r="J120" s="10" t="s">
        <v>140</v>
      </c>
      <c r="K120" s="62">
        <f t="shared" si="6"/>
        <v>0</v>
      </c>
      <c r="L120" s="62">
        <f t="shared" si="6"/>
        <v>0</v>
      </c>
      <c r="M120" s="62">
        <f t="shared" si="6"/>
        <v>1</v>
      </c>
      <c r="N120" s="62">
        <f t="shared" si="6"/>
        <v>0</v>
      </c>
      <c r="O120" s="62">
        <f t="shared" si="5"/>
        <v>0</v>
      </c>
      <c r="P120" s="62">
        <f t="shared" si="5"/>
        <v>0</v>
      </c>
      <c r="Q120" s="62">
        <f t="shared" si="5"/>
        <v>0</v>
      </c>
      <c r="R120" s="62">
        <f t="shared" si="5"/>
        <v>0</v>
      </c>
      <c r="S120" s="62">
        <f t="shared" si="8"/>
        <v>0</v>
      </c>
      <c r="T120" s="62">
        <f t="shared" si="8"/>
        <v>0</v>
      </c>
      <c r="U120" s="62">
        <f t="shared" si="8"/>
        <v>0</v>
      </c>
      <c r="V120" s="62">
        <f t="shared" si="7"/>
        <v>0</v>
      </c>
    </row>
    <row r="121" spans="1:22" ht="19.5">
      <c r="A121" s="10" t="s">
        <v>141</v>
      </c>
      <c r="B121" s="10" t="s">
        <v>39</v>
      </c>
      <c r="C121" s="10" t="s">
        <v>13</v>
      </c>
      <c r="J121" s="10" t="s">
        <v>141</v>
      </c>
      <c r="K121" s="62">
        <f t="shared" si="6"/>
        <v>1</v>
      </c>
      <c r="L121" s="62">
        <f t="shared" si="6"/>
        <v>0</v>
      </c>
      <c r="M121" s="62">
        <f t="shared" si="6"/>
        <v>0</v>
      </c>
      <c r="N121" s="62">
        <f t="shared" si="6"/>
        <v>0</v>
      </c>
      <c r="O121" s="62">
        <f t="shared" si="5"/>
        <v>0</v>
      </c>
      <c r="P121" s="62">
        <f t="shared" si="5"/>
        <v>0</v>
      </c>
      <c r="Q121" s="62">
        <f t="shared" si="5"/>
        <v>0</v>
      </c>
      <c r="R121" s="62">
        <f t="shared" si="5"/>
        <v>0</v>
      </c>
      <c r="S121" s="62">
        <f t="shared" si="8"/>
        <v>0</v>
      </c>
      <c r="T121" s="62">
        <f t="shared" si="8"/>
        <v>0</v>
      </c>
      <c r="U121" s="62">
        <f t="shared" si="8"/>
        <v>0</v>
      </c>
      <c r="V121" s="62">
        <f t="shared" si="7"/>
        <v>1</v>
      </c>
    </row>
    <row r="122" spans="1:22" ht="19.5">
      <c r="A122" s="10" t="s">
        <v>142</v>
      </c>
      <c r="B122" s="10" t="s">
        <v>37</v>
      </c>
      <c r="C122" s="10" t="s">
        <v>13</v>
      </c>
      <c r="J122" s="10" t="s">
        <v>142</v>
      </c>
      <c r="K122" s="62">
        <f t="shared" si="6"/>
        <v>0</v>
      </c>
      <c r="L122" s="62">
        <f t="shared" si="6"/>
        <v>0</v>
      </c>
      <c r="M122" s="62">
        <f t="shared" si="6"/>
        <v>1</v>
      </c>
      <c r="N122" s="62">
        <f t="shared" si="6"/>
        <v>0</v>
      </c>
      <c r="O122" s="62">
        <f t="shared" si="5"/>
        <v>0</v>
      </c>
      <c r="P122" s="62">
        <f t="shared" si="5"/>
        <v>0</v>
      </c>
      <c r="Q122" s="62">
        <f t="shared" si="5"/>
        <v>0</v>
      </c>
      <c r="R122" s="62">
        <f t="shared" si="5"/>
        <v>0</v>
      </c>
      <c r="S122" s="62">
        <f t="shared" si="8"/>
        <v>0</v>
      </c>
      <c r="T122" s="62">
        <f t="shared" si="8"/>
        <v>0</v>
      </c>
      <c r="U122" s="62">
        <f t="shared" si="8"/>
        <v>0</v>
      </c>
      <c r="V122" s="62">
        <f t="shared" si="7"/>
        <v>1</v>
      </c>
    </row>
    <row r="123" spans="1:22" ht="19.5">
      <c r="A123" s="10" t="s">
        <v>143</v>
      </c>
      <c r="B123" s="10" t="s">
        <v>39</v>
      </c>
      <c r="C123" s="10" t="s">
        <v>13</v>
      </c>
      <c r="J123" s="10" t="s">
        <v>143</v>
      </c>
      <c r="K123" s="62">
        <f t="shared" si="6"/>
        <v>1</v>
      </c>
      <c r="L123" s="62">
        <f t="shared" si="6"/>
        <v>0</v>
      </c>
      <c r="M123" s="62">
        <f t="shared" si="6"/>
        <v>0</v>
      </c>
      <c r="N123" s="62">
        <f t="shared" si="6"/>
        <v>0</v>
      </c>
      <c r="O123" s="62">
        <f t="shared" si="5"/>
        <v>0</v>
      </c>
      <c r="P123" s="62">
        <f t="shared" si="5"/>
        <v>0</v>
      </c>
      <c r="Q123" s="62">
        <f t="shared" si="5"/>
        <v>0</v>
      </c>
      <c r="R123" s="62">
        <f t="shared" si="5"/>
        <v>0</v>
      </c>
      <c r="S123" s="62">
        <f t="shared" si="8"/>
        <v>0</v>
      </c>
      <c r="T123" s="62">
        <f t="shared" si="8"/>
        <v>0</v>
      </c>
      <c r="U123" s="62">
        <f t="shared" si="8"/>
        <v>0</v>
      </c>
      <c r="V123" s="62">
        <f t="shared" si="7"/>
        <v>1</v>
      </c>
    </row>
    <row r="124" spans="1:22" ht="19.5">
      <c r="A124" s="10" t="s">
        <v>144</v>
      </c>
      <c r="B124" s="10" t="s">
        <v>39</v>
      </c>
      <c r="C124" s="10" t="s">
        <v>13</v>
      </c>
      <c r="J124" s="10" t="s">
        <v>144</v>
      </c>
      <c r="K124" s="62">
        <f t="shared" si="6"/>
        <v>1</v>
      </c>
      <c r="L124" s="62">
        <f t="shared" si="6"/>
        <v>0</v>
      </c>
      <c r="M124" s="62">
        <f t="shared" si="6"/>
        <v>0</v>
      </c>
      <c r="N124" s="62">
        <f t="shared" si="6"/>
        <v>0</v>
      </c>
      <c r="O124" s="62">
        <f t="shared" si="5"/>
        <v>0</v>
      </c>
      <c r="P124" s="62">
        <f t="shared" si="5"/>
        <v>0</v>
      </c>
      <c r="Q124" s="62">
        <f t="shared" si="5"/>
        <v>0</v>
      </c>
      <c r="R124" s="62">
        <f t="shared" si="5"/>
        <v>0</v>
      </c>
      <c r="S124" s="62">
        <f t="shared" si="8"/>
        <v>0</v>
      </c>
      <c r="T124" s="62">
        <f t="shared" si="8"/>
        <v>0</v>
      </c>
      <c r="U124" s="62">
        <f t="shared" si="8"/>
        <v>0</v>
      </c>
      <c r="V124" s="62">
        <f t="shared" si="7"/>
        <v>1</v>
      </c>
    </row>
    <row r="125" spans="1:22" ht="19.5">
      <c r="A125" s="10" t="s">
        <v>145</v>
      </c>
      <c r="B125" s="10" t="s">
        <v>737</v>
      </c>
      <c r="C125" s="10" t="s">
        <v>13</v>
      </c>
      <c r="J125" s="10" t="s">
        <v>145</v>
      </c>
      <c r="K125" s="62">
        <f t="shared" si="6"/>
        <v>0</v>
      </c>
      <c r="L125" s="62">
        <f t="shared" si="6"/>
        <v>0</v>
      </c>
      <c r="M125" s="62">
        <f t="shared" si="6"/>
        <v>0</v>
      </c>
      <c r="N125" s="62">
        <f t="shared" si="6"/>
        <v>1</v>
      </c>
      <c r="O125" s="62">
        <f t="shared" si="5"/>
        <v>0</v>
      </c>
      <c r="P125" s="62">
        <f t="shared" si="5"/>
        <v>0</v>
      </c>
      <c r="Q125" s="62">
        <f t="shared" si="5"/>
        <v>0</v>
      </c>
      <c r="R125" s="62">
        <f t="shared" si="5"/>
        <v>0</v>
      </c>
      <c r="S125" s="62">
        <f t="shared" si="8"/>
        <v>0</v>
      </c>
      <c r="T125" s="62">
        <f t="shared" si="8"/>
        <v>0</v>
      </c>
      <c r="U125" s="62">
        <f t="shared" si="8"/>
        <v>0</v>
      </c>
      <c r="V125" s="62">
        <f t="shared" si="7"/>
        <v>1</v>
      </c>
    </row>
    <row r="126" spans="1:22" ht="19.5">
      <c r="A126" s="10" t="s">
        <v>146</v>
      </c>
      <c r="B126" s="10" t="s">
        <v>37</v>
      </c>
      <c r="C126" s="10" t="s">
        <v>13</v>
      </c>
      <c r="J126" s="10" t="s">
        <v>146</v>
      </c>
      <c r="K126" s="62">
        <f t="shared" si="6"/>
        <v>0</v>
      </c>
      <c r="L126" s="62">
        <f t="shared" si="6"/>
        <v>0</v>
      </c>
      <c r="M126" s="62">
        <f t="shared" si="6"/>
        <v>1</v>
      </c>
      <c r="N126" s="62">
        <f t="shared" si="6"/>
        <v>0</v>
      </c>
      <c r="O126" s="62">
        <f t="shared" ref="O126:R189" si="9">IF($B126=AA$9, 1, 0)</f>
        <v>0</v>
      </c>
      <c r="P126" s="62">
        <f t="shared" si="9"/>
        <v>0</v>
      </c>
      <c r="Q126" s="62">
        <f t="shared" si="9"/>
        <v>0</v>
      </c>
      <c r="R126" s="62">
        <f t="shared" si="9"/>
        <v>0</v>
      </c>
      <c r="S126" s="62">
        <f t="shared" si="8"/>
        <v>0</v>
      </c>
      <c r="T126" s="62">
        <f t="shared" si="8"/>
        <v>0</v>
      </c>
      <c r="U126" s="62">
        <f t="shared" si="8"/>
        <v>0</v>
      </c>
      <c r="V126" s="62">
        <f t="shared" si="7"/>
        <v>1</v>
      </c>
    </row>
    <row r="127" spans="1:22" ht="19.5">
      <c r="A127" s="10" t="s">
        <v>147</v>
      </c>
      <c r="B127" s="10" t="s">
        <v>37</v>
      </c>
      <c r="C127" s="10" t="s">
        <v>13</v>
      </c>
      <c r="J127" s="10" t="s">
        <v>147</v>
      </c>
      <c r="K127" s="62">
        <f t="shared" si="6"/>
        <v>0</v>
      </c>
      <c r="L127" s="62">
        <f t="shared" si="6"/>
        <v>0</v>
      </c>
      <c r="M127" s="62">
        <f t="shared" si="6"/>
        <v>1</v>
      </c>
      <c r="N127" s="62">
        <f t="shared" si="6"/>
        <v>0</v>
      </c>
      <c r="O127" s="62">
        <f t="shared" si="9"/>
        <v>0</v>
      </c>
      <c r="P127" s="62">
        <f t="shared" si="9"/>
        <v>0</v>
      </c>
      <c r="Q127" s="62">
        <f t="shared" si="9"/>
        <v>0</v>
      </c>
      <c r="R127" s="62">
        <f t="shared" si="9"/>
        <v>0</v>
      </c>
      <c r="S127" s="62">
        <f t="shared" si="8"/>
        <v>0</v>
      </c>
      <c r="T127" s="62">
        <f t="shared" si="8"/>
        <v>0</v>
      </c>
      <c r="U127" s="62">
        <f t="shared" si="8"/>
        <v>0</v>
      </c>
      <c r="V127" s="62">
        <f t="shared" si="7"/>
        <v>1</v>
      </c>
    </row>
    <row r="128" spans="1:22" ht="19.5">
      <c r="A128" s="10" t="s">
        <v>148</v>
      </c>
      <c r="B128" s="10" t="s">
        <v>738</v>
      </c>
      <c r="C128" s="10" t="s">
        <v>13</v>
      </c>
      <c r="J128" s="10" t="s">
        <v>148</v>
      </c>
      <c r="K128" s="62">
        <f t="shared" si="6"/>
        <v>0</v>
      </c>
      <c r="L128" s="62">
        <f t="shared" si="6"/>
        <v>0</v>
      </c>
      <c r="M128" s="62">
        <f t="shared" si="6"/>
        <v>0</v>
      </c>
      <c r="N128" s="62">
        <f t="shared" si="6"/>
        <v>0</v>
      </c>
      <c r="O128" s="62">
        <f t="shared" si="9"/>
        <v>0</v>
      </c>
      <c r="P128" s="62">
        <f t="shared" si="9"/>
        <v>0</v>
      </c>
      <c r="Q128" s="62">
        <f t="shared" si="9"/>
        <v>0</v>
      </c>
      <c r="R128" s="62">
        <f t="shared" si="9"/>
        <v>0</v>
      </c>
      <c r="S128" s="62">
        <f t="shared" si="8"/>
        <v>0</v>
      </c>
      <c r="T128" s="62">
        <f t="shared" si="8"/>
        <v>0</v>
      </c>
      <c r="U128" s="62">
        <f t="shared" si="8"/>
        <v>1</v>
      </c>
      <c r="V128" s="62">
        <f t="shared" si="7"/>
        <v>1</v>
      </c>
    </row>
    <row r="129" spans="1:22" ht="19.5">
      <c r="A129" s="10" t="s">
        <v>150</v>
      </c>
      <c r="B129" s="10" t="s">
        <v>42</v>
      </c>
      <c r="C129" s="10" t="s">
        <v>13</v>
      </c>
      <c r="J129" s="10" t="s">
        <v>150</v>
      </c>
      <c r="K129" s="62">
        <f t="shared" si="6"/>
        <v>0</v>
      </c>
      <c r="L129" s="62">
        <f t="shared" si="6"/>
        <v>1</v>
      </c>
      <c r="M129" s="62">
        <f t="shared" si="6"/>
        <v>0</v>
      </c>
      <c r="N129" s="62">
        <f t="shared" si="6"/>
        <v>0</v>
      </c>
      <c r="O129" s="62">
        <f t="shared" si="9"/>
        <v>0</v>
      </c>
      <c r="P129" s="62">
        <f t="shared" si="9"/>
        <v>0</v>
      </c>
      <c r="Q129" s="62">
        <f t="shared" si="9"/>
        <v>0</v>
      </c>
      <c r="R129" s="62">
        <f t="shared" si="9"/>
        <v>0</v>
      </c>
      <c r="S129" s="62">
        <f t="shared" si="8"/>
        <v>0</v>
      </c>
      <c r="T129" s="62">
        <f t="shared" si="8"/>
        <v>0</v>
      </c>
      <c r="U129" s="62">
        <f t="shared" si="8"/>
        <v>0</v>
      </c>
      <c r="V129" s="62">
        <f t="shared" si="7"/>
        <v>1</v>
      </c>
    </row>
    <row r="130" spans="1:22" ht="19.5">
      <c r="A130" s="10" t="s">
        <v>151</v>
      </c>
      <c r="B130" s="10" t="s">
        <v>740</v>
      </c>
      <c r="C130" s="10" t="s">
        <v>13</v>
      </c>
      <c r="J130" s="10" t="s">
        <v>151</v>
      </c>
      <c r="K130" s="62">
        <f t="shared" si="6"/>
        <v>0</v>
      </c>
      <c r="L130" s="62">
        <f t="shared" si="6"/>
        <v>0</v>
      </c>
      <c r="M130" s="62">
        <f t="shared" si="6"/>
        <v>0</v>
      </c>
      <c r="N130" s="62">
        <f t="shared" ref="N130:Q193" si="10">IF($B130=Z$9, 1, 0)</f>
        <v>0</v>
      </c>
      <c r="O130" s="62">
        <f t="shared" si="9"/>
        <v>1</v>
      </c>
      <c r="P130" s="62">
        <f t="shared" si="9"/>
        <v>0</v>
      </c>
      <c r="Q130" s="62">
        <f t="shared" si="9"/>
        <v>0</v>
      </c>
      <c r="R130" s="62">
        <f t="shared" si="9"/>
        <v>0</v>
      </c>
      <c r="S130" s="62">
        <f t="shared" si="8"/>
        <v>0</v>
      </c>
      <c r="T130" s="62">
        <f t="shared" si="8"/>
        <v>0</v>
      </c>
      <c r="U130" s="62">
        <f t="shared" si="8"/>
        <v>0</v>
      </c>
      <c r="V130" s="62">
        <f t="shared" si="7"/>
        <v>1</v>
      </c>
    </row>
    <row r="131" spans="1:22" ht="19.5">
      <c r="A131" s="10" t="s">
        <v>152</v>
      </c>
      <c r="B131" s="10" t="s">
        <v>37</v>
      </c>
      <c r="C131" s="10" t="s">
        <v>13</v>
      </c>
      <c r="J131" s="10" t="s">
        <v>152</v>
      </c>
      <c r="K131" s="62">
        <f t="shared" ref="K131:Q194" si="11">IF($B131=W$9, 1, 0)</f>
        <v>0</v>
      </c>
      <c r="L131" s="62">
        <f t="shared" si="11"/>
        <v>0</v>
      </c>
      <c r="M131" s="62">
        <f t="shared" si="11"/>
        <v>1</v>
      </c>
      <c r="N131" s="62">
        <f t="shared" si="10"/>
        <v>0</v>
      </c>
      <c r="O131" s="62">
        <f t="shared" si="9"/>
        <v>0</v>
      </c>
      <c r="P131" s="62">
        <f t="shared" si="9"/>
        <v>0</v>
      </c>
      <c r="Q131" s="62">
        <f t="shared" si="9"/>
        <v>0</v>
      </c>
      <c r="R131" s="62">
        <f t="shared" si="9"/>
        <v>0</v>
      </c>
      <c r="S131" s="62">
        <f t="shared" si="8"/>
        <v>0</v>
      </c>
      <c r="T131" s="62">
        <f t="shared" si="8"/>
        <v>0</v>
      </c>
      <c r="U131" s="62">
        <f t="shared" si="8"/>
        <v>0</v>
      </c>
      <c r="V131" s="62">
        <f t="shared" ref="V131:V194" si="12">IF($C131=$V$1, 1, 0)</f>
        <v>1</v>
      </c>
    </row>
    <row r="132" spans="1:22" ht="19.5">
      <c r="A132" s="10" t="s">
        <v>153</v>
      </c>
      <c r="B132" s="10" t="s">
        <v>39</v>
      </c>
      <c r="C132" s="10" t="s">
        <v>13</v>
      </c>
      <c r="J132" s="10" t="s">
        <v>153</v>
      </c>
      <c r="K132" s="62">
        <f t="shared" si="11"/>
        <v>1</v>
      </c>
      <c r="L132" s="62">
        <f t="shared" si="11"/>
        <v>0</v>
      </c>
      <c r="M132" s="62">
        <f t="shared" si="11"/>
        <v>0</v>
      </c>
      <c r="N132" s="62">
        <f t="shared" si="10"/>
        <v>0</v>
      </c>
      <c r="O132" s="62">
        <f t="shared" si="9"/>
        <v>0</v>
      </c>
      <c r="P132" s="62">
        <f t="shared" si="9"/>
        <v>0</v>
      </c>
      <c r="Q132" s="62">
        <f t="shared" si="9"/>
        <v>0</v>
      </c>
      <c r="R132" s="62">
        <f t="shared" si="9"/>
        <v>0</v>
      </c>
      <c r="S132" s="62">
        <f t="shared" si="8"/>
        <v>0</v>
      </c>
      <c r="T132" s="62">
        <f t="shared" si="8"/>
        <v>0</v>
      </c>
      <c r="U132" s="62">
        <f t="shared" si="8"/>
        <v>0</v>
      </c>
      <c r="V132" s="62">
        <f t="shared" si="12"/>
        <v>1</v>
      </c>
    </row>
    <row r="133" spans="1:22" ht="19.5">
      <c r="A133" s="10" t="s">
        <v>154</v>
      </c>
      <c r="B133" s="10" t="s">
        <v>42</v>
      </c>
      <c r="C133" s="10" t="s">
        <v>20</v>
      </c>
      <c r="J133" s="10" t="s">
        <v>154</v>
      </c>
      <c r="K133" s="62">
        <f t="shared" si="11"/>
        <v>0</v>
      </c>
      <c r="L133" s="62">
        <f t="shared" si="11"/>
        <v>1</v>
      </c>
      <c r="M133" s="62">
        <f t="shared" si="11"/>
        <v>0</v>
      </c>
      <c r="N133" s="62">
        <f t="shared" si="10"/>
        <v>0</v>
      </c>
      <c r="O133" s="62">
        <f t="shared" si="9"/>
        <v>0</v>
      </c>
      <c r="P133" s="62">
        <f t="shared" si="9"/>
        <v>0</v>
      </c>
      <c r="Q133" s="62">
        <f t="shared" si="9"/>
        <v>0</v>
      </c>
      <c r="R133" s="62">
        <f t="shared" si="9"/>
        <v>0</v>
      </c>
      <c r="S133" s="62">
        <f t="shared" si="8"/>
        <v>0</v>
      </c>
      <c r="T133" s="62">
        <f t="shared" si="8"/>
        <v>0</v>
      </c>
      <c r="U133" s="62">
        <f t="shared" si="8"/>
        <v>0</v>
      </c>
      <c r="V133" s="62">
        <f t="shared" si="12"/>
        <v>0</v>
      </c>
    </row>
    <row r="134" spans="1:22" ht="19.5">
      <c r="A134" s="10" t="s">
        <v>155</v>
      </c>
      <c r="B134" s="10" t="s">
        <v>737</v>
      </c>
      <c r="C134" s="10" t="s">
        <v>13</v>
      </c>
      <c r="J134" s="10" t="s">
        <v>155</v>
      </c>
      <c r="K134" s="62">
        <f t="shared" si="11"/>
        <v>0</v>
      </c>
      <c r="L134" s="62">
        <f t="shared" si="11"/>
        <v>0</v>
      </c>
      <c r="M134" s="62">
        <f t="shared" si="11"/>
        <v>0</v>
      </c>
      <c r="N134" s="62">
        <f t="shared" si="10"/>
        <v>1</v>
      </c>
      <c r="O134" s="62">
        <f t="shared" si="9"/>
        <v>0</v>
      </c>
      <c r="P134" s="62">
        <f t="shared" si="9"/>
        <v>0</v>
      </c>
      <c r="Q134" s="62">
        <f t="shared" si="9"/>
        <v>0</v>
      </c>
      <c r="R134" s="62">
        <f t="shared" si="9"/>
        <v>0</v>
      </c>
      <c r="S134" s="62">
        <f t="shared" si="8"/>
        <v>0</v>
      </c>
      <c r="T134" s="62">
        <f t="shared" si="8"/>
        <v>0</v>
      </c>
      <c r="U134" s="62">
        <f t="shared" si="8"/>
        <v>0</v>
      </c>
      <c r="V134" s="62">
        <f t="shared" si="12"/>
        <v>1</v>
      </c>
    </row>
    <row r="135" spans="1:22" ht="19.5">
      <c r="A135" s="10" t="s">
        <v>156</v>
      </c>
      <c r="B135" s="10" t="s">
        <v>37</v>
      </c>
      <c r="C135" s="10" t="s">
        <v>20</v>
      </c>
      <c r="J135" s="10" t="s">
        <v>156</v>
      </c>
      <c r="K135" s="62">
        <f t="shared" si="11"/>
        <v>0</v>
      </c>
      <c r="L135" s="62">
        <f t="shared" si="11"/>
        <v>0</v>
      </c>
      <c r="M135" s="62">
        <f t="shared" si="11"/>
        <v>1</v>
      </c>
      <c r="N135" s="62">
        <f t="shared" si="10"/>
        <v>0</v>
      </c>
      <c r="O135" s="62">
        <f t="shared" si="9"/>
        <v>0</v>
      </c>
      <c r="P135" s="62">
        <f t="shared" si="9"/>
        <v>0</v>
      </c>
      <c r="Q135" s="62">
        <f t="shared" si="9"/>
        <v>0</v>
      </c>
      <c r="R135" s="62">
        <f t="shared" si="9"/>
        <v>0</v>
      </c>
      <c r="S135" s="62">
        <f t="shared" si="8"/>
        <v>0</v>
      </c>
      <c r="T135" s="62">
        <f t="shared" si="8"/>
        <v>0</v>
      </c>
      <c r="U135" s="62">
        <f t="shared" si="8"/>
        <v>0</v>
      </c>
      <c r="V135" s="62">
        <f t="shared" si="12"/>
        <v>0</v>
      </c>
    </row>
    <row r="136" spans="1:22" ht="19.5">
      <c r="A136" s="10" t="s">
        <v>157</v>
      </c>
      <c r="B136" s="10" t="s">
        <v>39</v>
      </c>
      <c r="C136" s="10" t="s">
        <v>13</v>
      </c>
      <c r="J136" s="10" t="s">
        <v>157</v>
      </c>
      <c r="K136" s="62">
        <f t="shared" si="11"/>
        <v>1</v>
      </c>
      <c r="L136" s="62">
        <f t="shared" si="11"/>
        <v>0</v>
      </c>
      <c r="M136" s="62">
        <f t="shared" si="11"/>
        <v>0</v>
      </c>
      <c r="N136" s="62">
        <f t="shared" si="10"/>
        <v>0</v>
      </c>
      <c r="O136" s="62">
        <f t="shared" si="9"/>
        <v>0</v>
      </c>
      <c r="P136" s="62">
        <f t="shared" si="9"/>
        <v>0</v>
      </c>
      <c r="Q136" s="62">
        <f t="shared" si="9"/>
        <v>0</v>
      </c>
      <c r="R136" s="62">
        <f t="shared" si="9"/>
        <v>0</v>
      </c>
      <c r="S136" s="62">
        <f t="shared" si="8"/>
        <v>0</v>
      </c>
      <c r="T136" s="62">
        <f t="shared" si="8"/>
        <v>0</v>
      </c>
      <c r="U136" s="62">
        <f t="shared" si="8"/>
        <v>0</v>
      </c>
      <c r="V136" s="62">
        <f t="shared" si="12"/>
        <v>1</v>
      </c>
    </row>
    <row r="137" spans="1:22" ht="19.5">
      <c r="A137" s="10" t="s">
        <v>158</v>
      </c>
      <c r="B137" s="10" t="s">
        <v>39</v>
      </c>
      <c r="C137" s="10" t="s">
        <v>20</v>
      </c>
      <c r="J137" s="10" t="s">
        <v>158</v>
      </c>
      <c r="K137" s="62">
        <f t="shared" si="11"/>
        <v>1</v>
      </c>
      <c r="L137" s="62">
        <f t="shared" si="11"/>
        <v>0</v>
      </c>
      <c r="M137" s="62">
        <f t="shared" si="11"/>
        <v>0</v>
      </c>
      <c r="N137" s="62">
        <f t="shared" si="10"/>
        <v>0</v>
      </c>
      <c r="O137" s="62">
        <f t="shared" si="9"/>
        <v>0</v>
      </c>
      <c r="P137" s="62">
        <f t="shared" si="9"/>
        <v>0</v>
      </c>
      <c r="Q137" s="62">
        <f t="shared" si="9"/>
        <v>0</v>
      </c>
      <c r="R137" s="62">
        <f t="shared" si="9"/>
        <v>0</v>
      </c>
      <c r="S137" s="62">
        <f t="shared" si="8"/>
        <v>0</v>
      </c>
      <c r="T137" s="62">
        <f t="shared" si="8"/>
        <v>0</v>
      </c>
      <c r="U137" s="62">
        <f t="shared" si="8"/>
        <v>0</v>
      </c>
      <c r="V137" s="62">
        <f t="shared" si="12"/>
        <v>0</v>
      </c>
    </row>
    <row r="138" spans="1:22" ht="19.5">
      <c r="A138" s="10" t="s">
        <v>159</v>
      </c>
      <c r="B138" s="10" t="s">
        <v>42</v>
      </c>
      <c r="C138" s="10" t="s">
        <v>13</v>
      </c>
      <c r="J138" s="10" t="s">
        <v>159</v>
      </c>
      <c r="K138" s="62">
        <f t="shared" si="11"/>
        <v>0</v>
      </c>
      <c r="L138" s="62">
        <f t="shared" si="11"/>
        <v>1</v>
      </c>
      <c r="M138" s="62">
        <f t="shared" si="11"/>
        <v>0</v>
      </c>
      <c r="N138" s="62">
        <f t="shared" si="10"/>
        <v>0</v>
      </c>
      <c r="O138" s="62">
        <f t="shared" si="9"/>
        <v>0</v>
      </c>
      <c r="P138" s="62">
        <f t="shared" si="9"/>
        <v>0</v>
      </c>
      <c r="Q138" s="62">
        <f t="shared" si="9"/>
        <v>0</v>
      </c>
      <c r="R138" s="62">
        <f t="shared" si="9"/>
        <v>0</v>
      </c>
      <c r="S138" s="62">
        <f t="shared" si="8"/>
        <v>0</v>
      </c>
      <c r="T138" s="62">
        <f t="shared" si="8"/>
        <v>0</v>
      </c>
      <c r="U138" s="62">
        <f t="shared" si="8"/>
        <v>0</v>
      </c>
      <c r="V138" s="62">
        <f t="shared" si="12"/>
        <v>1</v>
      </c>
    </row>
    <row r="139" spans="1:22" ht="19.5">
      <c r="A139" s="10" t="s">
        <v>160</v>
      </c>
      <c r="B139" s="10" t="s">
        <v>737</v>
      </c>
      <c r="C139" s="10" t="s">
        <v>13</v>
      </c>
      <c r="J139" s="10" t="s">
        <v>160</v>
      </c>
      <c r="K139" s="62">
        <f t="shared" si="11"/>
        <v>0</v>
      </c>
      <c r="L139" s="62">
        <f t="shared" si="11"/>
        <v>0</v>
      </c>
      <c r="M139" s="62">
        <f t="shared" si="11"/>
        <v>0</v>
      </c>
      <c r="N139" s="62">
        <f t="shared" si="10"/>
        <v>1</v>
      </c>
      <c r="O139" s="62">
        <f t="shared" si="9"/>
        <v>0</v>
      </c>
      <c r="P139" s="62">
        <f t="shared" si="9"/>
        <v>0</v>
      </c>
      <c r="Q139" s="62">
        <f t="shared" si="9"/>
        <v>0</v>
      </c>
      <c r="R139" s="62">
        <f t="shared" si="9"/>
        <v>0</v>
      </c>
      <c r="S139" s="62">
        <f t="shared" si="8"/>
        <v>0</v>
      </c>
      <c r="T139" s="62">
        <f t="shared" si="8"/>
        <v>0</v>
      </c>
      <c r="U139" s="62">
        <f t="shared" si="8"/>
        <v>0</v>
      </c>
      <c r="V139" s="62">
        <f t="shared" si="12"/>
        <v>1</v>
      </c>
    </row>
    <row r="140" spans="1:22" ht="19.5">
      <c r="A140" s="10" t="s">
        <v>161</v>
      </c>
      <c r="B140" s="10" t="s">
        <v>37</v>
      </c>
      <c r="C140" s="10" t="s">
        <v>20</v>
      </c>
      <c r="J140" s="10" t="s">
        <v>161</v>
      </c>
      <c r="K140" s="62">
        <f t="shared" si="11"/>
        <v>0</v>
      </c>
      <c r="L140" s="62">
        <f t="shared" si="11"/>
        <v>0</v>
      </c>
      <c r="M140" s="62">
        <f t="shared" si="11"/>
        <v>1</v>
      </c>
      <c r="N140" s="62">
        <f t="shared" si="10"/>
        <v>0</v>
      </c>
      <c r="O140" s="62">
        <f t="shared" si="9"/>
        <v>0</v>
      </c>
      <c r="P140" s="62">
        <f t="shared" si="9"/>
        <v>0</v>
      </c>
      <c r="Q140" s="62">
        <f t="shared" si="9"/>
        <v>0</v>
      </c>
      <c r="R140" s="62">
        <f t="shared" si="9"/>
        <v>0</v>
      </c>
      <c r="S140" s="62">
        <f t="shared" si="8"/>
        <v>0</v>
      </c>
      <c r="T140" s="62">
        <f t="shared" si="8"/>
        <v>0</v>
      </c>
      <c r="U140" s="62">
        <f t="shared" si="8"/>
        <v>0</v>
      </c>
      <c r="V140" s="62">
        <f t="shared" si="12"/>
        <v>0</v>
      </c>
    </row>
    <row r="141" spans="1:22" ht="19.5">
      <c r="A141" s="10" t="s">
        <v>162</v>
      </c>
      <c r="B141" s="10" t="s">
        <v>39</v>
      </c>
      <c r="C141" s="10" t="s">
        <v>13</v>
      </c>
      <c r="J141" s="10" t="s">
        <v>162</v>
      </c>
      <c r="K141" s="62">
        <f t="shared" si="11"/>
        <v>1</v>
      </c>
      <c r="L141" s="62">
        <f t="shared" si="11"/>
        <v>0</v>
      </c>
      <c r="M141" s="62">
        <f t="shared" si="11"/>
        <v>0</v>
      </c>
      <c r="N141" s="62">
        <f t="shared" si="10"/>
        <v>0</v>
      </c>
      <c r="O141" s="62">
        <f t="shared" si="9"/>
        <v>0</v>
      </c>
      <c r="P141" s="62">
        <f t="shared" si="9"/>
        <v>0</v>
      </c>
      <c r="Q141" s="62">
        <f t="shared" si="9"/>
        <v>0</v>
      </c>
      <c r="R141" s="62">
        <f t="shared" si="9"/>
        <v>0</v>
      </c>
      <c r="S141" s="62">
        <f t="shared" si="8"/>
        <v>0</v>
      </c>
      <c r="T141" s="62">
        <f t="shared" si="8"/>
        <v>0</v>
      </c>
      <c r="U141" s="62">
        <f t="shared" si="8"/>
        <v>0</v>
      </c>
      <c r="V141" s="62">
        <f t="shared" si="12"/>
        <v>1</v>
      </c>
    </row>
    <row r="142" spans="1:22" ht="19.5">
      <c r="A142" s="10" t="s">
        <v>163</v>
      </c>
      <c r="B142" s="10" t="s">
        <v>42</v>
      </c>
      <c r="C142" s="10" t="s">
        <v>20</v>
      </c>
      <c r="J142" s="10" t="s">
        <v>163</v>
      </c>
      <c r="K142" s="62">
        <f t="shared" si="11"/>
        <v>0</v>
      </c>
      <c r="L142" s="62">
        <f t="shared" si="11"/>
        <v>1</v>
      </c>
      <c r="M142" s="62">
        <f t="shared" si="11"/>
        <v>0</v>
      </c>
      <c r="N142" s="62">
        <f t="shared" si="10"/>
        <v>0</v>
      </c>
      <c r="O142" s="62">
        <f t="shared" si="9"/>
        <v>0</v>
      </c>
      <c r="P142" s="62">
        <f t="shared" si="9"/>
        <v>0</v>
      </c>
      <c r="Q142" s="62">
        <f t="shared" si="9"/>
        <v>0</v>
      </c>
      <c r="R142" s="62">
        <f t="shared" si="9"/>
        <v>0</v>
      </c>
      <c r="S142" s="62">
        <f t="shared" si="8"/>
        <v>0</v>
      </c>
      <c r="T142" s="62">
        <f t="shared" si="8"/>
        <v>0</v>
      </c>
      <c r="U142" s="62">
        <f t="shared" si="8"/>
        <v>0</v>
      </c>
      <c r="V142" s="62">
        <f t="shared" si="12"/>
        <v>0</v>
      </c>
    </row>
    <row r="143" spans="1:22" ht="19.5">
      <c r="A143" s="10" t="s">
        <v>164</v>
      </c>
      <c r="B143" s="10" t="s">
        <v>737</v>
      </c>
      <c r="C143" s="10" t="s">
        <v>20</v>
      </c>
      <c r="J143" s="10" t="s">
        <v>164</v>
      </c>
      <c r="K143" s="62">
        <f t="shared" si="11"/>
        <v>0</v>
      </c>
      <c r="L143" s="62">
        <f t="shared" si="11"/>
        <v>0</v>
      </c>
      <c r="M143" s="62">
        <f t="shared" si="11"/>
        <v>0</v>
      </c>
      <c r="N143" s="62">
        <f t="shared" si="10"/>
        <v>1</v>
      </c>
      <c r="O143" s="62">
        <f t="shared" si="9"/>
        <v>0</v>
      </c>
      <c r="P143" s="62">
        <f t="shared" si="9"/>
        <v>0</v>
      </c>
      <c r="Q143" s="62">
        <f t="shared" si="9"/>
        <v>0</v>
      </c>
      <c r="R143" s="62">
        <f t="shared" si="9"/>
        <v>0</v>
      </c>
      <c r="S143" s="62">
        <f t="shared" si="8"/>
        <v>0</v>
      </c>
      <c r="T143" s="62">
        <f t="shared" si="8"/>
        <v>0</v>
      </c>
      <c r="U143" s="62">
        <f t="shared" si="8"/>
        <v>0</v>
      </c>
      <c r="V143" s="62">
        <f t="shared" si="12"/>
        <v>0</v>
      </c>
    </row>
    <row r="144" spans="1:22" ht="19.5">
      <c r="A144" s="10" t="s">
        <v>165</v>
      </c>
      <c r="B144" s="10" t="s">
        <v>37</v>
      </c>
      <c r="C144" s="10" t="s">
        <v>13</v>
      </c>
      <c r="J144" s="10" t="s">
        <v>165</v>
      </c>
      <c r="K144" s="62">
        <f t="shared" si="11"/>
        <v>0</v>
      </c>
      <c r="L144" s="62">
        <f t="shared" si="11"/>
        <v>0</v>
      </c>
      <c r="M144" s="62">
        <f t="shared" si="11"/>
        <v>1</v>
      </c>
      <c r="N144" s="62">
        <f t="shared" si="10"/>
        <v>0</v>
      </c>
      <c r="O144" s="62">
        <f t="shared" si="9"/>
        <v>0</v>
      </c>
      <c r="P144" s="62">
        <f t="shared" si="9"/>
        <v>0</v>
      </c>
      <c r="Q144" s="62">
        <f t="shared" si="9"/>
        <v>0</v>
      </c>
      <c r="R144" s="62">
        <f t="shared" si="9"/>
        <v>0</v>
      </c>
      <c r="S144" s="62">
        <f t="shared" si="8"/>
        <v>0</v>
      </c>
      <c r="T144" s="62">
        <f t="shared" si="8"/>
        <v>0</v>
      </c>
      <c r="U144" s="62">
        <f t="shared" si="8"/>
        <v>0</v>
      </c>
      <c r="V144" s="62">
        <f t="shared" si="12"/>
        <v>1</v>
      </c>
    </row>
    <row r="145" spans="1:22" ht="19.5">
      <c r="A145" s="10" t="s">
        <v>166</v>
      </c>
      <c r="B145" s="10" t="s">
        <v>738</v>
      </c>
      <c r="C145" s="10" t="s">
        <v>13</v>
      </c>
      <c r="J145" s="10" t="s">
        <v>166</v>
      </c>
      <c r="K145" s="62">
        <f t="shared" si="11"/>
        <v>0</v>
      </c>
      <c r="L145" s="62">
        <f t="shared" si="11"/>
        <v>0</v>
      </c>
      <c r="M145" s="62">
        <f t="shared" si="11"/>
        <v>0</v>
      </c>
      <c r="N145" s="62">
        <f t="shared" si="10"/>
        <v>0</v>
      </c>
      <c r="O145" s="62">
        <f t="shared" si="9"/>
        <v>0</v>
      </c>
      <c r="P145" s="62">
        <f t="shared" si="9"/>
        <v>0</v>
      </c>
      <c r="Q145" s="62">
        <f t="shared" si="9"/>
        <v>0</v>
      </c>
      <c r="R145" s="62">
        <f t="shared" si="9"/>
        <v>0</v>
      </c>
      <c r="S145" s="62">
        <f t="shared" ref="S145:U208" si="13">IF($B145=AE$9, 1, 0)</f>
        <v>0</v>
      </c>
      <c r="T145" s="62">
        <f t="shared" si="13"/>
        <v>0</v>
      </c>
      <c r="U145" s="62">
        <f t="shared" si="13"/>
        <v>1</v>
      </c>
      <c r="V145" s="62">
        <f t="shared" si="12"/>
        <v>1</v>
      </c>
    </row>
    <row r="146" spans="1:22" ht="19.5">
      <c r="A146" s="10" t="s">
        <v>167</v>
      </c>
      <c r="B146" s="10" t="s">
        <v>42</v>
      </c>
      <c r="C146" s="10" t="s">
        <v>20</v>
      </c>
      <c r="J146" s="10" t="s">
        <v>167</v>
      </c>
      <c r="K146" s="62">
        <f t="shared" si="11"/>
        <v>0</v>
      </c>
      <c r="L146" s="62">
        <f t="shared" si="11"/>
        <v>1</v>
      </c>
      <c r="M146" s="62">
        <f t="shared" si="11"/>
        <v>0</v>
      </c>
      <c r="N146" s="62">
        <f t="shared" si="10"/>
        <v>0</v>
      </c>
      <c r="O146" s="62">
        <f t="shared" si="9"/>
        <v>0</v>
      </c>
      <c r="P146" s="62">
        <f t="shared" si="9"/>
        <v>0</v>
      </c>
      <c r="Q146" s="62">
        <f t="shared" si="9"/>
        <v>0</v>
      </c>
      <c r="R146" s="62">
        <f t="shared" si="9"/>
        <v>0</v>
      </c>
      <c r="S146" s="62">
        <f t="shared" si="13"/>
        <v>0</v>
      </c>
      <c r="T146" s="62">
        <f t="shared" si="13"/>
        <v>0</v>
      </c>
      <c r="U146" s="62">
        <f t="shared" si="13"/>
        <v>0</v>
      </c>
      <c r="V146" s="62">
        <f t="shared" si="12"/>
        <v>0</v>
      </c>
    </row>
    <row r="147" spans="1:22" ht="19.5">
      <c r="A147" s="10" t="s">
        <v>168</v>
      </c>
      <c r="B147" s="10" t="s">
        <v>37</v>
      </c>
      <c r="C147" s="10" t="s">
        <v>13</v>
      </c>
      <c r="J147" s="10" t="s">
        <v>168</v>
      </c>
      <c r="K147" s="62">
        <f t="shared" si="11"/>
        <v>0</v>
      </c>
      <c r="L147" s="62">
        <f t="shared" si="11"/>
        <v>0</v>
      </c>
      <c r="M147" s="62">
        <f t="shared" si="11"/>
        <v>1</v>
      </c>
      <c r="N147" s="62">
        <f t="shared" si="10"/>
        <v>0</v>
      </c>
      <c r="O147" s="62">
        <f t="shared" si="9"/>
        <v>0</v>
      </c>
      <c r="P147" s="62">
        <f t="shared" si="9"/>
        <v>0</v>
      </c>
      <c r="Q147" s="62">
        <f t="shared" si="9"/>
        <v>0</v>
      </c>
      <c r="R147" s="62">
        <f t="shared" si="9"/>
        <v>0</v>
      </c>
      <c r="S147" s="62">
        <f t="shared" si="13"/>
        <v>0</v>
      </c>
      <c r="T147" s="62">
        <f t="shared" si="13"/>
        <v>0</v>
      </c>
      <c r="U147" s="62">
        <f t="shared" si="13"/>
        <v>0</v>
      </c>
      <c r="V147" s="62">
        <f t="shared" si="12"/>
        <v>1</v>
      </c>
    </row>
    <row r="148" spans="1:22" ht="19.5">
      <c r="A148" s="10" t="s">
        <v>169</v>
      </c>
      <c r="B148" s="10" t="s">
        <v>739</v>
      </c>
      <c r="C148" s="10" t="s">
        <v>20</v>
      </c>
      <c r="J148" s="10" t="s">
        <v>169</v>
      </c>
      <c r="K148" s="62">
        <f t="shared" si="11"/>
        <v>0</v>
      </c>
      <c r="L148" s="62">
        <f t="shared" si="11"/>
        <v>0</v>
      </c>
      <c r="M148" s="62">
        <f t="shared" si="11"/>
        <v>0</v>
      </c>
      <c r="N148" s="62">
        <f t="shared" si="10"/>
        <v>0</v>
      </c>
      <c r="O148" s="62">
        <f t="shared" si="9"/>
        <v>0</v>
      </c>
      <c r="P148" s="62">
        <f t="shared" si="9"/>
        <v>1</v>
      </c>
      <c r="Q148" s="62">
        <f t="shared" si="9"/>
        <v>0</v>
      </c>
      <c r="R148" s="62">
        <f t="shared" si="9"/>
        <v>0</v>
      </c>
      <c r="S148" s="62">
        <f t="shared" si="13"/>
        <v>0</v>
      </c>
      <c r="T148" s="62">
        <f t="shared" si="13"/>
        <v>0</v>
      </c>
      <c r="U148" s="62">
        <f t="shared" si="13"/>
        <v>0</v>
      </c>
      <c r="V148" s="62">
        <f t="shared" si="12"/>
        <v>0</v>
      </c>
    </row>
    <row r="149" spans="1:22" ht="19.5">
      <c r="A149" s="10" t="s">
        <v>170</v>
      </c>
      <c r="B149" s="10" t="s">
        <v>39</v>
      </c>
      <c r="C149" s="10" t="s">
        <v>13</v>
      </c>
      <c r="J149" s="10" t="s">
        <v>170</v>
      </c>
      <c r="K149" s="62">
        <f t="shared" si="11"/>
        <v>1</v>
      </c>
      <c r="L149" s="62">
        <f t="shared" si="11"/>
        <v>0</v>
      </c>
      <c r="M149" s="62">
        <f t="shared" si="11"/>
        <v>0</v>
      </c>
      <c r="N149" s="62">
        <f t="shared" si="10"/>
        <v>0</v>
      </c>
      <c r="O149" s="62">
        <f t="shared" si="9"/>
        <v>0</v>
      </c>
      <c r="P149" s="62">
        <f t="shared" si="9"/>
        <v>0</v>
      </c>
      <c r="Q149" s="62">
        <f t="shared" si="9"/>
        <v>0</v>
      </c>
      <c r="R149" s="62">
        <f t="shared" si="9"/>
        <v>0</v>
      </c>
      <c r="S149" s="62">
        <f t="shared" si="13"/>
        <v>0</v>
      </c>
      <c r="T149" s="62">
        <f t="shared" si="13"/>
        <v>0</v>
      </c>
      <c r="U149" s="62">
        <f t="shared" si="13"/>
        <v>0</v>
      </c>
      <c r="V149" s="62">
        <f t="shared" si="12"/>
        <v>1</v>
      </c>
    </row>
    <row r="150" spans="1:22" ht="19.5">
      <c r="A150" s="10" t="s">
        <v>171</v>
      </c>
      <c r="B150" s="10" t="s">
        <v>738</v>
      </c>
      <c r="C150" s="10" t="s">
        <v>20</v>
      </c>
      <c r="J150" s="10" t="s">
        <v>171</v>
      </c>
      <c r="K150" s="62">
        <f t="shared" si="11"/>
        <v>0</v>
      </c>
      <c r="L150" s="62">
        <f t="shared" si="11"/>
        <v>0</v>
      </c>
      <c r="M150" s="62">
        <f t="shared" si="11"/>
        <v>0</v>
      </c>
      <c r="N150" s="62">
        <f t="shared" si="10"/>
        <v>0</v>
      </c>
      <c r="O150" s="62">
        <f t="shared" si="9"/>
        <v>0</v>
      </c>
      <c r="P150" s="62">
        <f t="shared" si="9"/>
        <v>0</v>
      </c>
      <c r="Q150" s="62">
        <f t="shared" si="9"/>
        <v>0</v>
      </c>
      <c r="R150" s="62">
        <f t="shared" si="9"/>
        <v>0</v>
      </c>
      <c r="S150" s="62">
        <f t="shared" si="13"/>
        <v>0</v>
      </c>
      <c r="T150" s="62">
        <f t="shared" si="13"/>
        <v>0</v>
      </c>
      <c r="U150" s="62">
        <f t="shared" si="13"/>
        <v>1</v>
      </c>
      <c r="V150" s="62">
        <f t="shared" si="12"/>
        <v>0</v>
      </c>
    </row>
    <row r="151" spans="1:22" ht="19.5">
      <c r="A151" s="10" t="s">
        <v>172</v>
      </c>
      <c r="B151" s="10" t="s">
        <v>42</v>
      </c>
      <c r="C151" s="10" t="s">
        <v>13</v>
      </c>
      <c r="J151" s="10" t="s">
        <v>172</v>
      </c>
      <c r="K151" s="62">
        <f t="shared" si="11"/>
        <v>0</v>
      </c>
      <c r="L151" s="62">
        <f t="shared" si="11"/>
        <v>1</v>
      </c>
      <c r="M151" s="62">
        <f t="shared" si="11"/>
        <v>0</v>
      </c>
      <c r="N151" s="62">
        <f t="shared" si="10"/>
        <v>0</v>
      </c>
      <c r="O151" s="62">
        <f t="shared" si="9"/>
        <v>0</v>
      </c>
      <c r="P151" s="62">
        <f t="shared" si="9"/>
        <v>0</v>
      </c>
      <c r="Q151" s="62">
        <f t="shared" si="9"/>
        <v>0</v>
      </c>
      <c r="R151" s="62">
        <f t="shared" si="9"/>
        <v>0</v>
      </c>
      <c r="S151" s="62">
        <f t="shared" si="13"/>
        <v>0</v>
      </c>
      <c r="T151" s="62">
        <f t="shared" si="13"/>
        <v>0</v>
      </c>
      <c r="U151" s="62">
        <f t="shared" si="13"/>
        <v>0</v>
      </c>
      <c r="V151" s="62">
        <f t="shared" si="12"/>
        <v>1</v>
      </c>
    </row>
    <row r="152" spans="1:22" ht="19.5">
      <c r="A152" s="10" t="s">
        <v>173</v>
      </c>
      <c r="B152" s="10" t="s">
        <v>737</v>
      </c>
      <c r="C152" s="10" t="s">
        <v>13</v>
      </c>
      <c r="J152" s="10" t="s">
        <v>173</v>
      </c>
      <c r="K152" s="62">
        <f t="shared" si="11"/>
        <v>0</v>
      </c>
      <c r="L152" s="62">
        <f t="shared" si="11"/>
        <v>0</v>
      </c>
      <c r="M152" s="62">
        <f t="shared" si="11"/>
        <v>0</v>
      </c>
      <c r="N152" s="62">
        <f t="shared" si="10"/>
        <v>1</v>
      </c>
      <c r="O152" s="62">
        <f t="shared" si="9"/>
        <v>0</v>
      </c>
      <c r="P152" s="62">
        <f t="shared" si="9"/>
        <v>0</v>
      </c>
      <c r="Q152" s="62">
        <f t="shared" si="9"/>
        <v>0</v>
      </c>
      <c r="R152" s="62">
        <f t="shared" si="9"/>
        <v>0</v>
      </c>
      <c r="S152" s="62">
        <f t="shared" si="13"/>
        <v>0</v>
      </c>
      <c r="T152" s="62">
        <f t="shared" si="13"/>
        <v>0</v>
      </c>
      <c r="U152" s="62">
        <f t="shared" si="13"/>
        <v>0</v>
      </c>
      <c r="V152" s="62">
        <f t="shared" si="12"/>
        <v>1</v>
      </c>
    </row>
    <row r="153" spans="1:22" ht="19.5">
      <c r="A153" s="10" t="s">
        <v>174</v>
      </c>
      <c r="B153" s="10" t="s">
        <v>37</v>
      </c>
      <c r="C153" s="10" t="s">
        <v>13</v>
      </c>
      <c r="J153" s="10" t="s">
        <v>174</v>
      </c>
      <c r="K153" s="62">
        <f t="shared" si="11"/>
        <v>0</v>
      </c>
      <c r="L153" s="62">
        <f t="shared" si="11"/>
        <v>0</v>
      </c>
      <c r="M153" s="62">
        <f t="shared" si="11"/>
        <v>1</v>
      </c>
      <c r="N153" s="62">
        <f t="shared" si="10"/>
        <v>0</v>
      </c>
      <c r="O153" s="62">
        <f t="shared" si="9"/>
        <v>0</v>
      </c>
      <c r="P153" s="62">
        <f t="shared" si="9"/>
        <v>0</v>
      </c>
      <c r="Q153" s="62">
        <f t="shared" si="9"/>
        <v>0</v>
      </c>
      <c r="R153" s="62">
        <f t="shared" si="9"/>
        <v>0</v>
      </c>
      <c r="S153" s="62">
        <f t="shared" si="13"/>
        <v>0</v>
      </c>
      <c r="T153" s="62">
        <f t="shared" si="13"/>
        <v>0</v>
      </c>
      <c r="U153" s="62">
        <f t="shared" si="13"/>
        <v>0</v>
      </c>
      <c r="V153" s="62">
        <f t="shared" si="12"/>
        <v>1</v>
      </c>
    </row>
    <row r="154" spans="1:22" ht="19.5">
      <c r="A154" s="10" t="s">
        <v>175</v>
      </c>
      <c r="B154" s="10" t="s">
        <v>39</v>
      </c>
      <c r="C154" s="10" t="s">
        <v>13</v>
      </c>
      <c r="J154" s="10" t="s">
        <v>175</v>
      </c>
      <c r="K154" s="62">
        <f t="shared" si="11"/>
        <v>1</v>
      </c>
      <c r="L154" s="62">
        <f t="shared" si="11"/>
        <v>0</v>
      </c>
      <c r="M154" s="62">
        <f t="shared" si="11"/>
        <v>0</v>
      </c>
      <c r="N154" s="62">
        <f t="shared" si="10"/>
        <v>0</v>
      </c>
      <c r="O154" s="62">
        <f t="shared" si="9"/>
        <v>0</v>
      </c>
      <c r="P154" s="62">
        <f t="shared" si="9"/>
        <v>0</v>
      </c>
      <c r="Q154" s="62">
        <f t="shared" si="9"/>
        <v>0</v>
      </c>
      <c r="R154" s="62">
        <f t="shared" si="9"/>
        <v>0</v>
      </c>
      <c r="S154" s="62">
        <f t="shared" si="13"/>
        <v>0</v>
      </c>
      <c r="T154" s="62">
        <f t="shared" si="13"/>
        <v>0</v>
      </c>
      <c r="U154" s="62">
        <f t="shared" si="13"/>
        <v>0</v>
      </c>
      <c r="V154" s="62">
        <f t="shared" si="12"/>
        <v>1</v>
      </c>
    </row>
    <row r="155" spans="1:22" ht="19.5">
      <c r="A155" s="10" t="s">
        <v>176</v>
      </c>
      <c r="B155" s="10" t="s">
        <v>42</v>
      </c>
      <c r="C155" s="10" t="s">
        <v>13</v>
      </c>
      <c r="J155" s="10" t="s">
        <v>176</v>
      </c>
      <c r="K155" s="62">
        <f t="shared" si="11"/>
        <v>0</v>
      </c>
      <c r="L155" s="62">
        <f t="shared" si="11"/>
        <v>1</v>
      </c>
      <c r="M155" s="62">
        <f t="shared" si="11"/>
        <v>0</v>
      </c>
      <c r="N155" s="62">
        <f t="shared" si="10"/>
        <v>0</v>
      </c>
      <c r="O155" s="62">
        <f t="shared" si="9"/>
        <v>0</v>
      </c>
      <c r="P155" s="62">
        <f t="shared" si="9"/>
        <v>0</v>
      </c>
      <c r="Q155" s="62">
        <f t="shared" si="9"/>
        <v>0</v>
      </c>
      <c r="R155" s="62">
        <f t="shared" si="9"/>
        <v>0</v>
      </c>
      <c r="S155" s="62">
        <f t="shared" si="13"/>
        <v>0</v>
      </c>
      <c r="T155" s="62">
        <f t="shared" si="13"/>
        <v>0</v>
      </c>
      <c r="U155" s="62">
        <f t="shared" si="13"/>
        <v>0</v>
      </c>
      <c r="V155" s="62">
        <f t="shared" si="12"/>
        <v>1</v>
      </c>
    </row>
    <row r="156" spans="1:22" ht="19.5">
      <c r="A156" s="10" t="s">
        <v>177</v>
      </c>
      <c r="B156" s="10" t="s">
        <v>37</v>
      </c>
      <c r="C156" s="10" t="s">
        <v>13</v>
      </c>
      <c r="J156" s="10" t="s">
        <v>177</v>
      </c>
      <c r="K156" s="62">
        <f t="shared" si="11"/>
        <v>0</v>
      </c>
      <c r="L156" s="62">
        <f t="shared" si="11"/>
        <v>0</v>
      </c>
      <c r="M156" s="62">
        <f t="shared" si="11"/>
        <v>1</v>
      </c>
      <c r="N156" s="62">
        <f t="shared" si="10"/>
        <v>0</v>
      </c>
      <c r="O156" s="62">
        <f t="shared" si="9"/>
        <v>0</v>
      </c>
      <c r="P156" s="62">
        <f t="shared" si="9"/>
        <v>0</v>
      </c>
      <c r="Q156" s="62">
        <f t="shared" si="9"/>
        <v>0</v>
      </c>
      <c r="R156" s="62">
        <f t="shared" si="9"/>
        <v>0</v>
      </c>
      <c r="S156" s="62">
        <f t="shared" si="13"/>
        <v>0</v>
      </c>
      <c r="T156" s="62">
        <f t="shared" si="13"/>
        <v>0</v>
      </c>
      <c r="U156" s="62">
        <f t="shared" si="13"/>
        <v>0</v>
      </c>
      <c r="V156" s="62">
        <f t="shared" si="12"/>
        <v>1</v>
      </c>
    </row>
    <row r="157" spans="1:22" ht="19.5">
      <c r="A157" s="10" t="s">
        <v>178</v>
      </c>
      <c r="B157" s="10" t="s">
        <v>39</v>
      </c>
      <c r="C157" s="10" t="s">
        <v>13</v>
      </c>
      <c r="J157" s="10" t="s">
        <v>178</v>
      </c>
      <c r="K157" s="62">
        <f t="shared" si="11"/>
        <v>1</v>
      </c>
      <c r="L157" s="62">
        <f t="shared" si="11"/>
        <v>0</v>
      </c>
      <c r="M157" s="62">
        <f t="shared" si="11"/>
        <v>0</v>
      </c>
      <c r="N157" s="62">
        <f t="shared" si="10"/>
        <v>0</v>
      </c>
      <c r="O157" s="62">
        <f t="shared" si="9"/>
        <v>0</v>
      </c>
      <c r="P157" s="62">
        <f t="shared" si="9"/>
        <v>0</v>
      </c>
      <c r="Q157" s="62">
        <f t="shared" si="9"/>
        <v>0</v>
      </c>
      <c r="R157" s="62">
        <f t="shared" si="9"/>
        <v>0</v>
      </c>
      <c r="S157" s="62">
        <f t="shared" si="13"/>
        <v>0</v>
      </c>
      <c r="T157" s="62">
        <f t="shared" si="13"/>
        <v>0</v>
      </c>
      <c r="U157" s="62">
        <f t="shared" si="13"/>
        <v>0</v>
      </c>
      <c r="V157" s="62">
        <f t="shared" si="12"/>
        <v>1</v>
      </c>
    </row>
    <row r="158" spans="1:22" ht="19.5">
      <c r="A158" s="10" t="s">
        <v>179</v>
      </c>
      <c r="B158" s="10" t="s">
        <v>737</v>
      </c>
      <c r="C158" s="10" t="s">
        <v>13</v>
      </c>
      <c r="J158" s="10" t="s">
        <v>179</v>
      </c>
      <c r="K158" s="62">
        <f t="shared" si="11"/>
        <v>0</v>
      </c>
      <c r="L158" s="62">
        <f t="shared" si="11"/>
        <v>0</v>
      </c>
      <c r="M158" s="62">
        <f t="shared" si="11"/>
        <v>0</v>
      </c>
      <c r="N158" s="62">
        <f t="shared" si="10"/>
        <v>1</v>
      </c>
      <c r="O158" s="62">
        <f t="shared" si="9"/>
        <v>0</v>
      </c>
      <c r="P158" s="62">
        <f t="shared" si="9"/>
        <v>0</v>
      </c>
      <c r="Q158" s="62">
        <f t="shared" si="9"/>
        <v>0</v>
      </c>
      <c r="R158" s="62">
        <f t="shared" si="9"/>
        <v>0</v>
      </c>
      <c r="S158" s="62">
        <f t="shared" si="13"/>
        <v>0</v>
      </c>
      <c r="T158" s="62">
        <f t="shared" si="13"/>
        <v>0</v>
      </c>
      <c r="U158" s="62">
        <f t="shared" si="13"/>
        <v>0</v>
      </c>
      <c r="V158" s="62">
        <f t="shared" si="12"/>
        <v>1</v>
      </c>
    </row>
    <row r="159" spans="1:22" ht="19.5">
      <c r="A159" s="10" t="s">
        <v>180</v>
      </c>
      <c r="B159" s="10" t="s">
        <v>37</v>
      </c>
      <c r="C159" s="10" t="s">
        <v>13</v>
      </c>
      <c r="J159" s="10" t="s">
        <v>180</v>
      </c>
      <c r="K159" s="62">
        <f t="shared" si="11"/>
        <v>0</v>
      </c>
      <c r="L159" s="62">
        <f t="shared" si="11"/>
        <v>0</v>
      </c>
      <c r="M159" s="62">
        <f t="shared" si="11"/>
        <v>1</v>
      </c>
      <c r="N159" s="62">
        <f t="shared" si="10"/>
        <v>0</v>
      </c>
      <c r="O159" s="62">
        <f t="shared" si="9"/>
        <v>0</v>
      </c>
      <c r="P159" s="62">
        <f t="shared" si="9"/>
        <v>0</v>
      </c>
      <c r="Q159" s="62">
        <f t="shared" si="9"/>
        <v>0</v>
      </c>
      <c r="R159" s="62">
        <f t="shared" si="9"/>
        <v>0</v>
      </c>
      <c r="S159" s="62">
        <f t="shared" si="13"/>
        <v>0</v>
      </c>
      <c r="T159" s="62">
        <f t="shared" si="13"/>
        <v>0</v>
      </c>
      <c r="U159" s="62">
        <f t="shared" si="13"/>
        <v>0</v>
      </c>
      <c r="V159" s="62">
        <f t="shared" si="12"/>
        <v>1</v>
      </c>
    </row>
    <row r="160" spans="1:22" ht="19.5">
      <c r="A160" s="10" t="s">
        <v>181</v>
      </c>
      <c r="B160" s="10" t="s">
        <v>39</v>
      </c>
      <c r="C160" s="10" t="s">
        <v>13</v>
      </c>
      <c r="J160" s="10" t="s">
        <v>181</v>
      </c>
      <c r="K160" s="62">
        <f t="shared" si="11"/>
        <v>1</v>
      </c>
      <c r="L160" s="62">
        <f t="shared" si="11"/>
        <v>0</v>
      </c>
      <c r="M160" s="62">
        <f t="shared" si="11"/>
        <v>0</v>
      </c>
      <c r="N160" s="62">
        <f t="shared" si="10"/>
        <v>0</v>
      </c>
      <c r="O160" s="62">
        <f t="shared" si="9"/>
        <v>0</v>
      </c>
      <c r="P160" s="62">
        <f t="shared" si="9"/>
        <v>0</v>
      </c>
      <c r="Q160" s="62">
        <f t="shared" si="9"/>
        <v>0</v>
      </c>
      <c r="R160" s="62">
        <f t="shared" si="9"/>
        <v>0</v>
      </c>
      <c r="S160" s="62">
        <f t="shared" si="13"/>
        <v>0</v>
      </c>
      <c r="T160" s="62">
        <f t="shared" si="13"/>
        <v>0</v>
      </c>
      <c r="U160" s="62">
        <f t="shared" si="13"/>
        <v>0</v>
      </c>
      <c r="V160" s="62">
        <f t="shared" si="12"/>
        <v>1</v>
      </c>
    </row>
    <row r="161" spans="1:22" ht="19.5">
      <c r="A161" s="10" t="s">
        <v>182</v>
      </c>
      <c r="B161" s="10" t="s">
        <v>738</v>
      </c>
      <c r="C161" s="10" t="s">
        <v>13</v>
      </c>
      <c r="J161" s="10" t="s">
        <v>182</v>
      </c>
      <c r="K161" s="62">
        <f t="shared" si="11"/>
        <v>0</v>
      </c>
      <c r="L161" s="62">
        <f t="shared" si="11"/>
        <v>0</v>
      </c>
      <c r="M161" s="62">
        <f t="shared" si="11"/>
        <v>0</v>
      </c>
      <c r="N161" s="62">
        <f t="shared" si="10"/>
        <v>0</v>
      </c>
      <c r="O161" s="62">
        <f t="shared" si="9"/>
        <v>0</v>
      </c>
      <c r="P161" s="62">
        <f t="shared" si="9"/>
        <v>0</v>
      </c>
      <c r="Q161" s="62">
        <f t="shared" si="9"/>
        <v>0</v>
      </c>
      <c r="R161" s="62">
        <f t="shared" si="9"/>
        <v>0</v>
      </c>
      <c r="S161" s="62">
        <f t="shared" si="13"/>
        <v>0</v>
      </c>
      <c r="T161" s="62">
        <f t="shared" si="13"/>
        <v>0</v>
      </c>
      <c r="U161" s="62">
        <f t="shared" si="13"/>
        <v>1</v>
      </c>
      <c r="V161" s="62">
        <f t="shared" si="12"/>
        <v>1</v>
      </c>
    </row>
    <row r="162" spans="1:22" ht="19.5">
      <c r="A162" s="10" t="s">
        <v>183</v>
      </c>
      <c r="B162" s="10" t="s">
        <v>42</v>
      </c>
      <c r="C162" s="10" t="s">
        <v>13</v>
      </c>
      <c r="J162" s="10" t="s">
        <v>183</v>
      </c>
      <c r="K162" s="62">
        <f t="shared" si="11"/>
        <v>0</v>
      </c>
      <c r="L162" s="62">
        <f t="shared" si="11"/>
        <v>1</v>
      </c>
      <c r="M162" s="62">
        <f t="shared" si="11"/>
        <v>0</v>
      </c>
      <c r="N162" s="62">
        <f t="shared" si="10"/>
        <v>0</v>
      </c>
      <c r="O162" s="62">
        <f t="shared" si="9"/>
        <v>0</v>
      </c>
      <c r="P162" s="62">
        <f t="shared" si="9"/>
        <v>0</v>
      </c>
      <c r="Q162" s="62">
        <f t="shared" si="9"/>
        <v>0</v>
      </c>
      <c r="R162" s="62">
        <f t="shared" si="9"/>
        <v>0</v>
      </c>
      <c r="S162" s="62">
        <f t="shared" si="13"/>
        <v>0</v>
      </c>
      <c r="T162" s="62">
        <f t="shared" si="13"/>
        <v>0</v>
      </c>
      <c r="U162" s="62">
        <f t="shared" si="13"/>
        <v>0</v>
      </c>
      <c r="V162" s="62">
        <f t="shared" si="12"/>
        <v>1</v>
      </c>
    </row>
    <row r="163" spans="1:22" ht="19.5">
      <c r="A163" s="10" t="s">
        <v>184</v>
      </c>
      <c r="B163" s="10" t="s">
        <v>37</v>
      </c>
      <c r="C163" s="10" t="s">
        <v>13</v>
      </c>
      <c r="J163" s="10" t="s">
        <v>184</v>
      </c>
      <c r="K163" s="62">
        <f t="shared" si="11"/>
        <v>0</v>
      </c>
      <c r="L163" s="62">
        <f t="shared" si="11"/>
        <v>0</v>
      </c>
      <c r="M163" s="62">
        <f t="shared" si="11"/>
        <v>1</v>
      </c>
      <c r="N163" s="62">
        <f t="shared" si="10"/>
        <v>0</v>
      </c>
      <c r="O163" s="62">
        <f t="shared" si="9"/>
        <v>0</v>
      </c>
      <c r="P163" s="62">
        <f t="shared" si="9"/>
        <v>0</v>
      </c>
      <c r="Q163" s="62">
        <f t="shared" si="9"/>
        <v>0</v>
      </c>
      <c r="R163" s="62">
        <f t="shared" si="9"/>
        <v>0</v>
      </c>
      <c r="S163" s="62">
        <f t="shared" si="13"/>
        <v>0</v>
      </c>
      <c r="T163" s="62">
        <f t="shared" si="13"/>
        <v>0</v>
      </c>
      <c r="U163" s="62">
        <f t="shared" si="13"/>
        <v>0</v>
      </c>
      <c r="V163" s="62">
        <f t="shared" si="12"/>
        <v>1</v>
      </c>
    </row>
    <row r="164" spans="1:22" ht="19.5">
      <c r="A164" s="10" t="s">
        <v>185</v>
      </c>
      <c r="B164" s="10" t="s">
        <v>739</v>
      </c>
      <c r="C164" s="10" t="s">
        <v>13</v>
      </c>
      <c r="J164" s="10" t="s">
        <v>185</v>
      </c>
      <c r="K164" s="62">
        <f t="shared" si="11"/>
        <v>0</v>
      </c>
      <c r="L164" s="62">
        <f t="shared" si="11"/>
        <v>0</v>
      </c>
      <c r="M164" s="62">
        <f t="shared" si="11"/>
        <v>0</v>
      </c>
      <c r="N164" s="62">
        <f t="shared" si="10"/>
        <v>0</v>
      </c>
      <c r="O164" s="62">
        <f t="shared" si="9"/>
        <v>0</v>
      </c>
      <c r="P164" s="62">
        <f t="shared" si="9"/>
        <v>1</v>
      </c>
      <c r="Q164" s="62">
        <f t="shared" si="9"/>
        <v>0</v>
      </c>
      <c r="R164" s="62">
        <f t="shared" si="9"/>
        <v>0</v>
      </c>
      <c r="S164" s="62">
        <f t="shared" si="13"/>
        <v>0</v>
      </c>
      <c r="T164" s="62">
        <f t="shared" si="13"/>
        <v>0</v>
      </c>
      <c r="U164" s="62">
        <f t="shared" si="13"/>
        <v>0</v>
      </c>
      <c r="V164" s="62">
        <f t="shared" si="12"/>
        <v>1</v>
      </c>
    </row>
    <row r="165" spans="1:22" ht="19.5">
      <c r="A165" s="10" t="s">
        <v>186</v>
      </c>
      <c r="B165" s="10" t="s">
        <v>738</v>
      </c>
      <c r="C165" s="10" t="s">
        <v>20</v>
      </c>
      <c r="J165" s="10" t="s">
        <v>186</v>
      </c>
      <c r="K165" s="62">
        <f t="shared" si="11"/>
        <v>0</v>
      </c>
      <c r="L165" s="62">
        <f t="shared" si="11"/>
        <v>0</v>
      </c>
      <c r="M165" s="62">
        <f t="shared" si="11"/>
        <v>0</v>
      </c>
      <c r="N165" s="62">
        <f t="shared" si="10"/>
        <v>0</v>
      </c>
      <c r="O165" s="62">
        <f t="shared" si="9"/>
        <v>0</v>
      </c>
      <c r="P165" s="62">
        <f t="shared" si="9"/>
        <v>0</v>
      </c>
      <c r="Q165" s="62">
        <f t="shared" si="9"/>
        <v>0</v>
      </c>
      <c r="R165" s="62">
        <f t="shared" si="9"/>
        <v>0</v>
      </c>
      <c r="S165" s="62">
        <f t="shared" si="13"/>
        <v>0</v>
      </c>
      <c r="T165" s="62">
        <f t="shared" si="13"/>
        <v>0</v>
      </c>
      <c r="U165" s="62">
        <f t="shared" si="13"/>
        <v>1</v>
      </c>
      <c r="V165" s="62">
        <f t="shared" si="12"/>
        <v>0</v>
      </c>
    </row>
    <row r="166" spans="1:22" ht="19.5">
      <c r="A166" s="10" t="s">
        <v>187</v>
      </c>
      <c r="B166" s="10" t="s">
        <v>737</v>
      </c>
      <c r="C166" s="10" t="s">
        <v>13</v>
      </c>
      <c r="J166" s="10" t="s">
        <v>187</v>
      </c>
      <c r="K166" s="62">
        <f t="shared" si="11"/>
        <v>0</v>
      </c>
      <c r="L166" s="62">
        <f t="shared" si="11"/>
        <v>0</v>
      </c>
      <c r="M166" s="62">
        <f t="shared" si="11"/>
        <v>0</v>
      </c>
      <c r="N166" s="62">
        <f t="shared" si="10"/>
        <v>1</v>
      </c>
      <c r="O166" s="62">
        <f t="shared" si="9"/>
        <v>0</v>
      </c>
      <c r="P166" s="62">
        <f t="shared" si="9"/>
        <v>0</v>
      </c>
      <c r="Q166" s="62">
        <f t="shared" si="9"/>
        <v>0</v>
      </c>
      <c r="R166" s="62">
        <f t="shared" si="9"/>
        <v>0</v>
      </c>
      <c r="S166" s="62">
        <f t="shared" si="13"/>
        <v>0</v>
      </c>
      <c r="T166" s="62">
        <f t="shared" si="13"/>
        <v>0</v>
      </c>
      <c r="U166" s="62">
        <f t="shared" si="13"/>
        <v>0</v>
      </c>
      <c r="V166" s="62">
        <f t="shared" si="12"/>
        <v>1</v>
      </c>
    </row>
    <row r="167" spans="1:22" ht="19.5">
      <c r="A167" s="10" t="s">
        <v>188</v>
      </c>
      <c r="B167" s="10" t="s">
        <v>37</v>
      </c>
      <c r="C167" s="10" t="s">
        <v>13</v>
      </c>
      <c r="J167" s="10" t="s">
        <v>188</v>
      </c>
      <c r="K167" s="62">
        <f t="shared" si="11"/>
        <v>0</v>
      </c>
      <c r="L167" s="62">
        <f t="shared" si="11"/>
        <v>0</v>
      </c>
      <c r="M167" s="62">
        <f t="shared" si="11"/>
        <v>1</v>
      </c>
      <c r="N167" s="62">
        <f t="shared" si="10"/>
        <v>0</v>
      </c>
      <c r="O167" s="62">
        <f t="shared" si="9"/>
        <v>0</v>
      </c>
      <c r="P167" s="62">
        <f t="shared" si="9"/>
        <v>0</v>
      </c>
      <c r="Q167" s="62">
        <f t="shared" si="9"/>
        <v>0</v>
      </c>
      <c r="R167" s="62">
        <f t="shared" si="9"/>
        <v>0</v>
      </c>
      <c r="S167" s="62">
        <f t="shared" si="13"/>
        <v>0</v>
      </c>
      <c r="T167" s="62">
        <f t="shared" si="13"/>
        <v>0</v>
      </c>
      <c r="U167" s="62">
        <f t="shared" si="13"/>
        <v>0</v>
      </c>
      <c r="V167" s="62">
        <f t="shared" si="12"/>
        <v>1</v>
      </c>
    </row>
    <row r="168" spans="1:22" ht="19.5">
      <c r="A168" s="10" t="s">
        <v>189</v>
      </c>
      <c r="B168" s="10" t="s">
        <v>739</v>
      </c>
      <c r="C168" s="10" t="s">
        <v>20</v>
      </c>
      <c r="J168" s="10" t="s">
        <v>189</v>
      </c>
      <c r="K168" s="62">
        <f t="shared" si="11"/>
        <v>0</v>
      </c>
      <c r="L168" s="62">
        <f t="shared" si="11"/>
        <v>0</v>
      </c>
      <c r="M168" s="62">
        <f t="shared" si="11"/>
        <v>0</v>
      </c>
      <c r="N168" s="62">
        <f t="shared" si="10"/>
        <v>0</v>
      </c>
      <c r="O168" s="62">
        <f t="shared" si="9"/>
        <v>0</v>
      </c>
      <c r="P168" s="62">
        <f t="shared" si="9"/>
        <v>1</v>
      </c>
      <c r="Q168" s="62">
        <f t="shared" si="9"/>
        <v>0</v>
      </c>
      <c r="R168" s="62">
        <f t="shared" si="9"/>
        <v>0</v>
      </c>
      <c r="S168" s="62">
        <f t="shared" si="13"/>
        <v>0</v>
      </c>
      <c r="T168" s="62">
        <f t="shared" si="13"/>
        <v>0</v>
      </c>
      <c r="U168" s="62">
        <f t="shared" si="13"/>
        <v>0</v>
      </c>
      <c r="V168" s="62">
        <f t="shared" si="12"/>
        <v>0</v>
      </c>
    </row>
    <row r="169" spans="1:22" ht="19.5">
      <c r="A169" s="10" t="s">
        <v>190</v>
      </c>
      <c r="B169" s="10" t="s">
        <v>39</v>
      </c>
      <c r="C169" s="10" t="s">
        <v>20</v>
      </c>
      <c r="J169" s="10" t="s">
        <v>190</v>
      </c>
      <c r="K169" s="62">
        <f t="shared" si="11"/>
        <v>1</v>
      </c>
      <c r="L169" s="62">
        <f t="shared" si="11"/>
        <v>0</v>
      </c>
      <c r="M169" s="62">
        <f t="shared" si="11"/>
        <v>0</v>
      </c>
      <c r="N169" s="62">
        <f t="shared" si="10"/>
        <v>0</v>
      </c>
      <c r="O169" s="62">
        <f t="shared" si="9"/>
        <v>0</v>
      </c>
      <c r="P169" s="62">
        <f t="shared" si="9"/>
        <v>0</v>
      </c>
      <c r="Q169" s="62">
        <f t="shared" si="9"/>
        <v>0</v>
      </c>
      <c r="R169" s="62">
        <f t="shared" si="9"/>
        <v>0</v>
      </c>
      <c r="S169" s="62">
        <f t="shared" si="13"/>
        <v>0</v>
      </c>
      <c r="T169" s="62">
        <f t="shared" si="13"/>
        <v>0</v>
      </c>
      <c r="U169" s="62">
        <f t="shared" si="13"/>
        <v>0</v>
      </c>
      <c r="V169" s="62">
        <f t="shared" si="12"/>
        <v>0</v>
      </c>
    </row>
    <row r="170" spans="1:22" ht="19.5">
      <c r="A170" s="10" t="s">
        <v>191</v>
      </c>
      <c r="B170" s="10" t="s">
        <v>42</v>
      </c>
      <c r="C170" s="10" t="s">
        <v>13</v>
      </c>
      <c r="J170" s="10" t="s">
        <v>191</v>
      </c>
      <c r="K170" s="62">
        <f t="shared" si="11"/>
        <v>0</v>
      </c>
      <c r="L170" s="62">
        <f t="shared" si="11"/>
        <v>1</v>
      </c>
      <c r="M170" s="62">
        <f t="shared" si="11"/>
        <v>0</v>
      </c>
      <c r="N170" s="62">
        <f t="shared" si="10"/>
        <v>0</v>
      </c>
      <c r="O170" s="62">
        <f t="shared" si="9"/>
        <v>0</v>
      </c>
      <c r="P170" s="62">
        <f t="shared" si="9"/>
        <v>0</v>
      </c>
      <c r="Q170" s="62">
        <f t="shared" si="9"/>
        <v>0</v>
      </c>
      <c r="R170" s="62">
        <f t="shared" si="9"/>
        <v>0</v>
      </c>
      <c r="S170" s="62">
        <f t="shared" si="13"/>
        <v>0</v>
      </c>
      <c r="T170" s="62">
        <f t="shared" si="13"/>
        <v>0</v>
      </c>
      <c r="U170" s="62">
        <f t="shared" si="13"/>
        <v>0</v>
      </c>
      <c r="V170" s="62">
        <f t="shared" si="12"/>
        <v>1</v>
      </c>
    </row>
    <row r="171" spans="1:22" ht="19.5">
      <c r="A171" s="10" t="s">
        <v>192</v>
      </c>
      <c r="B171" s="10" t="s">
        <v>42</v>
      </c>
      <c r="C171" s="10" t="s">
        <v>13</v>
      </c>
      <c r="J171" s="10" t="s">
        <v>192</v>
      </c>
      <c r="K171" s="62">
        <f t="shared" si="11"/>
        <v>0</v>
      </c>
      <c r="L171" s="62">
        <f t="shared" si="11"/>
        <v>1</v>
      </c>
      <c r="M171" s="62">
        <f t="shared" si="11"/>
        <v>0</v>
      </c>
      <c r="N171" s="62">
        <f t="shared" si="10"/>
        <v>0</v>
      </c>
      <c r="O171" s="62">
        <f t="shared" si="9"/>
        <v>0</v>
      </c>
      <c r="P171" s="62">
        <f t="shared" si="9"/>
        <v>0</v>
      </c>
      <c r="Q171" s="62">
        <f t="shared" si="9"/>
        <v>0</v>
      </c>
      <c r="R171" s="62">
        <f t="shared" si="9"/>
        <v>0</v>
      </c>
      <c r="S171" s="62">
        <f t="shared" si="13"/>
        <v>0</v>
      </c>
      <c r="T171" s="62">
        <f t="shared" si="13"/>
        <v>0</v>
      </c>
      <c r="U171" s="62">
        <f t="shared" si="13"/>
        <v>0</v>
      </c>
      <c r="V171" s="62">
        <f t="shared" si="12"/>
        <v>1</v>
      </c>
    </row>
    <row r="172" spans="1:22" ht="19.5">
      <c r="A172" s="10" t="s">
        <v>193</v>
      </c>
      <c r="B172" s="10" t="s">
        <v>37</v>
      </c>
      <c r="C172" s="10" t="s">
        <v>13</v>
      </c>
      <c r="J172" s="10" t="s">
        <v>193</v>
      </c>
      <c r="K172" s="62">
        <f t="shared" si="11"/>
        <v>0</v>
      </c>
      <c r="L172" s="62">
        <f t="shared" si="11"/>
        <v>0</v>
      </c>
      <c r="M172" s="62">
        <f t="shared" si="11"/>
        <v>1</v>
      </c>
      <c r="N172" s="62">
        <f t="shared" si="10"/>
        <v>0</v>
      </c>
      <c r="O172" s="62">
        <f t="shared" si="9"/>
        <v>0</v>
      </c>
      <c r="P172" s="62">
        <f t="shared" si="9"/>
        <v>0</v>
      </c>
      <c r="Q172" s="62">
        <f t="shared" si="9"/>
        <v>0</v>
      </c>
      <c r="R172" s="62">
        <f t="shared" si="9"/>
        <v>0</v>
      </c>
      <c r="S172" s="62">
        <f t="shared" si="13"/>
        <v>0</v>
      </c>
      <c r="T172" s="62">
        <f t="shared" si="13"/>
        <v>0</v>
      </c>
      <c r="U172" s="62">
        <f t="shared" si="13"/>
        <v>0</v>
      </c>
      <c r="V172" s="62">
        <f t="shared" si="12"/>
        <v>1</v>
      </c>
    </row>
    <row r="173" spans="1:22" ht="19.5">
      <c r="A173" s="10" t="s">
        <v>194</v>
      </c>
      <c r="B173" s="10" t="s">
        <v>37</v>
      </c>
      <c r="C173" s="10" t="s">
        <v>13</v>
      </c>
      <c r="J173" s="10" t="s">
        <v>194</v>
      </c>
      <c r="K173" s="62">
        <f t="shared" si="11"/>
        <v>0</v>
      </c>
      <c r="L173" s="62">
        <f t="shared" si="11"/>
        <v>0</v>
      </c>
      <c r="M173" s="62">
        <f t="shared" si="11"/>
        <v>1</v>
      </c>
      <c r="N173" s="62">
        <f t="shared" si="10"/>
        <v>0</v>
      </c>
      <c r="O173" s="62">
        <f t="shared" si="9"/>
        <v>0</v>
      </c>
      <c r="P173" s="62">
        <f t="shared" si="9"/>
        <v>0</v>
      </c>
      <c r="Q173" s="62">
        <f t="shared" si="9"/>
        <v>0</v>
      </c>
      <c r="R173" s="62">
        <f t="shared" si="9"/>
        <v>0</v>
      </c>
      <c r="S173" s="62">
        <f t="shared" si="13"/>
        <v>0</v>
      </c>
      <c r="T173" s="62">
        <f t="shared" si="13"/>
        <v>0</v>
      </c>
      <c r="U173" s="62">
        <f t="shared" si="13"/>
        <v>0</v>
      </c>
      <c r="V173" s="62">
        <f t="shared" si="12"/>
        <v>1</v>
      </c>
    </row>
    <row r="174" spans="1:22" ht="19.5">
      <c r="A174" s="10" t="s">
        <v>195</v>
      </c>
      <c r="B174" s="10" t="s">
        <v>737</v>
      </c>
      <c r="C174" s="10" t="s">
        <v>13</v>
      </c>
      <c r="J174" s="10" t="s">
        <v>195</v>
      </c>
      <c r="K174" s="62">
        <f t="shared" si="11"/>
        <v>0</v>
      </c>
      <c r="L174" s="62">
        <f t="shared" si="11"/>
        <v>0</v>
      </c>
      <c r="M174" s="62">
        <f t="shared" si="11"/>
        <v>0</v>
      </c>
      <c r="N174" s="62">
        <f t="shared" si="10"/>
        <v>1</v>
      </c>
      <c r="O174" s="62">
        <f t="shared" si="9"/>
        <v>0</v>
      </c>
      <c r="P174" s="62">
        <f t="shared" si="9"/>
        <v>0</v>
      </c>
      <c r="Q174" s="62">
        <f t="shared" si="9"/>
        <v>0</v>
      </c>
      <c r="R174" s="62">
        <f t="shared" si="9"/>
        <v>0</v>
      </c>
      <c r="S174" s="62">
        <f t="shared" si="13"/>
        <v>0</v>
      </c>
      <c r="T174" s="62">
        <f t="shared" si="13"/>
        <v>0</v>
      </c>
      <c r="U174" s="62">
        <f t="shared" si="13"/>
        <v>0</v>
      </c>
      <c r="V174" s="62">
        <f t="shared" si="12"/>
        <v>1</v>
      </c>
    </row>
    <row r="175" spans="1:22" ht="19.5">
      <c r="A175" s="10" t="s">
        <v>196</v>
      </c>
      <c r="B175" s="10" t="s">
        <v>37</v>
      </c>
      <c r="C175" s="10" t="s">
        <v>13</v>
      </c>
      <c r="J175" s="10" t="s">
        <v>196</v>
      </c>
      <c r="K175" s="62">
        <f t="shared" si="11"/>
        <v>0</v>
      </c>
      <c r="L175" s="62">
        <f t="shared" si="11"/>
        <v>0</v>
      </c>
      <c r="M175" s="62">
        <f t="shared" si="11"/>
        <v>1</v>
      </c>
      <c r="N175" s="62">
        <f t="shared" si="10"/>
        <v>0</v>
      </c>
      <c r="O175" s="62">
        <f t="shared" si="9"/>
        <v>0</v>
      </c>
      <c r="P175" s="62">
        <f t="shared" si="9"/>
        <v>0</v>
      </c>
      <c r="Q175" s="62">
        <f t="shared" si="9"/>
        <v>0</v>
      </c>
      <c r="R175" s="62">
        <f t="shared" si="9"/>
        <v>0</v>
      </c>
      <c r="S175" s="62">
        <f t="shared" si="13"/>
        <v>0</v>
      </c>
      <c r="T175" s="62">
        <f t="shared" si="13"/>
        <v>0</v>
      </c>
      <c r="U175" s="62">
        <f t="shared" si="13"/>
        <v>0</v>
      </c>
      <c r="V175" s="62">
        <f t="shared" si="12"/>
        <v>1</v>
      </c>
    </row>
    <row r="176" spans="1:22" ht="19.5">
      <c r="A176" s="10" t="s">
        <v>197</v>
      </c>
      <c r="B176" s="10" t="s">
        <v>39</v>
      </c>
      <c r="C176" s="10" t="s">
        <v>20</v>
      </c>
      <c r="J176" s="10" t="s">
        <v>197</v>
      </c>
      <c r="K176" s="62">
        <f t="shared" si="11"/>
        <v>1</v>
      </c>
      <c r="L176" s="62">
        <f t="shared" si="11"/>
        <v>0</v>
      </c>
      <c r="M176" s="62">
        <f t="shared" si="11"/>
        <v>0</v>
      </c>
      <c r="N176" s="62">
        <f t="shared" si="10"/>
        <v>0</v>
      </c>
      <c r="O176" s="62">
        <f t="shared" si="9"/>
        <v>0</v>
      </c>
      <c r="P176" s="62">
        <f t="shared" si="9"/>
        <v>0</v>
      </c>
      <c r="Q176" s="62">
        <f t="shared" si="9"/>
        <v>0</v>
      </c>
      <c r="R176" s="62">
        <f t="shared" si="9"/>
        <v>0</v>
      </c>
      <c r="S176" s="62">
        <f t="shared" si="13"/>
        <v>0</v>
      </c>
      <c r="T176" s="62">
        <f t="shared" si="13"/>
        <v>0</v>
      </c>
      <c r="U176" s="62">
        <f t="shared" si="13"/>
        <v>0</v>
      </c>
      <c r="V176" s="62">
        <f t="shared" si="12"/>
        <v>0</v>
      </c>
    </row>
    <row r="177" spans="1:22" ht="19.5">
      <c r="A177" s="10" t="s">
        <v>198</v>
      </c>
      <c r="B177" s="10" t="s">
        <v>37</v>
      </c>
      <c r="C177" s="10" t="s">
        <v>13</v>
      </c>
      <c r="J177" s="10" t="s">
        <v>198</v>
      </c>
      <c r="K177" s="62">
        <f t="shared" si="11"/>
        <v>0</v>
      </c>
      <c r="L177" s="62">
        <f t="shared" si="11"/>
        <v>0</v>
      </c>
      <c r="M177" s="62">
        <f t="shared" si="11"/>
        <v>1</v>
      </c>
      <c r="N177" s="62">
        <f t="shared" si="10"/>
        <v>0</v>
      </c>
      <c r="O177" s="62">
        <f t="shared" si="9"/>
        <v>0</v>
      </c>
      <c r="P177" s="62">
        <f t="shared" si="9"/>
        <v>0</v>
      </c>
      <c r="Q177" s="62">
        <f t="shared" si="9"/>
        <v>0</v>
      </c>
      <c r="R177" s="62">
        <f t="shared" si="9"/>
        <v>0</v>
      </c>
      <c r="S177" s="62">
        <f t="shared" si="13"/>
        <v>0</v>
      </c>
      <c r="T177" s="62">
        <f t="shared" si="13"/>
        <v>0</v>
      </c>
      <c r="U177" s="62">
        <f t="shared" si="13"/>
        <v>0</v>
      </c>
      <c r="V177" s="62">
        <f t="shared" si="12"/>
        <v>1</v>
      </c>
    </row>
    <row r="178" spans="1:22" ht="19.5">
      <c r="A178" s="10" t="s">
        <v>199</v>
      </c>
      <c r="B178" s="10" t="s">
        <v>739</v>
      </c>
      <c r="C178" s="10" t="s">
        <v>13</v>
      </c>
      <c r="J178" s="10" t="s">
        <v>199</v>
      </c>
      <c r="K178" s="62">
        <f t="shared" si="11"/>
        <v>0</v>
      </c>
      <c r="L178" s="62">
        <f t="shared" si="11"/>
        <v>0</v>
      </c>
      <c r="M178" s="62">
        <f t="shared" si="11"/>
        <v>0</v>
      </c>
      <c r="N178" s="62">
        <f t="shared" si="10"/>
        <v>0</v>
      </c>
      <c r="O178" s="62">
        <f t="shared" si="9"/>
        <v>0</v>
      </c>
      <c r="P178" s="62">
        <f t="shared" si="9"/>
        <v>1</v>
      </c>
      <c r="Q178" s="62">
        <f t="shared" si="9"/>
        <v>0</v>
      </c>
      <c r="R178" s="62">
        <f t="shared" si="9"/>
        <v>0</v>
      </c>
      <c r="S178" s="62">
        <f t="shared" si="13"/>
        <v>0</v>
      </c>
      <c r="T178" s="62">
        <f t="shared" si="13"/>
        <v>0</v>
      </c>
      <c r="U178" s="62">
        <f t="shared" si="13"/>
        <v>0</v>
      </c>
      <c r="V178" s="62">
        <f t="shared" si="12"/>
        <v>1</v>
      </c>
    </row>
    <row r="179" spans="1:22" ht="19.5">
      <c r="A179" s="10" t="s">
        <v>200</v>
      </c>
      <c r="B179" s="10" t="s">
        <v>42</v>
      </c>
      <c r="C179" s="10" t="s">
        <v>13</v>
      </c>
      <c r="J179" s="10" t="s">
        <v>200</v>
      </c>
      <c r="K179" s="62">
        <f t="shared" si="11"/>
        <v>0</v>
      </c>
      <c r="L179" s="62">
        <f t="shared" si="11"/>
        <v>1</v>
      </c>
      <c r="M179" s="62">
        <f t="shared" si="11"/>
        <v>0</v>
      </c>
      <c r="N179" s="62">
        <f t="shared" si="10"/>
        <v>0</v>
      </c>
      <c r="O179" s="62">
        <f t="shared" si="9"/>
        <v>0</v>
      </c>
      <c r="P179" s="62">
        <f t="shared" si="9"/>
        <v>0</v>
      </c>
      <c r="Q179" s="62">
        <f t="shared" si="9"/>
        <v>0</v>
      </c>
      <c r="R179" s="62">
        <f t="shared" si="9"/>
        <v>0</v>
      </c>
      <c r="S179" s="62">
        <f t="shared" si="13"/>
        <v>0</v>
      </c>
      <c r="T179" s="62">
        <f t="shared" si="13"/>
        <v>0</v>
      </c>
      <c r="U179" s="62">
        <f t="shared" si="13"/>
        <v>0</v>
      </c>
      <c r="V179" s="62">
        <f t="shared" si="12"/>
        <v>1</v>
      </c>
    </row>
    <row r="180" spans="1:22" ht="19.5">
      <c r="A180" s="10" t="s">
        <v>201</v>
      </c>
      <c r="B180" s="10" t="s">
        <v>737</v>
      </c>
      <c r="C180" s="10" t="s">
        <v>13</v>
      </c>
      <c r="J180" s="10" t="s">
        <v>201</v>
      </c>
      <c r="K180" s="62">
        <f t="shared" si="11"/>
        <v>0</v>
      </c>
      <c r="L180" s="62">
        <f t="shared" si="11"/>
        <v>0</v>
      </c>
      <c r="M180" s="62">
        <f t="shared" si="11"/>
        <v>0</v>
      </c>
      <c r="N180" s="62">
        <f t="shared" si="10"/>
        <v>1</v>
      </c>
      <c r="O180" s="62">
        <f t="shared" si="9"/>
        <v>0</v>
      </c>
      <c r="P180" s="62">
        <f t="shared" si="9"/>
        <v>0</v>
      </c>
      <c r="Q180" s="62">
        <f t="shared" si="9"/>
        <v>0</v>
      </c>
      <c r="R180" s="62">
        <f t="shared" si="9"/>
        <v>0</v>
      </c>
      <c r="S180" s="62">
        <f t="shared" si="13"/>
        <v>0</v>
      </c>
      <c r="T180" s="62">
        <f t="shared" si="13"/>
        <v>0</v>
      </c>
      <c r="U180" s="62">
        <f t="shared" si="13"/>
        <v>0</v>
      </c>
      <c r="V180" s="62">
        <f t="shared" si="12"/>
        <v>1</v>
      </c>
    </row>
    <row r="181" spans="1:22" ht="19.5">
      <c r="A181" s="10" t="s">
        <v>202</v>
      </c>
      <c r="B181" s="10" t="s">
        <v>37</v>
      </c>
      <c r="C181" s="10" t="s">
        <v>13</v>
      </c>
      <c r="J181" s="10" t="s">
        <v>202</v>
      </c>
      <c r="K181" s="62">
        <f t="shared" si="11"/>
        <v>0</v>
      </c>
      <c r="L181" s="62">
        <f t="shared" si="11"/>
        <v>0</v>
      </c>
      <c r="M181" s="62">
        <f t="shared" si="11"/>
        <v>1</v>
      </c>
      <c r="N181" s="62">
        <f t="shared" si="10"/>
        <v>0</v>
      </c>
      <c r="O181" s="62">
        <f t="shared" si="9"/>
        <v>0</v>
      </c>
      <c r="P181" s="62">
        <f t="shared" si="9"/>
        <v>0</v>
      </c>
      <c r="Q181" s="62">
        <f t="shared" si="9"/>
        <v>0</v>
      </c>
      <c r="R181" s="62">
        <f t="shared" si="9"/>
        <v>0</v>
      </c>
      <c r="S181" s="62">
        <f t="shared" si="13"/>
        <v>0</v>
      </c>
      <c r="T181" s="62">
        <f t="shared" si="13"/>
        <v>0</v>
      </c>
      <c r="U181" s="62">
        <f t="shared" si="13"/>
        <v>0</v>
      </c>
      <c r="V181" s="62">
        <f t="shared" si="12"/>
        <v>1</v>
      </c>
    </row>
    <row r="182" spans="1:22" ht="19.5">
      <c r="A182" s="10" t="s">
        <v>203</v>
      </c>
      <c r="B182" s="10" t="s">
        <v>739</v>
      </c>
      <c r="C182" s="10" t="s">
        <v>13</v>
      </c>
      <c r="J182" s="10" t="s">
        <v>203</v>
      </c>
      <c r="K182" s="62">
        <f t="shared" si="11"/>
        <v>0</v>
      </c>
      <c r="L182" s="62">
        <f t="shared" si="11"/>
        <v>0</v>
      </c>
      <c r="M182" s="62">
        <f t="shared" si="11"/>
        <v>0</v>
      </c>
      <c r="N182" s="62">
        <f t="shared" si="10"/>
        <v>0</v>
      </c>
      <c r="O182" s="62">
        <f t="shared" si="9"/>
        <v>0</v>
      </c>
      <c r="P182" s="62">
        <f t="shared" si="9"/>
        <v>1</v>
      </c>
      <c r="Q182" s="62">
        <f t="shared" si="9"/>
        <v>0</v>
      </c>
      <c r="R182" s="62">
        <f t="shared" si="9"/>
        <v>0</v>
      </c>
      <c r="S182" s="62">
        <f t="shared" si="13"/>
        <v>0</v>
      </c>
      <c r="T182" s="62">
        <f t="shared" si="13"/>
        <v>0</v>
      </c>
      <c r="U182" s="62">
        <f t="shared" si="13"/>
        <v>0</v>
      </c>
      <c r="V182" s="62">
        <f t="shared" si="12"/>
        <v>1</v>
      </c>
    </row>
    <row r="183" spans="1:22" ht="19.5">
      <c r="A183" s="10" t="s">
        <v>204</v>
      </c>
      <c r="B183" s="10" t="s">
        <v>39</v>
      </c>
      <c r="C183" s="10" t="s">
        <v>13</v>
      </c>
      <c r="J183" s="10" t="s">
        <v>204</v>
      </c>
      <c r="K183" s="62">
        <f t="shared" si="11"/>
        <v>1</v>
      </c>
      <c r="L183" s="62">
        <f t="shared" si="11"/>
        <v>0</v>
      </c>
      <c r="M183" s="62">
        <f t="shared" si="11"/>
        <v>0</v>
      </c>
      <c r="N183" s="62">
        <f t="shared" si="10"/>
        <v>0</v>
      </c>
      <c r="O183" s="62">
        <f t="shared" si="9"/>
        <v>0</v>
      </c>
      <c r="P183" s="62">
        <f t="shared" si="9"/>
        <v>0</v>
      </c>
      <c r="Q183" s="62">
        <f t="shared" si="9"/>
        <v>0</v>
      </c>
      <c r="R183" s="62">
        <f t="shared" si="9"/>
        <v>0</v>
      </c>
      <c r="S183" s="62">
        <f t="shared" si="13"/>
        <v>0</v>
      </c>
      <c r="T183" s="62">
        <f t="shared" si="13"/>
        <v>0</v>
      </c>
      <c r="U183" s="62">
        <f t="shared" si="13"/>
        <v>0</v>
      </c>
      <c r="V183" s="62">
        <f t="shared" si="12"/>
        <v>1</v>
      </c>
    </row>
    <row r="184" spans="1:22" ht="19.5">
      <c r="A184" s="10" t="s">
        <v>205</v>
      </c>
      <c r="B184" s="10" t="s">
        <v>42</v>
      </c>
      <c r="C184" s="10" t="s">
        <v>13</v>
      </c>
      <c r="J184" s="10" t="s">
        <v>205</v>
      </c>
      <c r="K184" s="62">
        <f t="shared" si="11"/>
        <v>0</v>
      </c>
      <c r="L184" s="62">
        <f t="shared" si="11"/>
        <v>1</v>
      </c>
      <c r="M184" s="62">
        <f t="shared" si="11"/>
        <v>0</v>
      </c>
      <c r="N184" s="62">
        <f t="shared" si="10"/>
        <v>0</v>
      </c>
      <c r="O184" s="62">
        <f t="shared" si="9"/>
        <v>0</v>
      </c>
      <c r="P184" s="62">
        <f t="shared" si="9"/>
        <v>0</v>
      </c>
      <c r="Q184" s="62">
        <f t="shared" si="9"/>
        <v>0</v>
      </c>
      <c r="R184" s="62">
        <f t="shared" si="9"/>
        <v>0</v>
      </c>
      <c r="S184" s="62">
        <f t="shared" si="13"/>
        <v>0</v>
      </c>
      <c r="T184" s="62">
        <f t="shared" si="13"/>
        <v>0</v>
      </c>
      <c r="U184" s="62">
        <f t="shared" si="13"/>
        <v>0</v>
      </c>
      <c r="V184" s="62">
        <f t="shared" si="12"/>
        <v>1</v>
      </c>
    </row>
    <row r="185" spans="1:22" ht="19.5">
      <c r="A185" s="10" t="s">
        <v>206</v>
      </c>
      <c r="B185" s="10" t="s">
        <v>42</v>
      </c>
      <c r="C185" s="10" t="s">
        <v>13</v>
      </c>
      <c r="J185" s="10" t="s">
        <v>206</v>
      </c>
      <c r="K185" s="62">
        <f t="shared" si="11"/>
        <v>0</v>
      </c>
      <c r="L185" s="62">
        <f t="shared" si="11"/>
        <v>1</v>
      </c>
      <c r="M185" s="62">
        <f t="shared" si="11"/>
        <v>0</v>
      </c>
      <c r="N185" s="62">
        <f t="shared" si="10"/>
        <v>0</v>
      </c>
      <c r="O185" s="62">
        <f t="shared" si="9"/>
        <v>0</v>
      </c>
      <c r="P185" s="62">
        <f t="shared" si="9"/>
        <v>0</v>
      </c>
      <c r="Q185" s="62">
        <f t="shared" si="9"/>
        <v>0</v>
      </c>
      <c r="R185" s="62">
        <f t="shared" si="9"/>
        <v>0</v>
      </c>
      <c r="S185" s="62">
        <f t="shared" si="13"/>
        <v>0</v>
      </c>
      <c r="T185" s="62">
        <f t="shared" si="13"/>
        <v>0</v>
      </c>
      <c r="U185" s="62">
        <f t="shared" si="13"/>
        <v>0</v>
      </c>
      <c r="V185" s="62">
        <f t="shared" si="12"/>
        <v>1</v>
      </c>
    </row>
    <row r="186" spans="1:22" ht="19.5">
      <c r="A186" s="10" t="s">
        <v>207</v>
      </c>
      <c r="B186" s="10" t="s">
        <v>737</v>
      </c>
      <c r="C186" s="10" t="s">
        <v>13</v>
      </c>
      <c r="J186" s="10" t="s">
        <v>207</v>
      </c>
      <c r="K186" s="62">
        <f t="shared" si="11"/>
        <v>0</v>
      </c>
      <c r="L186" s="62">
        <f t="shared" si="11"/>
        <v>0</v>
      </c>
      <c r="M186" s="62">
        <f t="shared" si="11"/>
        <v>0</v>
      </c>
      <c r="N186" s="62">
        <f t="shared" si="10"/>
        <v>1</v>
      </c>
      <c r="O186" s="62">
        <f t="shared" si="9"/>
        <v>0</v>
      </c>
      <c r="P186" s="62">
        <f t="shared" si="9"/>
        <v>0</v>
      </c>
      <c r="Q186" s="62">
        <f t="shared" si="9"/>
        <v>0</v>
      </c>
      <c r="R186" s="62">
        <f t="shared" si="9"/>
        <v>0</v>
      </c>
      <c r="S186" s="62">
        <f t="shared" si="13"/>
        <v>0</v>
      </c>
      <c r="T186" s="62">
        <f t="shared" si="13"/>
        <v>0</v>
      </c>
      <c r="U186" s="62">
        <f t="shared" si="13"/>
        <v>0</v>
      </c>
      <c r="V186" s="62">
        <f t="shared" si="12"/>
        <v>1</v>
      </c>
    </row>
    <row r="187" spans="1:22" ht="19.5">
      <c r="A187" s="10" t="s">
        <v>208</v>
      </c>
      <c r="B187" s="10" t="s">
        <v>740</v>
      </c>
      <c r="C187" s="10" t="s">
        <v>13</v>
      </c>
      <c r="J187" s="10" t="s">
        <v>208</v>
      </c>
      <c r="K187" s="62">
        <f t="shared" si="11"/>
        <v>0</v>
      </c>
      <c r="L187" s="62">
        <f t="shared" si="11"/>
        <v>0</v>
      </c>
      <c r="M187" s="62">
        <f t="shared" si="11"/>
        <v>0</v>
      </c>
      <c r="N187" s="62">
        <f t="shared" si="10"/>
        <v>0</v>
      </c>
      <c r="O187" s="62">
        <f t="shared" si="9"/>
        <v>1</v>
      </c>
      <c r="P187" s="62">
        <f t="shared" si="9"/>
        <v>0</v>
      </c>
      <c r="Q187" s="62">
        <f t="shared" si="9"/>
        <v>0</v>
      </c>
      <c r="R187" s="62">
        <f t="shared" si="9"/>
        <v>0</v>
      </c>
      <c r="S187" s="62">
        <f t="shared" si="13"/>
        <v>0</v>
      </c>
      <c r="T187" s="62">
        <f t="shared" si="13"/>
        <v>0</v>
      </c>
      <c r="U187" s="62">
        <f t="shared" si="13"/>
        <v>0</v>
      </c>
      <c r="V187" s="62">
        <f t="shared" si="12"/>
        <v>1</v>
      </c>
    </row>
    <row r="188" spans="1:22" ht="19.5">
      <c r="A188" s="10" t="s">
        <v>209</v>
      </c>
      <c r="B188" s="10" t="s">
        <v>37</v>
      </c>
      <c r="C188" s="10" t="s">
        <v>13</v>
      </c>
      <c r="J188" s="10" t="s">
        <v>209</v>
      </c>
      <c r="K188" s="62">
        <f t="shared" si="11"/>
        <v>0</v>
      </c>
      <c r="L188" s="62">
        <f t="shared" si="11"/>
        <v>0</v>
      </c>
      <c r="M188" s="62">
        <f t="shared" si="11"/>
        <v>1</v>
      </c>
      <c r="N188" s="62">
        <f t="shared" si="10"/>
        <v>0</v>
      </c>
      <c r="O188" s="62">
        <f t="shared" si="9"/>
        <v>0</v>
      </c>
      <c r="P188" s="62">
        <f t="shared" si="9"/>
        <v>0</v>
      </c>
      <c r="Q188" s="62">
        <f t="shared" si="9"/>
        <v>0</v>
      </c>
      <c r="R188" s="62">
        <f t="shared" si="9"/>
        <v>0</v>
      </c>
      <c r="S188" s="62">
        <f t="shared" si="13"/>
        <v>0</v>
      </c>
      <c r="T188" s="62">
        <f t="shared" si="13"/>
        <v>0</v>
      </c>
      <c r="U188" s="62">
        <f t="shared" si="13"/>
        <v>0</v>
      </c>
      <c r="V188" s="62">
        <f t="shared" si="12"/>
        <v>1</v>
      </c>
    </row>
    <row r="189" spans="1:22" ht="19.5">
      <c r="A189" s="10" t="s">
        <v>210</v>
      </c>
      <c r="B189" s="10" t="s">
        <v>39</v>
      </c>
      <c r="C189" s="10" t="s">
        <v>13</v>
      </c>
      <c r="J189" s="10" t="s">
        <v>210</v>
      </c>
      <c r="K189" s="62">
        <f t="shared" si="11"/>
        <v>1</v>
      </c>
      <c r="L189" s="62">
        <f t="shared" si="11"/>
        <v>0</v>
      </c>
      <c r="M189" s="62">
        <f t="shared" si="11"/>
        <v>0</v>
      </c>
      <c r="N189" s="62">
        <f t="shared" si="10"/>
        <v>0</v>
      </c>
      <c r="O189" s="62">
        <f t="shared" si="9"/>
        <v>0</v>
      </c>
      <c r="P189" s="62">
        <f t="shared" si="9"/>
        <v>0</v>
      </c>
      <c r="Q189" s="62">
        <f t="shared" si="9"/>
        <v>0</v>
      </c>
      <c r="R189" s="62">
        <f t="shared" ref="R189:U252" si="14">IF($B189=AD$9, 1, 0)</f>
        <v>0</v>
      </c>
      <c r="S189" s="62">
        <f t="shared" si="13"/>
        <v>0</v>
      </c>
      <c r="T189" s="62">
        <f t="shared" si="13"/>
        <v>0</v>
      </c>
      <c r="U189" s="62">
        <f t="shared" si="13"/>
        <v>0</v>
      </c>
      <c r="V189" s="62">
        <f t="shared" si="12"/>
        <v>1</v>
      </c>
    </row>
    <row r="190" spans="1:22" ht="19.5">
      <c r="A190" s="10" t="s">
        <v>211</v>
      </c>
      <c r="B190" s="10" t="s">
        <v>42</v>
      </c>
      <c r="C190" s="10" t="s">
        <v>13</v>
      </c>
      <c r="J190" s="10" t="s">
        <v>211</v>
      </c>
      <c r="K190" s="62">
        <f t="shared" si="11"/>
        <v>0</v>
      </c>
      <c r="L190" s="62">
        <f t="shared" si="11"/>
        <v>1</v>
      </c>
      <c r="M190" s="62">
        <f t="shared" si="11"/>
        <v>0</v>
      </c>
      <c r="N190" s="62">
        <f t="shared" si="10"/>
        <v>0</v>
      </c>
      <c r="O190" s="62">
        <f t="shared" si="10"/>
        <v>0</v>
      </c>
      <c r="P190" s="62">
        <f t="shared" si="10"/>
        <v>0</v>
      </c>
      <c r="Q190" s="62">
        <f t="shared" si="10"/>
        <v>0</v>
      </c>
      <c r="R190" s="62">
        <f t="shared" si="14"/>
        <v>0</v>
      </c>
      <c r="S190" s="62">
        <f t="shared" si="13"/>
        <v>0</v>
      </c>
      <c r="T190" s="62">
        <f t="shared" si="13"/>
        <v>0</v>
      </c>
      <c r="U190" s="62">
        <f t="shared" si="13"/>
        <v>0</v>
      </c>
      <c r="V190" s="62">
        <f t="shared" si="12"/>
        <v>1</v>
      </c>
    </row>
    <row r="191" spans="1:22" ht="19.5">
      <c r="A191" s="10" t="s">
        <v>212</v>
      </c>
      <c r="B191" s="10" t="s">
        <v>37</v>
      </c>
      <c r="C191" s="10" t="s">
        <v>20</v>
      </c>
      <c r="J191" s="10" t="s">
        <v>212</v>
      </c>
      <c r="K191" s="62">
        <f t="shared" si="11"/>
        <v>0</v>
      </c>
      <c r="L191" s="62">
        <f t="shared" si="11"/>
        <v>0</v>
      </c>
      <c r="M191" s="62">
        <f t="shared" si="11"/>
        <v>1</v>
      </c>
      <c r="N191" s="62">
        <f t="shared" si="10"/>
        <v>0</v>
      </c>
      <c r="O191" s="62">
        <f t="shared" si="10"/>
        <v>0</v>
      </c>
      <c r="P191" s="62">
        <f t="shared" si="10"/>
        <v>0</v>
      </c>
      <c r="Q191" s="62">
        <f t="shared" si="10"/>
        <v>0</v>
      </c>
      <c r="R191" s="62">
        <f t="shared" si="14"/>
        <v>0</v>
      </c>
      <c r="S191" s="62">
        <f t="shared" si="13"/>
        <v>0</v>
      </c>
      <c r="T191" s="62">
        <f t="shared" si="13"/>
        <v>0</v>
      </c>
      <c r="U191" s="62">
        <f t="shared" si="13"/>
        <v>0</v>
      </c>
      <c r="V191" s="62">
        <f t="shared" si="12"/>
        <v>0</v>
      </c>
    </row>
    <row r="192" spans="1:22" ht="19.5">
      <c r="A192" s="10" t="s">
        <v>213</v>
      </c>
      <c r="B192" s="10" t="s">
        <v>39</v>
      </c>
      <c r="C192" s="10" t="s">
        <v>13</v>
      </c>
      <c r="J192" s="10" t="s">
        <v>213</v>
      </c>
      <c r="K192" s="62">
        <f t="shared" si="11"/>
        <v>1</v>
      </c>
      <c r="L192" s="62">
        <f t="shared" si="11"/>
        <v>0</v>
      </c>
      <c r="M192" s="62">
        <f t="shared" si="11"/>
        <v>0</v>
      </c>
      <c r="N192" s="62">
        <f t="shared" si="10"/>
        <v>0</v>
      </c>
      <c r="O192" s="62">
        <f t="shared" si="10"/>
        <v>0</v>
      </c>
      <c r="P192" s="62">
        <f t="shared" si="10"/>
        <v>0</v>
      </c>
      <c r="Q192" s="62">
        <f t="shared" si="10"/>
        <v>0</v>
      </c>
      <c r="R192" s="62">
        <f t="shared" si="14"/>
        <v>0</v>
      </c>
      <c r="S192" s="62">
        <f t="shared" si="13"/>
        <v>0</v>
      </c>
      <c r="T192" s="62">
        <f t="shared" si="13"/>
        <v>0</v>
      </c>
      <c r="U192" s="62">
        <f t="shared" si="13"/>
        <v>0</v>
      </c>
      <c r="V192" s="62">
        <f t="shared" si="12"/>
        <v>1</v>
      </c>
    </row>
    <row r="193" spans="1:22" ht="19.5">
      <c r="A193" s="10" t="s">
        <v>214</v>
      </c>
      <c r="B193" s="10" t="s">
        <v>42</v>
      </c>
      <c r="C193" s="10" t="s">
        <v>13</v>
      </c>
      <c r="J193" s="10" t="s">
        <v>214</v>
      </c>
      <c r="K193" s="62">
        <f t="shared" si="11"/>
        <v>0</v>
      </c>
      <c r="L193" s="62">
        <f t="shared" si="11"/>
        <v>1</v>
      </c>
      <c r="M193" s="62">
        <f t="shared" si="11"/>
        <v>0</v>
      </c>
      <c r="N193" s="62">
        <f t="shared" si="10"/>
        <v>0</v>
      </c>
      <c r="O193" s="62">
        <f t="shared" si="10"/>
        <v>0</v>
      </c>
      <c r="P193" s="62">
        <f t="shared" si="10"/>
        <v>0</v>
      </c>
      <c r="Q193" s="62">
        <f t="shared" si="10"/>
        <v>0</v>
      </c>
      <c r="R193" s="62">
        <f t="shared" si="14"/>
        <v>0</v>
      </c>
      <c r="S193" s="62">
        <f t="shared" si="13"/>
        <v>0</v>
      </c>
      <c r="T193" s="62">
        <f t="shared" si="13"/>
        <v>0</v>
      </c>
      <c r="U193" s="62">
        <f t="shared" si="13"/>
        <v>0</v>
      </c>
      <c r="V193" s="62">
        <f t="shared" si="12"/>
        <v>1</v>
      </c>
    </row>
    <row r="194" spans="1:22" ht="19.5">
      <c r="A194" s="10" t="s">
        <v>215</v>
      </c>
      <c r="B194" s="10" t="s">
        <v>737</v>
      </c>
      <c r="C194" s="10" t="s">
        <v>20</v>
      </c>
      <c r="J194" s="10" t="s">
        <v>215</v>
      </c>
      <c r="K194" s="62">
        <f t="shared" si="11"/>
        <v>0</v>
      </c>
      <c r="L194" s="62">
        <f t="shared" si="11"/>
        <v>0</v>
      </c>
      <c r="M194" s="62">
        <f t="shared" si="11"/>
        <v>0</v>
      </c>
      <c r="N194" s="62">
        <f t="shared" si="11"/>
        <v>1</v>
      </c>
      <c r="O194" s="62">
        <f t="shared" si="11"/>
        <v>0</v>
      </c>
      <c r="P194" s="62">
        <f t="shared" si="11"/>
        <v>0</v>
      </c>
      <c r="Q194" s="62">
        <f t="shared" si="11"/>
        <v>0</v>
      </c>
      <c r="R194" s="62">
        <f t="shared" si="14"/>
        <v>0</v>
      </c>
      <c r="S194" s="62">
        <f t="shared" si="13"/>
        <v>0</v>
      </c>
      <c r="T194" s="62">
        <f t="shared" si="13"/>
        <v>0</v>
      </c>
      <c r="U194" s="62">
        <f t="shared" si="13"/>
        <v>0</v>
      </c>
      <c r="V194" s="62">
        <f t="shared" si="12"/>
        <v>0</v>
      </c>
    </row>
    <row r="195" spans="1:22" ht="19.5">
      <c r="A195" s="10" t="s">
        <v>216</v>
      </c>
      <c r="B195" s="10" t="s">
        <v>39</v>
      </c>
      <c r="C195" s="10" t="s">
        <v>13</v>
      </c>
      <c r="J195" s="10" t="s">
        <v>216</v>
      </c>
      <c r="K195" s="62">
        <f t="shared" ref="K195:N258" si="15">IF($B195=W$9, 1, 0)</f>
        <v>1</v>
      </c>
      <c r="L195" s="62">
        <f t="shared" si="15"/>
        <v>0</v>
      </c>
      <c r="M195" s="62">
        <f t="shared" si="15"/>
        <v>0</v>
      </c>
      <c r="N195" s="62">
        <f t="shared" si="15"/>
        <v>0</v>
      </c>
      <c r="O195" s="62">
        <f t="shared" ref="O195:U258" si="16">IF($B195=AA$9, 1, 0)</f>
        <v>0</v>
      </c>
      <c r="P195" s="62">
        <f t="shared" si="16"/>
        <v>0</v>
      </c>
      <c r="Q195" s="62">
        <f t="shared" si="16"/>
        <v>0</v>
      </c>
      <c r="R195" s="62">
        <f t="shared" si="14"/>
        <v>0</v>
      </c>
      <c r="S195" s="62">
        <f t="shared" si="13"/>
        <v>0</v>
      </c>
      <c r="T195" s="62">
        <f t="shared" si="13"/>
        <v>0</v>
      </c>
      <c r="U195" s="62">
        <f t="shared" si="13"/>
        <v>0</v>
      </c>
      <c r="V195" s="62">
        <f t="shared" ref="V195:V258" si="17">IF($C195=$V$1, 1, 0)</f>
        <v>1</v>
      </c>
    </row>
    <row r="196" spans="1:22" ht="19.5">
      <c r="A196" s="10" t="s">
        <v>217</v>
      </c>
      <c r="B196" s="10" t="s">
        <v>738</v>
      </c>
      <c r="C196" s="10" t="s">
        <v>13</v>
      </c>
      <c r="J196" s="10" t="s">
        <v>217</v>
      </c>
      <c r="K196" s="62">
        <f t="shared" si="15"/>
        <v>0</v>
      </c>
      <c r="L196" s="62">
        <f t="shared" si="15"/>
        <v>0</v>
      </c>
      <c r="M196" s="62">
        <f t="shared" si="15"/>
        <v>0</v>
      </c>
      <c r="N196" s="62">
        <f t="shared" si="15"/>
        <v>0</v>
      </c>
      <c r="O196" s="62">
        <f t="shared" si="16"/>
        <v>0</v>
      </c>
      <c r="P196" s="62">
        <f t="shared" si="16"/>
        <v>0</v>
      </c>
      <c r="Q196" s="62">
        <f t="shared" si="16"/>
        <v>0</v>
      </c>
      <c r="R196" s="62">
        <f t="shared" si="14"/>
        <v>0</v>
      </c>
      <c r="S196" s="62">
        <f t="shared" si="13"/>
        <v>0</v>
      </c>
      <c r="T196" s="62">
        <f t="shared" si="13"/>
        <v>0</v>
      </c>
      <c r="U196" s="62">
        <f t="shared" si="13"/>
        <v>1</v>
      </c>
      <c r="V196" s="62">
        <f t="shared" si="17"/>
        <v>1</v>
      </c>
    </row>
    <row r="197" spans="1:22" ht="19.5">
      <c r="A197" s="10" t="s">
        <v>218</v>
      </c>
      <c r="B197" s="10" t="s">
        <v>739</v>
      </c>
      <c r="C197" s="10" t="s">
        <v>13</v>
      </c>
      <c r="J197" s="10" t="s">
        <v>218</v>
      </c>
      <c r="K197" s="62">
        <f t="shared" si="15"/>
        <v>0</v>
      </c>
      <c r="L197" s="62">
        <f t="shared" si="15"/>
        <v>0</v>
      </c>
      <c r="M197" s="62">
        <f t="shared" si="15"/>
        <v>0</v>
      </c>
      <c r="N197" s="62">
        <f t="shared" si="15"/>
        <v>0</v>
      </c>
      <c r="O197" s="62">
        <f t="shared" si="16"/>
        <v>0</v>
      </c>
      <c r="P197" s="62">
        <f t="shared" si="16"/>
        <v>1</v>
      </c>
      <c r="Q197" s="62">
        <f t="shared" si="16"/>
        <v>0</v>
      </c>
      <c r="R197" s="62">
        <f t="shared" si="14"/>
        <v>0</v>
      </c>
      <c r="S197" s="62">
        <f t="shared" si="13"/>
        <v>0</v>
      </c>
      <c r="T197" s="62">
        <f t="shared" si="13"/>
        <v>0</v>
      </c>
      <c r="U197" s="62">
        <f t="shared" si="13"/>
        <v>0</v>
      </c>
      <c r="V197" s="62">
        <f t="shared" si="17"/>
        <v>1</v>
      </c>
    </row>
    <row r="198" spans="1:22" ht="19.5">
      <c r="A198" s="10" t="s">
        <v>219</v>
      </c>
      <c r="B198" s="10" t="s">
        <v>42</v>
      </c>
      <c r="C198" s="10" t="s">
        <v>13</v>
      </c>
      <c r="J198" s="10" t="s">
        <v>219</v>
      </c>
      <c r="K198" s="62">
        <f t="shared" si="15"/>
        <v>0</v>
      </c>
      <c r="L198" s="62">
        <f t="shared" si="15"/>
        <v>1</v>
      </c>
      <c r="M198" s="62">
        <f t="shared" si="15"/>
        <v>0</v>
      </c>
      <c r="N198" s="62">
        <f t="shared" si="15"/>
        <v>0</v>
      </c>
      <c r="O198" s="62">
        <f t="shared" si="16"/>
        <v>0</v>
      </c>
      <c r="P198" s="62">
        <f t="shared" si="16"/>
        <v>0</v>
      </c>
      <c r="Q198" s="62">
        <f t="shared" si="16"/>
        <v>0</v>
      </c>
      <c r="R198" s="62">
        <f t="shared" si="14"/>
        <v>0</v>
      </c>
      <c r="S198" s="62">
        <f t="shared" si="13"/>
        <v>0</v>
      </c>
      <c r="T198" s="62">
        <f t="shared" si="13"/>
        <v>0</v>
      </c>
      <c r="U198" s="62">
        <f t="shared" si="13"/>
        <v>0</v>
      </c>
      <c r="V198" s="62">
        <f t="shared" si="17"/>
        <v>1</v>
      </c>
    </row>
    <row r="199" spans="1:22" ht="19.5">
      <c r="A199" s="10" t="s">
        <v>220</v>
      </c>
      <c r="B199" s="10" t="s">
        <v>740</v>
      </c>
      <c r="C199" s="10" t="s">
        <v>20</v>
      </c>
      <c r="J199" s="10" t="s">
        <v>220</v>
      </c>
      <c r="K199" s="62">
        <f t="shared" si="15"/>
        <v>0</v>
      </c>
      <c r="L199" s="62">
        <f t="shared" si="15"/>
        <v>0</v>
      </c>
      <c r="M199" s="62">
        <f t="shared" si="15"/>
        <v>0</v>
      </c>
      <c r="N199" s="62">
        <f t="shared" si="15"/>
        <v>0</v>
      </c>
      <c r="O199" s="62">
        <f t="shared" si="16"/>
        <v>1</v>
      </c>
      <c r="P199" s="62">
        <f t="shared" si="16"/>
        <v>0</v>
      </c>
      <c r="Q199" s="62">
        <f t="shared" si="16"/>
        <v>0</v>
      </c>
      <c r="R199" s="62">
        <f t="shared" si="14"/>
        <v>0</v>
      </c>
      <c r="S199" s="62">
        <f t="shared" si="13"/>
        <v>0</v>
      </c>
      <c r="T199" s="62">
        <f t="shared" si="13"/>
        <v>0</v>
      </c>
      <c r="U199" s="62">
        <f t="shared" si="13"/>
        <v>0</v>
      </c>
      <c r="V199" s="62">
        <f t="shared" si="17"/>
        <v>0</v>
      </c>
    </row>
    <row r="200" spans="1:22" ht="19.5">
      <c r="A200" s="10" t="s">
        <v>221</v>
      </c>
      <c r="B200" s="10" t="s">
        <v>42</v>
      </c>
      <c r="C200" s="10" t="s">
        <v>20</v>
      </c>
      <c r="J200" s="10" t="s">
        <v>221</v>
      </c>
      <c r="K200" s="62">
        <f t="shared" si="15"/>
        <v>0</v>
      </c>
      <c r="L200" s="62">
        <f t="shared" si="15"/>
        <v>1</v>
      </c>
      <c r="M200" s="62">
        <f t="shared" si="15"/>
        <v>0</v>
      </c>
      <c r="N200" s="62">
        <f t="shared" si="15"/>
        <v>0</v>
      </c>
      <c r="O200" s="62">
        <f t="shared" si="16"/>
        <v>0</v>
      </c>
      <c r="P200" s="62">
        <f t="shared" si="16"/>
        <v>0</v>
      </c>
      <c r="Q200" s="62">
        <f t="shared" si="16"/>
        <v>0</v>
      </c>
      <c r="R200" s="62">
        <f t="shared" si="14"/>
        <v>0</v>
      </c>
      <c r="S200" s="62">
        <f t="shared" si="13"/>
        <v>0</v>
      </c>
      <c r="T200" s="62">
        <f t="shared" si="13"/>
        <v>0</v>
      </c>
      <c r="U200" s="62">
        <f t="shared" si="13"/>
        <v>0</v>
      </c>
      <c r="V200" s="62">
        <f t="shared" si="17"/>
        <v>0</v>
      </c>
    </row>
    <row r="201" spans="1:22" ht="19.5">
      <c r="A201" s="10" t="s">
        <v>222</v>
      </c>
      <c r="B201" s="10" t="s">
        <v>42</v>
      </c>
      <c r="C201" s="10" t="s">
        <v>13</v>
      </c>
      <c r="J201" s="10" t="s">
        <v>222</v>
      </c>
      <c r="K201" s="62">
        <f t="shared" si="15"/>
        <v>0</v>
      </c>
      <c r="L201" s="62">
        <f t="shared" si="15"/>
        <v>1</v>
      </c>
      <c r="M201" s="62">
        <f t="shared" si="15"/>
        <v>0</v>
      </c>
      <c r="N201" s="62">
        <f t="shared" si="15"/>
        <v>0</v>
      </c>
      <c r="O201" s="62">
        <f t="shared" si="16"/>
        <v>0</v>
      </c>
      <c r="P201" s="62">
        <f t="shared" si="16"/>
        <v>0</v>
      </c>
      <c r="Q201" s="62">
        <f t="shared" si="16"/>
        <v>0</v>
      </c>
      <c r="R201" s="62">
        <f t="shared" si="14"/>
        <v>0</v>
      </c>
      <c r="S201" s="62">
        <f t="shared" si="13"/>
        <v>0</v>
      </c>
      <c r="T201" s="62">
        <f t="shared" si="13"/>
        <v>0</v>
      </c>
      <c r="U201" s="62">
        <f t="shared" si="13"/>
        <v>0</v>
      </c>
      <c r="V201" s="62">
        <f t="shared" si="17"/>
        <v>1</v>
      </c>
    </row>
    <row r="202" spans="1:22" ht="19.5">
      <c r="A202" s="10" t="s">
        <v>223</v>
      </c>
      <c r="B202" s="10" t="s">
        <v>737</v>
      </c>
      <c r="C202" s="10" t="s">
        <v>13</v>
      </c>
      <c r="J202" s="10" t="s">
        <v>223</v>
      </c>
      <c r="K202" s="62">
        <f t="shared" si="15"/>
        <v>0</v>
      </c>
      <c r="L202" s="62">
        <f t="shared" si="15"/>
        <v>0</v>
      </c>
      <c r="M202" s="62">
        <f t="shared" si="15"/>
        <v>0</v>
      </c>
      <c r="N202" s="62">
        <f t="shared" si="15"/>
        <v>1</v>
      </c>
      <c r="O202" s="62">
        <f t="shared" si="16"/>
        <v>0</v>
      </c>
      <c r="P202" s="62">
        <f t="shared" si="16"/>
        <v>0</v>
      </c>
      <c r="Q202" s="62">
        <f t="shared" si="16"/>
        <v>0</v>
      </c>
      <c r="R202" s="62">
        <f t="shared" si="14"/>
        <v>0</v>
      </c>
      <c r="S202" s="62">
        <f t="shared" si="13"/>
        <v>0</v>
      </c>
      <c r="T202" s="62">
        <f t="shared" si="13"/>
        <v>0</v>
      </c>
      <c r="U202" s="62">
        <f t="shared" si="13"/>
        <v>0</v>
      </c>
      <c r="V202" s="62">
        <f t="shared" si="17"/>
        <v>1</v>
      </c>
    </row>
    <row r="203" spans="1:22" ht="19.5">
      <c r="A203" s="10" t="s">
        <v>224</v>
      </c>
      <c r="B203" s="10" t="s">
        <v>37</v>
      </c>
      <c r="C203" s="10" t="s">
        <v>13</v>
      </c>
      <c r="J203" s="10" t="s">
        <v>224</v>
      </c>
      <c r="K203" s="62">
        <f t="shared" si="15"/>
        <v>0</v>
      </c>
      <c r="L203" s="62">
        <f t="shared" si="15"/>
        <v>0</v>
      </c>
      <c r="M203" s="62">
        <f t="shared" si="15"/>
        <v>1</v>
      </c>
      <c r="N203" s="62">
        <f t="shared" si="15"/>
        <v>0</v>
      </c>
      <c r="O203" s="62">
        <f t="shared" si="16"/>
        <v>0</v>
      </c>
      <c r="P203" s="62">
        <f t="shared" si="16"/>
        <v>0</v>
      </c>
      <c r="Q203" s="62">
        <f t="shared" si="16"/>
        <v>0</v>
      </c>
      <c r="R203" s="62">
        <f t="shared" si="14"/>
        <v>0</v>
      </c>
      <c r="S203" s="62">
        <f t="shared" si="13"/>
        <v>0</v>
      </c>
      <c r="T203" s="62">
        <f t="shared" si="13"/>
        <v>0</v>
      </c>
      <c r="U203" s="62">
        <f t="shared" si="13"/>
        <v>0</v>
      </c>
      <c r="V203" s="62">
        <f t="shared" si="17"/>
        <v>1</v>
      </c>
    </row>
    <row r="204" spans="1:22" ht="19.5">
      <c r="A204" s="10" t="s">
        <v>225</v>
      </c>
      <c r="B204" s="10" t="s">
        <v>39</v>
      </c>
      <c r="C204" s="10" t="s">
        <v>20</v>
      </c>
      <c r="J204" s="10" t="s">
        <v>225</v>
      </c>
      <c r="K204" s="62">
        <f t="shared" si="15"/>
        <v>1</v>
      </c>
      <c r="L204" s="62">
        <f t="shared" si="15"/>
        <v>0</v>
      </c>
      <c r="M204" s="62">
        <f t="shared" si="15"/>
        <v>0</v>
      </c>
      <c r="N204" s="62">
        <f t="shared" si="15"/>
        <v>0</v>
      </c>
      <c r="O204" s="62">
        <f t="shared" si="16"/>
        <v>0</v>
      </c>
      <c r="P204" s="62">
        <f t="shared" si="16"/>
        <v>0</v>
      </c>
      <c r="Q204" s="62">
        <f t="shared" si="16"/>
        <v>0</v>
      </c>
      <c r="R204" s="62">
        <f t="shared" si="14"/>
        <v>0</v>
      </c>
      <c r="S204" s="62">
        <f t="shared" si="13"/>
        <v>0</v>
      </c>
      <c r="T204" s="62">
        <f t="shared" si="13"/>
        <v>0</v>
      </c>
      <c r="U204" s="62">
        <f t="shared" si="13"/>
        <v>0</v>
      </c>
      <c r="V204" s="62">
        <f t="shared" si="17"/>
        <v>0</v>
      </c>
    </row>
    <row r="205" spans="1:22" ht="19.5">
      <c r="A205" s="10" t="s">
        <v>226</v>
      </c>
      <c r="B205" s="10" t="s">
        <v>42</v>
      </c>
      <c r="C205" s="10" t="s">
        <v>13</v>
      </c>
      <c r="J205" s="10" t="s">
        <v>226</v>
      </c>
      <c r="K205" s="62">
        <f t="shared" si="15"/>
        <v>0</v>
      </c>
      <c r="L205" s="62">
        <f t="shared" si="15"/>
        <v>1</v>
      </c>
      <c r="M205" s="62">
        <f t="shared" si="15"/>
        <v>0</v>
      </c>
      <c r="N205" s="62">
        <f t="shared" si="15"/>
        <v>0</v>
      </c>
      <c r="O205" s="62">
        <f t="shared" si="16"/>
        <v>0</v>
      </c>
      <c r="P205" s="62">
        <f t="shared" si="16"/>
        <v>0</v>
      </c>
      <c r="Q205" s="62">
        <f t="shared" si="16"/>
        <v>0</v>
      </c>
      <c r="R205" s="62">
        <f t="shared" si="14"/>
        <v>0</v>
      </c>
      <c r="S205" s="62">
        <f t="shared" si="13"/>
        <v>0</v>
      </c>
      <c r="T205" s="62">
        <f t="shared" si="13"/>
        <v>0</v>
      </c>
      <c r="U205" s="62">
        <f t="shared" si="13"/>
        <v>0</v>
      </c>
      <c r="V205" s="62">
        <f t="shared" si="17"/>
        <v>1</v>
      </c>
    </row>
    <row r="206" spans="1:22" ht="19.5">
      <c r="A206" s="10" t="s">
        <v>227</v>
      </c>
      <c r="B206" s="10" t="s">
        <v>42</v>
      </c>
      <c r="C206" s="10" t="s">
        <v>13</v>
      </c>
      <c r="J206" s="10" t="s">
        <v>227</v>
      </c>
      <c r="K206" s="62">
        <f t="shared" si="15"/>
        <v>0</v>
      </c>
      <c r="L206" s="62">
        <f t="shared" si="15"/>
        <v>1</v>
      </c>
      <c r="M206" s="62">
        <f t="shared" si="15"/>
        <v>0</v>
      </c>
      <c r="N206" s="62">
        <f t="shared" si="15"/>
        <v>0</v>
      </c>
      <c r="O206" s="62">
        <f t="shared" si="16"/>
        <v>0</v>
      </c>
      <c r="P206" s="62">
        <f t="shared" si="16"/>
        <v>0</v>
      </c>
      <c r="Q206" s="62">
        <f t="shared" si="16"/>
        <v>0</v>
      </c>
      <c r="R206" s="62">
        <f t="shared" si="14"/>
        <v>0</v>
      </c>
      <c r="S206" s="62">
        <f t="shared" si="13"/>
        <v>0</v>
      </c>
      <c r="T206" s="62">
        <f t="shared" si="13"/>
        <v>0</v>
      </c>
      <c r="U206" s="62">
        <f t="shared" si="13"/>
        <v>0</v>
      </c>
      <c r="V206" s="62">
        <f t="shared" si="17"/>
        <v>1</v>
      </c>
    </row>
    <row r="207" spans="1:22" ht="19.5">
      <c r="A207" s="10" t="s">
        <v>228</v>
      </c>
      <c r="B207" s="10" t="s">
        <v>37</v>
      </c>
      <c r="C207" s="10" t="s">
        <v>13</v>
      </c>
      <c r="J207" s="10" t="s">
        <v>228</v>
      </c>
      <c r="K207" s="62">
        <f t="shared" si="15"/>
        <v>0</v>
      </c>
      <c r="L207" s="62">
        <f t="shared" si="15"/>
        <v>0</v>
      </c>
      <c r="M207" s="62">
        <f t="shared" si="15"/>
        <v>1</v>
      </c>
      <c r="N207" s="62">
        <f t="shared" si="15"/>
        <v>0</v>
      </c>
      <c r="O207" s="62">
        <f t="shared" si="16"/>
        <v>0</v>
      </c>
      <c r="P207" s="62">
        <f t="shared" si="16"/>
        <v>0</v>
      </c>
      <c r="Q207" s="62">
        <f t="shared" si="16"/>
        <v>0</v>
      </c>
      <c r="R207" s="62">
        <f t="shared" si="14"/>
        <v>0</v>
      </c>
      <c r="S207" s="62">
        <f t="shared" si="13"/>
        <v>0</v>
      </c>
      <c r="T207" s="62">
        <f t="shared" si="13"/>
        <v>0</v>
      </c>
      <c r="U207" s="62">
        <f t="shared" si="13"/>
        <v>0</v>
      </c>
      <c r="V207" s="62">
        <f t="shared" si="17"/>
        <v>1</v>
      </c>
    </row>
    <row r="208" spans="1:22" ht="19.5">
      <c r="A208" s="10" t="s">
        <v>229</v>
      </c>
      <c r="B208" s="10" t="s">
        <v>39</v>
      </c>
      <c r="C208" s="10" t="s">
        <v>20</v>
      </c>
      <c r="J208" s="10" t="s">
        <v>229</v>
      </c>
      <c r="K208" s="62">
        <f t="shared" si="15"/>
        <v>1</v>
      </c>
      <c r="L208" s="62">
        <f t="shared" si="15"/>
        <v>0</v>
      </c>
      <c r="M208" s="62">
        <f t="shared" si="15"/>
        <v>0</v>
      </c>
      <c r="N208" s="62">
        <f t="shared" si="15"/>
        <v>0</v>
      </c>
      <c r="O208" s="62">
        <f t="shared" si="16"/>
        <v>0</v>
      </c>
      <c r="P208" s="62">
        <f t="shared" si="16"/>
        <v>0</v>
      </c>
      <c r="Q208" s="62">
        <f t="shared" si="16"/>
        <v>0</v>
      </c>
      <c r="R208" s="62">
        <f t="shared" si="14"/>
        <v>0</v>
      </c>
      <c r="S208" s="62">
        <f t="shared" si="13"/>
        <v>0</v>
      </c>
      <c r="T208" s="62">
        <f t="shared" si="13"/>
        <v>0</v>
      </c>
      <c r="U208" s="62">
        <f t="shared" si="13"/>
        <v>0</v>
      </c>
      <c r="V208" s="62">
        <f t="shared" si="17"/>
        <v>0</v>
      </c>
    </row>
    <row r="209" spans="1:22" ht="19.5">
      <c r="A209" s="10" t="s">
        <v>230</v>
      </c>
      <c r="B209" s="10" t="s">
        <v>738</v>
      </c>
      <c r="C209" s="10" t="s">
        <v>20</v>
      </c>
      <c r="J209" s="10" t="s">
        <v>230</v>
      </c>
      <c r="K209" s="62">
        <f t="shared" si="15"/>
        <v>0</v>
      </c>
      <c r="L209" s="62">
        <f t="shared" si="15"/>
        <v>0</v>
      </c>
      <c r="M209" s="62">
        <f t="shared" si="15"/>
        <v>0</v>
      </c>
      <c r="N209" s="62">
        <f t="shared" si="15"/>
        <v>0</v>
      </c>
      <c r="O209" s="62">
        <f t="shared" si="16"/>
        <v>0</v>
      </c>
      <c r="P209" s="62">
        <f t="shared" si="16"/>
        <v>0</v>
      </c>
      <c r="Q209" s="62">
        <f t="shared" si="16"/>
        <v>0</v>
      </c>
      <c r="R209" s="62">
        <f t="shared" si="14"/>
        <v>0</v>
      </c>
      <c r="S209" s="62">
        <f t="shared" si="14"/>
        <v>0</v>
      </c>
      <c r="T209" s="62">
        <f t="shared" si="14"/>
        <v>0</v>
      </c>
      <c r="U209" s="62">
        <f t="shared" si="14"/>
        <v>1</v>
      </c>
      <c r="V209" s="62">
        <f t="shared" si="17"/>
        <v>0</v>
      </c>
    </row>
    <row r="210" spans="1:22" ht="19.5">
      <c r="A210" s="10" t="s">
        <v>231</v>
      </c>
      <c r="B210" s="10" t="s">
        <v>42</v>
      </c>
      <c r="C210" s="10" t="s">
        <v>13</v>
      </c>
      <c r="J210" s="10" t="s">
        <v>231</v>
      </c>
      <c r="K210" s="62">
        <f t="shared" si="15"/>
        <v>0</v>
      </c>
      <c r="L210" s="62">
        <f t="shared" si="15"/>
        <v>1</v>
      </c>
      <c r="M210" s="62">
        <f t="shared" si="15"/>
        <v>0</v>
      </c>
      <c r="N210" s="62">
        <f t="shared" si="15"/>
        <v>0</v>
      </c>
      <c r="O210" s="62">
        <f t="shared" si="16"/>
        <v>0</v>
      </c>
      <c r="P210" s="62">
        <f t="shared" si="16"/>
        <v>0</v>
      </c>
      <c r="Q210" s="62">
        <f t="shared" si="16"/>
        <v>0</v>
      </c>
      <c r="R210" s="62">
        <f t="shared" si="14"/>
        <v>0</v>
      </c>
      <c r="S210" s="62">
        <f t="shared" si="14"/>
        <v>0</v>
      </c>
      <c r="T210" s="62">
        <f t="shared" si="14"/>
        <v>0</v>
      </c>
      <c r="U210" s="62">
        <f t="shared" si="14"/>
        <v>0</v>
      </c>
      <c r="V210" s="62">
        <f t="shared" si="17"/>
        <v>1</v>
      </c>
    </row>
    <row r="211" spans="1:22" ht="19.5">
      <c r="A211" s="10" t="s">
        <v>232</v>
      </c>
      <c r="B211" s="10" t="s">
        <v>37</v>
      </c>
      <c r="C211" s="10" t="s">
        <v>13</v>
      </c>
      <c r="J211" s="10" t="s">
        <v>232</v>
      </c>
      <c r="K211" s="62">
        <f t="shared" si="15"/>
        <v>0</v>
      </c>
      <c r="L211" s="62">
        <f t="shared" si="15"/>
        <v>0</v>
      </c>
      <c r="M211" s="62">
        <f t="shared" si="15"/>
        <v>1</v>
      </c>
      <c r="N211" s="62">
        <f t="shared" si="15"/>
        <v>0</v>
      </c>
      <c r="O211" s="62">
        <f t="shared" si="16"/>
        <v>0</v>
      </c>
      <c r="P211" s="62">
        <f t="shared" si="16"/>
        <v>0</v>
      </c>
      <c r="Q211" s="62">
        <f t="shared" si="16"/>
        <v>0</v>
      </c>
      <c r="R211" s="62">
        <f t="shared" si="14"/>
        <v>0</v>
      </c>
      <c r="S211" s="62">
        <f t="shared" si="14"/>
        <v>0</v>
      </c>
      <c r="T211" s="62">
        <f t="shared" si="14"/>
        <v>0</v>
      </c>
      <c r="U211" s="62">
        <f t="shared" si="14"/>
        <v>0</v>
      </c>
      <c r="V211" s="62">
        <f t="shared" si="17"/>
        <v>1</v>
      </c>
    </row>
    <row r="212" spans="1:22" ht="19.5">
      <c r="A212" s="10" t="s">
        <v>233</v>
      </c>
      <c r="B212" s="10" t="s">
        <v>739</v>
      </c>
      <c r="C212" s="10" t="s">
        <v>13</v>
      </c>
      <c r="J212" s="10" t="s">
        <v>233</v>
      </c>
      <c r="K212" s="62">
        <f t="shared" si="15"/>
        <v>0</v>
      </c>
      <c r="L212" s="62">
        <f t="shared" si="15"/>
        <v>0</v>
      </c>
      <c r="M212" s="62">
        <f t="shared" si="15"/>
        <v>0</v>
      </c>
      <c r="N212" s="62">
        <f t="shared" si="15"/>
        <v>0</v>
      </c>
      <c r="O212" s="62">
        <f t="shared" si="16"/>
        <v>0</v>
      </c>
      <c r="P212" s="62">
        <f t="shared" si="16"/>
        <v>1</v>
      </c>
      <c r="Q212" s="62">
        <f t="shared" si="16"/>
        <v>0</v>
      </c>
      <c r="R212" s="62">
        <f t="shared" si="14"/>
        <v>0</v>
      </c>
      <c r="S212" s="62">
        <f t="shared" si="14"/>
        <v>0</v>
      </c>
      <c r="T212" s="62">
        <f t="shared" si="14"/>
        <v>0</v>
      </c>
      <c r="U212" s="62">
        <f t="shared" si="14"/>
        <v>0</v>
      </c>
      <c r="V212" s="62">
        <f t="shared" si="17"/>
        <v>1</v>
      </c>
    </row>
    <row r="213" spans="1:22" ht="19.5">
      <c r="A213" s="10" t="s">
        <v>234</v>
      </c>
      <c r="B213" s="10" t="s">
        <v>39</v>
      </c>
      <c r="C213" s="10" t="s">
        <v>13</v>
      </c>
      <c r="J213" s="10" t="s">
        <v>234</v>
      </c>
      <c r="K213" s="62">
        <f t="shared" si="15"/>
        <v>1</v>
      </c>
      <c r="L213" s="62">
        <f t="shared" si="15"/>
        <v>0</v>
      </c>
      <c r="M213" s="62">
        <f t="shared" si="15"/>
        <v>0</v>
      </c>
      <c r="N213" s="62">
        <f t="shared" si="15"/>
        <v>0</v>
      </c>
      <c r="O213" s="62">
        <f t="shared" si="16"/>
        <v>0</v>
      </c>
      <c r="P213" s="62">
        <f t="shared" si="16"/>
        <v>0</v>
      </c>
      <c r="Q213" s="62">
        <f t="shared" si="16"/>
        <v>0</v>
      </c>
      <c r="R213" s="62">
        <f t="shared" si="14"/>
        <v>0</v>
      </c>
      <c r="S213" s="62">
        <f t="shared" si="14"/>
        <v>0</v>
      </c>
      <c r="T213" s="62">
        <f t="shared" si="14"/>
        <v>0</v>
      </c>
      <c r="U213" s="62">
        <f t="shared" si="14"/>
        <v>0</v>
      </c>
      <c r="V213" s="62">
        <f t="shared" si="17"/>
        <v>1</v>
      </c>
    </row>
    <row r="214" spans="1:22" ht="19.5">
      <c r="A214" s="10" t="s">
        <v>235</v>
      </c>
      <c r="B214" s="10" t="s">
        <v>42</v>
      </c>
      <c r="C214" s="10" t="s">
        <v>20</v>
      </c>
      <c r="J214" s="10" t="s">
        <v>235</v>
      </c>
      <c r="K214" s="62">
        <f t="shared" si="15"/>
        <v>0</v>
      </c>
      <c r="L214" s="62">
        <f t="shared" si="15"/>
        <v>1</v>
      </c>
      <c r="M214" s="62">
        <f t="shared" si="15"/>
        <v>0</v>
      </c>
      <c r="N214" s="62">
        <f t="shared" si="15"/>
        <v>0</v>
      </c>
      <c r="O214" s="62">
        <f t="shared" si="16"/>
        <v>0</v>
      </c>
      <c r="P214" s="62">
        <f t="shared" si="16"/>
        <v>0</v>
      </c>
      <c r="Q214" s="62">
        <f t="shared" si="16"/>
        <v>0</v>
      </c>
      <c r="R214" s="62">
        <f t="shared" si="14"/>
        <v>0</v>
      </c>
      <c r="S214" s="62">
        <f t="shared" si="14"/>
        <v>0</v>
      </c>
      <c r="T214" s="62">
        <f t="shared" si="14"/>
        <v>0</v>
      </c>
      <c r="U214" s="62">
        <f t="shared" si="14"/>
        <v>0</v>
      </c>
      <c r="V214" s="62">
        <f t="shared" si="17"/>
        <v>0</v>
      </c>
    </row>
    <row r="215" spans="1:22" ht="19.5">
      <c r="A215" s="10" t="s">
        <v>236</v>
      </c>
      <c r="B215" s="10" t="s">
        <v>740</v>
      </c>
      <c r="C215" s="10" t="s">
        <v>13</v>
      </c>
      <c r="J215" s="10" t="s">
        <v>236</v>
      </c>
      <c r="K215" s="62">
        <f t="shared" si="15"/>
        <v>0</v>
      </c>
      <c r="L215" s="62">
        <f t="shared" si="15"/>
        <v>0</v>
      </c>
      <c r="M215" s="62">
        <f t="shared" si="15"/>
        <v>0</v>
      </c>
      <c r="N215" s="62">
        <f t="shared" si="15"/>
        <v>0</v>
      </c>
      <c r="O215" s="62">
        <f t="shared" si="16"/>
        <v>1</v>
      </c>
      <c r="P215" s="62">
        <f t="shared" si="16"/>
        <v>0</v>
      </c>
      <c r="Q215" s="62">
        <f t="shared" si="16"/>
        <v>0</v>
      </c>
      <c r="R215" s="62">
        <f t="shared" si="14"/>
        <v>0</v>
      </c>
      <c r="S215" s="62">
        <f t="shared" si="14"/>
        <v>0</v>
      </c>
      <c r="T215" s="62">
        <f t="shared" si="14"/>
        <v>0</v>
      </c>
      <c r="U215" s="62">
        <f t="shared" si="14"/>
        <v>0</v>
      </c>
      <c r="V215" s="62">
        <f t="shared" si="17"/>
        <v>1</v>
      </c>
    </row>
    <row r="216" spans="1:22" ht="19.5">
      <c r="A216" s="10" t="s">
        <v>237</v>
      </c>
      <c r="B216" s="10" t="s">
        <v>37</v>
      </c>
      <c r="C216" s="10" t="s">
        <v>13</v>
      </c>
      <c r="J216" s="10" t="s">
        <v>237</v>
      </c>
      <c r="K216" s="62">
        <f t="shared" si="15"/>
        <v>0</v>
      </c>
      <c r="L216" s="62">
        <f t="shared" si="15"/>
        <v>0</v>
      </c>
      <c r="M216" s="62">
        <f t="shared" si="15"/>
        <v>1</v>
      </c>
      <c r="N216" s="62">
        <f t="shared" si="15"/>
        <v>0</v>
      </c>
      <c r="O216" s="62">
        <f t="shared" si="16"/>
        <v>0</v>
      </c>
      <c r="P216" s="62">
        <f t="shared" si="16"/>
        <v>0</v>
      </c>
      <c r="Q216" s="62">
        <f t="shared" si="16"/>
        <v>0</v>
      </c>
      <c r="R216" s="62">
        <f t="shared" si="14"/>
        <v>0</v>
      </c>
      <c r="S216" s="62">
        <f t="shared" si="14"/>
        <v>0</v>
      </c>
      <c r="T216" s="62">
        <f t="shared" si="14"/>
        <v>0</v>
      </c>
      <c r="U216" s="62">
        <f t="shared" si="14"/>
        <v>0</v>
      </c>
      <c r="V216" s="62">
        <f t="shared" si="17"/>
        <v>1</v>
      </c>
    </row>
    <row r="217" spans="1:22" ht="19.5">
      <c r="A217" s="10" t="s">
        <v>238</v>
      </c>
      <c r="B217" s="10" t="s">
        <v>39</v>
      </c>
      <c r="C217" s="10" t="s">
        <v>13</v>
      </c>
      <c r="J217" s="10" t="s">
        <v>238</v>
      </c>
      <c r="K217" s="62">
        <f t="shared" si="15"/>
        <v>1</v>
      </c>
      <c r="L217" s="62">
        <f t="shared" si="15"/>
        <v>0</v>
      </c>
      <c r="M217" s="62">
        <f t="shared" si="15"/>
        <v>0</v>
      </c>
      <c r="N217" s="62">
        <f t="shared" si="15"/>
        <v>0</v>
      </c>
      <c r="O217" s="62">
        <f t="shared" si="16"/>
        <v>0</v>
      </c>
      <c r="P217" s="62">
        <f t="shared" si="16"/>
        <v>0</v>
      </c>
      <c r="Q217" s="62">
        <f t="shared" si="16"/>
        <v>0</v>
      </c>
      <c r="R217" s="62">
        <f t="shared" si="14"/>
        <v>0</v>
      </c>
      <c r="S217" s="62">
        <f t="shared" si="14"/>
        <v>0</v>
      </c>
      <c r="T217" s="62">
        <f t="shared" si="14"/>
        <v>0</v>
      </c>
      <c r="U217" s="62">
        <f t="shared" si="14"/>
        <v>0</v>
      </c>
      <c r="V217" s="62">
        <f t="shared" si="17"/>
        <v>1</v>
      </c>
    </row>
    <row r="218" spans="1:22" ht="19.5">
      <c r="A218" s="10" t="s">
        <v>239</v>
      </c>
      <c r="B218" s="10" t="s">
        <v>42</v>
      </c>
      <c r="C218" s="10" t="s">
        <v>13</v>
      </c>
      <c r="J218" s="10" t="s">
        <v>239</v>
      </c>
      <c r="K218" s="62">
        <f t="shared" si="15"/>
        <v>0</v>
      </c>
      <c r="L218" s="62">
        <f t="shared" si="15"/>
        <v>1</v>
      </c>
      <c r="M218" s="62">
        <f t="shared" si="15"/>
        <v>0</v>
      </c>
      <c r="N218" s="62">
        <f t="shared" si="15"/>
        <v>0</v>
      </c>
      <c r="O218" s="62">
        <f t="shared" si="16"/>
        <v>0</v>
      </c>
      <c r="P218" s="62">
        <f t="shared" si="16"/>
        <v>0</v>
      </c>
      <c r="Q218" s="62">
        <f t="shared" si="16"/>
        <v>0</v>
      </c>
      <c r="R218" s="62">
        <f t="shared" si="14"/>
        <v>0</v>
      </c>
      <c r="S218" s="62">
        <f t="shared" si="14"/>
        <v>0</v>
      </c>
      <c r="T218" s="62">
        <f t="shared" si="14"/>
        <v>0</v>
      </c>
      <c r="U218" s="62">
        <f t="shared" si="14"/>
        <v>0</v>
      </c>
      <c r="V218" s="62">
        <f t="shared" si="17"/>
        <v>1</v>
      </c>
    </row>
    <row r="219" spans="1:22" ht="19.5">
      <c r="A219" s="10" t="s">
        <v>240</v>
      </c>
      <c r="B219" s="10" t="s">
        <v>42</v>
      </c>
      <c r="C219" s="10" t="s">
        <v>13</v>
      </c>
      <c r="J219" s="10" t="s">
        <v>240</v>
      </c>
      <c r="K219" s="62">
        <f t="shared" si="15"/>
        <v>0</v>
      </c>
      <c r="L219" s="62">
        <f t="shared" si="15"/>
        <v>1</v>
      </c>
      <c r="M219" s="62">
        <f t="shared" si="15"/>
        <v>0</v>
      </c>
      <c r="N219" s="62">
        <f t="shared" si="15"/>
        <v>0</v>
      </c>
      <c r="O219" s="62">
        <f t="shared" si="16"/>
        <v>0</v>
      </c>
      <c r="P219" s="62">
        <f t="shared" si="16"/>
        <v>0</v>
      </c>
      <c r="Q219" s="62">
        <f t="shared" si="16"/>
        <v>0</v>
      </c>
      <c r="R219" s="62">
        <f t="shared" si="14"/>
        <v>0</v>
      </c>
      <c r="S219" s="62">
        <f t="shared" si="14"/>
        <v>0</v>
      </c>
      <c r="T219" s="62">
        <f t="shared" si="14"/>
        <v>0</v>
      </c>
      <c r="U219" s="62">
        <f t="shared" si="14"/>
        <v>0</v>
      </c>
      <c r="V219" s="62">
        <f t="shared" si="17"/>
        <v>1</v>
      </c>
    </row>
    <row r="220" spans="1:22" ht="19.5">
      <c r="A220" s="10" t="s">
        <v>241</v>
      </c>
      <c r="B220" s="10" t="s">
        <v>739</v>
      </c>
      <c r="C220" s="10" t="s">
        <v>20</v>
      </c>
      <c r="J220" s="10" t="s">
        <v>241</v>
      </c>
      <c r="K220" s="62">
        <f t="shared" si="15"/>
        <v>0</v>
      </c>
      <c r="L220" s="62">
        <f t="shared" si="15"/>
        <v>0</v>
      </c>
      <c r="M220" s="62">
        <f t="shared" si="15"/>
        <v>0</v>
      </c>
      <c r="N220" s="62">
        <f t="shared" si="15"/>
        <v>0</v>
      </c>
      <c r="O220" s="62">
        <f t="shared" si="16"/>
        <v>0</v>
      </c>
      <c r="P220" s="62">
        <f t="shared" si="16"/>
        <v>1</v>
      </c>
      <c r="Q220" s="62">
        <f t="shared" si="16"/>
        <v>0</v>
      </c>
      <c r="R220" s="62">
        <f t="shared" si="14"/>
        <v>0</v>
      </c>
      <c r="S220" s="62">
        <f t="shared" si="14"/>
        <v>0</v>
      </c>
      <c r="T220" s="62">
        <f t="shared" si="14"/>
        <v>0</v>
      </c>
      <c r="U220" s="62">
        <f t="shared" si="14"/>
        <v>0</v>
      </c>
      <c r="V220" s="62">
        <f t="shared" si="17"/>
        <v>0</v>
      </c>
    </row>
    <row r="221" spans="1:22" ht="19.5">
      <c r="A221" s="10" t="s">
        <v>242</v>
      </c>
      <c r="B221" s="10" t="s">
        <v>37</v>
      </c>
      <c r="C221" s="10" t="s">
        <v>13</v>
      </c>
      <c r="J221" s="10" t="s">
        <v>242</v>
      </c>
      <c r="K221" s="62">
        <f t="shared" si="15"/>
        <v>0</v>
      </c>
      <c r="L221" s="62">
        <f t="shared" si="15"/>
        <v>0</v>
      </c>
      <c r="M221" s="62">
        <f t="shared" si="15"/>
        <v>1</v>
      </c>
      <c r="N221" s="62">
        <f t="shared" si="15"/>
        <v>0</v>
      </c>
      <c r="O221" s="62">
        <f t="shared" si="16"/>
        <v>0</v>
      </c>
      <c r="P221" s="62">
        <f t="shared" si="16"/>
        <v>0</v>
      </c>
      <c r="Q221" s="62">
        <f t="shared" si="16"/>
        <v>0</v>
      </c>
      <c r="R221" s="62">
        <f t="shared" si="14"/>
        <v>0</v>
      </c>
      <c r="S221" s="62">
        <f t="shared" si="14"/>
        <v>0</v>
      </c>
      <c r="T221" s="62">
        <f t="shared" si="14"/>
        <v>0</v>
      </c>
      <c r="U221" s="62">
        <f t="shared" si="14"/>
        <v>0</v>
      </c>
      <c r="V221" s="62">
        <f t="shared" si="17"/>
        <v>1</v>
      </c>
    </row>
    <row r="222" spans="1:22" ht="19.5">
      <c r="A222" s="10" t="s">
        <v>243</v>
      </c>
      <c r="B222" s="10" t="s">
        <v>39</v>
      </c>
      <c r="C222" s="10" t="s">
        <v>13</v>
      </c>
      <c r="J222" s="10" t="s">
        <v>243</v>
      </c>
      <c r="K222" s="62">
        <f t="shared" si="15"/>
        <v>1</v>
      </c>
      <c r="L222" s="62">
        <f t="shared" si="15"/>
        <v>0</v>
      </c>
      <c r="M222" s="62">
        <f t="shared" si="15"/>
        <v>0</v>
      </c>
      <c r="N222" s="62">
        <f t="shared" si="15"/>
        <v>0</v>
      </c>
      <c r="O222" s="62">
        <f t="shared" si="16"/>
        <v>0</v>
      </c>
      <c r="P222" s="62">
        <f t="shared" si="16"/>
        <v>0</v>
      </c>
      <c r="Q222" s="62">
        <f t="shared" si="16"/>
        <v>0</v>
      </c>
      <c r="R222" s="62">
        <f t="shared" si="14"/>
        <v>0</v>
      </c>
      <c r="S222" s="62">
        <f t="shared" si="14"/>
        <v>0</v>
      </c>
      <c r="T222" s="62">
        <f t="shared" si="14"/>
        <v>0</v>
      </c>
      <c r="U222" s="62">
        <f t="shared" si="14"/>
        <v>0</v>
      </c>
      <c r="V222" s="62">
        <f t="shared" si="17"/>
        <v>1</v>
      </c>
    </row>
    <row r="223" spans="1:22" ht="19.5">
      <c r="A223" s="10" t="s">
        <v>244</v>
      </c>
      <c r="B223" s="10" t="s">
        <v>42</v>
      </c>
      <c r="C223" s="10" t="s">
        <v>13</v>
      </c>
      <c r="J223" s="10" t="s">
        <v>244</v>
      </c>
      <c r="K223" s="62">
        <f t="shared" si="15"/>
        <v>0</v>
      </c>
      <c r="L223" s="62">
        <f t="shared" si="15"/>
        <v>1</v>
      </c>
      <c r="M223" s="62">
        <f t="shared" si="15"/>
        <v>0</v>
      </c>
      <c r="N223" s="62">
        <f t="shared" si="15"/>
        <v>0</v>
      </c>
      <c r="O223" s="62">
        <f t="shared" si="16"/>
        <v>0</v>
      </c>
      <c r="P223" s="62">
        <f t="shared" si="16"/>
        <v>0</v>
      </c>
      <c r="Q223" s="62">
        <f t="shared" si="16"/>
        <v>0</v>
      </c>
      <c r="R223" s="62">
        <f t="shared" si="14"/>
        <v>0</v>
      </c>
      <c r="S223" s="62">
        <f t="shared" si="14"/>
        <v>0</v>
      </c>
      <c r="T223" s="62">
        <f t="shared" si="14"/>
        <v>0</v>
      </c>
      <c r="U223" s="62">
        <f t="shared" si="14"/>
        <v>0</v>
      </c>
      <c r="V223" s="62">
        <f t="shared" si="17"/>
        <v>1</v>
      </c>
    </row>
    <row r="224" spans="1:22" ht="19.5">
      <c r="A224" s="10" t="s">
        <v>245</v>
      </c>
      <c r="B224" s="10" t="s">
        <v>739</v>
      </c>
      <c r="C224" s="10" t="s">
        <v>20</v>
      </c>
      <c r="J224" s="10" t="s">
        <v>245</v>
      </c>
      <c r="K224" s="62">
        <f t="shared" si="15"/>
        <v>0</v>
      </c>
      <c r="L224" s="62">
        <f t="shared" si="15"/>
        <v>0</v>
      </c>
      <c r="M224" s="62">
        <f t="shared" si="15"/>
        <v>0</v>
      </c>
      <c r="N224" s="62">
        <f t="shared" si="15"/>
        <v>0</v>
      </c>
      <c r="O224" s="62">
        <f t="shared" si="16"/>
        <v>0</v>
      </c>
      <c r="P224" s="62">
        <f t="shared" si="16"/>
        <v>1</v>
      </c>
      <c r="Q224" s="62">
        <f t="shared" si="16"/>
        <v>0</v>
      </c>
      <c r="R224" s="62">
        <f t="shared" si="14"/>
        <v>0</v>
      </c>
      <c r="S224" s="62">
        <f t="shared" si="14"/>
        <v>0</v>
      </c>
      <c r="T224" s="62">
        <f t="shared" si="14"/>
        <v>0</v>
      </c>
      <c r="U224" s="62">
        <f t="shared" si="14"/>
        <v>0</v>
      </c>
      <c r="V224" s="62">
        <f t="shared" si="17"/>
        <v>0</v>
      </c>
    </row>
    <row r="225" spans="1:22" ht="19.5">
      <c r="A225" s="10" t="s">
        <v>246</v>
      </c>
      <c r="B225" s="10" t="s">
        <v>37</v>
      </c>
      <c r="C225" s="10" t="s">
        <v>13</v>
      </c>
      <c r="J225" s="10" t="s">
        <v>246</v>
      </c>
      <c r="K225" s="62">
        <f t="shared" si="15"/>
        <v>0</v>
      </c>
      <c r="L225" s="62">
        <f t="shared" si="15"/>
        <v>0</v>
      </c>
      <c r="M225" s="62">
        <f t="shared" si="15"/>
        <v>1</v>
      </c>
      <c r="N225" s="62">
        <f t="shared" si="15"/>
        <v>0</v>
      </c>
      <c r="O225" s="62">
        <f t="shared" si="16"/>
        <v>0</v>
      </c>
      <c r="P225" s="62">
        <f t="shared" si="16"/>
        <v>0</v>
      </c>
      <c r="Q225" s="62">
        <f t="shared" si="16"/>
        <v>0</v>
      </c>
      <c r="R225" s="62">
        <f t="shared" si="14"/>
        <v>0</v>
      </c>
      <c r="S225" s="62">
        <f t="shared" si="14"/>
        <v>0</v>
      </c>
      <c r="T225" s="62">
        <f t="shared" si="14"/>
        <v>0</v>
      </c>
      <c r="U225" s="62">
        <f t="shared" si="14"/>
        <v>0</v>
      </c>
      <c r="V225" s="62">
        <f t="shared" si="17"/>
        <v>1</v>
      </c>
    </row>
    <row r="226" spans="1:22" ht="19.5">
      <c r="A226" s="10" t="s">
        <v>247</v>
      </c>
      <c r="B226" s="10" t="s">
        <v>39</v>
      </c>
      <c r="C226" s="10" t="s">
        <v>13</v>
      </c>
      <c r="J226" s="10" t="s">
        <v>247</v>
      </c>
      <c r="K226" s="62">
        <f t="shared" si="15"/>
        <v>1</v>
      </c>
      <c r="L226" s="62">
        <f t="shared" si="15"/>
        <v>0</v>
      </c>
      <c r="M226" s="62">
        <f t="shared" si="15"/>
        <v>0</v>
      </c>
      <c r="N226" s="62">
        <f t="shared" si="15"/>
        <v>0</v>
      </c>
      <c r="O226" s="62">
        <f t="shared" si="16"/>
        <v>0</v>
      </c>
      <c r="P226" s="62">
        <f t="shared" si="16"/>
        <v>0</v>
      </c>
      <c r="Q226" s="62">
        <f t="shared" si="16"/>
        <v>0</v>
      </c>
      <c r="R226" s="62">
        <f t="shared" si="14"/>
        <v>0</v>
      </c>
      <c r="S226" s="62">
        <f t="shared" si="14"/>
        <v>0</v>
      </c>
      <c r="T226" s="62">
        <f t="shared" si="14"/>
        <v>0</v>
      </c>
      <c r="U226" s="62">
        <f t="shared" si="14"/>
        <v>0</v>
      </c>
      <c r="V226" s="62">
        <f t="shared" si="17"/>
        <v>1</v>
      </c>
    </row>
    <row r="227" spans="1:22" ht="19.5">
      <c r="A227" s="10" t="s">
        <v>248</v>
      </c>
      <c r="B227" s="10" t="s">
        <v>42</v>
      </c>
      <c r="C227" s="10" t="s">
        <v>13</v>
      </c>
      <c r="J227" s="10" t="s">
        <v>248</v>
      </c>
      <c r="K227" s="62">
        <f t="shared" si="15"/>
        <v>0</v>
      </c>
      <c r="L227" s="62">
        <f t="shared" si="15"/>
        <v>1</v>
      </c>
      <c r="M227" s="62">
        <f t="shared" si="15"/>
        <v>0</v>
      </c>
      <c r="N227" s="62">
        <f t="shared" si="15"/>
        <v>0</v>
      </c>
      <c r="O227" s="62">
        <f t="shared" si="16"/>
        <v>0</v>
      </c>
      <c r="P227" s="62">
        <f t="shared" si="16"/>
        <v>0</v>
      </c>
      <c r="Q227" s="62">
        <f t="shared" si="16"/>
        <v>0</v>
      </c>
      <c r="R227" s="62">
        <f t="shared" si="14"/>
        <v>0</v>
      </c>
      <c r="S227" s="62">
        <f t="shared" si="14"/>
        <v>0</v>
      </c>
      <c r="T227" s="62">
        <f t="shared" si="14"/>
        <v>0</v>
      </c>
      <c r="U227" s="62">
        <f t="shared" si="14"/>
        <v>0</v>
      </c>
      <c r="V227" s="62">
        <f t="shared" si="17"/>
        <v>1</v>
      </c>
    </row>
    <row r="228" spans="1:22" ht="19.5">
      <c r="A228" s="10" t="s">
        <v>249</v>
      </c>
      <c r="B228" s="10" t="s">
        <v>42</v>
      </c>
      <c r="C228" s="10" t="s">
        <v>13</v>
      </c>
      <c r="J228" s="10" t="s">
        <v>249</v>
      </c>
      <c r="K228" s="62">
        <f t="shared" si="15"/>
        <v>0</v>
      </c>
      <c r="L228" s="62">
        <f t="shared" si="15"/>
        <v>1</v>
      </c>
      <c r="M228" s="62">
        <f t="shared" si="15"/>
        <v>0</v>
      </c>
      <c r="N228" s="62">
        <f t="shared" si="15"/>
        <v>0</v>
      </c>
      <c r="O228" s="62">
        <f t="shared" si="16"/>
        <v>0</v>
      </c>
      <c r="P228" s="62">
        <f t="shared" si="16"/>
        <v>0</v>
      </c>
      <c r="Q228" s="62">
        <f t="shared" si="16"/>
        <v>0</v>
      </c>
      <c r="R228" s="62">
        <f t="shared" si="14"/>
        <v>0</v>
      </c>
      <c r="S228" s="62">
        <f t="shared" si="14"/>
        <v>0</v>
      </c>
      <c r="T228" s="62">
        <f t="shared" si="14"/>
        <v>0</v>
      </c>
      <c r="U228" s="62">
        <f t="shared" si="14"/>
        <v>0</v>
      </c>
      <c r="V228" s="62">
        <f t="shared" si="17"/>
        <v>1</v>
      </c>
    </row>
    <row r="229" spans="1:22" ht="19.5">
      <c r="A229" s="10" t="s">
        <v>250</v>
      </c>
      <c r="B229" s="10" t="s">
        <v>737</v>
      </c>
      <c r="C229" s="10" t="s">
        <v>20</v>
      </c>
      <c r="J229" s="10" t="s">
        <v>250</v>
      </c>
      <c r="K229" s="62">
        <f t="shared" si="15"/>
        <v>0</v>
      </c>
      <c r="L229" s="62">
        <f t="shared" si="15"/>
        <v>0</v>
      </c>
      <c r="M229" s="62">
        <f t="shared" si="15"/>
        <v>0</v>
      </c>
      <c r="N229" s="62">
        <f t="shared" si="15"/>
        <v>1</v>
      </c>
      <c r="O229" s="62">
        <f t="shared" si="16"/>
        <v>0</v>
      </c>
      <c r="P229" s="62">
        <f t="shared" si="16"/>
        <v>0</v>
      </c>
      <c r="Q229" s="62">
        <f t="shared" si="16"/>
        <v>0</v>
      </c>
      <c r="R229" s="62">
        <f t="shared" si="14"/>
        <v>0</v>
      </c>
      <c r="S229" s="62">
        <f t="shared" si="14"/>
        <v>0</v>
      </c>
      <c r="T229" s="62">
        <f t="shared" si="14"/>
        <v>0</v>
      </c>
      <c r="U229" s="62">
        <f t="shared" si="14"/>
        <v>0</v>
      </c>
      <c r="V229" s="62">
        <f t="shared" si="17"/>
        <v>0</v>
      </c>
    </row>
    <row r="230" spans="1:22" ht="19.5">
      <c r="A230" s="10" t="s">
        <v>251</v>
      </c>
      <c r="B230" s="10" t="s">
        <v>37</v>
      </c>
      <c r="C230" s="10" t="s">
        <v>20</v>
      </c>
      <c r="J230" s="10" t="s">
        <v>251</v>
      </c>
      <c r="K230" s="62">
        <f t="shared" si="15"/>
        <v>0</v>
      </c>
      <c r="L230" s="62">
        <f t="shared" si="15"/>
        <v>0</v>
      </c>
      <c r="M230" s="62">
        <f t="shared" si="15"/>
        <v>1</v>
      </c>
      <c r="N230" s="62">
        <f t="shared" si="15"/>
        <v>0</v>
      </c>
      <c r="O230" s="62">
        <f t="shared" si="16"/>
        <v>0</v>
      </c>
      <c r="P230" s="62">
        <f t="shared" si="16"/>
        <v>0</v>
      </c>
      <c r="Q230" s="62">
        <f t="shared" si="16"/>
        <v>0</v>
      </c>
      <c r="R230" s="62">
        <f t="shared" si="14"/>
        <v>0</v>
      </c>
      <c r="S230" s="62">
        <f t="shared" si="14"/>
        <v>0</v>
      </c>
      <c r="T230" s="62">
        <f t="shared" si="14"/>
        <v>0</v>
      </c>
      <c r="U230" s="62">
        <f t="shared" si="14"/>
        <v>0</v>
      </c>
      <c r="V230" s="62">
        <f t="shared" si="17"/>
        <v>0</v>
      </c>
    </row>
    <row r="231" spans="1:22" ht="19.5">
      <c r="A231" s="10" t="s">
        <v>252</v>
      </c>
      <c r="B231" s="10" t="s">
        <v>37</v>
      </c>
      <c r="C231" s="10" t="s">
        <v>13</v>
      </c>
      <c r="J231" s="10" t="s">
        <v>252</v>
      </c>
      <c r="K231" s="62">
        <f t="shared" si="15"/>
        <v>0</v>
      </c>
      <c r="L231" s="62">
        <f t="shared" si="15"/>
        <v>0</v>
      </c>
      <c r="M231" s="62">
        <f t="shared" si="15"/>
        <v>1</v>
      </c>
      <c r="N231" s="62">
        <f t="shared" si="15"/>
        <v>0</v>
      </c>
      <c r="O231" s="62">
        <f t="shared" si="16"/>
        <v>0</v>
      </c>
      <c r="P231" s="62">
        <f t="shared" si="16"/>
        <v>0</v>
      </c>
      <c r="Q231" s="62">
        <f t="shared" si="16"/>
        <v>0</v>
      </c>
      <c r="R231" s="62">
        <f t="shared" si="14"/>
        <v>0</v>
      </c>
      <c r="S231" s="62">
        <f t="shared" si="14"/>
        <v>0</v>
      </c>
      <c r="T231" s="62">
        <f t="shared" si="14"/>
        <v>0</v>
      </c>
      <c r="U231" s="62">
        <f t="shared" si="14"/>
        <v>0</v>
      </c>
      <c r="V231" s="62">
        <f t="shared" si="17"/>
        <v>1</v>
      </c>
    </row>
    <row r="232" spans="1:22" ht="19.5">
      <c r="A232" s="10" t="s">
        <v>253</v>
      </c>
      <c r="B232" s="10" t="s">
        <v>39</v>
      </c>
      <c r="C232" s="10" t="s">
        <v>13</v>
      </c>
      <c r="J232" s="10" t="s">
        <v>253</v>
      </c>
      <c r="K232" s="62">
        <f t="shared" si="15"/>
        <v>1</v>
      </c>
      <c r="L232" s="62">
        <f t="shared" si="15"/>
        <v>0</v>
      </c>
      <c r="M232" s="62">
        <f t="shared" si="15"/>
        <v>0</v>
      </c>
      <c r="N232" s="62">
        <f t="shared" si="15"/>
        <v>0</v>
      </c>
      <c r="O232" s="62">
        <f t="shared" si="16"/>
        <v>0</v>
      </c>
      <c r="P232" s="62">
        <f t="shared" si="16"/>
        <v>0</v>
      </c>
      <c r="Q232" s="62">
        <f t="shared" si="16"/>
        <v>0</v>
      </c>
      <c r="R232" s="62">
        <f t="shared" si="14"/>
        <v>0</v>
      </c>
      <c r="S232" s="62">
        <f t="shared" si="14"/>
        <v>0</v>
      </c>
      <c r="T232" s="62">
        <f t="shared" si="14"/>
        <v>0</v>
      </c>
      <c r="U232" s="62">
        <f t="shared" si="14"/>
        <v>0</v>
      </c>
      <c r="V232" s="62">
        <f t="shared" si="17"/>
        <v>1</v>
      </c>
    </row>
    <row r="233" spans="1:22" ht="19.5">
      <c r="A233" s="10" t="s">
        <v>254</v>
      </c>
      <c r="B233" s="10" t="s">
        <v>740</v>
      </c>
      <c r="C233" s="10" t="s">
        <v>13</v>
      </c>
      <c r="J233" s="10" t="s">
        <v>254</v>
      </c>
      <c r="K233" s="62">
        <f t="shared" si="15"/>
        <v>0</v>
      </c>
      <c r="L233" s="62">
        <f t="shared" si="15"/>
        <v>0</v>
      </c>
      <c r="M233" s="62">
        <f t="shared" si="15"/>
        <v>0</v>
      </c>
      <c r="N233" s="62">
        <f t="shared" si="15"/>
        <v>0</v>
      </c>
      <c r="O233" s="62">
        <f t="shared" si="16"/>
        <v>1</v>
      </c>
      <c r="P233" s="62">
        <f t="shared" si="16"/>
        <v>0</v>
      </c>
      <c r="Q233" s="62">
        <f t="shared" si="16"/>
        <v>0</v>
      </c>
      <c r="R233" s="62">
        <f t="shared" si="14"/>
        <v>0</v>
      </c>
      <c r="S233" s="62">
        <f t="shared" si="14"/>
        <v>0</v>
      </c>
      <c r="T233" s="62">
        <f t="shared" si="14"/>
        <v>0</v>
      </c>
      <c r="U233" s="62">
        <f t="shared" si="14"/>
        <v>0</v>
      </c>
      <c r="V233" s="62">
        <f t="shared" si="17"/>
        <v>1</v>
      </c>
    </row>
    <row r="234" spans="1:22" ht="19.5">
      <c r="A234" s="10" t="s">
        <v>255</v>
      </c>
      <c r="B234" s="10" t="s">
        <v>37</v>
      </c>
      <c r="C234" s="10" t="s">
        <v>13</v>
      </c>
      <c r="J234" s="10" t="s">
        <v>255</v>
      </c>
      <c r="K234" s="62">
        <f t="shared" si="15"/>
        <v>0</v>
      </c>
      <c r="L234" s="62">
        <f t="shared" si="15"/>
        <v>0</v>
      </c>
      <c r="M234" s="62">
        <f t="shared" si="15"/>
        <v>1</v>
      </c>
      <c r="N234" s="62">
        <f t="shared" si="15"/>
        <v>0</v>
      </c>
      <c r="O234" s="62">
        <f t="shared" si="16"/>
        <v>0</v>
      </c>
      <c r="P234" s="62">
        <f t="shared" si="16"/>
        <v>0</v>
      </c>
      <c r="Q234" s="62">
        <f t="shared" si="16"/>
        <v>0</v>
      </c>
      <c r="R234" s="62">
        <f t="shared" si="14"/>
        <v>0</v>
      </c>
      <c r="S234" s="62">
        <f t="shared" si="14"/>
        <v>0</v>
      </c>
      <c r="T234" s="62">
        <f t="shared" si="14"/>
        <v>0</v>
      </c>
      <c r="U234" s="62">
        <f t="shared" si="14"/>
        <v>0</v>
      </c>
      <c r="V234" s="62">
        <f t="shared" si="17"/>
        <v>1</v>
      </c>
    </row>
    <row r="235" spans="1:22" ht="19.5">
      <c r="A235" s="10" t="s">
        <v>256</v>
      </c>
      <c r="B235" s="10" t="s">
        <v>42</v>
      </c>
      <c r="C235" s="10" t="s">
        <v>20</v>
      </c>
      <c r="J235" s="10" t="s">
        <v>256</v>
      </c>
      <c r="K235" s="62">
        <f t="shared" si="15"/>
        <v>0</v>
      </c>
      <c r="L235" s="62">
        <f t="shared" si="15"/>
        <v>1</v>
      </c>
      <c r="M235" s="62">
        <f t="shared" si="15"/>
        <v>0</v>
      </c>
      <c r="N235" s="62">
        <f t="shared" si="15"/>
        <v>0</v>
      </c>
      <c r="O235" s="62">
        <f t="shared" si="16"/>
        <v>0</v>
      </c>
      <c r="P235" s="62">
        <f t="shared" si="16"/>
        <v>0</v>
      </c>
      <c r="Q235" s="62">
        <f t="shared" si="16"/>
        <v>0</v>
      </c>
      <c r="R235" s="62">
        <f t="shared" si="14"/>
        <v>0</v>
      </c>
      <c r="S235" s="62">
        <f t="shared" si="14"/>
        <v>0</v>
      </c>
      <c r="T235" s="62">
        <f t="shared" si="14"/>
        <v>0</v>
      </c>
      <c r="U235" s="62">
        <f t="shared" si="14"/>
        <v>0</v>
      </c>
      <c r="V235" s="62">
        <f t="shared" si="17"/>
        <v>0</v>
      </c>
    </row>
    <row r="236" spans="1:22" ht="19.5">
      <c r="A236" s="10" t="s">
        <v>257</v>
      </c>
      <c r="B236" s="10" t="s">
        <v>42</v>
      </c>
      <c r="C236" s="10" t="s">
        <v>13</v>
      </c>
      <c r="J236" s="10" t="s">
        <v>257</v>
      </c>
      <c r="K236" s="62">
        <f t="shared" si="15"/>
        <v>0</v>
      </c>
      <c r="L236" s="62">
        <f t="shared" si="15"/>
        <v>1</v>
      </c>
      <c r="M236" s="62">
        <f t="shared" si="15"/>
        <v>0</v>
      </c>
      <c r="N236" s="62">
        <f t="shared" si="15"/>
        <v>0</v>
      </c>
      <c r="O236" s="62">
        <f t="shared" si="16"/>
        <v>0</v>
      </c>
      <c r="P236" s="62">
        <f t="shared" si="16"/>
        <v>0</v>
      </c>
      <c r="Q236" s="62">
        <f t="shared" si="16"/>
        <v>0</v>
      </c>
      <c r="R236" s="62">
        <f t="shared" si="14"/>
        <v>0</v>
      </c>
      <c r="S236" s="62">
        <f t="shared" si="14"/>
        <v>0</v>
      </c>
      <c r="T236" s="62">
        <f t="shared" si="14"/>
        <v>0</v>
      </c>
      <c r="U236" s="62">
        <f t="shared" si="14"/>
        <v>0</v>
      </c>
      <c r="V236" s="62">
        <f t="shared" si="17"/>
        <v>1</v>
      </c>
    </row>
    <row r="237" spans="1:22" ht="19.5">
      <c r="A237" s="10" t="s">
        <v>258</v>
      </c>
      <c r="B237" s="10" t="s">
        <v>739</v>
      </c>
      <c r="C237" s="10" t="s">
        <v>20</v>
      </c>
      <c r="J237" s="10" t="s">
        <v>258</v>
      </c>
      <c r="K237" s="62">
        <f t="shared" si="15"/>
        <v>0</v>
      </c>
      <c r="L237" s="62">
        <f t="shared" si="15"/>
        <v>0</v>
      </c>
      <c r="M237" s="62">
        <f t="shared" si="15"/>
        <v>0</v>
      </c>
      <c r="N237" s="62">
        <f t="shared" si="15"/>
        <v>0</v>
      </c>
      <c r="O237" s="62">
        <f t="shared" si="16"/>
        <v>0</v>
      </c>
      <c r="P237" s="62">
        <f t="shared" si="16"/>
        <v>1</v>
      </c>
      <c r="Q237" s="62">
        <f t="shared" si="16"/>
        <v>0</v>
      </c>
      <c r="R237" s="62">
        <f t="shared" si="14"/>
        <v>0</v>
      </c>
      <c r="S237" s="62">
        <f t="shared" si="14"/>
        <v>0</v>
      </c>
      <c r="T237" s="62">
        <f t="shared" si="14"/>
        <v>0</v>
      </c>
      <c r="U237" s="62">
        <f t="shared" si="14"/>
        <v>0</v>
      </c>
      <c r="V237" s="62">
        <f t="shared" si="17"/>
        <v>0</v>
      </c>
    </row>
    <row r="238" spans="1:22" ht="19.5">
      <c r="A238" s="10" t="s">
        <v>259</v>
      </c>
      <c r="B238" s="10" t="s">
        <v>37</v>
      </c>
      <c r="C238" s="10" t="s">
        <v>13</v>
      </c>
      <c r="J238" s="10" t="s">
        <v>259</v>
      </c>
      <c r="K238" s="62">
        <f t="shared" si="15"/>
        <v>0</v>
      </c>
      <c r="L238" s="62">
        <f t="shared" si="15"/>
        <v>0</v>
      </c>
      <c r="M238" s="62">
        <f t="shared" si="15"/>
        <v>1</v>
      </c>
      <c r="N238" s="62">
        <f t="shared" si="15"/>
        <v>0</v>
      </c>
      <c r="O238" s="62">
        <f t="shared" si="16"/>
        <v>0</v>
      </c>
      <c r="P238" s="62">
        <f t="shared" si="16"/>
        <v>0</v>
      </c>
      <c r="Q238" s="62">
        <f t="shared" si="16"/>
        <v>0</v>
      </c>
      <c r="R238" s="62">
        <f t="shared" si="14"/>
        <v>0</v>
      </c>
      <c r="S238" s="62">
        <f t="shared" si="14"/>
        <v>0</v>
      </c>
      <c r="T238" s="62">
        <f t="shared" si="14"/>
        <v>0</v>
      </c>
      <c r="U238" s="62">
        <f t="shared" si="14"/>
        <v>0</v>
      </c>
      <c r="V238" s="62">
        <f t="shared" si="17"/>
        <v>1</v>
      </c>
    </row>
    <row r="239" spans="1:22" ht="19.5">
      <c r="A239" s="10" t="s">
        <v>260</v>
      </c>
      <c r="B239" s="10" t="s">
        <v>39</v>
      </c>
      <c r="C239" s="10" t="s">
        <v>13</v>
      </c>
      <c r="J239" s="10" t="s">
        <v>260</v>
      </c>
      <c r="K239" s="62">
        <f t="shared" si="15"/>
        <v>1</v>
      </c>
      <c r="L239" s="62">
        <f t="shared" si="15"/>
        <v>0</v>
      </c>
      <c r="M239" s="62">
        <f t="shared" si="15"/>
        <v>0</v>
      </c>
      <c r="N239" s="62">
        <f t="shared" si="15"/>
        <v>0</v>
      </c>
      <c r="O239" s="62">
        <f t="shared" si="16"/>
        <v>0</v>
      </c>
      <c r="P239" s="62">
        <f t="shared" si="16"/>
        <v>0</v>
      </c>
      <c r="Q239" s="62">
        <f t="shared" si="16"/>
        <v>0</v>
      </c>
      <c r="R239" s="62">
        <f t="shared" si="14"/>
        <v>0</v>
      </c>
      <c r="S239" s="62">
        <f t="shared" si="14"/>
        <v>0</v>
      </c>
      <c r="T239" s="62">
        <f t="shared" si="14"/>
        <v>0</v>
      </c>
      <c r="U239" s="62">
        <f t="shared" si="14"/>
        <v>0</v>
      </c>
      <c r="V239" s="62">
        <f t="shared" si="17"/>
        <v>1</v>
      </c>
    </row>
    <row r="240" spans="1:22" ht="19.5">
      <c r="A240" s="10" t="s">
        <v>261</v>
      </c>
      <c r="B240" s="10" t="s">
        <v>42</v>
      </c>
      <c r="C240" s="10" t="s">
        <v>13</v>
      </c>
      <c r="J240" s="10" t="s">
        <v>261</v>
      </c>
      <c r="K240" s="62">
        <f t="shared" si="15"/>
        <v>0</v>
      </c>
      <c r="L240" s="62">
        <f t="shared" si="15"/>
        <v>1</v>
      </c>
      <c r="M240" s="62">
        <f t="shared" si="15"/>
        <v>0</v>
      </c>
      <c r="N240" s="62">
        <f t="shared" si="15"/>
        <v>0</v>
      </c>
      <c r="O240" s="62">
        <f t="shared" si="16"/>
        <v>0</v>
      </c>
      <c r="P240" s="62">
        <f t="shared" si="16"/>
        <v>0</v>
      </c>
      <c r="Q240" s="62">
        <f t="shared" si="16"/>
        <v>0</v>
      </c>
      <c r="R240" s="62">
        <f t="shared" si="14"/>
        <v>0</v>
      </c>
      <c r="S240" s="62">
        <f t="shared" si="14"/>
        <v>0</v>
      </c>
      <c r="T240" s="62">
        <f t="shared" si="14"/>
        <v>0</v>
      </c>
      <c r="U240" s="62">
        <f t="shared" si="14"/>
        <v>0</v>
      </c>
      <c r="V240" s="62">
        <f t="shared" si="17"/>
        <v>1</v>
      </c>
    </row>
    <row r="241" spans="1:22" ht="19.5">
      <c r="A241" s="10" t="s">
        <v>262</v>
      </c>
      <c r="B241" s="10" t="s">
        <v>42</v>
      </c>
      <c r="C241" s="10" t="s">
        <v>20</v>
      </c>
      <c r="J241" s="10" t="s">
        <v>262</v>
      </c>
      <c r="K241" s="62">
        <f t="shared" si="15"/>
        <v>0</v>
      </c>
      <c r="L241" s="62">
        <f t="shared" si="15"/>
        <v>1</v>
      </c>
      <c r="M241" s="62">
        <f t="shared" si="15"/>
        <v>0</v>
      </c>
      <c r="N241" s="62">
        <f t="shared" si="15"/>
        <v>0</v>
      </c>
      <c r="O241" s="62">
        <f t="shared" si="16"/>
        <v>0</v>
      </c>
      <c r="P241" s="62">
        <f t="shared" si="16"/>
        <v>0</v>
      </c>
      <c r="Q241" s="62">
        <f t="shared" si="16"/>
        <v>0</v>
      </c>
      <c r="R241" s="62">
        <f t="shared" si="14"/>
        <v>0</v>
      </c>
      <c r="S241" s="62">
        <f t="shared" si="14"/>
        <v>0</v>
      </c>
      <c r="T241" s="62">
        <f t="shared" si="14"/>
        <v>0</v>
      </c>
      <c r="U241" s="62">
        <f t="shared" si="14"/>
        <v>0</v>
      </c>
      <c r="V241" s="62">
        <f t="shared" si="17"/>
        <v>0</v>
      </c>
    </row>
    <row r="242" spans="1:22" ht="19.5">
      <c r="A242" s="10" t="s">
        <v>263</v>
      </c>
      <c r="B242" s="10" t="s">
        <v>39</v>
      </c>
      <c r="C242" s="10" t="s">
        <v>20</v>
      </c>
      <c r="J242" s="10" t="s">
        <v>263</v>
      </c>
      <c r="K242" s="62">
        <f t="shared" si="15"/>
        <v>1</v>
      </c>
      <c r="L242" s="62">
        <f t="shared" si="15"/>
        <v>0</v>
      </c>
      <c r="M242" s="62">
        <f t="shared" si="15"/>
        <v>0</v>
      </c>
      <c r="N242" s="62">
        <f t="shared" si="15"/>
        <v>0</v>
      </c>
      <c r="O242" s="62">
        <f t="shared" si="16"/>
        <v>0</v>
      </c>
      <c r="P242" s="62">
        <f t="shared" si="16"/>
        <v>0</v>
      </c>
      <c r="Q242" s="62">
        <f t="shared" si="16"/>
        <v>0</v>
      </c>
      <c r="R242" s="62">
        <f t="shared" si="14"/>
        <v>0</v>
      </c>
      <c r="S242" s="62">
        <f t="shared" si="14"/>
        <v>0</v>
      </c>
      <c r="T242" s="62">
        <f t="shared" si="14"/>
        <v>0</v>
      </c>
      <c r="U242" s="62">
        <f t="shared" si="14"/>
        <v>0</v>
      </c>
      <c r="V242" s="62">
        <f t="shared" si="17"/>
        <v>0</v>
      </c>
    </row>
    <row r="243" spans="1:22" ht="19.5">
      <c r="A243" s="10" t="s">
        <v>264</v>
      </c>
      <c r="B243" s="10" t="s">
        <v>42</v>
      </c>
      <c r="C243" s="10" t="s">
        <v>20</v>
      </c>
      <c r="J243" s="10" t="s">
        <v>264</v>
      </c>
      <c r="K243" s="62">
        <f t="shared" si="15"/>
        <v>0</v>
      </c>
      <c r="L243" s="62">
        <f t="shared" si="15"/>
        <v>1</v>
      </c>
      <c r="M243" s="62">
        <f t="shared" si="15"/>
        <v>0</v>
      </c>
      <c r="N243" s="62">
        <f t="shared" si="15"/>
        <v>0</v>
      </c>
      <c r="O243" s="62">
        <f t="shared" si="16"/>
        <v>0</v>
      </c>
      <c r="P243" s="62">
        <f t="shared" si="16"/>
        <v>0</v>
      </c>
      <c r="Q243" s="62">
        <f t="shared" si="16"/>
        <v>0</v>
      </c>
      <c r="R243" s="62">
        <f t="shared" si="14"/>
        <v>0</v>
      </c>
      <c r="S243" s="62">
        <f t="shared" si="14"/>
        <v>0</v>
      </c>
      <c r="T243" s="62">
        <f t="shared" si="14"/>
        <v>0</v>
      </c>
      <c r="U243" s="62">
        <f t="shared" si="14"/>
        <v>0</v>
      </c>
      <c r="V243" s="62">
        <f t="shared" si="17"/>
        <v>0</v>
      </c>
    </row>
    <row r="244" spans="1:22" ht="19.5">
      <c r="A244" s="10" t="s">
        <v>265</v>
      </c>
      <c r="B244" s="10" t="s">
        <v>737</v>
      </c>
      <c r="C244" s="10" t="s">
        <v>20</v>
      </c>
      <c r="J244" s="10" t="s">
        <v>265</v>
      </c>
      <c r="K244" s="62">
        <f t="shared" si="15"/>
        <v>0</v>
      </c>
      <c r="L244" s="62">
        <f t="shared" si="15"/>
        <v>0</v>
      </c>
      <c r="M244" s="62">
        <f t="shared" si="15"/>
        <v>0</v>
      </c>
      <c r="N244" s="62">
        <f t="shared" si="15"/>
        <v>1</v>
      </c>
      <c r="O244" s="62">
        <f t="shared" si="16"/>
        <v>0</v>
      </c>
      <c r="P244" s="62">
        <f t="shared" si="16"/>
        <v>0</v>
      </c>
      <c r="Q244" s="62">
        <f t="shared" si="16"/>
        <v>0</v>
      </c>
      <c r="R244" s="62">
        <f t="shared" si="14"/>
        <v>0</v>
      </c>
      <c r="S244" s="62">
        <f t="shared" si="14"/>
        <v>0</v>
      </c>
      <c r="T244" s="62">
        <f t="shared" si="14"/>
        <v>0</v>
      </c>
      <c r="U244" s="62">
        <f t="shared" si="14"/>
        <v>0</v>
      </c>
      <c r="V244" s="62">
        <f t="shared" si="17"/>
        <v>0</v>
      </c>
    </row>
    <row r="245" spans="1:22" ht="19.5">
      <c r="A245" s="10" t="s">
        <v>266</v>
      </c>
      <c r="B245" s="10" t="s">
        <v>42</v>
      </c>
      <c r="C245" s="10" t="s">
        <v>13</v>
      </c>
      <c r="J245" s="10" t="s">
        <v>266</v>
      </c>
      <c r="K245" s="62">
        <f t="shared" si="15"/>
        <v>0</v>
      </c>
      <c r="L245" s="62">
        <f t="shared" si="15"/>
        <v>1</v>
      </c>
      <c r="M245" s="62">
        <f t="shared" si="15"/>
        <v>0</v>
      </c>
      <c r="N245" s="62">
        <f t="shared" si="15"/>
        <v>0</v>
      </c>
      <c r="O245" s="62">
        <f t="shared" si="16"/>
        <v>0</v>
      </c>
      <c r="P245" s="62">
        <f t="shared" si="16"/>
        <v>0</v>
      </c>
      <c r="Q245" s="62">
        <f t="shared" si="16"/>
        <v>0</v>
      </c>
      <c r="R245" s="62">
        <f t="shared" si="14"/>
        <v>0</v>
      </c>
      <c r="S245" s="62">
        <f t="shared" si="14"/>
        <v>0</v>
      </c>
      <c r="T245" s="62">
        <f t="shared" si="14"/>
        <v>0</v>
      </c>
      <c r="U245" s="62">
        <f t="shared" si="14"/>
        <v>0</v>
      </c>
      <c r="V245" s="62">
        <f t="shared" si="17"/>
        <v>1</v>
      </c>
    </row>
    <row r="246" spans="1:22" ht="19.5">
      <c r="A246" s="10" t="s">
        <v>267</v>
      </c>
      <c r="B246" s="10" t="s">
        <v>42</v>
      </c>
      <c r="C246" s="10" t="s">
        <v>20</v>
      </c>
      <c r="J246" s="10" t="s">
        <v>267</v>
      </c>
      <c r="K246" s="62">
        <f t="shared" si="15"/>
        <v>0</v>
      </c>
      <c r="L246" s="62">
        <f t="shared" si="15"/>
        <v>1</v>
      </c>
      <c r="M246" s="62">
        <f t="shared" si="15"/>
        <v>0</v>
      </c>
      <c r="N246" s="62">
        <f t="shared" si="15"/>
        <v>0</v>
      </c>
      <c r="O246" s="62">
        <f t="shared" si="16"/>
        <v>0</v>
      </c>
      <c r="P246" s="62">
        <f t="shared" si="16"/>
        <v>0</v>
      </c>
      <c r="Q246" s="62">
        <f t="shared" si="16"/>
        <v>0</v>
      </c>
      <c r="R246" s="62">
        <f t="shared" si="14"/>
        <v>0</v>
      </c>
      <c r="S246" s="62">
        <f t="shared" si="14"/>
        <v>0</v>
      </c>
      <c r="T246" s="62">
        <f t="shared" si="14"/>
        <v>0</v>
      </c>
      <c r="U246" s="62">
        <f t="shared" si="14"/>
        <v>0</v>
      </c>
      <c r="V246" s="62">
        <f t="shared" si="17"/>
        <v>0</v>
      </c>
    </row>
    <row r="247" spans="1:22" ht="19.5">
      <c r="A247" s="10" t="s">
        <v>268</v>
      </c>
      <c r="B247" s="10" t="s">
        <v>737</v>
      </c>
      <c r="C247" s="10" t="s">
        <v>13</v>
      </c>
      <c r="J247" s="10" t="s">
        <v>268</v>
      </c>
      <c r="K247" s="62">
        <f t="shared" si="15"/>
        <v>0</v>
      </c>
      <c r="L247" s="62">
        <f t="shared" si="15"/>
        <v>0</v>
      </c>
      <c r="M247" s="62">
        <f t="shared" si="15"/>
        <v>0</v>
      </c>
      <c r="N247" s="62">
        <f t="shared" si="15"/>
        <v>1</v>
      </c>
      <c r="O247" s="62">
        <f t="shared" si="16"/>
        <v>0</v>
      </c>
      <c r="P247" s="62">
        <f t="shared" si="16"/>
        <v>0</v>
      </c>
      <c r="Q247" s="62">
        <f t="shared" si="16"/>
        <v>0</v>
      </c>
      <c r="R247" s="62">
        <f t="shared" si="14"/>
        <v>0</v>
      </c>
      <c r="S247" s="62">
        <f t="shared" si="14"/>
        <v>0</v>
      </c>
      <c r="T247" s="62">
        <f t="shared" si="14"/>
        <v>0</v>
      </c>
      <c r="U247" s="62">
        <f t="shared" si="14"/>
        <v>0</v>
      </c>
      <c r="V247" s="62">
        <f t="shared" si="17"/>
        <v>1</v>
      </c>
    </row>
    <row r="248" spans="1:22" ht="19.5">
      <c r="A248" s="10" t="s">
        <v>269</v>
      </c>
      <c r="B248" s="10" t="s">
        <v>740</v>
      </c>
      <c r="C248" s="10" t="s">
        <v>13</v>
      </c>
      <c r="J248" s="10" t="s">
        <v>269</v>
      </c>
      <c r="K248" s="62">
        <f t="shared" si="15"/>
        <v>0</v>
      </c>
      <c r="L248" s="62">
        <f t="shared" si="15"/>
        <v>0</v>
      </c>
      <c r="M248" s="62">
        <f t="shared" si="15"/>
        <v>0</v>
      </c>
      <c r="N248" s="62">
        <f t="shared" si="15"/>
        <v>0</v>
      </c>
      <c r="O248" s="62">
        <f t="shared" si="16"/>
        <v>1</v>
      </c>
      <c r="P248" s="62">
        <f t="shared" si="16"/>
        <v>0</v>
      </c>
      <c r="Q248" s="62">
        <f t="shared" si="16"/>
        <v>0</v>
      </c>
      <c r="R248" s="62">
        <f t="shared" si="14"/>
        <v>0</v>
      </c>
      <c r="S248" s="62">
        <f t="shared" si="14"/>
        <v>0</v>
      </c>
      <c r="T248" s="62">
        <f t="shared" si="14"/>
        <v>0</v>
      </c>
      <c r="U248" s="62">
        <f t="shared" si="14"/>
        <v>0</v>
      </c>
      <c r="V248" s="62">
        <f t="shared" si="17"/>
        <v>1</v>
      </c>
    </row>
    <row r="249" spans="1:22" ht="19.5">
      <c r="A249" s="10" t="s">
        <v>270</v>
      </c>
      <c r="B249" s="10" t="s">
        <v>37</v>
      </c>
      <c r="C249" s="10" t="s">
        <v>20</v>
      </c>
      <c r="J249" s="10" t="s">
        <v>270</v>
      </c>
      <c r="K249" s="62">
        <f t="shared" si="15"/>
        <v>0</v>
      </c>
      <c r="L249" s="62">
        <f t="shared" si="15"/>
        <v>0</v>
      </c>
      <c r="M249" s="62">
        <f t="shared" si="15"/>
        <v>1</v>
      </c>
      <c r="N249" s="62">
        <f t="shared" si="15"/>
        <v>0</v>
      </c>
      <c r="O249" s="62">
        <f t="shared" si="16"/>
        <v>0</v>
      </c>
      <c r="P249" s="62">
        <f t="shared" si="16"/>
        <v>0</v>
      </c>
      <c r="Q249" s="62">
        <f t="shared" si="16"/>
        <v>0</v>
      </c>
      <c r="R249" s="62">
        <f t="shared" si="14"/>
        <v>0</v>
      </c>
      <c r="S249" s="62">
        <f t="shared" si="14"/>
        <v>0</v>
      </c>
      <c r="T249" s="62">
        <f t="shared" si="14"/>
        <v>0</v>
      </c>
      <c r="U249" s="62">
        <f t="shared" si="14"/>
        <v>0</v>
      </c>
      <c r="V249" s="62">
        <f t="shared" si="17"/>
        <v>0</v>
      </c>
    </row>
    <row r="250" spans="1:22" ht="19.5">
      <c r="A250" s="10" t="s">
        <v>271</v>
      </c>
      <c r="B250" s="10" t="s">
        <v>739</v>
      </c>
      <c r="C250" s="10" t="s">
        <v>20</v>
      </c>
      <c r="J250" s="10" t="s">
        <v>271</v>
      </c>
      <c r="K250" s="62">
        <f t="shared" si="15"/>
        <v>0</v>
      </c>
      <c r="L250" s="62">
        <f t="shared" si="15"/>
        <v>0</v>
      </c>
      <c r="M250" s="62">
        <f t="shared" si="15"/>
        <v>0</v>
      </c>
      <c r="N250" s="62">
        <f t="shared" si="15"/>
        <v>0</v>
      </c>
      <c r="O250" s="62">
        <f t="shared" si="16"/>
        <v>0</v>
      </c>
      <c r="P250" s="62">
        <f t="shared" si="16"/>
        <v>1</v>
      </c>
      <c r="Q250" s="62">
        <f t="shared" si="16"/>
        <v>0</v>
      </c>
      <c r="R250" s="62">
        <f t="shared" si="14"/>
        <v>0</v>
      </c>
      <c r="S250" s="62">
        <f t="shared" si="14"/>
        <v>0</v>
      </c>
      <c r="T250" s="62">
        <f t="shared" si="14"/>
        <v>0</v>
      </c>
      <c r="U250" s="62">
        <f t="shared" si="14"/>
        <v>0</v>
      </c>
      <c r="V250" s="62">
        <f t="shared" si="17"/>
        <v>0</v>
      </c>
    </row>
    <row r="251" spans="1:22" ht="19.5">
      <c r="A251" s="10" t="s">
        <v>272</v>
      </c>
      <c r="B251" s="10" t="s">
        <v>39</v>
      </c>
      <c r="C251" s="10" t="s">
        <v>13</v>
      </c>
      <c r="J251" s="10" t="s">
        <v>272</v>
      </c>
      <c r="K251" s="62">
        <f t="shared" si="15"/>
        <v>1</v>
      </c>
      <c r="L251" s="62">
        <f t="shared" si="15"/>
        <v>0</v>
      </c>
      <c r="M251" s="62">
        <f t="shared" si="15"/>
        <v>0</v>
      </c>
      <c r="N251" s="62">
        <f t="shared" si="15"/>
        <v>0</v>
      </c>
      <c r="O251" s="62">
        <f t="shared" si="16"/>
        <v>0</v>
      </c>
      <c r="P251" s="62">
        <f t="shared" si="16"/>
        <v>0</v>
      </c>
      <c r="Q251" s="62">
        <f t="shared" si="16"/>
        <v>0</v>
      </c>
      <c r="R251" s="62">
        <f t="shared" si="14"/>
        <v>0</v>
      </c>
      <c r="S251" s="62">
        <f t="shared" si="14"/>
        <v>0</v>
      </c>
      <c r="T251" s="62">
        <f t="shared" si="14"/>
        <v>0</v>
      </c>
      <c r="U251" s="62">
        <f t="shared" si="14"/>
        <v>0</v>
      </c>
      <c r="V251" s="62">
        <f t="shared" si="17"/>
        <v>1</v>
      </c>
    </row>
    <row r="252" spans="1:22" ht="19.5">
      <c r="A252" s="10" t="s">
        <v>273</v>
      </c>
      <c r="B252" s="10" t="s">
        <v>42</v>
      </c>
      <c r="C252" s="10" t="s">
        <v>20</v>
      </c>
      <c r="J252" s="10" t="s">
        <v>273</v>
      </c>
      <c r="K252" s="62">
        <f t="shared" si="15"/>
        <v>0</v>
      </c>
      <c r="L252" s="62">
        <f t="shared" si="15"/>
        <v>1</v>
      </c>
      <c r="M252" s="62">
        <f t="shared" si="15"/>
        <v>0</v>
      </c>
      <c r="N252" s="62">
        <f t="shared" si="15"/>
        <v>0</v>
      </c>
      <c r="O252" s="62">
        <f t="shared" si="16"/>
        <v>0</v>
      </c>
      <c r="P252" s="62">
        <f t="shared" si="16"/>
        <v>0</v>
      </c>
      <c r="Q252" s="62">
        <f t="shared" si="16"/>
        <v>0</v>
      </c>
      <c r="R252" s="62">
        <f t="shared" si="14"/>
        <v>0</v>
      </c>
      <c r="S252" s="62">
        <f t="shared" si="14"/>
        <v>0</v>
      </c>
      <c r="T252" s="62">
        <f t="shared" si="14"/>
        <v>0</v>
      </c>
      <c r="U252" s="62">
        <f t="shared" si="14"/>
        <v>0</v>
      </c>
      <c r="V252" s="62">
        <f t="shared" si="17"/>
        <v>0</v>
      </c>
    </row>
    <row r="253" spans="1:22" ht="19.5">
      <c r="A253" s="10" t="s">
        <v>274</v>
      </c>
      <c r="B253" s="10" t="s">
        <v>42</v>
      </c>
      <c r="C253" s="10" t="s">
        <v>13</v>
      </c>
      <c r="J253" s="10" t="s">
        <v>274</v>
      </c>
      <c r="K253" s="62">
        <f t="shared" si="15"/>
        <v>0</v>
      </c>
      <c r="L253" s="62">
        <f t="shared" si="15"/>
        <v>1</v>
      </c>
      <c r="M253" s="62">
        <f t="shared" si="15"/>
        <v>0</v>
      </c>
      <c r="N253" s="62">
        <f t="shared" si="15"/>
        <v>0</v>
      </c>
      <c r="O253" s="62">
        <f t="shared" si="16"/>
        <v>0</v>
      </c>
      <c r="P253" s="62">
        <f t="shared" si="16"/>
        <v>0</v>
      </c>
      <c r="Q253" s="62">
        <f t="shared" si="16"/>
        <v>0</v>
      </c>
      <c r="R253" s="62">
        <f t="shared" si="16"/>
        <v>0</v>
      </c>
      <c r="S253" s="62">
        <f t="shared" si="16"/>
        <v>0</v>
      </c>
      <c r="T253" s="62">
        <f t="shared" si="16"/>
        <v>0</v>
      </c>
      <c r="U253" s="62">
        <f t="shared" si="16"/>
        <v>0</v>
      </c>
      <c r="V253" s="62">
        <f t="shared" si="17"/>
        <v>1</v>
      </c>
    </row>
    <row r="254" spans="1:22" ht="19.5">
      <c r="A254" s="10" t="s">
        <v>275</v>
      </c>
      <c r="B254" s="10" t="s">
        <v>37</v>
      </c>
      <c r="C254" s="10" t="s">
        <v>13</v>
      </c>
      <c r="J254" s="10" t="s">
        <v>275</v>
      </c>
      <c r="K254" s="62">
        <f t="shared" si="15"/>
        <v>0</v>
      </c>
      <c r="L254" s="62">
        <f t="shared" si="15"/>
        <v>0</v>
      </c>
      <c r="M254" s="62">
        <f t="shared" si="15"/>
        <v>1</v>
      </c>
      <c r="N254" s="62">
        <f t="shared" si="15"/>
        <v>0</v>
      </c>
      <c r="O254" s="62">
        <f t="shared" si="16"/>
        <v>0</v>
      </c>
      <c r="P254" s="62">
        <f t="shared" si="16"/>
        <v>0</v>
      </c>
      <c r="Q254" s="62">
        <f t="shared" si="16"/>
        <v>0</v>
      </c>
      <c r="R254" s="62">
        <f t="shared" si="16"/>
        <v>0</v>
      </c>
      <c r="S254" s="62">
        <f t="shared" si="16"/>
        <v>0</v>
      </c>
      <c r="T254" s="62">
        <f t="shared" si="16"/>
        <v>0</v>
      </c>
      <c r="U254" s="62">
        <f t="shared" si="16"/>
        <v>0</v>
      </c>
      <c r="V254" s="62">
        <f t="shared" si="17"/>
        <v>1</v>
      </c>
    </row>
    <row r="255" spans="1:22" ht="19.5">
      <c r="A255" s="10" t="s">
        <v>276</v>
      </c>
      <c r="B255" s="10" t="s">
        <v>39</v>
      </c>
      <c r="C255" s="10" t="s">
        <v>20</v>
      </c>
      <c r="J255" s="10" t="s">
        <v>276</v>
      </c>
      <c r="K255" s="62">
        <f t="shared" si="15"/>
        <v>1</v>
      </c>
      <c r="L255" s="62">
        <f t="shared" si="15"/>
        <v>0</v>
      </c>
      <c r="M255" s="62">
        <f t="shared" si="15"/>
        <v>0</v>
      </c>
      <c r="N255" s="62">
        <f t="shared" si="15"/>
        <v>0</v>
      </c>
      <c r="O255" s="62">
        <f t="shared" si="16"/>
        <v>0</v>
      </c>
      <c r="P255" s="62">
        <f t="shared" si="16"/>
        <v>0</v>
      </c>
      <c r="Q255" s="62">
        <f t="shared" si="16"/>
        <v>0</v>
      </c>
      <c r="R255" s="62">
        <f t="shared" si="16"/>
        <v>0</v>
      </c>
      <c r="S255" s="62">
        <f t="shared" si="16"/>
        <v>0</v>
      </c>
      <c r="T255" s="62">
        <f t="shared" si="16"/>
        <v>0</v>
      </c>
      <c r="U255" s="62">
        <f t="shared" si="16"/>
        <v>0</v>
      </c>
      <c r="V255" s="62">
        <f t="shared" si="17"/>
        <v>0</v>
      </c>
    </row>
    <row r="256" spans="1:22" ht="19.5">
      <c r="A256" s="10" t="s">
        <v>277</v>
      </c>
      <c r="B256" s="10" t="s">
        <v>739</v>
      </c>
      <c r="C256" s="10" t="s">
        <v>13</v>
      </c>
      <c r="J256" s="10" t="s">
        <v>277</v>
      </c>
      <c r="K256" s="62">
        <f t="shared" si="15"/>
        <v>0</v>
      </c>
      <c r="L256" s="62">
        <f t="shared" si="15"/>
        <v>0</v>
      </c>
      <c r="M256" s="62">
        <f t="shared" si="15"/>
        <v>0</v>
      </c>
      <c r="N256" s="62">
        <f t="shared" si="15"/>
        <v>0</v>
      </c>
      <c r="O256" s="62">
        <f t="shared" si="16"/>
        <v>0</v>
      </c>
      <c r="P256" s="62">
        <f t="shared" si="16"/>
        <v>1</v>
      </c>
      <c r="Q256" s="62">
        <f t="shared" si="16"/>
        <v>0</v>
      </c>
      <c r="R256" s="62">
        <f t="shared" si="16"/>
        <v>0</v>
      </c>
      <c r="S256" s="62">
        <f t="shared" si="16"/>
        <v>0</v>
      </c>
      <c r="T256" s="62">
        <f t="shared" si="16"/>
        <v>0</v>
      </c>
      <c r="U256" s="62">
        <f t="shared" si="16"/>
        <v>0</v>
      </c>
      <c r="V256" s="62">
        <f t="shared" si="17"/>
        <v>1</v>
      </c>
    </row>
    <row r="257" spans="1:22" ht="19.5">
      <c r="A257" s="10" t="s">
        <v>278</v>
      </c>
      <c r="B257" s="10" t="s">
        <v>42</v>
      </c>
      <c r="C257" s="10" t="s">
        <v>13</v>
      </c>
      <c r="J257" s="10" t="s">
        <v>278</v>
      </c>
      <c r="K257" s="62">
        <f t="shared" si="15"/>
        <v>0</v>
      </c>
      <c r="L257" s="62">
        <f t="shared" si="15"/>
        <v>1</v>
      </c>
      <c r="M257" s="62">
        <f t="shared" si="15"/>
        <v>0</v>
      </c>
      <c r="N257" s="62">
        <f t="shared" si="15"/>
        <v>0</v>
      </c>
      <c r="O257" s="62">
        <f t="shared" si="16"/>
        <v>0</v>
      </c>
      <c r="P257" s="62">
        <f t="shared" si="16"/>
        <v>0</v>
      </c>
      <c r="Q257" s="62">
        <f t="shared" si="16"/>
        <v>0</v>
      </c>
      <c r="R257" s="62">
        <f t="shared" si="16"/>
        <v>0</v>
      </c>
      <c r="S257" s="62">
        <f t="shared" si="16"/>
        <v>0</v>
      </c>
      <c r="T257" s="62">
        <f t="shared" si="16"/>
        <v>0</v>
      </c>
      <c r="U257" s="62">
        <f t="shared" si="16"/>
        <v>0</v>
      </c>
      <c r="V257" s="62">
        <f t="shared" si="17"/>
        <v>1</v>
      </c>
    </row>
    <row r="258" spans="1:22" ht="19.5">
      <c r="A258" s="10" t="s">
        <v>279</v>
      </c>
      <c r="B258" s="10" t="s">
        <v>737</v>
      </c>
      <c r="C258" s="10" t="s">
        <v>13</v>
      </c>
      <c r="J258" s="10" t="s">
        <v>279</v>
      </c>
      <c r="K258" s="62">
        <f t="shared" si="15"/>
        <v>0</v>
      </c>
      <c r="L258" s="62">
        <f t="shared" si="15"/>
        <v>0</v>
      </c>
      <c r="M258" s="62">
        <f t="shared" si="15"/>
        <v>0</v>
      </c>
      <c r="N258" s="62">
        <f t="shared" ref="N258:R321" si="18">IF($B258=Z$9, 1, 0)</f>
        <v>1</v>
      </c>
      <c r="O258" s="62">
        <f t="shared" si="16"/>
        <v>0</v>
      </c>
      <c r="P258" s="62">
        <f t="shared" si="16"/>
        <v>0</v>
      </c>
      <c r="Q258" s="62">
        <f t="shared" si="16"/>
        <v>0</v>
      </c>
      <c r="R258" s="62">
        <f t="shared" si="16"/>
        <v>0</v>
      </c>
      <c r="S258" s="62">
        <f t="shared" si="16"/>
        <v>0</v>
      </c>
      <c r="T258" s="62">
        <f t="shared" si="16"/>
        <v>0</v>
      </c>
      <c r="U258" s="62">
        <f t="shared" si="16"/>
        <v>0</v>
      </c>
      <c r="V258" s="62">
        <f t="shared" si="17"/>
        <v>1</v>
      </c>
    </row>
    <row r="259" spans="1:22" ht="19.5">
      <c r="A259" s="10" t="s">
        <v>280</v>
      </c>
      <c r="B259" s="10" t="s">
        <v>739</v>
      </c>
      <c r="C259" s="10" t="s">
        <v>13</v>
      </c>
      <c r="J259" s="10" t="s">
        <v>280</v>
      </c>
      <c r="K259" s="62">
        <f t="shared" ref="K259:Q322" si="19">IF($B259=W$9, 1, 0)</f>
        <v>0</v>
      </c>
      <c r="L259" s="62">
        <f t="shared" si="19"/>
        <v>0</v>
      </c>
      <c r="M259" s="62">
        <f t="shared" si="19"/>
        <v>0</v>
      </c>
      <c r="N259" s="62">
        <f t="shared" si="18"/>
        <v>0</v>
      </c>
      <c r="O259" s="62">
        <f t="shared" si="18"/>
        <v>0</v>
      </c>
      <c r="P259" s="62">
        <f t="shared" si="18"/>
        <v>1</v>
      </c>
      <c r="Q259" s="62">
        <f t="shared" si="18"/>
        <v>0</v>
      </c>
      <c r="R259" s="62">
        <f t="shared" si="18"/>
        <v>0</v>
      </c>
      <c r="S259" s="62">
        <f t="shared" ref="S259:U322" si="20">IF($B259=AE$9, 1, 0)</f>
        <v>0</v>
      </c>
      <c r="T259" s="62">
        <f t="shared" si="20"/>
        <v>0</v>
      </c>
      <c r="U259" s="62">
        <f t="shared" si="20"/>
        <v>0</v>
      </c>
      <c r="V259" s="62">
        <f t="shared" ref="V259:V322" si="21">IF($C259=$V$1, 1, 0)</f>
        <v>1</v>
      </c>
    </row>
    <row r="260" spans="1:22" ht="19.5">
      <c r="A260" s="10" t="s">
        <v>281</v>
      </c>
      <c r="B260" s="10" t="s">
        <v>39</v>
      </c>
      <c r="C260" s="10" t="s">
        <v>20</v>
      </c>
      <c r="J260" s="10" t="s">
        <v>281</v>
      </c>
      <c r="K260" s="62">
        <f t="shared" si="19"/>
        <v>1</v>
      </c>
      <c r="L260" s="62">
        <f t="shared" si="19"/>
        <v>0</v>
      </c>
      <c r="M260" s="62">
        <f t="shared" si="19"/>
        <v>0</v>
      </c>
      <c r="N260" s="62">
        <f t="shared" si="18"/>
        <v>0</v>
      </c>
      <c r="O260" s="62">
        <f t="shared" si="18"/>
        <v>0</v>
      </c>
      <c r="P260" s="62">
        <f t="shared" si="18"/>
        <v>0</v>
      </c>
      <c r="Q260" s="62">
        <f t="shared" si="18"/>
        <v>0</v>
      </c>
      <c r="R260" s="62">
        <f t="shared" si="18"/>
        <v>0</v>
      </c>
      <c r="S260" s="62">
        <f t="shared" si="20"/>
        <v>0</v>
      </c>
      <c r="T260" s="62">
        <f t="shared" si="20"/>
        <v>0</v>
      </c>
      <c r="U260" s="62">
        <f t="shared" si="20"/>
        <v>0</v>
      </c>
      <c r="V260" s="62">
        <f t="shared" si="21"/>
        <v>0</v>
      </c>
    </row>
    <row r="261" spans="1:22" ht="19.5">
      <c r="A261" s="10" t="s">
        <v>282</v>
      </c>
      <c r="B261" s="10" t="s">
        <v>42</v>
      </c>
      <c r="C261" s="10" t="s">
        <v>13</v>
      </c>
      <c r="J261" s="10" t="s">
        <v>282</v>
      </c>
      <c r="K261" s="62">
        <f t="shared" si="19"/>
        <v>0</v>
      </c>
      <c r="L261" s="62">
        <f t="shared" si="19"/>
        <v>1</v>
      </c>
      <c r="M261" s="62">
        <f t="shared" si="19"/>
        <v>0</v>
      </c>
      <c r="N261" s="62">
        <f t="shared" si="18"/>
        <v>0</v>
      </c>
      <c r="O261" s="62">
        <f t="shared" si="18"/>
        <v>0</v>
      </c>
      <c r="P261" s="62">
        <f t="shared" si="18"/>
        <v>0</v>
      </c>
      <c r="Q261" s="62">
        <f t="shared" si="18"/>
        <v>0</v>
      </c>
      <c r="R261" s="62">
        <f t="shared" ref="R261:U324" si="22">IF($B261=AD$9, 1, 0)</f>
        <v>0</v>
      </c>
      <c r="S261" s="62">
        <f t="shared" si="20"/>
        <v>0</v>
      </c>
      <c r="T261" s="62">
        <f t="shared" si="20"/>
        <v>0</v>
      </c>
      <c r="U261" s="62">
        <f t="shared" si="20"/>
        <v>0</v>
      </c>
      <c r="V261" s="62">
        <f t="shared" si="21"/>
        <v>1</v>
      </c>
    </row>
    <row r="262" spans="1:22" ht="19.5">
      <c r="A262" s="10" t="s">
        <v>283</v>
      </c>
      <c r="B262" s="10" t="s">
        <v>42</v>
      </c>
      <c r="C262" s="10" t="s">
        <v>20</v>
      </c>
      <c r="J262" s="10" t="s">
        <v>283</v>
      </c>
      <c r="K262" s="62">
        <f t="shared" si="19"/>
        <v>0</v>
      </c>
      <c r="L262" s="62">
        <f t="shared" si="19"/>
        <v>1</v>
      </c>
      <c r="M262" s="62">
        <f t="shared" si="19"/>
        <v>0</v>
      </c>
      <c r="N262" s="62">
        <f t="shared" si="18"/>
        <v>0</v>
      </c>
      <c r="O262" s="62">
        <f t="shared" si="18"/>
        <v>0</v>
      </c>
      <c r="P262" s="62">
        <f t="shared" si="18"/>
        <v>0</v>
      </c>
      <c r="Q262" s="62">
        <f t="shared" si="18"/>
        <v>0</v>
      </c>
      <c r="R262" s="62">
        <f t="shared" si="22"/>
        <v>0</v>
      </c>
      <c r="S262" s="62">
        <f t="shared" si="20"/>
        <v>0</v>
      </c>
      <c r="T262" s="62">
        <f t="shared" si="20"/>
        <v>0</v>
      </c>
      <c r="U262" s="62">
        <f t="shared" si="20"/>
        <v>0</v>
      </c>
      <c r="V262" s="62">
        <f t="shared" si="21"/>
        <v>0</v>
      </c>
    </row>
    <row r="263" spans="1:22" ht="19.5">
      <c r="A263" s="10" t="s">
        <v>284</v>
      </c>
      <c r="B263" s="10" t="s">
        <v>739</v>
      </c>
      <c r="C263" s="10" t="s">
        <v>20</v>
      </c>
      <c r="J263" s="10" t="s">
        <v>284</v>
      </c>
      <c r="K263" s="62">
        <f t="shared" si="19"/>
        <v>0</v>
      </c>
      <c r="L263" s="62">
        <f t="shared" si="19"/>
        <v>0</v>
      </c>
      <c r="M263" s="62">
        <f t="shared" si="19"/>
        <v>0</v>
      </c>
      <c r="N263" s="62">
        <f t="shared" si="18"/>
        <v>0</v>
      </c>
      <c r="O263" s="62">
        <f t="shared" si="18"/>
        <v>0</v>
      </c>
      <c r="P263" s="62">
        <f t="shared" si="18"/>
        <v>1</v>
      </c>
      <c r="Q263" s="62">
        <f t="shared" si="18"/>
        <v>0</v>
      </c>
      <c r="R263" s="62">
        <f t="shared" si="22"/>
        <v>0</v>
      </c>
      <c r="S263" s="62">
        <f t="shared" si="20"/>
        <v>0</v>
      </c>
      <c r="T263" s="62">
        <f t="shared" si="20"/>
        <v>0</v>
      </c>
      <c r="U263" s="62">
        <f t="shared" si="20"/>
        <v>0</v>
      </c>
      <c r="V263" s="62">
        <f t="shared" si="21"/>
        <v>0</v>
      </c>
    </row>
    <row r="264" spans="1:22" ht="19.5">
      <c r="A264" s="10" t="s">
        <v>285</v>
      </c>
      <c r="B264" s="10" t="s">
        <v>42</v>
      </c>
      <c r="C264" s="10" t="s">
        <v>13</v>
      </c>
      <c r="J264" s="10" t="s">
        <v>285</v>
      </c>
      <c r="K264" s="62">
        <f t="shared" si="19"/>
        <v>0</v>
      </c>
      <c r="L264" s="62">
        <f t="shared" si="19"/>
        <v>1</v>
      </c>
      <c r="M264" s="62">
        <f t="shared" si="19"/>
        <v>0</v>
      </c>
      <c r="N264" s="62">
        <f t="shared" si="18"/>
        <v>0</v>
      </c>
      <c r="O264" s="62">
        <f t="shared" si="18"/>
        <v>0</v>
      </c>
      <c r="P264" s="62">
        <f t="shared" si="18"/>
        <v>0</v>
      </c>
      <c r="Q264" s="62">
        <f t="shared" si="18"/>
        <v>0</v>
      </c>
      <c r="R264" s="62">
        <f t="shared" si="22"/>
        <v>0</v>
      </c>
      <c r="S264" s="62">
        <f t="shared" si="20"/>
        <v>0</v>
      </c>
      <c r="T264" s="62">
        <f t="shared" si="20"/>
        <v>0</v>
      </c>
      <c r="U264" s="62">
        <f t="shared" si="20"/>
        <v>0</v>
      </c>
      <c r="V264" s="62">
        <f t="shared" si="21"/>
        <v>1</v>
      </c>
    </row>
    <row r="265" spans="1:22" ht="19.5">
      <c r="A265" s="10" t="s">
        <v>286</v>
      </c>
      <c r="B265" s="10" t="s">
        <v>740</v>
      </c>
      <c r="C265" s="10" t="s">
        <v>13</v>
      </c>
      <c r="J265" s="10" t="s">
        <v>286</v>
      </c>
      <c r="K265" s="62">
        <f t="shared" si="19"/>
        <v>0</v>
      </c>
      <c r="L265" s="62">
        <f t="shared" si="19"/>
        <v>0</v>
      </c>
      <c r="M265" s="62">
        <f t="shared" si="19"/>
        <v>0</v>
      </c>
      <c r="N265" s="62">
        <f t="shared" si="18"/>
        <v>0</v>
      </c>
      <c r="O265" s="62">
        <f t="shared" si="18"/>
        <v>1</v>
      </c>
      <c r="P265" s="62">
        <f t="shared" si="18"/>
        <v>0</v>
      </c>
      <c r="Q265" s="62">
        <f t="shared" si="18"/>
        <v>0</v>
      </c>
      <c r="R265" s="62">
        <f t="shared" si="22"/>
        <v>0</v>
      </c>
      <c r="S265" s="62">
        <f t="shared" si="20"/>
        <v>0</v>
      </c>
      <c r="T265" s="62">
        <f t="shared" si="20"/>
        <v>0</v>
      </c>
      <c r="U265" s="62">
        <f t="shared" si="20"/>
        <v>0</v>
      </c>
      <c r="V265" s="62">
        <f t="shared" si="21"/>
        <v>1</v>
      </c>
    </row>
    <row r="266" spans="1:22" ht="19.5">
      <c r="A266" s="10" t="s">
        <v>287</v>
      </c>
      <c r="B266" s="10" t="s">
        <v>42</v>
      </c>
      <c r="C266" s="10" t="s">
        <v>13</v>
      </c>
      <c r="J266" s="10" t="s">
        <v>287</v>
      </c>
      <c r="K266" s="62">
        <f t="shared" si="19"/>
        <v>0</v>
      </c>
      <c r="L266" s="62">
        <f t="shared" si="19"/>
        <v>1</v>
      </c>
      <c r="M266" s="62">
        <f t="shared" si="19"/>
        <v>0</v>
      </c>
      <c r="N266" s="62">
        <f t="shared" si="18"/>
        <v>0</v>
      </c>
      <c r="O266" s="62">
        <f t="shared" si="18"/>
        <v>0</v>
      </c>
      <c r="P266" s="62">
        <f t="shared" si="18"/>
        <v>0</v>
      </c>
      <c r="Q266" s="62">
        <f t="shared" si="18"/>
        <v>0</v>
      </c>
      <c r="R266" s="62">
        <f t="shared" si="22"/>
        <v>0</v>
      </c>
      <c r="S266" s="62">
        <f t="shared" si="20"/>
        <v>0</v>
      </c>
      <c r="T266" s="62">
        <f t="shared" si="20"/>
        <v>0</v>
      </c>
      <c r="U266" s="62">
        <f t="shared" si="20"/>
        <v>0</v>
      </c>
      <c r="V266" s="62">
        <f t="shared" si="21"/>
        <v>1</v>
      </c>
    </row>
    <row r="267" spans="1:22" ht="19.5">
      <c r="A267" s="10" t="s">
        <v>288</v>
      </c>
      <c r="B267" s="10" t="s">
        <v>737</v>
      </c>
      <c r="C267" s="10" t="s">
        <v>13</v>
      </c>
      <c r="J267" s="10" t="s">
        <v>288</v>
      </c>
      <c r="K267" s="62">
        <f t="shared" si="19"/>
        <v>0</v>
      </c>
      <c r="L267" s="62">
        <f t="shared" si="19"/>
        <v>0</v>
      </c>
      <c r="M267" s="62">
        <f t="shared" si="19"/>
        <v>0</v>
      </c>
      <c r="N267" s="62">
        <f t="shared" si="18"/>
        <v>1</v>
      </c>
      <c r="O267" s="62">
        <f t="shared" si="18"/>
        <v>0</v>
      </c>
      <c r="P267" s="62">
        <f t="shared" si="18"/>
        <v>0</v>
      </c>
      <c r="Q267" s="62">
        <f t="shared" si="18"/>
        <v>0</v>
      </c>
      <c r="R267" s="62">
        <f t="shared" si="22"/>
        <v>0</v>
      </c>
      <c r="S267" s="62">
        <f t="shared" si="20"/>
        <v>0</v>
      </c>
      <c r="T267" s="62">
        <f t="shared" si="20"/>
        <v>0</v>
      </c>
      <c r="U267" s="62">
        <f t="shared" si="20"/>
        <v>0</v>
      </c>
      <c r="V267" s="62">
        <f t="shared" si="21"/>
        <v>1</v>
      </c>
    </row>
    <row r="268" spans="1:22" ht="19.5">
      <c r="A268" s="10" t="s">
        <v>289</v>
      </c>
      <c r="B268" s="10" t="s">
        <v>39</v>
      </c>
      <c r="C268" s="10" t="s">
        <v>13</v>
      </c>
      <c r="J268" s="10" t="s">
        <v>289</v>
      </c>
      <c r="K268" s="62">
        <f t="shared" si="19"/>
        <v>1</v>
      </c>
      <c r="L268" s="62">
        <f t="shared" si="19"/>
        <v>0</v>
      </c>
      <c r="M268" s="62">
        <f t="shared" si="19"/>
        <v>0</v>
      </c>
      <c r="N268" s="62">
        <f t="shared" si="18"/>
        <v>0</v>
      </c>
      <c r="O268" s="62">
        <f t="shared" si="18"/>
        <v>0</v>
      </c>
      <c r="P268" s="62">
        <f t="shared" si="18"/>
        <v>0</v>
      </c>
      <c r="Q268" s="62">
        <f t="shared" si="18"/>
        <v>0</v>
      </c>
      <c r="R268" s="62">
        <f t="shared" si="22"/>
        <v>0</v>
      </c>
      <c r="S268" s="62">
        <f t="shared" si="20"/>
        <v>0</v>
      </c>
      <c r="T268" s="62">
        <f t="shared" si="20"/>
        <v>0</v>
      </c>
      <c r="U268" s="62">
        <f t="shared" si="20"/>
        <v>0</v>
      </c>
      <c r="V268" s="62">
        <f t="shared" si="21"/>
        <v>1</v>
      </c>
    </row>
    <row r="269" spans="1:22" ht="19.5">
      <c r="A269" s="10" t="s">
        <v>290</v>
      </c>
      <c r="B269" s="10" t="s">
        <v>42</v>
      </c>
      <c r="C269" s="10" t="s">
        <v>13</v>
      </c>
      <c r="J269" s="10" t="s">
        <v>290</v>
      </c>
      <c r="K269" s="62">
        <f t="shared" si="19"/>
        <v>0</v>
      </c>
      <c r="L269" s="62">
        <f t="shared" si="19"/>
        <v>1</v>
      </c>
      <c r="M269" s="62">
        <f t="shared" si="19"/>
        <v>0</v>
      </c>
      <c r="N269" s="62">
        <f t="shared" si="18"/>
        <v>0</v>
      </c>
      <c r="O269" s="62">
        <f t="shared" si="18"/>
        <v>0</v>
      </c>
      <c r="P269" s="62">
        <f t="shared" si="18"/>
        <v>0</v>
      </c>
      <c r="Q269" s="62">
        <f t="shared" si="18"/>
        <v>0</v>
      </c>
      <c r="R269" s="62">
        <f t="shared" si="22"/>
        <v>0</v>
      </c>
      <c r="S269" s="62">
        <f t="shared" si="20"/>
        <v>0</v>
      </c>
      <c r="T269" s="62">
        <f t="shared" si="20"/>
        <v>0</v>
      </c>
      <c r="U269" s="62">
        <f t="shared" si="20"/>
        <v>0</v>
      </c>
      <c r="V269" s="62">
        <f t="shared" si="21"/>
        <v>1</v>
      </c>
    </row>
    <row r="270" spans="1:22" ht="19.5">
      <c r="A270" s="10" t="s">
        <v>291</v>
      </c>
      <c r="B270" s="10" t="s">
        <v>737</v>
      </c>
      <c r="C270" s="10" t="s">
        <v>13</v>
      </c>
      <c r="J270" s="10" t="s">
        <v>291</v>
      </c>
      <c r="K270" s="62">
        <f t="shared" si="19"/>
        <v>0</v>
      </c>
      <c r="L270" s="62">
        <f t="shared" si="19"/>
        <v>0</v>
      </c>
      <c r="M270" s="62">
        <f t="shared" si="19"/>
        <v>0</v>
      </c>
      <c r="N270" s="62">
        <f t="shared" si="18"/>
        <v>1</v>
      </c>
      <c r="O270" s="62">
        <f t="shared" si="18"/>
        <v>0</v>
      </c>
      <c r="P270" s="62">
        <f t="shared" si="18"/>
        <v>0</v>
      </c>
      <c r="Q270" s="62">
        <f t="shared" si="18"/>
        <v>0</v>
      </c>
      <c r="R270" s="62">
        <f t="shared" si="22"/>
        <v>0</v>
      </c>
      <c r="S270" s="62">
        <f t="shared" si="20"/>
        <v>0</v>
      </c>
      <c r="T270" s="62">
        <f t="shared" si="20"/>
        <v>0</v>
      </c>
      <c r="U270" s="62">
        <f t="shared" si="20"/>
        <v>0</v>
      </c>
      <c r="V270" s="62">
        <f t="shared" si="21"/>
        <v>1</v>
      </c>
    </row>
    <row r="271" spans="1:22" ht="19.5">
      <c r="A271" s="10" t="s">
        <v>292</v>
      </c>
      <c r="B271" s="10" t="s">
        <v>739</v>
      </c>
      <c r="C271" s="10" t="s">
        <v>13</v>
      </c>
      <c r="J271" s="10" t="s">
        <v>292</v>
      </c>
      <c r="K271" s="62">
        <f t="shared" si="19"/>
        <v>0</v>
      </c>
      <c r="L271" s="62">
        <f t="shared" si="19"/>
        <v>0</v>
      </c>
      <c r="M271" s="62">
        <f t="shared" si="19"/>
        <v>0</v>
      </c>
      <c r="N271" s="62">
        <f t="shared" si="18"/>
        <v>0</v>
      </c>
      <c r="O271" s="62">
        <f t="shared" si="18"/>
        <v>0</v>
      </c>
      <c r="P271" s="62">
        <f t="shared" si="18"/>
        <v>1</v>
      </c>
      <c r="Q271" s="62">
        <f t="shared" si="18"/>
        <v>0</v>
      </c>
      <c r="R271" s="62">
        <f t="shared" si="22"/>
        <v>0</v>
      </c>
      <c r="S271" s="62">
        <f t="shared" si="20"/>
        <v>0</v>
      </c>
      <c r="T271" s="62">
        <f t="shared" si="20"/>
        <v>0</v>
      </c>
      <c r="U271" s="62">
        <f t="shared" si="20"/>
        <v>0</v>
      </c>
      <c r="V271" s="62">
        <f t="shared" si="21"/>
        <v>1</v>
      </c>
    </row>
    <row r="272" spans="1:22" ht="19.5">
      <c r="A272" s="10" t="s">
        <v>293</v>
      </c>
      <c r="B272" s="10" t="s">
        <v>37</v>
      </c>
      <c r="C272" s="10" t="s">
        <v>13</v>
      </c>
      <c r="J272" s="10" t="s">
        <v>293</v>
      </c>
      <c r="K272" s="62">
        <f t="shared" si="19"/>
        <v>0</v>
      </c>
      <c r="L272" s="62">
        <f t="shared" si="19"/>
        <v>0</v>
      </c>
      <c r="M272" s="62">
        <f t="shared" si="19"/>
        <v>1</v>
      </c>
      <c r="N272" s="62">
        <f t="shared" si="18"/>
        <v>0</v>
      </c>
      <c r="O272" s="62">
        <f t="shared" si="18"/>
        <v>0</v>
      </c>
      <c r="P272" s="62">
        <f t="shared" si="18"/>
        <v>0</v>
      </c>
      <c r="Q272" s="62">
        <f t="shared" si="18"/>
        <v>0</v>
      </c>
      <c r="R272" s="62">
        <f t="shared" si="22"/>
        <v>0</v>
      </c>
      <c r="S272" s="62">
        <f t="shared" si="20"/>
        <v>0</v>
      </c>
      <c r="T272" s="62">
        <f t="shared" si="20"/>
        <v>0</v>
      </c>
      <c r="U272" s="62">
        <f t="shared" si="20"/>
        <v>0</v>
      </c>
      <c r="V272" s="62">
        <f t="shared" si="21"/>
        <v>1</v>
      </c>
    </row>
    <row r="273" spans="1:22" ht="19.5">
      <c r="A273" s="10" t="s">
        <v>294</v>
      </c>
      <c r="B273" s="10" t="s">
        <v>39</v>
      </c>
      <c r="C273" s="10" t="s">
        <v>13</v>
      </c>
      <c r="J273" s="10" t="s">
        <v>294</v>
      </c>
      <c r="K273" s="62">
        <f t="shared" si="19"/>
        <v>1</v>
      </c>
      <c r="L273" s="62">
        <f t="shared" si="19"/>
        <v>0</v>
      </c>
      <c r="M273" s="62">
        <f t="shared" si="19"/>
        <v>0</v>
      </c>
      <c r="N273" s="62">
        <f t="shared" si="18"/>
        <v>0</v>
      </c>
      <c r="O273" s="62">
        <f t="shared" si="18"/>
        <v>0</v>
      </c>
      <c r="P273" s="62">
        <f t="shared" si="18"/>
        <v>0</v>
      </c>
      <c r="Q273" s="62">
        <f t="shared" si="18"/>
        <v>0</v>
      </c>
      <c r="R273" s="62">
        <f t="shared" si="22"/>
        <v>0</v>
      </c>
      <c r="S273" s="62">
        <f t="shared" si="20"/>
        <v>0</v>
      </c>
      <c r="T273" s="62">
        <f t="shared" si="20"/>
        <v>0</v>
      </c>
      <c r="U273" s="62">
        <f t="shared" si="20"/>
        <v>0</v>
      </c>
      <c r="V273" s="62">
        <f t="shared" si="21"/>
        <v>1</v>
      </c>
    </row>
    <row r="274" spans="1:22" ht="19.5">
      <c r="A274" s="10" t="s">
        <v>295</v>
      </c>
      <c r="B274" s="10" t="s">
        <v>42</v>
      </c>
      <c r="C274" s="10" t="s">
        <v>20</v>
      </c>
      <c r="J274" s="10" t="s">
        <v>295</v>
      </c>
      <c r="K274" s="62">
        <f t="shared" si="19"/>
        <v>0</v>
      </c>
      <c r="L274" s="62">
        <f t="shared" si="19"/>
        <v>1</v>
      </c>
      <c r="M274" s="62">
        <f t="shared" si="19"/>
        <v>0</v>
      </c>
      <c r="N274" s="62">
        <f t="shared" si="18"/>
        <v>0</v>
      </c>
      <c r="O274" s="62">
        <f t="shared" si="18"/>
        <v>0</v>
      </c>
      <c r="P274" s="62">
        <f t="shared" si="18"/>
        <v>0</v>
      </c>
      <c r="Q274" s="62">
        <f t="shared" si="18"/>
        <v>0</v>
      </c>
      <c r="R274" s="62">
        <f t="shared" si="22"/>
        <v>0</v>
      </c>
      <c r="S274" s="62">
        <f t="shared" si="20"/>
        <v>0</v>
      </c>
      <c r="T274" s="62">
        <f t="shared" si="20"/>
        <v>0</v>
      </c>
      <c r="U274" s="62">
        <f t="shared" si="20"/>
        <v>0</v>
      </c>
      <c r="V274" s="62">
        <f t="shared" si="21"/>
        <v>0</v>
      </c>
    </row>
    <row r="275" spans="1:22" ht="19.5">
      <c r="A275" s="10" t="s">
        <v>296</v>
      </c>
      <c r="B275" s="10" t="s">
        <v>42</v>
      </c>
      <c r="C275" s="10" t="s">
        <v>13</v>
      </c>
      <c r="J275" s="10" t="s">
        <v>296</v>
      </c>
      <c r="K275" s="62">
        <f t="shared" si="19"/>
        <v>0</v>
      </c>
      <c r="L275" s="62">
        <f t="shared" si="19"/>
        <v>1</v>
      </c>
      <c r="M275" s="62">
        <f t="shared" si="19"/>
        <v>0</v>
      </c>
      <c r="N275" s="62">
        <f t="shared" si="18"/>
        <v>0</v>
      </c>
      <c r="O275" s="62">
        <f t="shared" si="18"/>
        <v>0</v>
      </c>
      <c r="P275" s="62">
        <f t="shared" si="18"/>
        <v>0</v>
      </c>
      <c r="Q275" s="62">
        <f t="shared" si="18"/>
        <v>0</v>
      </c>
      <c r="R275" s="62">
        <f t="shared" si="22"/>
        <v>0</v>
      </c>
      <c r="S275" s="62">
        <f t="shared" si="20"/>
        <v>0</v>
      </c>
      <c r="T275" s="62">
        <f t="shared" si="20"/>
        <v>0</v>
      </c>
      <c r="U275" s="62">
        <f t="shared" si="20"/>
        <v>0</v>
      </c>
      <c r="V275" s="62">
        <f t="shared" si="21"/>
        <v>1</v>
      </c>
    </row>
    <row r="276" spans="1:22" ht="19.5">
      <c r="A276" s="10" t="s">
        <v>297</v>
      </c>
      <c r="B276" s="10" t="s">
        <v>739</v>
      </c>
      <c r="C276" s="10" t="s">
        <v>13</v>
      </c>
      <c r="J276" s="10" t="s">
        <v>297</v>
      </c>
      <c r="K276" s="62">
        <f t="shared" si="19"/>
        <v>0</v>
      </c>
      <c r="L276" s="62">
        <f t="shared" si="19"/>
        <v>0</v>
      </c>
      <c r="M276" s="62">
        <f t="shared" si="19"/>
        <v>0</v>
      </c>
      <c r="N276" s="62">
        <f t="shared" si="18"/>
        <v>0</v>
      </c>
      <c r="O276" s="62">
        <f t="shared" si="18"/>
        <v>0</v>
      </c>
      <c r="P276" s="62">
        <f t="shared" si="18"/>
        <v>1</v>
      </c>
      <c r="Q276" s="62">
        <f t="shared" si="18"/>
        <v>0</v>
      </c>
      <c r="R276" s="62">
        <f t="shared" si="22"/>
        <v>0</v>
      </c>
      <c r="S276" s="62">
        <f t="shared" si="20"/>
        <v>0</v>
      </c>
      <c r="T276" s="62">
        <f t="shared" si="20"/>
        <v>0</v>
      </c>
      <c r="U276" s="62">
        <f t="shared" si="20"/>
        <v>0</v>
      </c>
      <c r="V276" s="62">
        <f t="shared" si="21"/>
        <v>1</v>
      </c>
    </row>
    <row r="277" spans="1:22" ht="19.5">
      <c r="A277" s="10" t="s">
        <v>298</v>
      </c>
      <c r="B277" s="10" t="s">
        <v>39</v>
      </c>
      <c r="C277" s="10" t="s">
        <v>13</v>
      </c>
      <c r="J277" s="10" t="s">
        <v>298</v>
      </c>
      <c r="K277" s="62">
        <f t="shared" si="19"/>
        <v>1</v>
      </c>
      <c r="L277" s="62">
        <f t="shared" si="19"/>
        <v>0</v>
      </c>
      <c r="M277" s="62">
        <f t="shared" si="19"/>
        <v>0</v>
      </c>
      <c r="N277" s="62">
        <f t="shared" si="18"/>
        <v>0</v>
      </c>
      <c r="O277" s="62">
        <f t="shared" si="18"/>
        <v>0</v>
      </c>
      <c r="P277" s="62">
        <f t="shared" si="18"/>
        <v>0</v>
      </c>
      <c r="Q277" s="62">
        <f t="shared" si="18"/>
        <v>0</v>
      </c>
      <c r="R277" s="62">
        <f t="shared" si="22"/>
        <v>0</v>
      </c>
      <c r="S277" s="62">
        <f t="shared" si="20"/>
        <v>0</v>
      </c>
      <c r="T277" s="62">
        <f t="shared" si="20"/>
        <v>0</v>
      </c>
      <c r="U277" s="62">
        <f t="shared" si="20"/>
        <v>0</v>
      </c>
      <c r="V277" s="62">
        <f t="shared" si="21"/>
        <v>1</v>
      </c>
    </row>
    <row r="278" spans="1:22" ht="19.5">
      <c r="A278" s="10" t="s">
        <v>299</v>
      </c>
      <c r="B278" s="10" t="s">
        <v>42</v>
      </c>
      <c r="C278" s="10" t="s">
        <v>13</v>
      </c>
      <c r="J278" s="10" t="s">
        <v>299</v>
      </c>
      <c r="K278" s="62">
        <f t="shared" si="19"/>
        <v>0</v>
      </c>
      <c r="L278" s="62">
        <f t="shared" si="19"/>
        <v>1</v>
      </c>
      <c r="M278" s="62">
        <f t="shared" si="19"/>
        <v>0</v>
      </c>
      <c r="N278" s="62">
        <f t="shared" si="18"/>
        <v>0</v>
      </c>
      <c r="O278" s="62">
        <f t="shared" si="18"/>
        <v>0</v>
      </c>
      <c r="P278" s="62">
        <f t="shared" si="18"/>
        <v>0</v>
      </c>
      <c r="Q278" s="62">
        <f t="shared" si="18"/>
        <v>0</v>
      </c>
      <c r="R278" s="62">
        <f t="shared" si="22"/>
        <v>0</v>
      </c>
      <c r="S278" s="62">
        <f t="shared" si="20"/>
        <v>0</v>
      </c>
      <c r="T278" s="62">
        <f t="shared" si="20"/>
        <v>0</v>
      </c>
      <c r="U278" s="62">
        <f t="shared" si="20"/>
        <v>0</v>
      </c>
      <c r="V278" s="62">
        <f t="shared" si="21"/>
        <v>1</v>
      </c>
    </row>
    <row r="279" spans="1:22" ht="19.5">
      <c r="A279" s="10" t="s">
        <v>300</v>
      </c>
      <c r="B279" s="10" t="s">
        <v>736</v>
      </c>
      <c r="C279" s="10" t="s">
        <v>13</v>
      </c>
      <c r="J279" s="10" t="s">
        <v>300</v>
      </c>
      <c r="K279" s="62">
        <f t="shared" si="19"/>
        <v>0</v>
      </c>
      <c r="L279" s="62">
        <f t="shared" si="19"/>
        <v>0</v>
      </c>
      <c r="M279" s="62">
        <f t="shared" si="19"/>
        <v>0</v>
      </c>
      <c r="N279" s="62">
        <f t="shared" si="18"/>
        <v>0</v>
      </c>
      <c r="O279" s="62">
        <f t="shared" si="18"/>
        <v>0</v>
      </c>
      <c r="P279" s="62">
        <f t="shared" si="18"/>
        <v>0</v>
      </c>
      <c r="Q279" s="62">
        <f t="shared" si="18"/>
        <v>0</v>
      </c>
      <c r="R279" s="62">
        <f t="shared" si="22"/>
        <v>1</v>
      </c>
      <c r="S279" s="62">
        <f t="shared" si="20"/>
        <v>0</v>
      </c>
      <c r="T279" s="62">
        <f t="shared" si="20"/>
        <v>0</v>
      </c>
      <c r="U279" s="62">
        <f t="shared" si="20"/>
        <v>0</v>
      </c>
      <c r="V279" s="62">
        <f t="shared" si="21"/>
        <v>1</v>
      </c>
    </row>
    <row r="280" spans="1:22" ht="19.5">
      <c r="A280" s="10" t="s">
        <v>302</v>
      </c>
      <c r="B280" s="10" t="s">
        <v>739</v>
      </c>
      <c r="C280" s="10" t="s">
        <v>13</v>
      </c>
      <c r="J280" s="10" t="s">
        <v>302</v>
      </c>
      <c r="K280" s="62">
        <f t="shared" si="19"/>
        <v>0</v>
      </c>
      <c r="L280" s="62">
        <f t="shared" si="19"/>
        <v>0</v>
      </c>
      <c r="M280" s="62">
        <f t="shared" si="19"/>
        <v>0</v>
      </c>
      <c r="N280" s="62">
        <f t="shared" si="18"/>
        <v>0</v>
      </c>
      <c r="O280" s="62">
        <f t="shared" si="18"/>
        <v>0</v>
      </c>
      <c r="P280" s="62">
        <f t="shared" si="18"/>
        <v>1</v>
      </c>
      <c r="Q280" s="62">
        <f t="shared" si="18"/>
        <v>0</v>
      </c>
      <c r="R280" s="62">
        <f t="shared" si="22"/>
        <v>0</v>
      </c>
      <c r="S280" s="62">
        <f t="shared" si="20"/>
        <v>0</v>
      </c>
      <c r="T280" s="62">
        <f t="shared" si="20"/>
        <v>0</v>
      </c>
      <c r="U280" s="62">
        <f t="shared" si="20"/>
        <v>0</v>
      </c>
      <c r="V280" s="62">
        <f t="shared" si="21"/>
        <v>1</v>
      </c>
    </row>
    <row r="281" spans="1:22" ht="19.5">
      <c r="A281" s="10" t="s">
        <v>303</v>
      </c>
      <c r="B281" s="10" t="s">
        <v>39</v>
      </c>
      <c r="C281" s="10" t="s">
        <v>13</v>
      </c>
      <c r="J281" s="10" t="s">
        <v>303</v>
      </c>
      <c r="K281" s="62">
        <f t="shared" si="19"/>
        <v>1</v>
      </c>
      <c r="L281" s="62">
        <f t="shared" si="19"/>
        <v>0</v>
      </c>
      <c r="M281" s="62">
        <f t="shared" si="19"/>
        <v>0</v>
      </c>
      <c r="N281" s="62">
        <f t="shared" si="18"/>
        <v>0</v>
      </c>
      <c r="O281" s="62">
        <f t="shared" si="18"/>
        <v>0</v>
      </c>
      <c r="P281" s="62">
        <f t="shared" si="18"/>
        <v>0</v>
      </c>
      <c r="Q281" s="62">
        <f t="shared" si="18"/>
        <v>0</v>
      </c>
      <c r="R281" s="62">
        <f t="shared" si="22"/>
        <v>0</v>
      </c>
      <c r="S281" s="62">
        <f t="shared" si="20"/>
        <v>0</v>
      </c>
      <c r="T281" s="62">
        <f t="shared" si="20"/>
        <v>0</v>
      </c>
      <c r="U281" s="62">
        <f t="shared" si="20"/>
        <v>0</v>
      </c>
      <c r="V281" s="62">
        <f t="shared" si="21"/>
        <v>1</v>
      </c>
    </row>
    <row r="282" spans="1:22" ht="19.5">
      <c r="A282" s="10" t="s">
        <v>304</v>
      </c>
      <c r="B282" s="10" t="s">
        <v>42</v>
      </c>
      <c r="C282" s="10" t="s">
        <v>13</v>
      </c>
      <c r="J282" s="10" t="s">
        <v>304</v>
      </c>
      <c r="K282" s="62">
        <f t="shared" si="19"/>
        <v>0</v>
      </c>
      <c r="L282" s="62">
        <f t="shared" si="19"/>
        <v>1</v>
      </c>
      <c r="M282" s="62">
        <f t="shared" si="19"/>
        <v>0</v>
      </c>
      <c r="N282" s="62">
        <f t="shared" si="18"/>
        <v>0</v>
      </c>
      <c r="O282" s="62">
        <f t="shared" si="18"/>
        <v>0</v>
      </c>
      <c r="P282" s="62">
        <f t="shared" si="18"/>
        <v>0</v>
      </c>
      <c r="Q282" s="62">
        <f t="shared" si="18"/>
        <v>0</v>
      </c>
      <c r="R282" s="62">
        <f t="shared" si="22"/>
        <v>0</v>
      </c>
      <c r="S282" s="62">
        <f t="shared" si="20"/>
        <v>0</v>
      </c>
      <c r="T282" s="62">
        <f t="shared" si="20"/>
        <v>0</v>
      </c>
      <c r="U282" s="62">
        <f t="shared" si="20"/>
        <v>0</v>
      </c>
      <c r="V282" s="62">
        <f t="shared" si="21"/>
        <v>1</v>
      </c>
    </row>
    <row r="283" spans="1:22" ht="19.5">
      <c r="A283" s="10" t="s">
        <v>305</v>
      </c>
      <c r="B283" s="10" t="s">
        <v>42</v>
      </c>
      <c r="C283" s="10" t="s">
        <v>13</v>
      </c>
      <c r="J283" s="10" t="s">
        <v>305</v>
      </c>
      <c r="K283" s="62">
        <f t="shared" si="19"/>
        <v>0</v>
      </c>
      <c r="L283" s="62">
        <f t="shared" si="19"/>
        <v>1</v>
      </c>
      <c r="M283" s="62">
        <f t="shared" si="19"/>
        <v>0</v>
      </c>
      <c r="N283" s="62">
        <f t="shared" si="18"/>
        <v>0</v>
      </c>
      <c r="O283" s="62">
        <f t="shared" si="18"/>
        <v>0</v>
      </c>
      <c r="P283" s="62">
        <f t="shared" si="18"/>
        <v>0</v>
      </c>
      <c r="Q283" s="62">
        <f t="shared" si="18"/>
        <v>0</v>
      </c>
      <c r="R283" s="62">
        <f t="shared" si="22"/>
        <v>0</v>
      </c>
      <c r="S283" s="62">
        <f t="shared" si="20"/>
        <v>0</v>
      </c>
      <c r="T283" s="62">
        <f t="shared" si="20"/>
        <v>0</v>
      </c>
      <c r="U283" s="62">
        <f t="shared" si="20"/>
        <v>0</v>
      </c>
      <c r="V283" s="62">
        <f t="shared" si="21"/>
        <v>1</v>
      </c>
    </row>
    <row r="284" spans="1:22" ht="19.5">
      <c r="A284" s="10" t="s">
        <v>306</v>
      </c>
      <c r="B284" s="10" t="s">
        <v>739</v>
      </c>
      <c r="C284" s="10" t="s">
        <v>13</v>
      </c>
      <c r="J284" s="10" t="s">
        <v>306</v>
      </c>
      <c r="K284" s="62">
        <f t="shared" si="19"/>
        <v>0</v>
      </c>
      <c r="L284" s="62">
        <f t="shared" si="19"/>
        <v>0</v>
      </c>
      <c r="M284" s="62">
        <f t="shared" si="19"/>
        <v>0</v>
      </c>
      <c r="N284" s="62">
        <f t="shared" si="18"/>
        <v>0</v>
      </c>
      <c r="O284" s="62">
        <f t="shared" si="18"/>
        <v>0</v>
      </c>
      <c r="P284" s="62">
        <f t="shared" si="18"/>
        <v>1</v>
      </c>
      <c r="Q284" s="62">
        <f t="shared" si="18"/>
        <v>0</v>
      </c>
      <c r="R284" s="62">
        <f t="shared" si="22"/>
        <v>0</v>
      </c>
      <c r="S284" s="62">
        <f t="shared" si="20"/>
        <v>0</v>
      </c>
      <c r="T284" s="62">
        <f t="shared" si="20"/>
        <v>0</v>
      </c>
      <c r="U284" s="62">
        <f t="shared" si="20"/>
        <v>0</v>
      </c>
      <c r="V284" s="62">
        <f t="shared" si="21"/>
        <v>1</v>
      </c>
    </row>
    <row r="285" spans="1:22" ht="19.5">
      <c r="A285" s="10" t="s">
        <v>307</v>
      </c>
      <c r="B285" s="10" t="s">
        <v>39</v>
      </c>
      <c r="C285" s="10" t="s">
        <v>13</v>
      </c>
      <c r="J285" s="10" t="s">
        <v>307</v>
      </c>
      <c r="K285" s="62">
        <f t="shared" si="19"/>
        <v>1</v>
      </c>
      <c r="L285" s="62">
        <f t="shared" si="19"/>
        <v>0</v>
      </c>
      <c r="M285" s="62">
        <f t="shared" si="19"/>
        <v>0</v>
      </c>
      <c r="N285" s="62">
        <f t="shared" si="18"/>
        <v>0</v>
      </c>
      <c r="O285" s="62">
        <f t="shared" si="18"/>
        <v>0</v>
      </c>
      <c r="P285" s="62">
        <f t="shared" si="18"/>
        <v>0</v>
      </c>
      <c r="Q285" s="62">
        <f t="shared" si="18"/>
        <v>0</v>
      </c>
      <c r="R285" s="62">
        <f t="shared" si="22"/>
        <v>0</v>
      </c>
      <c r="S285" s="62">
        <f t="shared" si="20"/>
        <v>0</v>
      </c>
      <c r="T285" s="62">
        <f t="shared" si="20"/>
        <v>0</v>
      </c>
      <c r="U285" s="62">
        <f t="shared" si="20"/>
        <v>0</v>
      </c>
      <c r="V285" s="62">
        <f t="shared" si="21"/>
        <v>1</v>
      </c>
    </row>
    <row r="286" spans="1:22" ht="19.5">
      <c r="A286" s="10" t="s">
        <v>308</v>
      </c>
      <c r="B286" s="10" t="s">
        <v>42</v>
      </c>
      <c r="C286" s="10" t="s">
        <v>13</v>
      </c>
      <c r="J286" s="10" t="s">
        <v>308</v>
      </c>
      <c r="K286" s="62">
        <f t="shared" si="19"/>
        <v>0</v>
      </c>
      <c r="L286" s="62">
        <f t="shared" si="19"/>
        <v>1</v>
      </c>
      <c r="M286" s="62">
        <f t="shared" si="19"/>
        <v>0</v>
      </c>
      <c r="N286" s="62">
        <f t="shared" si="18"/>
        <v>0</v>
      </c>
      <c r="O286" s="62">
        <f t="shared" si="18"/>
        <v>0</v>
      </c>
      <c r="P286" s="62">
        <f t="shared" si="18"/>
        <v>0</v>
      </c>
      <c r="Q286" s="62">
        <f t="shared" si="18"/>
        <v>0</v>
      </c>
      <c r="R286" s="62">
        <f t="shared" si="22"/>
        <v>0</v>
      </c>
      <c r="S286" s="62">
        <f t="shared" si="20"/>
        <v>0</v>
      </c>
      <c r="T286" s="62">
        <f t="shared" si="20"/>
        <v>0</v>
      </c>
      <c r="U286" s="62">
        <f t="shared" si="20"/>
        <v>0</v>
      </c>
      <c r="V286" s="62">
        <f t="shared" si="21"/>
        <v>1</v>
      </c>
    </row>
    <row r="287" spans="1:22" ht="19.5">
      <c r="A287" s="10" t="s">
        <v>309</v>
      </c>
      <c r="B287" s="10" t="s">
        <v>737</v>
      </c>
      <c r="C287" s="10" t="s">
        <v>13</v>
      </c>
      <c r="J287" s="10" t="s">
        <v>309</v>
      </c>
      <c r="K287" s="62">
        <f t="shared" si="19"/>
        <v>0</v>
      </c>
      <c r="L287" s="62">
        <f t="shared" si="19"/>
        <v>0</v>
      </c>
      <c r="M287" s="62">
        <f t="shared" si="19"/>
        <v>0</v>
      </c>
      <c r="N287" s="62">
        <f t="shared" si="18"/>
        <v>1</v>
      </c>
      <c r="O287" s="62">
        <f t="shared" si="18"/>
        <v>0</v>
      </c>
      <c r="P287" s="62">
        <f t="shared" si="18"/>
        <v>0</v>
      </c>
      <c r="Q287" s="62">
        <f t="shared" si="18"/>
        <v>0</v>
      </c>
      <c r="R287" s="62">
        <f t="shared" si="22"/>
        <v>0</v>
      </c>
      <c r="S287" s="62">
        <f t="shared" si="20"/>
        <v>0</v>
      </c>
      <c r="T287" s="62">
        <f t="shared" si="20"/>
        <v>0</v>
      </c>
      <c r="U287" s="62">
        <f t="shared" si="20"/>
        <v>0</v>
      </c>
      <c r="V287" s="62">
        <f t="shared" si="21"/>
        <v>1</v>
      </c>
    </row>
    <row r="288" spans="1:22" ht="19.5">
      <c r="A288" s="10" t="s">
        <v>310</v>
      </c>
      <c r="B288" s="10" t="s">
        <v>37</v>
      </c>
      <c r="C288" s="10" t="s">
        <v>13</v>
      </c>
      <c r="J288" s="10" t="s">
        <v>310</v>
      </c>
      <c r="K288" s="62">
        <f t="shared" si="19"/>
        <v>0</v>
      </c>
      <c r="L288" s="62">
        <f t="shared" si="19"/>
        <v>0</v>
      </c>
      <c r="M288" s="62">
        <f t="shared" si="19"/>
        <v>1</v>
      </c>
      <c r="N288" s="62">
        <f t="shared" si="18"/>
        <v>0</v>
      </c>
      <c r="O288" s="62">
        <f t="shared" si="18"/>
        <v>0</v>
      </c>
      <c r="P288" s="62">
        <f t="shared" si="18"/>
        <v>0</v>
      </c>
      <c r="Q288" s="62">
        <f t="shared" si="18"/>
        <v>0</v>
      </c>
      <c r="R288" s="62">
        <f t="shared" si="22"/>
        <v>0</v>
      </c>
      <c r="S288" s="62">
        <f t="shared" si="20"/>
        <v>0</v>
      </c>
      <c r="T288" s="62">
        <f t="shared" si="20"/>
        <v>0</v>
      </c>
      <c r="U288" s="62">
        <f t="shared" si="20"/>
        <v>0</v>
      </c>
      <c r="V288" s="62">
        <f t="shared" si="21"/>
        <v>1</v>
      </c>
    </row>
    <row r="289" spans="1:22" ht="19.5">
      <c r="A289" s="10" t="s">
        <v>311</v>
      </c>
      <c r="B289" s="10" t="s">
        <v>39</v>
      </c>
      <c r="C289" s="10" t="s">
        <v>13</v>
      </c>
      <c r="J289" s="10" t="s">
        <v>311</v>
      </c>
      <c r="K289" s="62">
        <f t="shared" si="19"/>
        <v>1</v>
      </c>
      <c r="L289" s="62">
        <f t="shared" si="19"/>
        <v>0</v>
      </c>
      <c r="M289" s="62">
        <f t="shared" si="19"/>
        <v>0</v>
      </c>
      <c r="N289" s="62">
        <f t="shared" si="18"/>
        <v>0</v>
      </c>
      <c r="O289" s="62">
        <f t="shared" si="18"/>
        <v>0</v>
      </c>
      <c r="P289" s="62">
        <f t="shared" si="18"/>
        <v>0</v>
      </c>
      <c r="Q289" s="62">
        <f t="shared" si="18"/>
        <v>0</v>
      </c>
      <c r="R289" s="62">
        <f t="shared" si="22"/>
        <v>0</v>
      </c>
      <c r="S289" s="62">
        <f t="shared" si="20"/>
        <v>0</v>
      </c>
      <c r="T289" s="62">
        <f t="shared" si="20"/>
        <v>0</v>
      </c>
      <c r="U289" s="62">
        <f t="shared" si="20"/>
        <v>0</v>
      </c>
      <c r="V289" s="62">
        <f t="shared" si="21"/>
        <v>1</v>
      </c>
    </row>
    <row r="290" spans="1:22" ht="19.5">
      <c r="A290" s="10" t="s">
        <v>312</v>
      </c>
      <c r="B290" s="10" t="s">
        <v>42</v>
      </c>
      <c r="C290" s="10" t="s">
        <v>13</v>
      </c>
      <c r="J290" s="10" t="s">
        <v>312</v>
      </c>
      <c r="K290" s="62">
        <f t="shared" si="19"/>
        <v>0</v>
      </c>
      <c r="L290" s="62">
        <f t="shared" si="19"/>
        <v>1</v>
      </c>
      <c r="M290" s="62">
        <f t="shared" si="19"/>
        <v>0</v>
      </c>
      <c r="N290" s="62">
        <f t="shared" si="18"/>
        <v>0</v>
      </c>
      <c r="O290" s="62">
        <f t="shared" si="18"/>
        <v>0</v>
      </c>
      <c r="P290" s="62">
        <f t="shared" si="18"/>
        <v>0</v>
      </c>
      <c r="Q290" s="62">
        <f t="shared" si="18"/>
        <v>0</v>
      </c>
      <c r="R290" s="62">
        <f t="shared" si="22"/>
        <v>0</v>
      </c>
      <c r="S290" s="62">
        <f t="shared" si="20"/>
        <v>0</v>
      </c>
      <c r="T290" s="62">
        <f t="shared" si="20"/>
        <v>0</v>
      </c>
      <c r="U290" s="62">
        <f t="shared" si="20"/>
        <v>0</v>
      </c>
      <c r="V290" s="62">
        <f t="shared" si="21"/>
        <v>1</v>
      </c>
    </row>
    <row r="291" spans="1:22" ht="19.5">
      <c r="A291" s="10" t="s">
        <v>313</v>
      </c>
      <c r="B291" s="10" t="s">
        <v>42</v>
      </c>
      <c r="C291" s="10" t="s">
        <v>13</v>
      </c>
      <c r="J291" s="10" t="s">
        <v>313</v>
      </c>
      <c r="K291" s="62">
        <f t="shared" si="19"/>
        <v>0</v>
      </c>
      <c r="L291" s="62">
        <f t="shared" si="19"/>
        <v>1</v>
      </c>
      <c r="M291" s="62">
        <f t="shared" si="19"/>
        <v>0</v>
      </c>
      <c r="N291" s="62">
        <f t="shared" si="18"/>
        <v>0</v>
      </c>
      <c r="O291" s="62">
        <f t="shared" si="18"/>
        <v>0</v>
      </c>
      <c r="P291" s="62">
        <f t="shared" si="18"/>
        <v>0</v>
      </c>
      <c r="Q291" s="62">
        <f t="shared" si="18"/>
        <v>0</v>
      </c>
      <c r="R291" s="62">
        <f t="shared" si="22"/>
        <v>0</v>
      </c>
      <c r="S291" s="62">
        <f t="shared" si="20"/>
        <v>0</v>
      </c>
      <c r="T291" s="62">
        <f t="shared" si="20"/>
        <v>0</v>
      </c>
      <c r="U291" s="62">
        <f t="shared" si="20"/>
        <v>0</v>
      </c>
      <c r="V291" s="62">
        <f t="shared" si="21"/>
        <v>1</v>
      </c>
    </row>
    <row r="292" spans="1:22" ht="19.5">
      <c r="A292" s="10" t="s">
        <v>314</v>
      </c>
      <c r="B292" s="10" t="s">
        <v>739</v>
      </c>
      <c r="C292" s="10" t="s">
        <v>13</v>
      </c>
      <c r="J292" s="10" t="s">
        <v>314</v>
      </c>
      <c r="K292" s="62">
        <f t="shared" si="19"/>
        <v>0</v>
      </c>
      <c r="L292" s="62">
        <f t="shared" si="19"/>
        <v>0</v>
      </c>
      <c r="M292" s="62">
        <f t="shared" si="19"/>
        <v>0</v>
      </c>
      <c r="N292" s="62">
        <f t="shared" si="18"/>
        <v>0</v>
      </c>
      <c r="O292" s="62">
        <f t="shared" si="18"/>
        <v>0</v>
      </c>
      <c r="P292" s="62">
        <f t="shared" si="18"/>
        <v>1</v>
      </c>
      <c r="Q292" s="62">
        <f t="shared" si="18"/>
        <v>0</v>
      </c>
      <c r="R292" s="62">
        <f t="shared" si="22"/>
        <v>0</v>
      </c>
      <c r="S292" s="62">
        <f t="shared" si="20"/>
        <v>0</v>
      </c>
      <c r="T292" s="62">
        <f t="shared" si="20"/>
        <v>0</v>
      </c>
      <c r="U292" s="62">
        <f t="shared" si="20"/>
        <v>0</v>
      </c>
      <c r="V292" s="62">
        <f t="shared" si="21"/>
        <v>1</v>
      </c>
    </row>
    <row r="293" spans="1:22" ht="19.5">
      <c r="A293" s="10" t="s">
        <v>315</v>
      </c>
      <c r="B293" s="10" t="s">
        <v>37</v>
      </c>
      <c r="C293" s="10" t="s">
        <v>13</v>
      </c>
      <c r="J293" s="10" t="s">
        <v>315</v>
      </c>
      <c r="K293" s="62">
        <f t="shared" si="19"/>
        <v>0</v>
      </c>
      <c r="L293" s="62">
        <f t="shared" si="19"/>
        <v>0</v>
      </c>
      <c r="M293" s="62">
        <f t="shared" si="19"/>
        <v>1</v>
      </c>
      <c r="N293" s="62">
        <f t="shared" si="18"/>
        <v>0</v>
      </c>
      <c r="O293" s="62">
        <f t="shared" si="18"/>
        <v>0</v>
      </c>
      <c r="P293" s="62">
        <f t="shared" si="18"/>
        <v>0</v>
      </c>
      <c r="Q293" s="62">
        <f t="shared" si="18"/>
        <v>0</v>
      </c>
      <c r="R293" s="62">
        <f t="shared" si="22"/>
        <v>0</v>
      </c>
      <c r="S293" s="62">
        <f t="shared" si="20"/>
        <v>0</v>
      </c>
      <c r="T293" s="62">
        <f t="shared" si="20"/>
        <v>0</v>
      </c>
      <c r="U293" s="62">
        <f t="shared" si="20"/>
        <v>0</v>
      </c>
      <c r="V293" s="62">
        <f t="shared" si="21"/>
        <v>1</v>
      </c>
    </row>
    <row r="294" spans="1:22" ht="19.5">
      <c r="A294" s="10" t="s">
        <v>316</v>
      </c>
      <c r="B294" s="10" t="s">
        <v>42</v>
      </c>
      <c r="C294" s="10" t="s">
        <v>13</v>
      </c>
      <c r="J294" s="10" t="s">
        <v>316</v>
      </c>
      <c r="K294" s="62">
        <f t="shared" si="19"/>
        <v>0</v>
      </c>
      <c r="L294" s="62">
        <f t="shared" si="19"/>
        <v>1</v>
      </c>
      <c r="M294" s="62">
        <f t="shared" si="19"/>
        <v>0</v>
      </c>
      <c r="N294" s="62">
        <f t="shared" si="18"/>
        <v>0</v>
      </c>
      <c r="O294" s="62">
        <f t="shared" si="18"/>
        <v>0</v>
      </c>
      <c r="P294" s="62">
        <f t="shared" si="18"/>
        <v>0</v>
      </c>
      <c r="Q294" s="62">
        <f t="shared" si="18"/>
        <v>0</v>
      </c>
      <c r="R294" s="62">
        <f t="shared" si="22"/>
        <v>0</v>
      </c>
      <c r="S294" s="62">
        <f t="shared" si="20"/>
        <v>0</v>
      </c>
      <c r="T294" s="62">
        <f t="shared" si="20"/>
        <v>0</v>
      </c>
      <c r="U294" s="62">
        <f t="shared" si="20"/>
        <v>0</v>
      </c>
      <c r="V294" s="62">
        <f t="shared" si="21"/>
        <v>1</v>
      </c>
    </row>
    <row r="295" spans="1:22" ht="19.5">
      <c r="A295" s="10" t="s">
        <v>317</v>
      </c>
      <c r="B295" s="10" t="s">
        <v>42</v>
      </c>
      <c r="C295" s="10" t="s">
        <v>20</v>
      </c>
      <c r="J295" s="10" t="s">
        <v>317</v>
      </c>
      <c r="K295" s="62">
        <f t="shared" si="19"/>
        <v>0</v>
      </c>
      <c r="L295" s="62">
        <f t="shared" si="19"/>
        <v>1</v>
      </c>
      <c r="M295" s="62">
        <f t="shared" si="19"/>
        <v>0</v>
      </c>
      <c r="N295" s="62">
        <f t="shared" si="18"/>
        <v>0</v>
      </c>
      <c r="O295" s="62">
        <f t="shared" si="18"/>
        <v>0</v>
      </c>
      <c r="P295" s="62">
        <f t="shared" si="18"/>
        <v>0</v>
      </c>
      <c r="Q295" s="62">
        <f t="shared" si="18"/>
        <v>0</v>
      </c>
      <c r="R295" s="62">
        <f t="shared" si="22"/>
        <v>0</v>
      </c>
      <c r="S295" s="62">
        <f t="shared" si="20"/>
        <v>0</v>
      </c>
      <c r="T295" s="62">
        <f t="shared" si="20"/>
        <v>0</v>
      </c>
      <c r="U295" s="62">
        <f t="shared" si="20"/>
        <v>0</v>
      </c>
      <c r="V295" s="62">
        <f t="shared" si="21"/>
        <v>0</v>
      </c>
    </row>
    <row r="296" spans="1:22" ht="19.5">
      <c r="A296" s="10" t="s">
        <v>318</v>
      </c>
      <c r="B296" s="10" t="s">
        <v>736</v>
      </c>
      <c r="C296" s="10" t="s">
        <v>13</v>
      </c>
      <c r="J296" s="10" t="s">
        <v>318</v>
      </c>
      <c r="K296" s="62">
        <f t="shared" si="19"/>
        <v>0</v>
      </c>
      <c r="L296" s="62">
        <f t="shared" si="19"/>
        <v>0</v>
      </c>
      <c r="M296" s="62">
        <f t="shared" si="19"/>
        <v>0</v>
      </c>
      <c r="N296" s="62">
        <f t="shared" si="18"/>
        <v>0</v>
      </c>
      <c r="O296" s="62">
        <f t="shared" si="18"/>
        <v>0</v>
      </c>
      <c r="P296" s="62">
        <f t="shared" si="18"/>
        <v>0</v>
      </c>
      <c r="Q296" s="62">
        <f t="shared" si="18"/>
        <v>0</v>
      </c>
      <c r="R296" s="62">
        <f t="shared" si="22"/>
        <v>1</v>
      </c>
      <c r="S296" s="62">
        <f t="shared" si="20"/>
        <v>0</v>
      </c>
      <c r="T296" s="62">
        <f t="shared" si="20"/>
        <v>0</v>
      </c>
      <c r="U296" s="62">
        <f t="shared" si="20"/>
        <v>0</v>
      </c>
      <c r="V296" s="62">
        <f t="shared" si="21"/>
        <v>1</v>
      </c>
    </row>
    <row r="297" spans="1:22" ht="19.5">
      <c r="A297" s="10" t="s">
        <v>319</v>
      </c>
      <c r="B297" s="10" t="s">
        <v>739</v>
      </c>
      <c r="C297" s="10" t="s">
        <v>13</v>
      </c>
      <c r="J297" s="10" t="s">
        <v>319</v>
      </c>
      <c r="K297" s="62">
        <f t="shared" si="19"/>
        <v>0</v>
      </c>
      <c r="L297" s="62">
        <f t="shared" si="19"/>
        <v>0</v>
      </c>
      <c r="M297" s="62">
        <f t="shared" si="19"/>
        <v>0</v>
      </c>
      <c r="N297" s="62">
        <f t="shared" si="18"/>
        <v>0</v>
      </c>
      <c r="O297" s="62">
        <f t="shared" si="18"/>
        <v>0</v>
      </c>
      <c r="P297" s="62">
        <f t="shared" si="18"/>
        <v>1</v>
      </c>
      <c r="Q297" s="62">
        <f t="shared" si="18"/>
        <v>0</v>
      </c>
      <c r="R297" s="62">
        <f t="shared" si="22"/>
        <v>0</v>
      </c>
      <c r="S297" s="62">
        <f t="shared" si="20"/>
        <v>0</v>
      </c>
      <c r="T297" s="62">
        <f t="shared" si="20"/>
        <v>0</v>
      </c>
      <c r="U297" s="62">
        <f t="shared" si="20"/>
        <v>0</v>
      </c>
      <c r="V297" s="62">
        <f t="shared" si="21"/>
        <v>1</v>
      </c>
    </row>
    <row r="298" spans="1:22" ht="19.5">
      <c r="A298" s="10" t="s">
        <v>320</v>
      </c>
      <c r="B298" s="10" t="s">
        <v>39</v>
      </c>
      <c r="C298" s="10" t="s">
        <v>20</v>
      </c>
      <c r="J298" s="10" t="s">
        <v>320</v>
      </c>
      <c r="K298" s="62">
        <f t="shared" si="19"/>
        <v>1</v>
      </c>
      <c r="L298" s="62">
        <f t="shared" si="19"/>
        <v>0</v>
      </c>
      <c r="M298" s="62">
        <f t="shared" si="19"/>
        <v>0</v>
      </c>
      <c r="N298" s="62">
        <f t="shared" si="18"/>
        <v>0</v>
      </c>
      <c r="O298" s="62">
        <f t="shared" si="18"/>
        <v>0</v>
      </c>
      <c r="P298" s="62">
        <f t="shared" si="18"/>
        <v>0</v>
      </c>
      <c r="Q298" s="62">
        <f t="shared" si="18"/>
        <v>0</v>
      </c>
      <c r="R298" s="62">
        <f t="shared" si="22"/>
        <v>0</v>
      </c>
      <c r="S298" s="62">
        <f t="shared" si="20"/>
        <v>0</v>
      </c>
      <c r="T298" s="62">
        <f t="shared" si="20"/>
        <v>0</v>
      </c>
      <c r="U298" s="62">
        <f t="shared" si="20"/>
        <v>0</v>
      </c>
      <c r="V298" s="62">
        <f t="shared" si="21"/>
        <v>0</v>
      </c>
    </row>
    <row r="299" spans="1:22" ht="19.5">
      <c r="A299" s="10" t="s">
        <v>321</v>
      </c>
      <c r="B299" s="10" t="s">
        <v>736</v>
      </c>
      <c r="C299" s="10" t="s">
        <v>13</v>
      </c>
      <c r="J299" s="10" t="s">
        <v>321</v>
      </c>
      <c r="K299" s="62">
        <f t="shared" si="19"/>
        <v>0</v>
      </c>
      <c r="L299" s="62">
        <f t="shared" si="19"/>
        <v>0</v>
      </c>
      <c r="M299" s="62">
        <f t="shared" si="19"/>
        <v>0</v>
      </c>
      <c r="N299" s="62">
        <f t="shared" si="18"/>
        <v>0</v>
      </c>
      <c r="O299" s="62">
        <f t="shared" si="18"/>
        <v>0</v>
      </c>
      <c r="P299" s="62">
        <f t="shared" si="18"/>
        <v>0</v>
      </c>
      <c r="Q299" s="62">
        <f t="shared" si="18"/>
        <v>0</v>
      </c>
      <c r="R299" s="62">
        <f t="shared" si="22"/>
        <v>1</v>
      </c>
      <c r="S299" s="62">
        <f t="shared" si="20"/>
        <v>0</v>
      </c>
      <c r="T299" s="62">
        <f t="shared" si="20"/>
        <v>0</v>
      </c>
      <c r="U299" s="62">
        <f t="shared" si="20"/>
        <v>0</v>
      </c>
      <c r="V299" s="62">
        <f t="shared" si="21"/>
        <v>1</v>
      </c>
    </row>
    <row r="300" spans="1:22" ht="19.5">
      <c r="A300" s="10" t="s">
        <v>322</v>
      </c>
      <c r="B300" s="10" t="s">
        <v>737</v>
      </c>
      <c r="C300" s="10" t="s">
        <v>13</v>
      </c>
      <c r="J300" s="10" t="s">
        <v>322</v>
      </c>
      <c r="K300" s="62">
        <f t="shared" si="19"/>
        <v>0</v>
      </c>
      <c r="L300" s="62">
        <f t="shared" si="19"/>
        <v>0</v>
      </c>
      <c r="M300" s="62">
        <f t="shared" si="19"/>
        <v>0</v>
      </c>
      <c r="N300" s="62">
        <f t="shared" si="18"/>
        <v>1</v>
      </c>
      <c r="O300" s="62">
        <f t="shared" si="18"/>
        <v>0</v>
      </c>
      <c r="P300" s="62">
        <f t="shared" si="18"/>
        <v>0</v>
      </c>
      <c r="Q300" s="62">
        <f t="shared" si="18"/>
        <v>0</v>
      </c>
      <c r="R300" s="62">
        <f t="shared" si="22"/>
        <v>0</v>
      </c>
      <c r="S300" s="62">
        <f t="shared" si="20"/>
        <v>0</v>
      </c>
      <c r="T300" s="62">
        <f t="shared" si="20"/>
        <v>0</v>
      </c>
      <c r="U300" s="62">
        <f t="shared" si="20"/>
        <v>0</v>
      </c>
      <c r="V300" s="62">
        <f t="shared" si="21"/>
        <v>1</v>
      </c>
    </row>
    <row r="301" spans="1:22" ht="19.5">
      <c r="A301" s="10" t="s">
        <v>323</v>
      </c>
      <c r="B301" s="10" t="s">
        <v>739</v>
      </c>
      <c r="C301" s="10" t="s">
        <v>13</v>
      </c>
      <c r="J301" s="10" t="s">
        <v>323</v>
      </c>
      <c r="K301" s="62">
        <f t="shared" si="19"/>
        <v>0</v>
      </c>
      <c r="L301" s="62">
        <f t="shared" si="19"/>
        <v>0</v>
      </c>
      <c r="M301" s="62">
        <f t="shared" si="19"/>
        <v>0</v>
      </c>
      <c r="N301" s="62">
        <f t="shared" si="18"/>
        <v>0</v>
      </c>
      <c r="O301" s="62">
        <f t="shared" si="18"/>
        <v>0</v>
      </c>
      <c r="P301" s="62">
        <f t="shared" si="18"/>
        <v>1</v>
      </c>
      <c r="Q301" s="62">
        <f t="shared" si="18"/>
        <v>0</v>
      </c>
      <c r="R301" s="62">
        <f t="shared" si="22"/>
        <v>0</v>
      </c>
      <c r="S301" s="62">
        <f t="shared" si="20"/>
        <v>0</v>
      </c>
      <c r="T301" s="62">
        <f t="shared" si="20"/>
        <v>0</v>
      </c>
      <c r="U301" s="62">
        <f t="shared" si="20"/>
        <v>0</v>
      </c>
      <c r="V301" s="62">
        <f t="shared" si="21"/>
        <v>1</v>
      </c>
    </row>
    <row r="302" spans="1:22" ht="19.5">
      <c r="A302" s="10" t="s">
        <v>324</v>
      </c>
      <c r="B302" s="10" t="s">
        <v>37</v>
      </c>
      <c r="C302" s="10" t="s">
        <v>13</v>
      </c>
      <c r="J302" s="10" t="s">
        <v>324</v>
      </c>
      <c r="K302" s="62">
        <f t="shared" si="19"/>
        <v>0</v>
      </c>
      <c r="L302" s="62">
        <f t="shared" si="19"/>
        <v>0</v>
      </c>
      <c r="M302" s="62">
        <f t="shared" si="19"/>
        <v>1</v>
      </c>
      <c r="N302" s="62">
        <f t="shared" si="18"/>
        <v>0</v>
      </c>
      <c r="O302" s="62">
        <f t="shared" si="18"/>
        <v>0</v>
      </c>
      <c r="P302" s="62">
        <f t="shared" si="18"/>
        <v>0</v>
      </c>
      <c r="Q302" s="62">
        <f t="shared" si="18"/>
        <v>0</v>
      </c>
      <c r="R302" s="62">
        <f t="shared" si="22"/>
        <v>0</v>
      </c>
      <c r="S302" s="62">
        <f t="shared" si="20"/>
        <v>0</v>
      </c>
      <c r="T302" s="62">
        <f t="shared" si="20"/>
        <v>0</v>
      </c>
      <c r="U302" s="62">
        <f t="shared" si="20"/>
        <v>0</v>
      </c>
      <c r="V302" s="62">
        <f t="shared" si="21"/>
        <v>1</v>
      </c>
    </row>
    <row r="303" spans="1:22" ht="19.5">
      <c r="A303" s="10" t="s">
        <v>325</v>
      </c>
      <c r="B303" s="10" t="s">
        <v>39</v>
      </c>
      <c r="C303" s="10" t="s">
        <v>13</v>
      </c>
      <c r="J303" s="10" t="s">
        <v>325</v>
      </c>
      <c r="K303" s="62">
        <f t="shared" si="19"/>
        <v>1</v>
      </c>
      <c r="L303" s="62">
        <f t="shared" si="19"/>
        <v>0</v>
      </c>
      <c r="M303" s="62">
        <f t="shared" si="19"/>
        <v>0</v>
      </c>
      <c r="N303" s="62">
        <f t="shared" si="18"/>
        <v>0</v>
      </c>
      <c r="O303" s="62">
        <f t="shared" si="18"/>
        <v>0</v>
      </c>
      <c r="P303" s="62">
        <f t="shared" si="18"/>
        <v>0</v>
      </c>
      <c r="Q303" s="62">
        <f t="shared" si="18"/>
        <v>0</v>
      </c>
      <c r="R303" s="62">
        <f t="shared" si="22"/>
        <v>0</v>
      </c>
      <c r="S303" s="62">
        <f t="shared" si="20"/>
        <v>0</v>
      </c>
      <c r="T303" s="62">
        <f t="shared" si="20"/>
        <v>0</v>
      </c>
      <c r="U303" s="62">
        <f t="shared" si="20"/>
        <v>0</v>
      </c>
      <c r="V303" s="62">
        <f t="shared" si="21"/>
        <v>1</v>
      </c>
    </row>
    <row r="304" spans="1:22" ht="19.5">
      <c r="A304" s="10" t="s">
        <v>326</v>
      </c>
      <c r="B304" s="10" t="s">
        <v>39</v>
      </c>
      <c r="C304" s="10" t="s">
        <v>13</v>
      </c>
      <c r="J304" s="10" t="s">
        <v>326</v>
      </c>
      <c r="K304" s="62">
        <f t="shared" si="19"/>
        <v>1</v>
      </c>
      <c r="L304" s="62">
        <f t="shared" si="19"/>
        <v>0</v>
      </c>
      <c r="M304" s="62">
        <f t="shared" si="19"/>
        <v>0</v>
      </c>
      <c r="N304" s="62">
        <f t="shared" si="18"/>
        <v>0</v>
      </c>
      <c r="O304" s="62">
        <f t="shared" si="18"/>
        <v>0</v>
      </c>
      <c r="P304" s="62">
        <f t="shared" si="18"/>
        <v>0</v>
      </c>
      <c r="Q304" s="62">
        <f t="shared" si="18"/>
        <v>0</v>
      </c>
      <c r="R304" s="62">
        <f t="shared" si="22"/>
        <v>0</v>
      </c>
      <c r="S304" s="62">
        <f t="shared" si="20"/>
        <v>0</v>
      </c>
      <c r="T304" s="62">
        <f t="shared" si="20"/>
        <v>0</v>
      </c>
      <c r="U304" s="62">
        <f t="shared" si="20"/>
        <v>0</v>
      </c>
      <c r="V304" s="62">
        <f t="shared" si="21"/>
        <v>1</v>
      </c>
    </row>
    <row r="305" spans="1:22" ht="19.5">
      <c r="A305" s="10" t="s">
        <v>327</v>
      </c>
      <c r="B305" s="10" t="s">
        <v>42</v>
      </c>
      <c r="C305" s="10" t="s">
        <v>20</v>
      </c>
      <c r="J305" s="10" t="s">
        <v>327</v>
      </c>
      <c r="K305" s="62">
        <f t="shared" si="19"/>
        <v>0</v>
      </c>
      <c r="L305" s="62">
        <f t="shared" si="19"/>
        <v>1</v>
      </c>
      <c r="M305" s="62">
        <f t="shared" si="19"/>
        <v>0</v>
      </c>
      <c r="N305" s="62">
        <f t="shared" si="18"/>
        <v>0</v>
      </c>
      <c r="O305" s="62">
        <f t="shared" si="18"/>
        <v>0</v>
      </c>
      <c r="P305" s="62">
        <f t="shared" si="18"/>
        <v>0</v>
      </c>
      <c r="Q305" s="62">
        <f t="shared" si="18"/>
        <v>0</v>
      </c>
      <c r="R305" s="62">
        <f t="shared" si="22"/>
        <v>0</v>
      </c>
      <c r="S305" s="62">
        <f t="shared" si="20"/>
        <v>0</v>
      </c>
      <c r="T305" s="62">
        <f t="shared" si="20"/>
        <v>0</v>
      </c>
      <c r="U305" s="62">
        <f t="shared" si="20"/>
        <v>0</v>
      </c>
      <c r="V305" s="62">
        <f t="shared" si="21"/>
        <v>0</v>
      </c>
    </row>
    <row r="306" spans="1:22" ht="19.5">
      <c r="A306" s="10" t="s">
        <v>328</v>
      </c>
      <c r="B306" s="10" t="s">
        <v>737</v>
      </c>
      <c r="C306" s="10" t="s">
        <v>20</v>
      </c>
      <c r="J306" s="10" t="s">
        <v>328</v>
      </c>
      <c r="K306" s="62">
        <f t="shared" si="19"/>
        <v>0</v>
      </c>
      <c r="L306" s="62">
        <f t="shared" si="19"/>
        <v>0</v>
      </c>
      <c r="M306" s="62">
        <f t="shared" si="19"/>
        <v>0</v>
      </c>
      <c r="N306" s="62">
        <f t="shared" si="18"/>
        <v>1</v>
      </c>
      <c r="O306" s="62">
        <f t="shared" si="18"/>
        <v>0</v>
      </c>
      <c r="P306" s="62">
        <f t="shared" si="18"/>
        <v>0</v>
      </c>
      <c r="Q306" s="62">
        <f t="shared" si="18"/>
        <v>0</v>
      </c>
      <c r="R306" s="62">
        <f t="shared" si="22"/>
        <v>0</v>
      </c>
      <c r="S306" s="62">
        <f t="shared" si="20"/>
        <v>0</v>
      </c>
      <c r="T306" s="62">
        <f t="shared" si="20"/>
        <v>0</v>
      </c>
      <c r="U306" s="62">
        <f t="shared" si="20"/>
        <v>0</v>
      </c>
      <c r="V306" s="62">
        <f t="shared" si="21"/>
        <v>0</v>
      </c>
    </row>
    <row r="307" spans="1:22" ht="19.5">
      <c r="A307" s="10" t="s">
        <v>329</v>
      </c>
      <c r="B307" s="10" t="s">
        <v>739</v>
      </c>
      <c r="C307" s="10" t="s">
        <v>13</v>
      </c>
      <c r="J307" s="10" t="s">
        <v>329</v>
      </c>
      <c r="K307" s="62">
        <f t="shared" si="19"/>
        <v>0</v>
      </c>
      <c r="L307" s="62">
        <f t="shared" si="19"/>
        <v>0</v>
      </c>
      <c r="M307" s="62">
        <f t="shared" si="19"/>
        <v>0</v>
      </c>
      <c r="N307" s="62">
        <f t="shared" si="18"/>
        <v>0</v>
      </c>
      <c r="O307" s="62">
        <f t="shared" si="18"/>
        <v>0</v>
      </c>
      <c r="P307" s="62">
        <f t="shared" si="18"/>
        <v>1</v>
      </c>
      <c r="Q307" s="62">
        <f t="shared" si="18"/>
        <v>0</v>
      </c>
      <c r="R307" s="62">
        <f t="shared" si="22"/>
        <v>0</v>
      </c>
      <c r="S307" s="62">
        <f t="shared" si="20"/>
        <v>0</v>
      </c>
      <c r="T307" s="62">
        <f t="shared" si="20"/>
        <v>0</v>
      </c>
      <c r="U307" s="62">
        <f t="shared" si="20"/>
        <v>0</v>
      </c>
      <c r="V307" s="62">
        <f t="shared" si="21"/>
        <v>1</v>
      </c>
    </row>
    <row r="308" spans="1:22" ht="19.5">
      <c r="A308" s="10" t="s">
        <v>330</v>
      </c>
      <c r="B308" s="10" t="s">
        <v>37</v>
      </c>
      <c r="C308" s="10" t="s">
        <v>13</v>
      </c>
      <c r="J308" s="10" t="s">
        <v>330</v>
      </c>
      <c r="K308" s="62">
        <f t="shared" si="19"/>
        <v>0</v>
      </c>
      <c r="L308" s="62">
        <f t="shared" si="19"/>
        <v>0</v>
      </c>
      <c r="M308" s="62">
        <f t="shared" si="19"/>
        <v>1</v>
      </c>
      <c r="N308" s="62">
        <f t="shared" si="18"/>
        <v>0</v>
      </c>
      <c r="O308" s="62">
        <f t="shared" si="18"/>
        <v>0</v>
      </c>
      <c r="P308" s="62">
        <f t="shared" si="18"/>
        <v>0</v>
      </c>
      <c r="Q308" s="62">
        <f t="shared" si="18"/>
        <v>0</v>
      </c>
      <c r="R308" s="62">
        <f t="shared" si="22"/>
        <v>0</v>
      </c>
      <c r="S308" s="62">
        <f t="shared" si="20"/>
        <v>0</v>
      </c>
      <c r="T308" s="62">
        <f t="shared" si="20"/>
        <v>0</v>
      </c>
      <c r="U308" s="62">
        <f t="shared" si="20"/>
        <v>0</v>
      </c>
      <c r="V308" s="62">
        <f t="shared" si="21"/>
        <v>1</v>
      </c>
    </row>
    <row r="309" spans="1:22" ht="19.5">
      <c r="A309" s="10" t="s">
        <v>331</v>
      </c>
      <c r="B309" s="10" t="s">
        <v>39</v>
      </c>
      <c r="C309" s="10" t="s">
        <v>20</v>
      </c>
      <c r="J309" s="10" t="s">
        <v>331</v>
      </c>
      <c r="K309" s="62">
        <f t="shared" si="19"/>
        <v>1</v>
      </c>
      <c r="L309" s="62">
        <f t="shared" si="19"/>
        <v>0</v>
      </c>
      <c r="M309" s="62">
        <f t="shared" si="19"/>
        <v>0</v>
      </c>
      <c r="N309" s="62">
        <f t="shared" si="18"/>
        <v>0</v>
      </c>
      <c r="O309" s="62">
        <f t="shared" si="18"/>
        <v>0</v>
      </c>
      <c r="P309" s="62">
        <f t="shared" si="18"/>
        <v>0</v>
      </c>
      <c r="Q309" s="62">
        <f t="shared" si="18"/>
        <v>0</v>
      </c>
      <c r="R309" s="62">
        <f t="shared" si="22"/>
        <v>0</v>
      </c>
      <c r="S309" s="62">
        <f t="shared" si="20"/>
        <v>0</v>
      </c>
      <c r="T309" s="62">
        <f t="shared" si="20"/>
        <v>0</v>
      </c>
      <c r="U309" s="62">
        <f t="shared" si="20"/>
        <v>0</v>
      </c>
      <c r="V309" s="62">
        <f t="shared" si="21"/>
        <v>0</v>
      </c>
    </row>
    <row r="310" spans="1:22" ht="19.5">
      <c r="A310" s="10" t="s">
        <v>332</v>
      </c>
      <c r="B310" s="10" t="s">
        <v>42</v>
      </c>
      <c r="C310" s="10" t="s">
        <v>13</v>
      </c>
      <c r="J310" s="10" t="s">
        <v>332</v>
      </c>
      <c r="K310" s="62">
        <f t="shared" si="19"/>
        <v>0</v>
      </c>
      <c r="L310" s="62">
        <f t="shared" si="19"/>
        <v>1</v>
      </c>
      <c r="M310" s="62">
        <f t="shared" si="19"/>
        <v>0</v>
      </c>
      <c r="N310" s="62">
        <f t="shared" si="18"/>
        <v>0</v>
      </c>
      <c r="O310" s="62">
        <f t="shared" si="18"/>
        <v>0</v>
      </c>
      <c r="P310" s="62">
        <f t="shared" si="18"/>
        <v>0</v>
      </c>
      <c r="Q310" s="62">
        <f t="shared" si="18"/>
        <v>0</v>
      </c>
      <c r="R310" s="62">
        <f t="shared" si="22"/>
        <v>0</v>
      </c>
      <c r="S310" s="62">
        <f t="shared" si="20"/>
        <v>0</v>
      </c>
      <c r="T310" s="62">
        <f t="shared" si="20"/>
        <v>0</v>
      </c>
      <c r="U310" s="62">
        <f t="shared" si="20"/>
        <v>0</v>
      </c>
      <c r="V310" s="62">
        <f t="shared" si="21"/>
        <v>1</v>
      </c>
    </row>
    <row r="311" spans="1:22" ht="19.5">
      <c r="A311" s="10" t="s">
        <v>333</v>
      </c>
      <c r="B311" s="10" t="s">
        <v>42</v>
      </c>
      <c r="C311" s="10" t="s">
        <v>13</v>
      </c>
      <c r="J311" s="10" t="s">
        <v>333</v>
      </c>
      <c r="K311" s="62">
        <f t="shared" si="19"/>
        <v>0</v>
      </c>
      <c r="L311" s="62">
        <f t="shared" si="19"/>
        <v>1</v>
      </c>
      <c r="M311" s="62">
        <f t="shared" si="19"/>
        <v>0</v>
      </c>
      <c r="N311" s="62">
        <f t="shared" si="18"/>
        <v>0</v>
      </c>
      <c r="O311" s="62">
        <f t="shared" si="18"/>
        <v>0</v>
      </c>
      <c r="P311" s="62">
        <f t="shared" si="18"/>
        <v>0</v>
      </c>
      <c r="Q311" s="62">
        <f t="shared" si="18"/>
        <v>0</v>
      </c>
      <c r="R311" s="62">
        <f t="shared" si="22"/>
        <v>0</v>
      </c>
      <c r="S311" s="62">
        <f t="shared" si="20"/>
        <v>0</v>
      </c>
      <c r="T311" s="62">
        <f t="shared" si="20"/>
        <v>0</v>
      </c>
      <c r="U311" s="62">
        <f t="shared" si="20"/>
        <v>0</v>
      </c>
      <c r="V311" s="62">
        <f t="shared" si="21"/>
        <v>1</v>
      </c>
    </row>
    <row r="312" spans="1:22" ht="19.5">
      <c r="A312" s="10" t="s">
        <v>334</v>
      </c>
      <c r="B312" s="10" t="s">
        <v>737</v>
      </c>
      <c r="C312" s="10" t="s">
        <v>20</v>
      </c>
      <c r="J312" s="10" t="s">
        <v>334</v>
      </c>
      <c r="K312" s="62">
        <f t="shared" si="19"/>
        <v>0</v>
      </c>
      <c r="L312" s="62">
        <f t="shared" si="19"/>
        <v>0</v>
      </c>
      <c r="M312" s="62">
        <f t="shared" si="19"/>
        <v>0</v>
      </c>
      <c r="N312" s="62">
        <f t="shared" si="18"/>
        <v>1</v>
      </c>
      <c r="O312" s="62">
        <f t="shared" si="18"/>
        <v>0</v>
      </c>
      <c r="P312" s="62">
        <f t="shared" si="18"/>
        <v>0</v>
      </c>
      <c r="Q312" s="62">
        <f t="shared" si="18"/>
        <v>0</v>
      </c>
      <c r="R312" s="62">
        <f t="shared" si="22"/>
        <v>0</v>
      </c>
      <c r="S312" s="62">
        <f t="shared" si="20"/>
        <v>0</v>
      </c>
      <c r="T312" s="62">
        <f t="shared" si="20"/>
        <v>0</v>
      </c>
      <c r="U312" s="62">
        <f t="shared" si="20"/>
        <v>0</v>
      </c>
      <c r="V312" s="62">
        <f t="shared" si="21"/>
        <v>0</v>
      </c>
    </row>
    <row r="313" spans="1:22" ht="19.5">
      <c r="A313" s="10" t="s">
        <v>335</v>
      </c>
      <c r="B313" s="10" t="s">
        <v>739</v>
      </c>
      <c r="C313" s="10" t="s">
        <v>13</v>
      </c>
      <c r="J313" s="10" t="s">
        <v>335</v>
      </c>
      <c r="K313" s="62">
        <f t="shared" si="19"/>
        <v>0</v>
      </c>
      <c r="L313" s="62">
        <f t="shared" si="19"/>
        <v>0</v>
      </c>
      <c r="M313" s="62">
        <f t="shared" si="19"/>
        <v>0</v>
      </c>
      <c r="N313" s="62">
        <f t="shared" si="18"/>
        <v>0</v>
      </c>
      <c r="O313" s="62">
        <f t="shared" si="18"/>
        <v>0</v>
      </c>
      <c r="P313" s="62">
        <f t="shared" si="18"/>
        <v>1</v>
      </c>
      <c r="Q313" s="62">
        <f t="shared" si="18"/>
        <v>0</v>
      </c>
      <c r="R313" s="62">
        <f t="shared" si="22"/>
        <v>0</v>
      </c>
      <c r="S313" s="62">
        <f t="shared" si="20"/>
        <v>0</v>
      </c>
      <c r="T313" s="62">
        <f t="shared" si="20"/>
        <v>0</v>
      </c>
      <c r="U313" s="62">
        <f t="shared" si="20"/>
        <v>0</v>
      </c>
      <c r="V313" s="62">
        <f t="shared" si="21"/>
        <v>1</v>
      </c>
    </row>
    <row r="314" spans="1:22" ht="19.5">
      <c r="A314" s="10" t="s">
        <v>336</v>
      </c>
      <c r="B314" s="10" t="s">
        <v>37</v>
      </c>
      <c r="C314" s="10" t="s">
        <v>13</v>
      </c>
      <c r="J314" s="10" t="s">
        <v>336</v>
      </c>
      <c r="K314" s="62">
        <f t="shared" si="19"/>
        <v>0</v>
      </c>
      <c r="L314" s="62">
        <f t="shared" si="19"/>
        <v>0</v>
      </c>
      <c r="M314" s="62">
        <f t="shared" si="19"/>
        <v>1</v>
      </c>
      <c r="N314" s="62">
        <f t="shared" si="18"/>
        <v>0</v>
      </c>
      <c r="O314" s="62">
        <f t="shared" si="18"/>
        <v>0</v>
      </c>
      <c r="P314" s="62">
        <f t="shared" si="18"/>
        <v>0</v>
      </c>
      <c r="Q314" s="62">
        <f t="shared" si="18"/>
        <v>0</v>
      </c>
      <c r="R314" s="62">
        <f t="shared" si="22"/>
        <v>0</v>
      </c>
      <c r="S314" s="62">
        <f t="shared" si="20"/>
        <v>0</v>
      </c>
      <c r="T314" s="62">
        <f t="shared" si="20"/>
        <v>0</v>
      </c>
      <c r="U314" s="62">
        <f t="shared" si="20"/>
        <v>0</v>
      </c>
      <c r="V314" s="62">
        <f t="shared" si="21"/>
        <v>1</v>
      </c>
    </row>
    <row r="315" spans="1:22" ht="19.5">
      <c r="A315" s="10" t="s">
        <v>337</v>
      </c>
      <c r="B315" s="10" t="s">
        <v>42</v>
      </c>
      <c r="C315" s="10" t="s">
        <v>13</v>
      </c>
      <c r="J315" s="10" t="s">
        <v>337</v>
      </c>
      <c r="K315" s="62">
        <f t="shared" si="19"/>
        <v>0</v>
      </c>
      <c r="L315" s="62">
        <f t="shared" si="19"/>
        <v>1</v>
      </c>
      <c r="M315" s="62">
        <f t="shared" si="19"/>
        <v>0</v>
      </c>
      <c r="N315" s="62">
        <f t="shared" si="18"/>
        <v>0</v>
      </c>
      <c r="O315" s="62">
        <f t="shared" si="18"/>
        <v>0</v>
      </c>
      <c r="P315" s="62">
        <f t="shared" si="18"/>
        <v>0</v>
      </c>
      <c r="Q315" s="62">
        <f t="shared" si="18"/>
        <v>0</v>
      </c>
      <c r="R315" s="62">
        <f t="shared" si="22"/>
        <v>0</v>
      </c>
      <c r="S315" s="62">
        <f t="shared" si="20"/>
        <v>0</v>
      </c>
      <c r="T315" s="62">
        <f t="shared" si="20"/>
        <v>0</v>
      </c>
      <c r="U315" s="62">
        <f t="shared" si="20"/>
        <v>0</v>
      </c>
      <c r="V315" s="62">
        <f t="shared" si="21"/>
        <v>1</v>
      </c>
    </row>
    <row r="316" spans="1:22" ht="19.5">
      <c r="A316" s="10" t="s">
        <v>338</v>
      </c>
      <c r="B316" s="10" t="s">
        <v>37</v>
      </c>
      <c r="C316" s="10" t="s">
        <v>13</v>
      </c>
      <c r="J316" s="10" t="s">
        <v>338</v>
      </c>
      <c r="K316" s="62">
        <f t="shared" si="19"/>
        <v>0</v>
      </c>
      <c r="L316" s="62">
        <f t="shared" si="19"/>
        <v>0</v>
      </c>
      <c r="M316" s="62">
        <f t="shared" si="19"/>
        <v>1</v>
      </c>
      <c r="N316" s="62">
        <f t="shared" si="18"/>
        <v>0</v>
      </c>
      <c r="O316" s="62">
        <f t="shared" si="18"/>
        <v>0</v>
      </c>
      <c r="P316" s="62">
        <f t="shared" si="18"/>
        <v>0</v>
      </c>
      <c r="Q316" s="62">
        <f t="shared" si="18"/>
        <v>0</v>
      </c>
      <c r="R316" s="62">
        <f t="shared" si="22"/>
        <v>0</v>
      </c>
      <c r="S316" s="62">
        <f t="shared" si="20"/>
        <v>0</v>
      </c>
      <c r="T316" s="62">
        <f t="shared" si="20"/>
        <v>0</v>
      </c>
      <c r="U316" s="62">
        <f t="shared" si="20"/>
        <v>0</v>
      </c>
      <c r="V316" s="62">
        <f t="shared" si="21"/>
        <v>1</v>
      </c>
    </row>
    <row r="317" spans="1:22" ht="19.5">
      <c r="A317" s="10" t="s">
        <v>339</v>
      </c>
      <c r="B317" s="10" t="s">
        <v>42</v>
      </c>
      <c r="C317" s="10" t="s">
        <v>13</v>
      </c>
      <c r="J317" s="10" t="s">
        <v>339</v>
      </c>
      <c r="K317" s="62">
        <f t="shared" si="19"/>
        <v>0</v>
      </c>
      <c r="L317" s="62">
        <f t="shared" si="19"/>
        <v>1</v>
      </c>
      <c r="M317" s="62">
        <f t="shared" si="19"/>
        <v>0</v>
      </c>
      <c r="N317" s="62">
        <f t="shared" si="18"/>
        <v>0</v>
      </c>
      <c r="O317" s="62">
        <f t="shared" si="18"/>
        <v>0</v>
      </c>
      <c r="P317" s="62">
        <f t="shared" si="18"/>
        <v>0</v>
      </c>
      <c r="Q317" s="62">
        <f t="shared" si="18"/>
        <v>0</v>
      </c>
      <c r="R317" s="62">
        <f t="shared" si="22"/>
        <v>0</v>
      </c>
      <c r="S317" s="62">
        <f t="shared" si="20"/>
        <v>0</v>
      </c>
      <c r="T317" s="62">
        <f t="shared" si="20"/>
        <v>0</v>
      </c>
      <c r="U317" s="62">
        <f t="shared" si="20"/>
        <v>0</v>
      </c>
      <c r="V317" s="62">
        <f t="shared" si="21"/>
        <v>1</v>
      </c>
    </row>
    <row r="318" spans="1:22" ht="19.5">
      <c r="A318" s="10" t="s">
        <v>340</v>
      </c>
      <c r="B318" s="10" t="s">
        <v>42</v>
      </c>
      <c r="C318" s="10" t="s">
        <v>20</v>
      </c>
      <c r="J318" s="10" t="s">
        <v>340</v>
      </c>
      <c r="K318" s="62">
        <f t="shared" si="19"/>
        <v>0</v>
      </c>
      <c r="L318" s="62">
        <f t="shared" si="19"/>
        <v>1</v>
      </c>
      <c r="M318" s="62">
        <f t="shared" si="19"/>
        <v>0</v>
      </c>
      <c r="N318" s="62">
        <f t="shared" si="18"/>
        <v>0</v>
      </c>
      <c r="O318" s="62">
        <f t="shared" si="18"/>
        <v>0</v>
      </c>
      <c r="P318" s="62">
        <f t="shared" si="18"/>
        <v>0</v>
      </c>
      <c r="Q318" s="62">
        <f t="shared" si="18"/>
        <v>0</v>
      </c>
      <c r="R318" s="62">
        <f t="shared" si="22"/>
        <v>0</v>
      </c>
      <c r="S318" s="62">
        <f t="shared" si="20"/>
        <v>0</v>
      </c>
      <c r="T318" s="62">
        <f t="shared" si="20"/>
        <v>0</v>
      </c>
      <c r="U318" s="62">
        <f t="shared" si="20"/>
        <v>0</v>
      </c>
      <c r="V318" s="62">
        <f t="shared" si="21"/>
        <v>0</v>
      </c>
    </row>
    <row r="319" spans="1:22" ht="19.5">
      <c r="A319" s="10" t="s">
        <v>341</v>
      </c>
      <c r="B319" s="10" t="s">
        <v>736</v>
      </c>
      <c r="C319" s="10" t="s">
        <v>20</v>
      </c>
      <c r="J319" s="10" t="s">
        <v>341</v>
      </c>
      <c r="K319" s="62">
        <f t="shared" si="19"/>
        <v>0</v>
      </c>
      <c r="L319" s="62">
        <f t="shared" si="19"/>
        <v>0</v>
      </c>
      <c r="M319" s="62">
        <f t="shared" si="19"/>
        <v>0</v>
      </c>
      <c r="N319" s="62">
        <f t="shared" si="18"/>
        <v>0</v>
      </c>
      <c r="O319" s="62">
        <f t="shared" si="18"/>
        <v>0</v>
      </c>
      <c r="P319" s="62">
        <f t="shared" si="18"/>
        <v>0</v>
      </c>
      <c r="Q319" s="62">
        <f t="shared" si="18"/>
        <v>0</v>
      </c>
      <c r="R319" s="62">
        <f t="shared" si="22"/>
        <v>1</v>
      </c>
      <c r="S319" s="62">
        <f t="shared" si="20"/>
        <v>0</v>
      </c>
      <c r="T319" s="62">
        <f t="shared" si="20"/>
        <v>0</v>
      </c>
      <c r="U319" s="62">
        <f t="shared" si="20"/>
        <v>0</v>
      </c>
      <c r="V319" s="62">
        <f t="shared" si="21"/>
        <v>0</v>
      </c>
    </row>
    <row r="320" spans="1:22" ht="19.5">
      <c r="A320" s="10" t="s">
        <v>342</v>
      </c>
      <c r="B320" s="10" t="s">
        <v>737</v>
      </c>
      <c r="C320" s="10" t="s">
        <v>13</v>
      </c>
      <c r="J320" s="10" t="s">
        <v>342</v>
      </c>
      <c r="K320" s="62">
        <f t="shared" si="19"/>
        <v>0</v>
      </c>
      <c r="L320" s="62">
        <f t="shared" si="19"/>
        <v>0</v>
      </c>
      <c r="M320" s="62">
        <f t="shared" si="19"/>
        <v>0</v>
      </c>
      <c r="N320" s="62">
        <f t="shared" si="18"/>
        <v>1</v>
      </c>
      <c r="O320" s="62">
        <f t="shared" si="18"/>
        <v>0</v>
      </c>
      <c r="P320" s="62">
        <f t="shared" si="18"/>
        <v>0</v>
      </c>
      <c r="Q320" s="62">
        <f t="shared" si="18"/>
        <v>0</v>
      </c>
      <c r="R320" s="62">
        <f t="shared" si="22"/>
        <v>0</v>
      </c>
      <c r="S320" s="62">
        <f t="shared" si="20"/>
        <v>0</v>
      </c>
      <c r="T320" s="62">
        <f t="shared" si="20"/>
        <v>0</v>
      </c>
      <c r="U320" s="62">
        <f t="shared" si="20"/>
        <v>0</v>
      </c>
      <c r="V320" s="62">
        <f t="shared" si="21"/>
        <v>1</v>
      </c>
    </row>
    <row r="321" spans="1:22" ht="19.5">
      <c r="A321" s="10" t="s">
        <v>343</v>
      </c>
      <c r="B321" s="10" t="s">
        <v>739</v>
      </c>
      <c r="C321" s="10" t="s">
        <v>13</v>
      </c>
      <c r="J321" s="10" t="s">
        <v>343</v>
      </c>
      <c r="K321" s="62">
        <f t="shared" si="19"/>
        <v>0</v>
      </c>
      <c r="L321" s="62">
        <f t="shared" si="19"/>
        <v>0</v>
      </c>
      <c r="M321" s="62">
        <f t="shared" si="19"/>
        <v>0</v>
      </c>
      <c r="N321" s="62">
        <f t="shared" si="18"/>
        <v>0</v>
      </c>
      <c r="O321" s="62">
        <f t="shared" si="18"/>
        <v>0</v>
      </c>
      <c r="P321" s="62">
        <f t="shared" si="18"/>
        <v>1</v>
      </c>
      <c r="Q321" s="62">
        <f t="shared" si="18"/>
        <v>0</v>
      </c>
      <c r="R321" s="62">
        <f t="shared" si="22"/>
        <v>0</v>
      </c>
      <c r="S321" s="62">
        <f t="shared" si="20"/>
        <v>0</v>
      </c>
      <c r="T321" s="62">
        <f t="shared" si="20"/>
        <v>0</v>
      </c>
      <c r="U321" s="62">
        <f t="shared" si="20"/>
        <v>0</v>
      </c>
      <c r="V321" s="62">
        <f t="shared" si="21"/>
        <v>1</v>
      </c>
    </row>
    <row r="322" spans="1:22" ht="19.5">
      <c r="A322" s="10" t="s">
        <v>344</v>
      </c>
      <c r="B322" s="10" t="s">
        <v>42</v>
      </c>
      <c r="C322" s="10" t="s">
        <v>13</v>
      </c>
      <c r="J322" s="10" t="s">
        <v>344</v>
      </c>
      <c r="K322" s="62">
        <f t="shared" si="19"/>
        <v>0</v>
      </c>
      <c r="L322" s="62">
        <f t="shared" si="19"/>
        <v>1</v>
      </c>
      <c r="M322" s="62">
        <f t="shared" si="19"/>
        <v>0</v>
      </c>
      <c r="N322" s="62">
        <f t="shared" si="19"/>
        <v>0</v>
      </c>
      <c r="O322" s="62">
        <f t="shared" si="19"/>
        <v>0</v>
      </c>
      <c r="P322" s="62">
        <f t="shared" si="19"/>
        <v>0</v>
      </c>
      <c r="Q322" s="62">
        <f t="shared" si="19"/>
        <v>0</v>
      </c>
      <c r="R322" s="62">
        <f t="shared" si="22"/>
        <v>0</v>
      </c>
      <c r="S322" s="62">
        <f t="shared" si="20"/>
        <v>0</v>
      </c>
      <c r="T322" s="62">
        <f t="shared" si="20"/>
        <v>0</v>
      </c>
      <c r="U322" s="62">
        <f t="shared" si="20"/>
        <v>0</v>
      </c>
      <c r="V322" s="62">
        <f t="shared" si="21"/>
        <v>1</v>
      </c>
    </row>
    <row r="323" spans="1:22" ht="19.5">
      <c r="A323" s="10" t="s">
        <v>345</v>
      </c>
      <c r="B323" s="10" t="s">
        <v>42</v>
      </c>
      <c r="C323" s="10" t="s">
        <v>13</v>
      </c>
      <c r="J323" s="10" t="s">
        <v>345</v>
      </c>
      <c r="K323" s="62">
        <f t="shared" ref="K323:N386" si="23">IF($B323=W$9, 1, 0)</f>
        <v>0</v>
      </c>
      <c r="L323" s="62">
        <f t="shared" si="23"/>
        <v>1</v>
      </c>
      <c r="M323" s="62">
        <f t="shared" si="23"/>
        <v>0</v>
      </c>
      <c r="N323" s="62">
        <f t="shared" si="23"/>
        <v>0</v>
      </c>
      <c r="O323" s="62">
        <f t="shared" ref="O323:S386" si="24">IF($B323=AA$9, 1, 0)</f>
        <v>0</v>
      </c>
      <c r="P323" s="62">
        <f t="shared" si="24"/>
        <v>0</v>
      </c>
      <c r="Q323" s="62">
        <f t="shared" si="24"/>
        <v>0</v>
      </c>
      <c r="R323" s="62">
        <f t="shared" si="22"/>
        <v>0</v>
      </c>
      <c r="S323" s="62">
        <f t="shared" si="22"/>
        <v>0</v>
      </c>
      <c r="T323" s="62">
        <f t="shared" si="22"/>
        <v>0</v>
      </c>
      <c r="U323" s="62">
        <f t="shared" si="22"/>
        <v>0</v>
      </c>
      <c r="V323" s="62">
        <f t="shared" ref="V323:V386" si="25">IF($C323=$V$1, 1, 0)</f>
        <v>1</v>
      </c>
    </row>
    <row r="324" spans="1:22" ht="19.5">
      <c r="A324" s="10" t="s">
        <v>346</v>
      </c>
      <c r="B324" s="10" t="s">
        <v>736</v>
      </c>
      <c r="C324" s="10" t="s">
        <v>13</v>
      </c>
      <c r="J324" s="10" t="s">
        <v>346</v>
      </c>
      <c r="K324" s="62">
        <f t="shared" si="23"/>
        <v>0</v>
      </c>
      <c r="L324" s="62">
        <f t="shared" si="23"/>
        <v>0</v>
      </c>
      <c r="M324" s="62">
        <f t="shared" si="23"/>
        <v>0</v>
      </c>
      <c r="N324" s="62">
        <f t="shared" si="23"/>
        <v>0</v>
      </c>
      <c r="O324" s="62">
        <f t="shared" si="24"/>
        <v>0</v>
      </c>
      <c r="P324" s="62">
        <f t="shared" si="24"/>
        <v>0</v>
      </c>
      <c r="Q324" s="62">
        <f t="shared" si="24"/>
        <v>0</v>
      </c>
      <c r="R324" s="62">
        <f t="shared" si="22"/>
        <v>1</v>
      </c>
      <c r="S324" s="62">
        <f t="shared" si="22"/>
        <v>0</v>
      </c>
      <c r="T324" s="62">
        <f t="shared" si="22"/>
        <v>0</v>
      </c>
      <c r="U324" s="62">
        <f t="shared" si="22"/>
        <v>0</v>
      </c>
      <c r="V324" s="62">
        <f t="shared" si="25"/>
        <v>1</v>
      </c>
    </row>
    <row r="325" spans="1:22" ht="19.5">
      <c r="A325" s="10" t="s">
        <v>347</v>
      </c>
      <c r="B325" s="10" t="s">
        <v>737</v>
      </c>
      <c r="C325" s="10" t="s">
        <v>13</v>
      </c>
      <c r="J325" s="10" t="s">
        <v>347</v>
      </c>
      <c r="K325" s="62">
        <f t="shared" si="23"/>
        <v>0</v>
      </c>
      <c r="L325" s="62">
        <f t="shared" si="23"/>
        <v>0</v>
      </c>
      <c r="M325" s="62">
        <f t="shared" si="23"/>
        <v>0</v>
      </c>
      <c r="N325" s="62">
        <f t="shared" si="23"/>
        <v>1</v>
      </c>
      <c r="O325" s="62">
        <f t="shared" si="24"/>
        <v>0</v>
      </c>
      <c r="P325" s="62">
        <f t="shared" si="24"/>
        <v>0</v>
      </c>
      <c r="Q325" s="62">
        <f t="shared" si="24"/>
        <v>0</v>
      </c>
      <c r="R325" s="62">
        <f t="shared" si="24"/>
        <v>0</v>
      </c>
      <c r="S325" s="62">
        <f t="shared" si="24"/>
        <v>0</v>
      </c>
      <c r="T325" s="62">
        <f t="shared" ref="T325:U388" si="26">IF($B325=AF$9, 1, 0)</f>
        <v>0</v>
      </c>
      <c r="U325" s="62">
        <f t="shared" si="26"/>
        <v>0</v>
      </c>
      <c r="V325" s="62">
        <f t="shared" si="25"/>
        <v>1</v>
      </c>
    </row>
    <row r="326" spans="1:22" ht="19.5">
      <c r="A326" s="10" t="s">
        <v>348</v>
      </c>
      <c r="B326" s="10" t="s">
        <v>739</v>
      </c>
      <c r="C326" s="10" t="s">
        <v>13</v>
      </c>
      <c r="J326" s="10" t="s">
        <v>348</v>
      </c>
      <c r="K326" s="62">
        <f t="shared" si="23"/>
        <v>0</v>
      </c>
      <c r="L326" s="62">
        <f t="shared" si="23"/>
        <v>0</v>
      </c>
      <c r="M326" s="62">
        <f t="shared" si="23"/>
        <v>0</v>
      </c>
      <c r="N326" s="62">
        <f t="shared" si="23"/>
        <v>0</v>
      </c>
      <c r="O326" s="62">
        <f t="shared" si="24"/>
        <v>0</v>
      </c>
      <c r="P326" s="62">
        <f t="shared" si="24"/>
        <v>1</v>
      </c>
      <c r="Q326" s="62">
        <f t="shared" si="24"/>
        <v>0</v>
      </c>
      <c r="R326" s="62">
        <f t="shared" si="24"/>
        <v>0</v>
      </c>
      <c r="S326" s="62">
        <f t="shared" ref="S326:U389" si="27">IF($B326=AE$9, 1, 0)</f>
        <v>0</v>
      </c>
      <c r="T326" s="62">
        <f t="shared" si="26"/>
        <v>0</v>
      </c>
      <c r="U326" s="62">
        <f t="shared" si="26"/>
        <v>0</v>
      </c>
      <c r="V326" s="62">
        <f t="shared" si="25"/>
        <v>1</v>
      </c>
    </row>
    <row r="327" spans="1:22" ht="19.5">
      <c r="A327" s="10" t="s">
        <v>349</v>
      </c>
      <c r="B327" s="10" t="s">
        <v>39</v>
      </c>
      <c r="C327" s="10" t="s">
        <v>13</v>
      </c>
      <c r="J327" s="10" t="s">
        <v>349</v>
      </c>
      <c r="K327" s="62">
        <f t="shared" si="23"/>
        <v>1</v>
      </c>
      <c r="L327" s="62">
        <f t="shared" si="23"/>
        <v>0</v>
      </c>
      <c r="M327" s="62">
        <f t="shared" si="23"/>
        <v>0</v>
      </c>
      <c r="N327" s="62">
        <f t="shared" si="23"/>
        <v>0</v>
      </c>
      <c r="O327" s="62">
        <f t="shared" si="24"/>
        <v>0</v>
      </c>
      <c r="P327" s="62">
        <f t="shared" si="24"/>
        <v>0</v>
      </c>
      <c r="Q327" s="62">
        <f t="shared" si="24"/>
        <v>0</v>
      </c>
      <c r="R327" s="62">
        <f t="shared" si="24"/>
        <v>0</v>
      </c>
      <c r="S327" s="62">
        <f t="shared" si="27"/>
        <v>0</v>
      </c>
      <c r="T327" s="62">
        <f t="shared" si="26"/>
        <v>0</v>
      </c>
      <c r="U327" s="62">
        <f t="shared" si="26"/>
        <v>0</v>
      </c>
      <c r="V327" s="62">
        <f t="shared" si="25"/>
        <v>1</v>
      </c>
    </row>
    <row r="328" spans="1:22" ht="19.5">
      <c r="A328" s="10" t="s">
        <v>350</v>
      </c>
      <c r="B328" s="10" t="s">
        <v>42</v>
      </c>
      <c r="C328" s="10" t="s">
        <v>20</v>
      </c>
      <c r="J328" s="10" t="s">
        <v>350</v>
      </c>
      <c r="K328" s="62">
        <f t="shared" si="23"/>
        <v>0</v>
      </c>
      <c r="L328" s="62">
        <f t="shared" si="23"/>
        <v>1</v>
      </c>
      <c r="M328" s="62">
        <f t="shared" si="23"/>
        <v>0</v>
      </c>
      <c r="N328" s="62">
        <f t="shared" si="23"/>
        <v>0</v>
      </c>
      <c r="O328" s="62">
        <f t="shared" si="24"/>
        <v>0</v>
      </c>
      <c r="P328" s="62">
        <f t="shared" si="24"/>
        <v>0</v>
      </c>
      <c r="Q328" s="62">
        <f t="shared" si="24"/>
        <v>0</v>
      </c>
      <c r="R328" s="62">
        <f t="shared" si="24"/>
        <v>0</v>
      </c>
      <c r="S328" s="62">
        <f t="shared" si="27"/>
        <v>0</v>
      </c>
      <c r="T328" s="62">
        <f t="shared" si="26"/>
        <v>0</v>
      </c>
      <c r="U328" s="62">
        <f t="shared" si="26"/>
        <v>0</v>
      </c>
      <c r="V328" s="62">
        <f t="shared" si="25"/>
        <v>0</v>
      </c>
    </row>
    <row r="329" spans="1:22" ht="19.5">
      <c r="A329" s="10" t="s">
        <v>351</v>
      </c>
      <c r="B329" s="10" t="s">
        <v>737</v>
      </c>
      <c r="C329" s="10" t="s">
        <v>13</v>
      </c>
      <c r="J329" s="10" t="s">
        <v>351</v>
      </c>
      <c r="K329" s="62">
        <f t="shared" si="23"/>
        <v>0</v>
      </c>
      <c r="L329" s="62">
        <f t="shared" si="23"/>
        <v>0</v>
      </c>
      <c r="M329" s="62">
        <f t="shared" si="23"/>
        <v>0</v>
      </c>
      <c r="N329" s="62">
        <f t="shared" si="23"/>
        <v>1</v>
      </c>
      <c r="O329" s="62">
        <f t="shared" si="24"/>
        <v>0</v>
      </c>
      <c r="P329" s="62">
        <f t="shared" si="24"/>
        <v>0</v>
      </c>
      <c r="Q329" s="62">
        <f t="shared" si="24"/>
        <v>0</v>
      </c>
      <c r="R329" s="62">
        <f t="shared" si="24"/>
        <v>0</v>
      </c>
      <c r="S329" s="62">
        <f t="shared" si="27"/>
        <v>0</v>
      </c>
      <c r="T329" s="62">
        <f t="shared" si="26"/>
        <v>0</v>
      </c>
      <c r="U329" s="62">
        <f t="shared" si="26"/>
        <v>0</v>
      </c>
      <c r="V329" s="62">
        <f t="shared" si="25"/>
        <v>1</v>
      </c>
    </row>
    <row r="330" spans="1:22" ht="19.5">
      <c r="A330" s="10" t="s">
        <v>352</v>
      </c>
      <c r="B330" s="10" t="s">
        <v>739</v>
      </c>
      <c r="C330" s="10" t="s">
        <v>20</v>
      </c>
      <c r="J330" s="10" t="s">
        <v>352</v>
      </c>
      <c r="K330" s="62">
        <f t="shared" si="23"/>
        <v>0</v>
      </c>
      <c r="L330" s="62">
        <f t="shared" si="23"/>
        <v>0</v>
      </c>
      <c r="M330" s="62">
        <f t="shared" si="23"/>
        <v>0</v>
      </c>
      <c r="N330" s="62">
        <f t="shared" si="23"/>
        <v>0</v>
      </c>
      <c r="O330" s="62">
        <f t="shared" si="24"/>
        <v>0</v>
      </c>
      <c r="P330" s="62">
        <f t="shared" si="24"/>
        <v>1</v>
      </c>
      <c r="Q330" s="62">
        <f t="shared" si="24"/>
        <v>0</v>
      </c>
      <c r="R330" s="62">
        <f t="shared" si="24"/>
        <v>0</v>
      </c>
      <c r="S330" s="62">
        <f t="shared" si="27"/>
        <v>0</v>
      </c>
      <c r="T330" s="62">
        <f t="shared" si="26"/>
        <v>0</v>
      </c>
      <c r="U330" s="62">
        <f t="shared" si="26"/>
        <v>0</v>
      </c>
      <c r="V330" s="62">
        <f t="shared" si="25"/>
        <v>0</v>
      </c>
    </row>
    <row r="331" spans="1:22" ht="19.5">
      <c r="A331" s="10" t="s">
        <v>353</v>
      </c>
      <c r="B331" s="10" t="s">
        <v>42</v>
      </c>
      <c r="C331" s="10" t="s">
        <v>13</v>
      </c>
      <c r="J331" s="10" t="s">
        <v>353</v>
      </c>
      <c r="K331" s="62">
        <f t="shared" si="23"/>
        <v>0</v>
      </c>
      <c r="L331" s="62">
        <f t="shared" si="23"/>
        <v>1</v>
      </c>
      <c r="M331" s="62">
        <f t="shared" si="23"/>
        <v>0</v>
      </c>
      <c r="N331" s="62">
        <f t="shared" si="23"/>
        <v>0</v>
      </c>
      <c r="O331" s="62">
        <f t="shared" si="24"/>
        <v>0</v>
      </c>
      <c r="P331" s="62">
        <f t="shared" si="24"/>
        <v>0</v>
      </c>
      <c r="Q331" s="62">
        <f t="shared" si="24"/>
        <v>0</v>
      </c>
      <c r="R331" s="62">
        <f t="shared" si="24"/>
        <v>0</v>
      </c>
      <c r="S331" s="62">
        <f t="shared" si="27"/>
        <v>0</v>
      </c>
      <c r="T331" s="62">
        <f t="shared" si="26"/>
        <v>0</v>
      </c>
      <c r="U331" s="62">
        <f t="shared" si="26"/>
        <v>0</v>
      </c>
      <c r="V331" s="62">
        <f t="shared" si="25"/>
        <v>1</v>
      </c>
    </row>
    <row r="332" spans="1:22" ht="19.5">
      <c r="A332" s="10" t="s">
        <v>354</v>
      </c>
      <c r="B332" s="10" t="s">
        <v>37</v>
      </c>
      <c r="C332" s="10" t="s">
        <v>13</v>
      </c>
      <c r="J332" s="10" t="s">
        <v>354</v>
      </c>
      <c r="K332" s="62">
        <f t="shared" si="23"/>
        <v>0</v>
      </c>
      <c r="L332" s="62">
        <f t="shared" si="23"/>
        <v>0</v>
      </c>
      <c r="M332" s="62">
        <f t="shared" si="23"/>
        <v>1</v>
      </c>
      <c r="N332" s="62">
        <f t="shared" si="23"/>
        <v>0</v>
      </c>
      <c r="O332" s="62">
        <f t="shared" si="24"/>
        <v>0</v>
      </c>
      <c r="P332" s="62">
        <f t="shared" si="24"/>
        <v>0</v>
      </c>
      <c r="Q332" s="62">
        <f t="shared" si="24"/>
        <v>0</v>
      </c>
      <c r="R332" s="62">
        <f t="shared" si="24"/>
        <v>0</v>
      </c>
      <c r="S332" s="62">
        <f t="shared" si="27"/>
        <v>0</v>
      </c>
      <c r="T332" s="62">
        <f t="shared" si="26"/>
        <v>0</v>
      </c>
      <c r="U332" s="62">
        <f t="shared" si="26"/>
        <v>0</v>
      </c>
      <c r="V332" s="62">
        <f t="shared" si="25"/>
        <v>1</v>
      </c>
    </row>
    <row r="333" spans="1:22" ht="19.5">
      <c r="A333" s="10" t="s">
        <v>355</v>
      </c>
      <c r="B333" s="10" t="s">
        <v>39</v>
      </c>
      <c r="C333" s="10" t="s">
        <v>20</v>
      </c>
      <c r="J333" s="10" t="s">
        <v>355</v>
      </c>
      <c r="K333" s="62">
        <f t="shared" si="23"/>
        <v>1</v>
      </c>
      <c r="L333" s="62">
        <f t="shared" si="23"/>
        <v>0</v>
      </c>
      <c r="M333" s="62">
        <f t="shared" si="23"/>
        <v>0</v>
      </c>
      <c r="N333" s="62">
        <f t="shared" si="23"/>
        <v>0</v>
      </c>
      <c r="O333" s="62">
        <f t="shared" si="24"/>
        <v>0</v>
      </c>
      <c r="P333" s="62">
        <f t="shared" si="24"/>
        <v>0</v>
      </c>
      <c r="Q333" s="62">
        <f t="shared" si="24"/>
        <v>0</v>
      </c>
      <c r="R333" s="62">
        <f t="shared" si="24"/>
        <v>0</v>
      </c>
      <c r="S333" s="62">
        <f t="shared" si="27"/>
        <v>0</v>
      </c>
      <c r="T333" s="62">
        <f t="shared" si="26"/>
        <v>0</v>
      </c>
      <c r="U333" s="62">
        <f t="shared" si="26"/>
        <v>0</v>
      </c>
      <c r="V333" s="62">
        <f t="shared" si="25"/>
        <v>0</v>
      </c>
    </row>
    <row r="334" spans="1:22" ht="19.5">
      <c r="A334" s="10" t="s">
        <v>356</v>
      </c>
      <c r="B334" s="10" t="s">
        <v>736</v>
      </c>
      <c r="C334" s="10" t="s">
        <v>20</v>
      </c>
      <c r="J334" s="10" t="s">
        <v>356</v>
      </c>
      <c r="K334" s="62">
        <f t="shared" si="23"/>
        <v>0</v>
      </c>
      <c r="L334" s="62">
        <f t="shared" si="23"/>
        <v>0</v>
      </c>
      <c r="M334" s="62">
        <f t="shared" si="23"/>
        <v>0</v>
      </c>
      <c r="N334" s="62">
        <f t="shared" si="23"/>
        <v>0</v>
      </c>
      <c r="O334" s="62">
        <f t="shared" si="24"/>
        <v>0</v>
      </c>
      <c r="P334" s="62">
        <f t="shared" si="24"/>
        <v>0</v>
      </c>
      <c r="Q334" s="62">
        <f t="shared" si="24"/>
        <v>0</v>
      </c>
      <c r="R334" s="62">
        <f t="shared" si="24"/>
        <v>1</v>
      </c>
      <c r="S334" s="62">
        <f t="shared" si="27"/>
        <v>0</v>
      </c>
      <c r="T334" s="62">
        <f t="shared" si="26"/>
        <v>0</v>
      </c>
      <c r="U334" s="62">
        <f t="shared" si="26"/>
        <v>0</v>
      </c>
      <c r="V334" s="62">
        <f t="shared" si="25"/>
        <v>0</v>
      </c>
    </row>
    <row r="335" spans="1:22" ht="19.5">
      <c r="A335" s="10" t="s">
        <v>357</v>
      </c>
      <c r="B335" s="10" t="s">
        <v>39</v>
      </c>
      <c r="C335" s="10" t="s">
        <v>13</v>
      </c>
      <c r="J335" s="10" t="s">
        <v>357</v>
      </c>
      <c r="K335" s="62">
        <f t="shared" si="23"/>
        <v>1</v>
      </c>
      <c r="L335" s="62">
        <f t="shared" si="23"/>
        <v>0</v>
      </c>
      <c r="M335" s="62">
        <f t="shared" si="23"/>
        <v>0</v>
      </c>
      <c r="N335" s="62">
        <f t="shared" si="23"/>
        <v>0</v>
      </c>
      <c r="O335" s="62">
        <f t="shared" si="24"/>
        <v>0</v>
      </c>
      <c r="P335" s="62">
        <f t="shared" si="24"/>
        <v>0</v>
      </c>
      <c r="Q335" s="62">
        <f t="shared" si="24"/>
        <v>0</v>
      </c>
      <c r="R335" s="62">
        <f t="shared" si="24"/>
        <v>0</v>
      </c>
      <c r="S335" s="62">
        <f t="shared" si="27"/>
        <v>0</v>
      </c>
      <c r="T335" s="62">
        <f t="shared" si="26"/>
        <v>0</v>
      </c>
      <c r="U335" s="62">
        <f t="shared" si="26"/>
        <v>0</v>
      </c>
      <c r="V335" s="62">
        <f t="shared" si="25"/>
        <v>1</v>
      </c>
    </row>
    <row r="336" spans="1:22" ht="19.5">
      <c r="A336" s="10" t="s">
        <v>358</v>
      </c>
      <c r="B336" s="10" t="s">
        <v>39</v>
      </c>
      <c r="C336" s="10" t="s">
        <v>20</v>
      </c>
      <c r="J336" s="10" t="s">
        <v>358</v>
      </c>
      <c r="K336" s="62">
        <f t="shared" si="23"/>
        <v>1</v>
      </c>
      <c r="L336" s="62">
        <f t="shared" si="23"/>
        <v>0</v>
      </c>
      <c r="M336" s="62">
        <f t="shared" si="23"/>
        <v>0</v>
      </c>
      <c r="N336" s="62">
        <f t="shared" si="23"/>
        <v>0</v>
      </c>
      <c r="O336" s="62">
        <f t="shared" si="24"/>
        <v>0</v>
      </c>
      <c r="P336" s="62">
        <f t="shared" si="24"/>
        <v>0</v>
      </c>
      <c r="Q336" s="62">
        <f t="shared" si="24"/>
        <v>0</v>
      </c>
      <c r="R336" s="62">
        <f t="shared" si="24"/>
        <v>0</v>
      </c>
      <c r="S336" s="62">
        <f t="shared" si="27"/>
        <v>0</v>
      </c>
      <c r="T336" s="62">
        <f t="shared" si="26"/>
        <v>0</v>
      </c>
      <c r="U336" s="62">
        <f t="shared" si="26"/>
        <v>0</v>
      </c>
      <c r="V336" s="62">
        <f t="shared" si="25"/>
        <v>0</v>
      </c>
    </row>
    <row r="337" spans="1:22" ht="19.5">
      <c r="A337" s="10" t="s">
        <v>359</v>
      </c>
      <c r="B337" s="10" t="s">
        <v>42</v>
      </c>
      <c r="C337" s="10" t="s">
        <v>20</v>
      </c>
      <c r="J337" s="10" t="s">
        <v>359</v>
      </c>
      <c r="K337" s="62">
        <f t="shared" si="23"/>
        <v>0</v>
      </c>
      <c r="L337" s="62">
        <f t="shared" si="23"/>
        <v>1</v>
      </c>
      <c r="M337" s="62">
        <f t="shared" si="23"/>
        <v>0</v>
      </c>
      <c r="N337" s="62">
        <f t="shared" si="23"/>
        <v>0</v>
      </c>
      <c r="O337" s="62">
        <f t="shared" si="24"/>
        <v>0</v>
      </c>
      <c r="P337" s="62">
        <f t="shared" si="24"/>
        <v>0</v>
      </c>
      <c r="Q337" s="62">
        <f t="shared" si="24"/>
        <v>0</v>
      </c>
      <c r="R337" s="62">
        <f t="shared" si="24"/>
        <v>0</v>
      </c>
      <c r="S337" s="62">
        <f t="shared" si="27"/>
        <v>0</v>
      </c>
      <c r="T337" s="62">
        <f t="shared" si="26"/>
        <v>0</v>
      </c>
      <c r="U337" s="62">
        <f t="shared" si="26"/>
        <v>0</v>
      </c>
      <c r="V337" s="62">
        <f t="shared" si="25"/>
        <v>0</v>
      </c>
    </row>
    <row r="338" spans="1:22" ht="19.5">
      <c r="A338" s="10" t="s">
        <v>360</v>
      </c>
      <c r="B338" s="10" t="s">
        <v>42</v>
      </c>
      <c r="C338" s="10" t="s">
        <v>13</v>
      </c>
      <c r="J338" s="10" t="s">
        <v>360</v>
      </c>
      <c r="K338" s="62">
        <f t="shared" si="23"/>
        <v>0</v>
      </c>
      <c r="L338" s="62">
        <f t="shared" si="23"/>
        <v>1</v>
      </c>
      <c r="M338" s="62">
        <f t="shared" si="23"/>
        <v>0</v>
      </c>
      <c r="N338" s="62">
        <f t="shared" si="23"/>
        <v>0</v>
      </c>
      <c r="O338" s="62">
        <f t="shared" si="24"/>
        <v>0</v>
      </c>
      <c r="P338" s="62">
        <f t="shared" si="24"/>
        <v>0</v>
      </c>
      <c r="Q338" s="62">
        <f t="shared" si="24"/>
        <v>0</v>
      </c>
      <c r="R338" s="62">
        <f t="shared" si="24"/>
        <v>0</v>
      </c>
      <c r="S338" s="62">
        <f t="shared" si="27"/>
        <v>0</v>
      </c>
      <c r="T338" s="62">
        <f t="shared" si="26"/>
        <v>0</v>
      </c>
      <c r="U338" s="62">
        <f t="shared" si="26"/>
        <v>0</v>
      </c>
      <c r="V338" s="62">
        <f t="shared" si="25"/>
        <v>1</v>
      </c>
    </row>
    <row r="339" spans="1:22" ht="19.5">
      <c r="A339" s="10" t="s">
        <v>361</v>
      </c>
      <c r="B339" s="10" t="s">
        <v>736</v>
      </c>
      <c r="C339" s="10" t="s">
        <v>13</v>
      </c>
      <c r="J339" s="10" t="s">
        <v>361</v>
      </c>
      <c r="K339" s="62">
        <f t="shared" si="23"/>
        <v>0</v>
      </c>
      <c r="L339" s="62">
        <f t="shared" si="23"/>
        <v>0</v>
      </c>
      <c r="M339" s="62">
        <f t="shared" si="23"/>
        <v>0</v>
      </c>
      <c r="N339" s="62">
        <f t="shared" si="23"/>
        <v>0</v>
      </c>
      <c r="O339" s="62">
        <f t="shared" si="24"/>
        <v>0</v>
      </c>
      <c r="P339" s="62">
        <f t="shared" si="24"/>
        <v>0</v>
      </c>
      <c r="Q339" s="62">
        <f t="shared" si="24"/>
        <v>0</v>
      </c>
      <c r="R339" s="62">
        <f t="shared" si="24"/>
        <v>1</v>
      </c>
      <c r="S339" s="62">
        <f t="shared" si="27"/>
        <v>0</v>
      </c>
      <c r="T339" s="62">
        <f t="shared" si="26"/>
        <v>0</v>
      </c>
      <c r="U339" s="62">
        <f t="shared" si="26"/>
        <v>0</v>
      </c>
      <c r="V339" s="62">
        <f t="shared" si="25"/>
        <v>1</v>
      </c>
    </row>
    <row r="340" spans="1:22" ht="19.5">
      <c r="A340" s="10" t="s">
        <v>362</v>
      </c>
      <c r="B340" s="10" t="s">
        <v>737</v>
      </c>
      <c r="C340" s="10" t="s">
        <v>13</v>
      </c>
      <c r="J340" s="10" t="s">
        <v>362</v>
      </c>
      <c r="K340" s="62">
        <f t="shared" si="23"/>
        <v>0</v>
      </c>
      <c r="L340" s="62">
        <f t="shared" si="23"/>
        <v>0</v>
      </c>
      <c r="M340" s="62">
        <f t="shared" si="23"/>
        <v>0</v>
      </c>
      <c r="N340" s="62">
        <f t="shared" si="23"/>
        <v>1</v>
      </c>
      <c r="O340" s="62">
        <f t="shared" si="24"/>
        <v>0</v>
      </c>
      <c r="P340" s="62">
        <f t="shared" si="24"/>
        <v>0</v>
      </c>
      <c r="Q340" s="62">
        <f t="shared" si="24"/>
        <v>0</v>
      </c>
      <c r="R340" s="62">
        <f t="shared" si="24"/>
        <v>0</v>
      </c>
      <c r="S340" s="62">
        <f t="shared" si="27"/>
        <v>0</v>
      </c>
      <c r="T340" s="62">
        <f t="shared" si="26"/>
        <v>0</v>
      </c>
      <c r="U340" s="62">
        <f t="shared" si="26"/>
        <v>0</v>
      </c>
      <c r="V340" s="62">
        <f t="shared" si="25"/>
        <v>1</v>
      </c>
    </row>
    <row r="341" spans="1:22" ht="19.5">
      <c r="A341" s="10" t="s">
        <v>363</v>
      </c>
      <c r="B341" s="10" t="s">
        <v>739</v>
      </c>
      <c r="C341" s="10" t="s">
        <v>13</v>
      </c>
      <c r="J341" s="10" t="s">
        <v>363</v>
      </c>
      <c r="K341" s="62">
        <f t="shared" si="23"/>
        <v>0</v>
      </c>
      <c r="L341" s="62">
        <f t="shared" si="23"/>
        <v>0</v>
      </c>
      <c r="M341" s="62">
        <f t="shared" si="23"/>
        <v>0</v>
      </c>
      <c r="N341" s="62">
        <f t="shared" si="23"/>
        <v>0</v>
      </c>
      <c r="O341" s="62">
        <f t="shared" si="24"/>
        <v>0</v>
      </c>
      <c r="P341" s="62">
        <f t="shared" si="24"/>
        <v>1</v>
      </c>
      <c r="Q341" s="62">
        <f t="shared" si="24"/>
        <v>0</v>
      </c>
      <c r="R341" s="62">
        <f t="shared" si="24"/>
        <v>0</v>
      </c>
      <c r="S341" s="62">
        <f t="shared" si="27"/>
        <v>0</v>
      </c>
      <c r="T341" s="62">
        <f t="shared" si="26"/>
        <v>0</v>
      </c>
      <c r="U341" s="62">
        <f t="shared" si="26"/>
        <v>0</v>
      </c>
      <c r="V341" s="62">
        <f t="shared" si="25"/>
        <v>1</v>
      </c>
    </row>
    <row r="342" spans="1:22" ht="19.5">
      <c r="A342" s="10" t="s">
        <v>364</v>
      </c>
      <c r="B342" s="10" t="s">
        <v>39</v>
      </c>
      <c r="C342" s="10" t="s">
        <v>20</v>
      </c>
      <c r="J342" s="10" t="s">
        <v>364</v>
      </c>
      <c r="K342" s="62">
        <f t="shared" si="23"/>
        <v>1</v>
      </c>
      <c r="L342" s="62">
        <f t="shared" si="23"/>
        <v>0</v>
      </c>
      <c r="M342" s="62">
        <f t="shared" si="23"/>
        <v>0</v>
      </c>
      <c r="N342" s="62">
        <f t="shared" si="23"/>
        <v>0</v>
      </c>
      <c r="O342" s="62">
        <f t="shared" si="24"/>
        <v>0</v>
      </c>
      <c r="P342" s="62">
        <f t="shared" si="24"/>
        <v>0</v>
      </c>
      <c r="Q342" s="62">
        <f t="shared" si="24"/>
        <v>0</v>
      </c>
      <c r="R342" s="62">
        <f t="shared" si="24"/>
        <v>0</v>
      </c>
      <c r="S342" s="62">
        <f t="shared" si="27"/>
        <v>0</v>
      </c>
      <c r="T342" s="62">
        <f t="shared" si="26"/>
        <v>0</v>
      </c>
      <c r="U342" s="62">
        <f t="shared" si="26"/>
        <v>0</v>
      </c>
      <c r="V342" s="62">
        <f t="shared" si="25"/>
        <v>0</v>
      </c>
    </row>
    <row r="343" spans="1:22" ht="19.5">
      <c r="A343" s="10" t="s">
        <v>365</v>
      </c>
      <c r="B343" s="10" t="s">
        <v>39</v>
      </c>
      <c r="C343" s="10" t="s">
        <v>13</v>
      </c>
      <c r="J343" s="10" t="s">
        <v>365</v>
      </c>
      <c r="K343" s="62">
        <f t="shared" si="23"/>
        <v>1</v>
      </c>
      <c r="L343" s="62">
        <f t="shared" si="23"/>
        <v>0</v>
      </c>
      <c r="M343" s="62">
        <f t="shared" si="23"/>
        <v>0</v>
      </c>
      <c r="N343" s="62">
        <f t="shared" si="23"/>
        <v>0</v>
      </c>
      <c r="O343" s="62">
        <f t="shared" si="24"/>
        <v>0</v>
      </c>
      <c r="P343" s="62">
        <f t="shared" si="24"/>
        <v>0</v>
      </c>
      <c r="Q343" s="62">
        <f t="shared" si="24"/>
        <v>0</v>
      </c>
      <c r="R343" s="62">
        <f t="shared" si="24"/>
        <v>0</v>
      </c>
      <c r="S343" s="62">
        <f t="shared" si="27"/>
        <v>0</v>
      </c>
      <c r="T343" s="62">
        <f t="shared" si="26"/>
        <v>0</v>
      </c>
      <c r="U343" s="62">
        <f t="shared" si="26"/>
        <v>0</v>
      </c>
      <c r="V343" s="62">
        <f t="shared" si="25"/>
        <v>1</v>
      </c>
    </row>
    <row r="344" spans="1:22" ht="19.5">
      <c r="A344" s="10" t="s">
        <v>366</v>
      </c>
      <c r="B344" s="10" t="s">
        <v>42</v>
      </c>
      <c r="C344" s="10" t="s">
        <v>13</v>
      </c>
      <c r="J344" s="10" t="s">
        <v>366</v>
      </c>
      <c r="K344" s="62">
        <f t="shared" si="23"/>
        <v>0</v>
      </c>
      <c r="L344" s="62">
        <f t="shared" si="23"/>
        <v>1</v>
      </c>
      <c r="M344" s="62">
        <f t="shared" si="23"/>
        <v>0</v>
      </c>
      <c r="N344" s="62">
        <f t="shared" si="23"/>
        <v>0</v>
      </c>
      <c r="O344" s="62">
        <f t="shared" si="24"/>
        <v>0</v>
      </c>
      <c r="P344" s="62">
        <f t="shared" si="24"/>
        <v>0</v>
      </c>
      <c r="Q344" s="62">
        <f t="shared" si="24"/>
        <v>0</v>
      </c>
      <c r="R344" s="62">
        <f t="shared" si="24"/>
        <v>0</v>
      </c>
      <c r="S344" s="62">
        <f t="shared" si="27"/>
        <v>0</v>
      </c>
      <c r="T344" s="62">
        <f t="shared" si="26"/>
        <v>0</v>
      </c>
      <c r="U344" s="62">
        <f t="shared" si="26"/>
        <v>0</v>
      </c>
      <c r="V344" s="62">
        <f t="shared" si="25"/>
        <v>1</v>
      </c>
    </row>
    <row r="345" spans="1:22" ht="19.5">
      <c r="A345" s="10" t="s">
        <v>367</v>
      </c>
      <c r="B345" s="10" t="s">
        <v>736</v>
      </c>
      <c r="C345" s="10" t="s">
        <v>13</v>
      </c>
      <c r="J345" s="10" t="s">
        <v>367</v>
      </c>
      <c r="K345" s="62">
        <f t="shared" si="23"/>
        <v>0</v>
      </c>
      <c r="L345" s="62">
        <f t="shared" si="23"/>
        <v>0</v>
      </c>
      <c r="M345" s="62">
        <f t="shared" si="23"/>
        <v>0</v>
      </c>
      <c r="N345" s="62">
        <f t="shared" si="23"/>
        <v>0</v>
      </c>
      <c r="O345" s="62">
        <f t="shared" si="24"/>
        <v>0</v>
      </c>
      <c r="P345" s="62">
        <f t="shared" si="24"/>
        <v>0</v>
      </c>
      <c r="Q345" s="62">
        <f t="shared" si="24"/>
        <v>0</v>
      </c>
      <c r="R345" s="62">
        <f t="shared" si="24"/>
        <v>1</v>
      </c>
      <c r="S345" s="62">
        <f t="shared" si="27"/>
        <v>0</v>
      </c>
      <c r="T345" s="62">
        <f t="shared" si="26"/>
        <v>0</v>
      </c>
      <c r="U345" s="62">
        <f t="shared" si="26"/>
        <v>0</v>
      </c>
      <c r="V345" s="62">
        <f t="shared" si="25"/>
        <v>1</v>
      </c>
    </row>
    <row r="346" spans="1:22" ht="19.5">
      <c r="A346" s="10" t="s">
        <v>368</v>
      </c>
      <c r="B346" s="10" t="s">
        <v>737</v>
      </c>
      <c r="C346" s="10" t="s">
        <v>13</v>
      </c>
      <c r="J346" s="10" t="s">
        <v>368</v>
      </c>
      <c r="K346" s="62">
        <f t="shared" si="23"/>
        <v>0</v>
      </c>
      <c r="L346" s="62">
        <f t="shared" si="23"/>
        <v>0</v>
      </c>
      <c r="M346" s="62">
        <f t="shared" si="23"/>
        <v>0</v>
      </c>
      <c r="N346" s="62">
        <f t="shared" si="23"/>
        <v>1</v>
      </c>
      <c r="O346" s="62">
        <f t="shared" si="24"/>
        <v>0</v>
      </c>
      <c r="P346" s="62">
        <f t="shared" si="24"/>
        <v>0</v>
      </c>
      <c r="Q346" s="62">
        <f t="shared" si="24"/>
        <v>0</v>
      </c>
      <c r="R346" s="62">
        <f t="shared" si="24"/>
        <v>0</v>
      </c>
      <c r="S346" s="62">
        <f t="shared" si="27"/>
        <v>0</v>
      </c>
      <c r="T346" s="62">
        <f t="shared" si="26"/>
        <v>0</v>
      </c>
      <c r="U346" s="62">
        <f t="shared" si="26"/>
        <v>0</v>
      </c>
      <c r="V346" s="62">
        <f t="shared" si="25"/>
        <v>1</v>
      </c>
    </row>
    <row r="347" spans="1:22" ht="19.5">
      <c r="A347" s="10" t="s">
        <v>369</v>
      </c>
      <c r="B347" s="10" t="s">
        <v>740</v>
      </c>
      <c r="C347" s="10" t="s">
        <v>20</v>
      </c>
      <c r="J347" s="10" t="s">
        <v>369</v>
      </c>
      <c r="K347" s="62">
        <f t="shared" si="23"/>
        <v>0</v>
      </c>
      <c r="L347" s="62">
        <f t="shared" si="23"/>
        <v>0</v>
      </c>
      <c r="M347" s="62">
        <f t="shared" si="23"/>
        <v>0</v>
      </c>
      <c r="N347" s="62">
        <f t="shared" si="23"/>
        <v>0</v>
      </c>
      <c r="O347" s="62">
        <f t="shared" si="24"/>
        <v>1</v>
      </c>
      <c r="P347" s="62">
        <f t="shared" si="24"/>
        <v>0</v>
      </c>
      <c r="Q347" s="62">
        <f t="shared" si="24"/>
        <v>0</v>
      </c>
      <c r="R347" s="62">
        <f t="shared" si="24"/>
        <v>0</v>
      </c>
      <c r="S347" s="62">
        <f t="shared" si="27"/>
        <v>0</v>
      </c>
      <c r="T347" s="62">
        <f t="shared" si="26"/>
        <v>0</v>
      </c>
      <c r="U347" s="62">
        <f t="shared" si="26"/>
        <v>0</v>
      </c>
      <c r="V347" s="62">
        <f t="shared" si="25"/>
        <v>0</v>
      </c>
    </row>
    <row r="348" spans="1:22" ht="19.5">
      <c r="A348" s="10" t="s">
        <v>370</v>
      </c>
      <c r="B348" s="10" t="s">
        <v>37</v>
      </c>
      <c r="C348" s="10" t="s">
        <v>20</v>
      </c>
      <c r="J348" s="10" t="s">
        <v>370</v>
      </c>
      <c r="K348" s="62">
        <f t="shared" si="23"/>
        <v>0</v>
      </c>
      <c r="L348" s="62">
        <f t="shared" si="23"/>
        <v>0</v>
      </c>
      <c r="M348" s="62">
        <f t="shared" si="23"/>
        <v>1</v>
      </c>
      <c r="N348" s="62">
        <f t="shared" si="23"/>
        <v>0</v>
      </c>
      <c r="O348" s="62">
        <f t="shared" si="24"/>
        <v>0</v>
      </c>
      <c r="P348" s="62">
        <f t="shared" si="24"/>
        <v>0</v>
      </c>
      <c r="Q348" s="62">
        <f t="shared" si="24"/>
        <v>0</v>
      </c>
      <c r="R348" s="62">
        <f t="shared" si="24"/>
        <v>0</v>
      </c>
      <c r="S348" s="62">
        <f t="shared" si="27"/>
        <v>0</v>
      </c>
      <c r="T348" s="62">
        <f t="shared" si="26"/>
        <v>0</v>
      </c>
      <c r="U348" s="62">
        <f t="shared" si="26"/>
        <v>0</v>
      </c>
      <c r="V348" s="62">
        <f t="shared" si="25"/>
        <v>0</v>
      </c>
    </row>
    <row r="349" spans="1:22" ht="19.5">
      <c r="A349" s="10" t="s">
        <v>371</v>
      </c>
      <c r="B349" s="10" t="s">
        <v>39</v>
      </c>
      <c r="C349" s="10" t="s">
        <v>13</v>
      </c>
      <c r="J349" s="10" t="s">
        <v>371</v>
      </c>
      <c r="K349" s="62">
        <f t="shared" si="23"/>
        <v>1</v>
      </c>
      <c r="L349" s="62">
        <f t="shared" si="23"/>
        <v>0</v>
      </c>
      <c r="M349" s="62">
        <f t="shared" si="23"/>
        <v>0</v>
      </c>
      <c r="N349" s="62">
        <f t="shared" si="23"/>
        <v>0</v>
      </c>
      <c r="O349" s="62">
        <f t="shared" si="24"/>
        <v>0</v>
      </c>
      <c r="P349" s="62">
        <f t="shared" si="24"/>
        <v>0</v>
      </c>
      <c r="Q349" s="62">
        <f t="shared" si="24"/>
        <v>0</v>
      </c>
      <c r="R349" s="62">
        <f t="shared" si="24"/>
        <v>0</v>
      </c>
      <c r="S349" s="62">
        <f t="shared" si="27"/>
        <v>0</v>
      </c>
      <c r="T349" s="62">
        <f t="shared" si="26"/>
        <v>0</v>
      </c>
      <c r="U349" s="62">
        <f t="shared" si="26"/>
        <v>0</v>
      </c>
      <c r="V349" s="62">
        <f t="shared" si="25"/>
        <v>1</v>
      </c>
    </row>
    <row r="350" spans="1:22" ht="19.5">
      <c r="A350" s="10" t="s">
        <v>372</v>
      </c>
      <c r="B350" s="10" t="s">
        <v>39</v>
      </c>
      <c r="C350" s="10" t="s">
        <v>13</v>
      </c>
      <c r="J350" s="10" t="s">
        <v>372</v>
      </c>
      <c r="K350" s="62">
        <f t="shared" si="23"/>
        <v>1</v>
      </c>
      <c r="L350" s="62">
        <f t="shared" si="23"/>
        <v>0</v>
      </c>
      <c r="M350" s="62">
        <f t="shared" si="23"/>
        <v>0</v>
      </c>
      <c r="N350" s="62">
        <f t="shared" si="23"/>
        <v>0</v>
      </c>
      <c r="O350" s="62">
        <f t="shared" si="24"/>
        <v>0</v>
      </c>
      <c r="P350" s="62">
        <f t="shared" si="24"/>
        <v>0</v>
      </c>
      <c r="Q350" s="62">
        <f t="shared" si="24"/>
        <v>0</v>
      </c>
      <c r="R350" s="62">
        <f t="shared" si="24"/>
        <v>0</v>
      </c>
      <c r="S350" s="62">
        <f t="shared" si="27"/>
        <v>0</v>
      </c>
      <c r="T350" s="62">
        <f t="shared" si="26"/>
        <v>0</v>
      </c>
      <c r="U350" s="62">
        <f t="shared" si="26"/>
        <v>0</v>
      </c>
      <c r="V350" s="62">
        <f t="shared" si="25"/>
        <v>1</v>
      </c>
    </row>
    <row r="351" spans="1:22" ht="19.5">
      <c r="A351" s="10" t="s">
        <v>373</v>
      </c>
      <c r="B351" s="10" t="s">
        <v>42</v>
      </c>
      <c r="C351" s="10" t="s">
        <v>13</v>
      </c>
      <c r="J351" s="10" t="s">
        <v>373</v>
      </c>
      <c r="K351" s="62">
        <f t="shared" si="23"/>
        <v>0</v>
      </c>
      <c r="L351" s="62">
        <f t="shared" si="23"/>
        <v>1</v>
      </c>
      <c r="M351" s="62">
        <f t="shared" si="23"/>
        <v>0</v>
      </c>
      <c r="N351" s="62">
        <f t="shared" si="23"/>
        <v>0</v>
      </c>
      <c r="O351" s="62">
        <f t="shared" si="24"/>
        <v>0</v>
      </c>
      <c r="P351" s="62">
        <f t="shared" si="24"/>
        <v>0</v>
      </c>
      <c r="Q351" s="62">
        <f t="shared" si="24"/>
        <v>0</v>
      </c>
      <c r="R351" s="62">
        <f t="shared" si="24"/>
        <v>0</v>
      </c>
      <c r="S351" s="62">
        <f t="shared" si="27"/>
        <v>0</v>
      </c>
      <c r="T351" s="62">
        <f t="shared" si="26"/>
        <v>0</v>
      </c>
      <c r="U351" s="62">
        <f t="shared" si="26"/>
        <v>0</v>
      </c>
      <c r="V351" s="62">
        <f t="shared" si="25"/>
        <v>1</v>
      </c>
    </row>
    <row r="352" spans="1:22" ht="19.5">
      <c r="A352" s="10" t="s">
        <v>374</v>
      </c>
      <c r="B352" s="10" t="s">
        <v>739</v>
      </c>
      <c r="C352" s="10" t="s">
        <v>13</v>
      </c>
      <c r="J352" s="10" t="s">
        <v>374</v>
      </c>
      <c r="K352" s="62">
        <f t="shared" si="23"/>
        <v>0</v>
      </c>
      <c r="L352" s="62">
        <f t="shared" si="23"/>
        <v>0</v>
      </c>
      <c r="M352" s="62">
        <f t="shared" si="23"/>
        <v>0</v>
      </c>
      <c r="N352" s="62">
        <f t="shared" si="23"/>
        <v>0</v>
      </c>
      <c r="O352" s="62">
        <f t="shared" si="24"/>
        <v>0</v>
      </c>
      <c r="P352" s="62">
        <f t="shared" si="24"/>
        <v>1</v>
      </c>
      <c r="Q352" s="62">
        <f t="shared" si="24"/>
        <v>0</v>
      </c>
      <c r="R352" s="62">
        <f t="shared" si="24"/>
        <v>0</v>
      </c>
      <c r="S352" s="62">
        <f t="shared" si="27"/>
        <v>0</v>
      </c>
      <c r="T352" s="62">
        <f t="shared" si="26"/>
        <v>0</v>
      </c>
      <c r="U352" s="62">
        <f t="shared" si="26"/>
        <v>0</v>
      </c>
      <c r="V352" s="62">
        <f t="shared" si="25"/>
        <v>1</v>
      </c>
    </row>
    <row r="353" spans="1:22" ht="19.5">
      <c r="A353" s="10" t="s">
        <v>375</v>
      </c>
      <c r="B353" s="10" t="s">
        <v>37</v>
      </c>
      <c r="C353" s="10" t="s">
        <v>13</v>
      </c>
      <c r="J353" s="10" t="s">
        <v>375</v>
      </c>
      <c r="K353" s="62">
        <f t="shared" si="23"/>
        <v>0</v>
      </c>
      <c r="L353" s="62">
        <f t="shared" si="23"/>
        <v>0</v>
      </c>
      <c r="M353" s="62">
        <f t="shared" si="23"/>
        <v>1</v>
      </c>
      <c r="N353" s="62">
        <f t="shared" si="23"/>
        <v>0</v>
      </c>
      <c r="O353" s="62">
        <f t="shared" si="24"/>
        <v>0</v>
      </c>
      <c r="P353" s="62">
        <f t="shared" si="24"/>
        <v>0</v>
      </c>
      <c r="Q353" s="62">
        <f t="shared" si="24"/>
        <v>0</v>
      </c>
      <c r="R353" s="62">
        <f t="shared" si="24"/>
        <v>0</v>
      </c>
      <c r="S353" s="62">
        <f t="shared" si="27"/>
        <v>0</v>
      </c>
      <c r="T353" s="62">
        <f t="shared" si="26"/>
        <v>0</v>
      </c>
      <c r="U353" s="62">
        <f t="shared" si="26"/>
        <v>0</v>
      </c>
      <c r="V353" s="62">
        <f t="shared" si="25"/>
        <v>1</v>
      </c>
    </row>
    <row r="354" spans="1:22" ht="19.5">
      <c r="A354" s="10" t="s">
        <v>376</v>
      </c>
      <c r="B354" s="10" t="s">
        <v>42</v>
      </c>
      <c r="C354" s="10" t="s">
        <v>20</v>
      </c>
      <c r="J354" s="10" t="s">
        <v>376</v>
      </c>
      <c r="K354" s="62">
        <f t="shared" si="23"/>
        <v>0</v>
      </c>
      <c r="L354" s="62">
        <f t="shared" si="23"/>
        <v>1</v>
      </c>
      <c r="M354" s="62">
        <f t="shared" si="23"/>
        <v>0</v>
      </c>
      <c r="N354" s="62">
        <f t="shared" si="23"/>
        <v>0</v>
      </c>
      <c r="O354" s="62">
        <f t="shared" si="24"/>
        <v>0</v>
      </c>
      <c r="P354" s="62">
        <f t="shared" si="24"/>
        <v>0</v>
      </c>
      <c r="Q354" s="62">
        <f t="shared" si="24"/>
        <v>0</v>
      </c>
      <c r="R354" s="62">
        <f t="shared" si="24"/>
        <v>0</v>
      </c>
      <c r="S354" s="62">
        <f t="shared" si="27"/>
        <v>0</v>
      </c>
      <c r="T354" s="62">
        <f t="shared" si="26"/>
        <v>0</v>
      </c>
      <c r="U354" s="62">
        <f t="shared" si="26"/>
        <v>0</v>
      </c>
      <c r="V354" s="62">
        <f t="shared" si="25"/>
        <v>0</v>
      </c>
    </row>
    <row r="355" spans="1:22" ht="19.5">
      <c r="A355" s="10" t="s">
        <v>377</v>
      </c>
      <c r="B355" s="10" t="s">
        <v>739</v>
      </c>
      <c r="C355" s="10" t="s">
        <v>13</v>
      </c>
      <c r="J355" s="10" t="s">
        <v>377</v>
      </c>
      <c r="K355" s="62">
        <f t="shared" si="23"/>
        <v>0</v>
      </c>
      <c r="L355" s="62">
        <f t="shared" si="23"/>
        <v>0</v>
      </c>
      <c r="M355" s="62">
        <f t="shared" si="23"/>
        <v>0</v>
      </c>
      <c r="N355" s="62">
        <f t="shared" si="23"/>
        <v>0</v>
      </c>
      <c r="O355" s="62">
        <f t="shared" si="24"/>
        <v>0</v>
      </c>
      <c r="P355" s="62">
        <f t="shared" si="24"/>
        <v>1</v>
      </c>
      <c r="Q355" s="62">
        <f t="shared" si="24"/>
        <v>0</v>
      </c>
      <c r="R355" s="62">
        <f t="shared" si="24"/>
        <v>0</v>
      </c>
      <c r="S355" s="62">
        <f t="shared" si="27"/>
        <v>0</v>
      </c>
      <c r="T355" s="62">
        <f t="shared" si="26"/>
        <v>0</v>
      </c>
      <c r="U355" s="62">
        <f t="shared" si="26"/>
        <v>0</v>
      </c>
      <c r="V355" s="62">
        <f t="shared" si="25"/>
        <v>1</v>
      </c>
    </row>
    <row r="356" spans="1:22" ht="19.5">
      <c r="A356" s="10" t="s">
        <v>378</v>
      </c>
      <c r="B356" s="10" t="s">
        <v>37</v>
      </c>
      <c r="C356" s="10" t="s">
        <v>20</v>
      </c>
      <c r="J356" s="10" t="s">
        <v>378</v>
      </c>
      <c r="K356" s="62">
        <f t="shared" si="23"/>
        <v>0</v>
      </c>
      <c r="L356" s="62">
        <f t="shared" si="23"/>
        <v>0</v>
      </c>
      <c r="M356" s="62">
        <f t="shared" si="23"/>
        <v>1</v>
      </c>
      <c r="N356" s="62">
        <f t="shared" si="23"/>
        <v>0</v>
      </c>
      <c r="O356" s="62">
        <f t="shared" si="24"/>
        <v>0</v>
      </c>
      <c r="P356" s="62">
        <f t="shared" si="24"/>
        <v>0</v>
      </c>
      <c r="Q356" s="62">
        <f t="shared" si="24"/>
        <v>0</v>
      </c>
      <c r="R356" s="62">
        <f t="shared" si="24"/>
        <v>0</v>
      </c>
      <c r="S356" s="62">
        <f t="shared" si="27"/>
        <v>0</v>
      </c>
      <c r="T356" s="62">
        <f t="shared" si="26"/>
        <v>0</v>
      </c>
      <c r="U356" s="62">
        <f t="shared" si="26"/>
        <v>0</v>
      </c>
      <c r="V356" s="62">
        <f t="shared" si="25"/>
        <v>0</v>
      </c>
    </row>
    <row r="357" spans="1:22" ht="19.5">
      <c r="A357" s="10" t="s">
        <v>379</v>
      </c>
      <c r="B357" s="10" t="s">
        <v>39</v>
      </c>
      <c r="C357" s="10" t="s">
        <v>20</v>
      </c>
      <c r="J357" s="10" t="s">
        <v>379</v>
      </c>
      <c r="K357" s="62">
        <f t="shared" si="23"/>
        <v>1</v>
      </c>
      <c r="L357" s="62">
        <f t="shared" si="23"/>
        <v>0</v>
      </c>
      <c r="M357" s="62">
        <f t="shared" si="23"/>
        <v>0</v>
      </c>
      <c r="N357" s="62">
        <f t="shared" si="23"/>
        <v>0</v>
      </c>
      <c r="O357" s="62">
        <f t="shared" si="24"/>
        <v>0</v>
      </c>
      <c r="P357" s="62">
        <f t="shared" si="24"/>
        <v>0</v>
      </c>
      <c r="Q357" s="62">
        <f t="shared" si="24"/>
        <v>0</v>
      </c>
      <c r="R357" s="62">
        <f t="shared" si="24"/>
        <v>0</v>
      </c>
      <c r="S357" s="62">
        <f t="shared" si="27"/>
        <v>0</v>
      </c>
      <c r="T357" s="62">
        <f t="shared" si="26"/>
        <v>0</v>
      </c>
      <c r="U357" s="62">
        <f t="shared" si="26"/>
        <v>0</v>
      </c>
      <c r="V357" s="62">
        <f t="shared" si="25"/>
        <v>0</v>
      </c>
    </row>
    <row r="358" spans="1:22" ht="19.5">
      <c r="A358" s="10" t="s">
        <v>380</v>
      </c>
      <c r="B358" s="10" t="s">
        <v>39</v>
      </c>
      <c r="C358" s="10" t="s">
        <v>13</v>
      </c>
      <c r="J358" s="10" t="s">
        <v>380</v>
      </c>
      <c r="K358" s="62">
        <f t="shared" si="23"/>
        <v>1</v>
      </c>
      <c r="L358" s="62">
        <f t="shared" si="23"/>
        <v>0</v>
      </c>
      <c r="M358" s="62">
        <f t="shared" si="23"/>
        <v>0</v>
      </c>
      <c r="N358" s="62">
        <f t="shared" si="23"/>
        <v>0</v>
      </c>
      <c r="O358" s="62">
        <f t="shared" si="24"/>
        <v>0</v>
      </c>
      <c r="P358" s="62">
        <f t="shared" si="24"/>
        <v>0</v>
      </c>
      <c r="Q358" s="62">
        <f t="shared" si="24"/>
        <v>0</v>
      </c>
      <c r="R358" s="62">
        <f t="shared" si="24"/>
        <v>0</v>
      </c>
      <c r="S358" s="62">
        <f t="shared" si="27"/>
        <v>0</v>
      </c>
      <c r="T358" s="62">
        <f t="shared" si="26"/>
        <v>0</v>
      </c>
      <c r="U358" s="62">
        <f t="shared" si="26"/>
        <v>0</v>
      </c>
      <c r="V358" s="62">
        <f t="shared" si="25"/>
        <v>1</v>
      </c>
    </row>
    <row r="359" spans="1:22" ht="19.5">
      <c r="A359" s="10" t="s">
        <v>381</v>
      </c>
      <c r="B359" s="10" t="s">
        <v>42</v>
      </c>
      <c r="C359" s="10" t="s">
        <v>13</v>
      </c>
      <c r="J359" s="10" t="s">
        <v>381</v>
      </c>
      <c r="K359" s="62">
        <f t="shared" si="23"/>
        <v>0</v>
      </c>
      <c r="L359" s="62">
        <f t="shared" si="23"/>
        <v>1</v>
      </c>
      <c r="M359" s="62">
        <f t="shared" si="23"/>
        <v>0</v>
      </c>
      <c r="N359" s="62">
        <f t="shared" si="23"/>
        <v>0</v>
      </c>
      <c r="O359" s="62">
        <f t="shared" si="24"/>
        <v>0</v>
      </c>
      <c r="P359" s="62">
        <f t="shared" si="24"/>
        <v>0</v>
      </c>
      <c r="Q359" s="62">
        <f t="shared" si="24"/>
        <v>0</v>
      </c>
      <c r="R359" s="62">
        <f t="shared" si="24"/>
        <v>0</v>
      </c>
      <c r="S359" s="62">
        <f t="shared" si="27"/>
        <v>0</v>
      </c>
      <c r="T359" s="62">
        <f t="shared" si="26"/>
        <v>0</v>
      </c>
      <c r="U359" s="62">
        <f t="shared" si="26"/>
        <v>0</v>
      </c>
      <c r="V359" s="62">
        <f t="shared" si="25"/>
        <v>1</v>
      </c>
    </row>
    <row r="360" spans="1:22" ht="19.5">
      <c r="A360" s="10" t="s">
        <v>382</v>
      </c>
      <c r="B360" s="10" t="s">
        <v>736</v>
      </c>
      <c r="C360" s="10" t="s">
        <v>20</v>
      </c>
      <c r="J360" s="10" t="s">
        <v>382</v>
      </c>
      <c r="K360" s="62">
        <f t="shared" si="23"/>
        <v>0</v>
      </c>
      <c r="L360" s="62">
        <f t="shared" si="23"/>
        <v>0</v>
      </c>
      <c r="M360" s="62">
        <f t="shared" si="23"/>
        <v>0</v>
      </c>
      <c r="N360" s="62">
        <f t="shared" si="23"/>
        <v>0</v>
      </c>
      <c r="O360" s="62">
        <f t="shared" si="24"/>
        <v>0</v>
      </c>
      <c r="P360" s="62">
        <f t="shared" si="24"/>
        <v>0</v>
      </c>
      <c r="Q360" s="62">
        <f t="shared" si="24"/>
        <v>0</v>
      </c>
      <c r="R360" s="62">
        <f t="shared" si="24"/>
        <v>1</v>
      </c>
      <c r="S360" s="62">
        <f t="shared" si="27"/>
        <v>0</v>
      </c>
      <c r="T360" s="62">
        <f t="shared" si="26"/>
        <v>0</v>
      </c>
      <c r="U360" s="62">
        <f t="shared" si="26"/>
        <v>0</v>
      </c>
      <c r="V360" s="62">
        <f t="shared" si="25"/>
        <v>0</v>
      </c>
    </row>
    <row r="361" spans="1:22" ht="19.5">
      <c r="A361" s="10" t="s">
        <v>383</v>
      </c>
      <c r="B361" s="10" t="s">
        <v>737</v>
      </c>
      <c r="C361" s="10" t="s">
        <v>13</v>
      </c>
      <c r="J361" s="10" t="s">
        <v>383</v>
      </c>
      <c r="K361" s="62">
        <f t="shared" si="23"/>
        <v>0</v>
      </c>
      <c r="L361" s="62">
        <f t="shared" si="23"/>
        <v>0</v>
      </c>
      <c r="M361" s="62">
        <f t="shared" si="23"/>
        <v>0</v>
      </c>
      <c r="N361" s="62">
        <f t="shared" si="23"/>
        <v>1</v>
      </c>
      <c r="O361" s="62">
        <f t="shared" si="24"/>
        <v>0</v>
      </c>
      <c r="P361" s="62">
        <f t="shared" si="24"/>
        <v>0</v>
      </c>
      <c r="Q361" s="62">
        <f t="shared" si="24"/>
        <v>0</v>
      </c>
      <c r="R361" s="62">
        <f t="shared" si="24"/>
        <v>0</v>
      </c>
      <c r="S361" s="62">
        <f t="shared" si="27"/>
        <v>0</v>
      </c>
      <c r="T361" s="62">
        <f t="shared" si="26"/>
        <v>0</v>
      </c>
      <c r="U361" s="62">
        <f t="shared" si="26"/>
        <v>0</v>
      </c>
      <c r="V361" s="62">
        <f t="shared" si="25"/>
        <v>1</v>
      </c>
    </row>
    <row r="362" spans="1:22" ht="19.5">
      <c r="A362" s="10" t="s">
        <v>384</v>
      </c>
      <c r="B362" s="10" t="s">
        <v>37</v>
      </c>
      <c r="C362" s="10" t="s">
        <v>13</v>
      </c>
      <c r="J362" s="10" t="s">
        <v>384</v>
      </c>
      <c r="K362" s="62">
        <f t="shared" si="23"/>
        <v>0</v>
      </c>
      <c r="L362" s="62">
        <f t="shared" si="23"/>
        <v>0</v>
      </c>
      <c r="M362" s="62">
        <f t="shared" si="23"/>
        <v>1</v>
      </c>
      <c r="N362" s="62">
        <f t="shared" si="23"/>
        <v>0</v>
      </c>
      <c r="O362" s="62">
        <f t="shared" si="24"/>
        <v>0</v>
      </c>
      <c r="P362" s="62">
        <f t="shared" si="24"/>
        <v>0</v>
      </c>
      <c r="Q362" s="62">
        <f t="shared" si="24"/>
        <v>0</v>
      </c>
      <c r="R362" s="62">
        <f t="shared" si="24"/>
        <v>0</v>
      </c>
      <c r="S362" s="62">
        <f t="shared" si="27"/>
        <v>0</v>
      </c>
      <c r="T362" s="62">
        <f t="shared" si="26"/>
        <v>0</v>
      </c>
      <c r="U362" s="62">
        <f t="shared" si="26"/>
        <v>0</v>
      </c>
      <c r="V362" s="62">
        <f t="shared" si="25"/>
        <v>1</v>
      </c>
    </row>
    <row r="363" spans="1:22" ht="19.5">
      <c r="A363" s="10" t="s">
        <v>385</v>
      </c>
      <c r="B363" s="10" t="s">
        <v>39</v>
      </c>
      <c r="C363" s="10" t="s">
        <v>20</v>
      </c>
      <c r="J363" s="10" t="s">
        <v>385</v>
      </c>
      <c r="K363" s="62">
        <f t="shared" si="23"/>
        <v>1</v>
      </c>
      <c r="L363" s="62">
        <f t="shared" si="23"/>
        <v>0</v>
      </c>
      <c r="M363" s="62">
        <f t="shared" si="23"/>
        <v>0</v>
      </c>
      <c r="N363" s="62">
        <f t="shared" si="23"/>
        <v>0</v>
      </c>
      <c r="O363" s="62">
        <f t="shared" si="24"/>
        <v>0</v>
      </c>
      <c r="P363" s="62">
        <f t="shared" si="24"/>
        <v>0</v>
      </c>
      <c r="Q363" s="62">
        <f t="shared" si="24"/>
        <v>0</v>
      </c>
      <c r="R363" s="62">
        <f t="shared" si="24"/>
        <v>0</v>
      </c>
      <c r="S363" s="62">
        <f t="shared" si="27"/>
        <v>0</v>
      </c>
      <c r="T363" s="62">
        <f t="shared" si="26"/>
        <v>0</v>
      </c>
      <c r="U363" s="62">
        <f t="shared" si="26"/>
        <v>0</v>
      </c>
      <c r="V363" s="62">
        <f t="shared" si="25"/>
        <v>0</v>
      </c>
    </row>
    <row r="364" spans="1:22" ht="19.5">
      <c r="A364" s="10" t="s">
        <v>386</v>
      </c>
      <c r="B364" s="10" t="s">
        <v>42</v>
      </c>
      <c r="C364" s="10" t="s">
        <v>20</v>
      </c>
      <c r="J364" s="10" t="s">
        <v>386</v>
      </c>
      <c r="K364" s="62">
        <f t="shared" si="23"/>
        <v>0</v>
      </c>
      <c r="L364" s="62">
        <f t="shared" si="23"/>
        <v>1</v>
      </c>
      <c r="M364" s="62">
        <f t="shared" si="23"/>
        <v>0</v>
      </c>
      <c r="N364" s="62">
        <f t="shared" si="23"/>
        <v>0</v>
      </c>
      <c r="O364" s="62">
        <f t="shared" si="24"/>
        <v>0</v>
      </c>
      <c r="P364" s="62">
        <f t="shared" si="24"/>
        <v>0</v>
      </c>
      <c r="Q364" s="62">
        <f t="shared" si="24"/>
        <v>0</v>
      </c>
      <c r="R364" s="62">
        <f t="shared" si="24"/>
        <v>0</v>
      </c>
      <c r="S364" s="62">
        <f t="shared" si="27"/>
        <v>0</v>
      </c>
      <c r="T364" s="62">
        <f t="shared" si="26"/>
        <v>0</v>
      </c>
      <c r="U364" s="62">
        <f t="shared" si="26"/>
        <v>0</v>
      </c>
      <c r="V364" s="62">
        <f t="shared" si="25"/>
        <v>0</v>
      </c>
    </row>
    <row r="365" spans="1:22" ht="19.5">
      <c r="A365" s="10" t="s">
        <v>387</v>
      </c>
      <c r="B365" s="10" t="s">
        <v>740</v>
      </c>
      <c r="C365" s="10" t="s">
        <v>13</v>
      </c>
      <c r="J365" s="10" t="s">
        <v>387</v>
      </c>
      <c r="K365" s="62">
        <f t="shared" si="23"/>
        <v>0</v>
      </c>
      <c r="L365" s="62">
        <f t="shared" si="23"/>
        <v>0</v>
      </c>
      <c r="M365" s="62">
        <f t="shared" si="23"/>
        <v>0</v>
      </c>
      <c r="N365" s="62">
        <f t="shared" si="23"/>
        <v>0</v>
      </c>
      <c r="O365" s="62">
        <f t="shared" si="24"/>
        <v>1</v>
      </c>
      <c r="P365" s="62">
        <f t="shared" si="24"/>
        <v>0</v>
      </c>
      <c r="Q365" s="62">
        <f t="shared" si="24"/>
        <v>0</v>
      </c>
      <c r="R365" s="62">
        <f t="shared" si="24"/>
        <v>0</v>
      </c>
      <c r="S365" s="62">
        <f t="shared" si="27"/>
        <v>0</v>
      </c>
      <c r="T365" s="62">
        <f t="shared" si="26"/>
        <v>0</v>
      </c>
      <c r="U365" s="62">
        <f t="shared" si="26"/>
        <v>0</v>
      </c>
      <c r="V365" s="62">
        <f t="shared" si="25"/>
        <v>1</v>
      </c>
    </row>
    <row r="366" spans="1:22" ht="19.5">
      <c r="A366" s="10" t="s">
        <v>388</v>
      </c>
      <c r="B366" s="10" t="s">
        <v>739</v>
      </c>
      <c r="C366" s="10" t="s">
        <v>13</v>
      </c>
      <c r="J366" s="10" t="s">
        <v>388</v>
      </c>
      <c r="K366" s="62">
        <f t="shared" si="23"/>
        <v>0</v>
      </c>
      <c r="L366" s="62">
        <f t="shared" si="23"/>
        <v>0</v>
      </c>
      <c r="M366" s="62">
        <f t="shared" si="23"/>
        <v>0</v>
      </c>
      <c r="N366" s="62">
        <f t="shared" si="23"/>
        <v>0</v>
      </c>
      <c r="O366" s="62">
        <f t="shared" si="24"/>
        <v>0</v>
      </c>
      <c r="P366" s="62">
        <f t="shared" si="24"/>
        <v>1</v>
      </c>
      <c r="Q366" s="62">
        <f t="shared" si="24"/>
        <v>0</v>
      </c>
      <c r="R366" s="62">
        <f t="shared" si="24"/>
        <v>0</v>
      </c>
      <c r="S366" s="62">
        <f t="shared" si="27"/>
        <v>0</v>
      </c>
      <c r="T366" s="62">
        <f t="shared" si="26"/>
        <v>0</v>
      </c>
      <c r="U366" s="62">
        <f t="shared" si="26"/>
        <v>0</v>
      </c>
      <c r="V366" s="62">
        <f t="shared" si="25"/>
        <v>1</v>
      </c>
    </row>
    <row r="367" spans="1:22" ht="19.5">
      <c r="A367" s="10" t="s">
        <v>389</v>
      </c>
      <c r="B367" s="10" t="s">
        <v>39</v>
      </c>
      <c r="C367" s="10" t="s">
        <v>20</v>
      </c>
      <c r="J367" s="10" t="s">
        <v>389</v>
      </c>
      <c r="K367" s="62">
        <f t="shared" si="23"/>
        <v>1</v>
      </c>
      <c r="L367" s="62">
        <f t="shared" si="23"/>
        <v>0</v>
      </c>
      <c r="M367" s="62">
        <f t="shared" si="23"/>
        <v>0</v>
      </c>
      <c r="N367" s="62">
        <f t="shared" si="23"/>
        <v>0</v>
      </c>
      <c r="O367" s="62">
        <f t="shared" si="24"/>
        <v>0</v>
      </c>
      <c r="P367" s="62">
        <f t="shared" si="24"/>
        <v>0</v>
      </c>
      <c r="Q367" s="62">
        <f t="shared" si="24"/>
        <v>0</v>
      </c>
      <c r="R367" s="62">
        <f t="shared" si="24"/>
        <v>0</v>
      </c>
      <c r="S367" s="62">
        <f t="shared" si="27"/>
        <v>0</v>
      </c>
      <c r="T367" s="62">
        <f t="shared" si="26"/>
        <v>0</v>
      </c>
      <c r="U367" s="62">
        <f t="shared" si="26"/>
        <v>0</v>
      </c>
      <c r="V367" s="62">
        <f t="shared" si="25"/>
        <v>0</v>
      </c>
    </row>
    <row r="368" spans="1:22" ht="19.5">
      <c r="A368" s="10" t="s">
        <v>390</v>
      </c>
      <c r="B368" s="10" t="s">
        <v>42</v>
      </c>
      <c r="C368" s="10" t="s">
        <v>13</v>
      </c>
      <c r="J368" s="10" t="s">
        <v>390</v>
      </c>
      <c r="K368" s="62">
        <f t="shared" si="23"/>
        <v>0</v>
      </c>
      <c r="L368" s="62">
        <f t="shared" si="23"/>
        <v>1</v>
      </c>
      <c r="M368" s="62">
        <f t="shared" si="23"/>
        <v>0</v>
      </c>
      <c r="N368" s="62">
        <f t="shared" si="23"/>
        <v>0</v>
      </c>
      <c r="O368" s="62">
        <f t="shared" si="24"/>
        <v>0</v>
      </c>
      <c r="P368" s="62">
        <f t="shared" si="24"/>
        <v>0</v>
      </c>
      <c r="Q368" s="62">
        <f t="shared" si="24"/>
        <v>0</v>
      </c>
      <c r="R368" s="62">
        <f t="shared" si="24"/>
        <v>0</v>
      </c>
      <c r="S368" s="62">
        <f t="shared" si="27"/>
        <v>0</v>
      </c>
      <c r="T368" s="62">
        <f t="shared" si="26"/>
        <v>0</v>
      </c>
      <c r="U368" s="62">
        <f t="shared" si="26"/>
        <v>0</v>
      </c>
      <c r="V368" s="62">
        <f t="shared" si="25"/>
        <v>1</v>
      </c>
    </row>
    <row r="369" spans="1:22" ht="19.5">
      <c r="A369" s="10" t="s">
        <v>391</v>
      </c>
      <c r="B369" s="10" t="s">
        <v>42</v>
      </c>
      <c r="C369" s="10" t="s">
        <v>20</v>
      </c>
      <c r="J369" s="10" t="s">
        <v>391</v>
      </c>
      <c r="K369" s="62">
        <f t="shared" si="23"/>
        <v>0</v>
      </c>
      <c r="L369" s="62">
        <f t="shared" si="23"/>
        <v>1</v>
      </c>
      <c r="M369" s="62">
        <f t="shared" si="23"/>
        <v>0</v>
      </c>
      <c r="N369" s="62">
        <f t="shared" si="23"/>
        <v>0</v>
      </c>
      <c r="O369" s="62">
        <f t="shared" si="24"/>
        <v>0</v>
      </c>
      <c r="P369" s="62">
        <f t="shared" si="24"/>
        <v>0</v>
      </c>
      <c r="Q369" s="62">
        <f t="shared" si="24"/>
        <v>0</v>
      </c>
      <c r="R369" s="62">
        <f t="shared" si="24"/>
        <v>0</v>
      </c>
      <c r="S369" s="62">
        <f t="shared" si="27"/>
        <v>0</v>
      </c>
      <c r="T369" s="62">
        <f t="shared" si="26"/>
        <v>0</v>
      </c>
      <c r="U369" s="62">
        <f t="shared" si="26"/>
        <v>0</v>
      </c>
      <c r="V369" s="62">
        <f t="shared" si="25"/>
        <v>0</v>
      </c>
    </row>
    <row r="370" spans="1:22" ht="19.5">
      <c r="A370" s="10" t="s">
        <v>392</v>
      </c>
      <c r="B370" s="10" t="s">
        <v>736</v>
      </c>
      <c r="C370" s="10" t="s">
        <v>13</v>
      </c>
      <c r="J370" s="10" t="s">
        <v>392</v>
      </c>
      <c r="K370" s="62">
        <f t="shared" si="23"/>
        <v>0</v>
      </c>
      <c r="L370" s="62">
        <f t="shared" si="23"/>
        <v>0</v>
      </c>
      <c r="M370" s="62">
        <f t="shared" si="23"/>
        <v>0</v>
      </c>
      <c r="N370" s="62">
        <f t="shared" si="23"/>
        <v>0</v>
      </c>
      <c r="O370" s="62">
        <f t="shared" si="24"/>
        <v>0</v>
      </c>
      <c r="P370" s="62">
        <f t="shared" si="24"/>
        <v>0</v>
      </c>
      <c r="Q370" s="62">
        <f t="shared" si="24"/>
        <v>0</v>
      </c>
      <c r="R370" s="62">
        <f t="shared" si="24"/>
        <v>1</v>
      </c>
      <c r="S370" s="62">
        <f t="shared" si="27"/>
        <v>0</v>
      </c>
      <c r="T370" s="62">
        <f t="shared" si="26"/>
        <v>0</v>
      </c>
      <c r="U370" s="62">
        <f t="shared" si="26"/>
        <v>0</v>
      </c>
      <c r="V370" s="62">
        <f t="shared" si="25"/>
        <v>1</v>
      </c>
    </row>
    <row r="371" spans="1:22" ht="19.5">
      <c r="A371" s="10" t="s">
        <v>393</v>
      </c>
      <c r="B371" s="10" t="s">
        <v>737</v>
      </c>
      <c r="C371" s="10" t="s">
        <v>13</v>
      </c>
      <c r="J371" s="10" t="s">
        <v>393</v>
      </c>
      <c r="K371" s="62">
        <f t="shared" si="23"/>
        <v>0</v>
      </c>
      <c r="L371" s="62">
        <f t="shared" si="23"/>
        <v>0</v>
      </c>
      <c r="M371" s="62">
        <f t="shared" si="23"/>
        <v>0</v>
      </c>
      <c r="N371" s="62">
        <f t="shared" si="23"/>
        <v>1</v>
      </c>
      <c r="O371" s="62">
        <f t="shared" si="24"/>
        <v>0</v>
      </c>
      <c r="P371" s="62">
        <f t="shared" si="24"/>
        <v>0</v>
      </c>
      <c r="Q371" s="62">
        <f t="shared" si="24"/>
        <v>0</v>
      </c>
      <c r="R371" s="62">
        <f t="shared" si="24"/>
        <v>0</v>
      </c>
      <c r="S371" s="62">
        <f t="shared" si="27"/>
        <v>0</v>
      </c>
      <c r="T371" s="62">
        <f t="shared" si="26"/>
        <v>0</v>
      </c>
      <c r="U371" s="62">
        <f t="shared" si="26"/>
        <v>0</v>
      </c>
      <c r="V371" s="62">
        <f t="shared" si="25"/>
        <v>1</v>
      </c>
    </row>
    <row r="372" spans="1:22" ht="19.5">
      <c r="A372" s="10" t="s">
        <v>394</v>
      </c>
      <c r="B372" s="10" t="s">
        <v>739</v>
      </c>
      <c r="C372" s="10" t="s">
        <v>20</v>
      </c>
      <c r="J372" s="10" t="s">
        <v>394</v>
      </c>
      <c r="K372" s="62">
        <f t="shared" si="23"/>
        <v>0</v>
      </c>
      <c r="L372" s="62">
        <f t="shared" si="23"/>
        <v>0</v>
      </c>
      <c r="M372" s="62">
        <f t="shared" si="23"/>
        <v>0</v>
      </c>
      <c r="N372" s="62">
        <f t="shared" si="23"/>
        <v>0</v>
      </c>
      <c r="O372" s="62">
        <f t="shared" si="24"/>
        <v>0</v>
      </c>
      <c r="P372" s="62">
        <f t="shared" si="24"/>
        <v>1</v>
      </c>
      <c r="Q372" s="62">
        <f t="shared" si="24"/>
        <v>0</v>
      </c>
      <c r="R372" s="62">
        <f t="shared" si="24"/>
        <v>0</v>
      </c>
      <c r="S372" s="62">
        <f t="shared" si="27"/>
        <v>0</v>
      </c>
      <c r="T372" s="62">
        <f t="shared" si="26"/>
        <v>0</v>
      </c>
      <c r="U372" s="62">
        <f t="shared" si="26"/>
        <v>0</v>
      </c>
      <c r="V372" s="62">
        <f t="shared" si="25"/>
        <v>0</v>
      </c>
    </row>
    <row r="373" spans="1:22" ht="19.5">
      <c r="A373" s="10" t="s">
        <v>395</v>
      </c>
      <c r="B373" s="10" t="s">
        <v>39</v>
      </c>
      <c r="C373" s="10" t="s">
        <v>13</v>
      </c>
      <c r="J373" s="10" t="s">
        <v>395</v>
      </c>
      <c r="K373" s="62">
        <f t="shared" si="23"/>
        <v>1</v>
      </c>
      <c r="L373" s="62">
        <f t="shared" si="23"/>
        <v>0</v>
      </c>
      <c r="M373" s="62">
        <f t="shared" si="23"/>
        <v>0</v>
      </c>
      <c r="N373" s="62">
        <f t="shared" si="23"/>
        <v>0</v>
      </c>
      <c r="O373" s="62">
        <f t="shared" si="24"/>
        <v>0</v>
      </c>
      <c r="P373" s="62">
        <f t="shared" si="24"/>
        <v>0</v>
      </c>
      <c r="Q373" s="62">
        <f t="shared" si="24"/>
        <v>0</v>
      </c>
      <c r="R373" s="62">
        <f t="shared" si="24"/>
        <v>0</v>
      </c>
      <c r="S373" s="62">
        <f t="shared" si="27"/>
        <v>0</v>
      </c>
      <c r="T373" s="62">
        <f t="shared" si="26"/>
        <v>0</v>
      </c>
      <c r="U373" s="62">
        <f t="shared" si="26"/>
        <v>0</v>
      </c>
      <c r="V373" s="62">
        <f t="shared" si="25"/>
        <v>1</v>
      </c>
    </row>
    <row r="374" spans="1:22" ht="19.5">
      <c r="A374" s="10" t="s">
        <v>396</v>
      </c>
      <c r="B374" s="10" t="s">
        <v>39</v>
      </c>
      <c r="C374" s="10" t="s">
        <v>20</v>
      </c>
      <c r="J374" s="10" t="s">
        <v>396</v>
      </c>
      <c r="K374" s="62">
        <f t="shared" si="23"/>
        <v>1</v>
      </c>
      <c r="L374" s="62">
        <f t="shared" si="23"/>
        <v>0</v>
      </c>
      <c r="M374" s="62">
        <f t="shared" si="23"/>
        <v>0</v>
      </c>
      <c r="N374" s="62">
        <f t="shared" si="23"/>
        <v>0</v>
      </c>
      <c r="O374" s="62">
        <f t="shared" si="24"/>
        <v>0</v>
      </c>
      <c r="P374" s="62">
        <f t="shared" si="24"/>
        <v>0</v>
      </c>
      <c r="Q374" s="62">
        <f t="shared" si="24"/>
        <v>0</v>
      </c>
      <c r="R374" s="62">
        <f t="shared" si="24"/>
        <v>0</v>
      </c>
      <c r="S374" s="62">
        <f t="shared" si="27"/>
        <v>0</v>
      </c>
      <c r="T374" s="62">
        <f t="shared" si="26"/>
        <v>0</v>
      </c>
      <c r="U374" s="62">
        <f t="shared" si="26"/>
        <v>0</v>
      </c>
      <c r="V374" s="62">
        <f t="shared" si="25"/>
        <v>0</v>
      </c>
    </row>
    <row r="375" spans="1:22" ht="19.5">
      <c r="A375" s="10" t="s">
        <v>397</v>
      </c>
      <c r="B375" s="10" t="s">
        <v>736</v>
      </c>
      <c r="C375" s="10" t="s">
        <v>13</v>
      </c>
      <c r="J375" s="10" t="s">
        <v>397</v>
      </c>
      <c r="K375" s="62">
        <f t="shared" si="23"/>
        <v>0</v>
      </c>
      <c r="L375" s="62">
        <f t="shared" si="23"/>
        <v>0</v>
      </c>
      <c r="M375" s="62">
        <f t="shared" si="23"/>
        <v>0</v>
      </c>
      <c r="N375" s="62">
        <f t="shared" si="23"/>
        <v>0</v>
      </c>
      <c r="O375" s="62">
        <f t="shared" si="24"/>
        <v>0</v>
      </c>
      <c r="P375" s="62">
        <f t="shared" si="24"/>
        <v>0</v>
      </c>
      <c r="Q375" s="62">
        <f t="shared" si="24"/>
        <v>0</v>
      </c>
      <c r="R375" s="62">
        <f t="shared" si="24"/>
        <v>1</v>
      </c>
      <c r="S375" s="62">
        <f t="shared" si="27"/>
        <v>0</v>
      </c>
      <c r="T375" s="62">
        <f t="shared" si="26"/>
        <v>0</v>
      </c>
      <c r="U375" s="62">
        <f t="shared" si="26"/>
        <v>0</v>
      </c>
      <c r="V375" s="62">
        <f t="shared" si="25"/>
        <v>1</v>
      </c>
    </row>
    <row r="376" spans="1:22" ht="19.5">
      <c r="A376" s="10" t="s">
        <v>398</v>
      </c>
      <c r="B376" s="10" t="s">
        <v>37</v>
      </c>
      <c r="C376" s="10" t="s">
        <v>13</v>
      </c>
      <c r="J376" s="10" t="s">
        <v>398</v>
      </c>
      <c r="K376" s="62">
        <f t="shared" si="23"/>
        <v>0</v>
      </c>
      <c r="L376" s="62">
        <f t="shared" si="23"/>
        <v>0</v>
      </c>
      <c r="M376" s="62">
        <f t="shared" si="23"/>
        <v>1</v>
      </c>
      <c r="N376" s="62">
        <f t="shared" si="23"/>
        <v>0</v>
      </c>
      <c r="O376" s="62">
        <f t="shared" si="24"/>
        <v>0</v>
      </c>
      <c r="P376" s="62">
        <f t="shared" si="24"/>
        <v>0</v>
      </c>
      <c r="Q376" s="62">
        <f t="shared" si="24"/>
        <v>0</v>
      </c>
      <c r="R376" s="62">
        <f t="shared" si="24"/>
        <v>0</v>
      </c>
      <c r="S376" s="62">
        <f t="shared" si="27"/>
        <v>0</v>
      </c>
      <c r="T376" s="62">
        <f t="shared" si="26"/>
        <v>0</v>
      </c>
      <c r="U376" s="62">
        <f t="shared" si="26"/>
        <v>0</v>
      </c>
      <c r="V376" s="62">
        <f t="shared" si="25"/>
        <v>1</v>
      </c>
    </row>
    <row r="377" spans="1:22" ht="19.5">
      <c r="A377" s="10" t="s">
        <v>399</v>
      </c>
      <c r="B377" s="10" t="s">
        <v>39</v>
      </c>
      <c r="C377" s="10" t="s">
        <v>13</v>
      </c>
      <c r="J377" s="10" t="s">
        <v>399</v>
      </c>
      <c r="K377" s="62">
        <f t="shared" si="23"/>
        <v>1</v>
      </c>
      <c r="L377" s="62">
        <f t="shared" si="23"/>
        <v>0</v>
      </c>
      <c r="M377" s="62">
        <f t="shared" si="23"/>
        <v>0</v>
      </c>
      <c r="N377" s="62">
        <f t="shared" si="23"/>
        <v>0</v>
      </c>
      <c r="O377" s="62">
        <f t="shared" si="24"/>
        <v>0</v>
      </c>
      <c r="P377" s="62">
        <f t="shared" si="24"/>
        <v>0</v>
      </c>
      <c r="Q377" s="62">
        <f t="shared" si="24"/>
        <v>0</v>
      </c>
      <c r="R377" s="62">
        <f t="shared" si="24"/>
        <v>0</v>
      </c>
      <c r="S377" s="62">
        <f t="shared" si="27"/>
        <v>0</v>
      </c>
      <c r="T377" s="62">
        <f t="shared" si="26"/>
        <v>0</v>
      </c>
      <c r="U377" s="62">
        <f t="shared" si="26"/>
        <v>0</v>
      </c>
      <c r="V377" s="62">
        <f t="shared" si="25"/>
        <v>1</v>
      </c>
    </row>
    <row r="378" spans="1:22" ht="19.5">
      <c r="A378" s="10" t="s">
        <v>400</v>
      </c>
      <c r="B378" s="10" t="s">
        <v>39</v>
      </c>
      <c r="C378" s="10" t="s">
        <v>13</v>
      </c>
      <c r="J378" s="10" t="s">
        <v>400</v>
      </c>
      <c r="K378" s="62">
        <f t="shared" si="23"/>
        <v>1</v>
      </c>
      <c r="L378" s="62">
        <f t="shared" si="23"/>
        <v>0</v>
      </c>
      <c r="M378" s="62">
        <f t="shared" si="23"/>
        <v>0</v>
      </c>
      <c r="N378" s="62">
        <f t="shared" si="23"/>
        <v>0</v>
      </c>
      <c r="O378" s="62">
        <f t="shared" si="24"/>
        <v>0</v>
      </c>
      <c r="P378" s="62">
        <f t="shared" si="24"/>
        <v>0</v>
      </c>
      <c r="Q378" s="62">
        <f t="shared" si="24"/>
        <v>0</v>
      </c>
      <c r="R378" s="62">
        <f t="shared" si="24"/>
        <v>0</v>
      </c>
      <c r="S378" s="62">
        <f t="shared" si="27"/>
        <v>0</v>
      </c>
      <c r="T378" s="62">
        <f t="shared" si="26"/>
        <v>0</v>
      </c>
      <c r="U378" s="62">
        <f t="shared" si="26"/>
        <v>0</v>
      </c>
      <c r="V378" s="62">
        <f t="shared" si="25"/>
        <v>1</v>
      </c>
    </row>
    <row r="379" spans="1:22" ht="19.5">
      <c r="A379" s="10" t="s">
        <v>401</v>
      </c>
      <c r="B379" s="10" t="s">
        <v>42</v>
      </c>
      <c r="C379" s="10" t="s">
        <v>13</v>
      </c>
      <c r="J379" s="10" t="s">
        <v>401</v>
      </c>
      <c r="K379" s="62">
        <f t="shared" si="23"/>
        <v>0</v>
      </c>
      <c r="L379" s="62">
        <f t="shared" si="23"/>
        <v>1</v>
      </c>
      <c r="M379" s="62">
        <f t="shared" si="23"/>
        <v>0</v>
      </c>
      <c r="N379" s="62">
        <f t="shared" si="23"/>
        <v>0</v>
      </c>
      <c r="O379" s="62">
        <f t="shared" si="24"/>
        <v>0</v>
      </c>
      <c r="P379" s="62">
        <f t="shared" si="24"/>
        <v>0</v>
      </c>
      <c r="Q379" s="62">
        <f t="shared" si="24"/>
        <v>0</v>
      </c>
      <c r="R379" s="62">
        <f t="shared" si="24"/>
        <v>0</v>
      </c>
      <c r="S379" s="62">
        <f t="shared" si="27"/>
        <v>0</v>
      </c>
      <c r="T379" s="62">
        <f t="shared" si="26"/>
        <v>0</v>
      </c>
      <c r="U379" s="62">
        <f t="shared" si="26"/>
        <v>0</v>
      </c>
      <c r="V379" s="62">
        <f t="shared" si="25"/>
        <v>1</v>
      </c>
    </row>
    <row r="380" spans="1:22" ht="19.5">
      <c r="A380" s="10" t="s">
        <v>402</v>
      </c>
      <c r="B380" s="10" t="s">
        <v>42</v>
      </c>
      <c r="C380" s="10" t="s">
        <v>13</v>
      </c>
      <c r="J380" s="10" t="s">
        <v>402</v>
      </c>
      <c r="K380" s="62">
        <f t="shared" si="23"/>
        <v>0</v>
      </c>
      <c r="L380" s="62">
        <f t="shared" si="23"/>
        <v>1</v>
      </c>
      <c r="M380" s="62">
        <f t="shared" si="23"/>
        <v>0</v>
      </c>
      <c r="N380" s="62">
        <f t="shared" si="23"/>
        <v>0</v>
      </c>
      <c r="O380" s="62">
        <f t="shared" si="24"/>
        <v>0</v>
      </c>
      <c r="P380" s="62">
        <f t="shared" si="24"/>
        <v>0</v>
      </c>
      <c r="Q380" s="62">
        <f t="shared" si="24"/>
        <v>0</v>
      </c>
      <c r="R380" s="62">
        <f t="shared" si="24"/>
        <v>0</v>
      </c>
      <c r="S380" s="62">
        <f t="shared" si="27"/>
        <v>0</v>
      </c>
      <c r="T380" s="62">
        <f t="shared" si="26"/>
        <v>0</v>
      </c>
      <c r="U380" s="62">
        <f t="shared" si="26"/>
        <v>0</v>
      </c>
      <c r="V380" s="62">
        <f t="shared" si="25"/>
        <v>1</v>
      </c>
    </row>
    <row r="381" spans="1:22" ht="19.5">
      <c r="A381" s="10" t="s">
        <v>403</v>
      </c>
      <c r="B381" s="10" t="s">
        <v>736</v>
      </c>
      <c r="C381" s="10" t="s">
        <v>13</v>
      </c>
      <c r="J381" s="10" t="s">
        <v>403</v>
      </c>
      <c r="K381" s="62">
        <f t="shared" si="23"/>
        <v>0</v>
      </c>
      <c r="L381" s="62">
        <f t="shared" si="23"/>
        <v>0</v>
      </c>
      <c r="M381" s="62">
        <f t="shared" si="23"/>
        <v>0</v>
      </c>
      <c r="N381" s="62">
        <f t="shared" si="23"/>
        <v>0</v>
      </c>
      <c r="O381" s="62">
        <f t="shared" si="24"/>
        <v>0</v>
      </c>
      <c r="P381" s="62">
        <f t="shared" si="24"/>
        <v>0</v>
      </c>
      <c r="Q381" s="62">
        <f t="shared" si="24"/>
        <v>0</v>
      </c>
      <c r="R381" s="62">
        <f t="shared" si="24"/>
        <v>1</v>
      </c>
      <c r="S381" s="62">
        <f t="shared" si="27"/>
        <v>0</v>
      </c>
      <c r="T381" s="62">
        <f t="shared" si="26"/>
        <v>0</v>
      </c>
      <c r="U381" s="62">
        <f t="shared" si="26"/>
        <v>0</v>
      </c>
      <c r="V381" s="62">
        <f t="shared" si="25"/>
        <v>1</v>
      </c>
    </row>
    <row r="382" spans="1:22" ht="19.5">
      <c r="A382" s="10" t="s">
        <v>404</v>
      </c>
      <c r="B382" s="10" t="s">
        <v>739</v>
      </c>
      <c r="C382" s="10" t="s">
        <v>20</v>
      </c>
      <c r="J382" s="10" t="s">
        <v>404</v>
      </c>
      <c r="K382" s="62">
        <f t="shared" si="23"/>
        <v>0</v>
      </c>
      <c r="L382" s="62">
        <f t="shared" si="23"/>
        <v>0</v>
      </c>
      <c r="M382" s="62">
        <f t="shared" si="23"/>
        <v>0</v>
      </c>
      <c r="N382" s="62">
        <f t="shared" si="23"/>
        <v>0</v>
      </c>
      <c r="O382" s="62">
        <f t="shared" si="24"/>
        <v>0</v>
      </c>
      <c r="P382" s="62">
        <f t="shared" si="24"/>
        <v>1</v>
      </c>
      <c r="Q382" s="62">
        <f t="shared" si="24"/>
        <v>0</v>
      </c>
      <c r="R382" s="62">
        <f t="shared" si="24"/>
        <v>0</v>
      </c>
      <c r="S382" s="62">
        <f t="shared" si="27"/>
        <v>0</v>
      </c>
      <c r="T382" s="62">
        <f t="shared" si="26"/>
        <v>0</v>
      </c>
      <c r="U382" s="62">
        <f t="shared" si="26"/>
        <v>0</v>
      </c>
      <c r="V382" s="62">
        <f t="shared" si="25"/>
        <v>0</v>
      </c>
    </row>
    <row r="383" spans="1:22" ht="19.5">
      <c r="A383" s="10" t="s">
        <v>405</v>
      </c>
      <c r="B383" s="10" t="s">
        <v>37</v>
      </c>
      <c r="C383" s="10" t="s">
        <v>13</v>
      </c>
      <c r="J383" s="10" t="s">
        <v>405</v>
      </c>
      <c r="K383" s="62">
        <f t="shared" si="23"/>
        <v>0</v>
      </c>
      <c r="L383" s="62">
        <f t="shared" si="23"/>
        <v>0</v>
      </c>
      <c r="M383" s="62">
        <f t="shared" si="23"/>
        <v>1</v>
      </c>
      <c r="N383" s="62">
        <f t="shared" si="23"/>
        <v>0</v>
      </c>
      <c r="O383" s="62">
        <f t="shared" si="24"/>
        <v>0</v>
      </c>
      <c r="P383" s="62">
        <f t="shared" si="24"/>
        <v>0</v>
      </c>
      <c r="Q383" s="62">
        <f t="shared" si="24"/>
        <v>0</v>
      </c>
      <c r="R383" s="62">
        <f t="shared" si="24"/>
        <v>0</v>
      </c>
      <c r="S383" s="62">
        <f t="shared" si="27"/>
        <v>0</v>
      </c>
      <c r="T383" s="62">
        <f t="shared" si="26"/>
        <v>0</v>
      </c>
      <c r="U383" s="62">
        <f t="shared" si="26"/>
        <v>0</v>
      </c>
      <c r="V383" s="62">
        <f t="shared" si="25"/>
        <v>1</v>
      </c>
    </row>
    <row r="384" spans="1:22" ht="19.5">
      <c r="A384" s="10" t="s">
        <v>406</v>
      </c>
      <c r="B384" s="10" t="s">
        <v>39</v>
      </c>
      <c r="C384" s="10" t="s">
        <v>20</v>
      </c>
      <c r="J384" s="10" t="s">
        <v>406</v>
      </c>
      <c r="K384" s="62">
        <f t="shared" si="23"/>
        <v>1</v>
      </c>
      <c r="L384" s="62">
        <f t="shared" si="23"/>
        <v>0</v>
      </c>
      <c r="M384" s="62">
        <f t="shared" si="23"/>
        <v>0</v>
      </c>
      <c r="N384" s="62">
        <f t="shared" si="23"/>
        <v>0</v>
      </c>
      <c r="O384" s="62">
        <f t="shared" si="24"/>
        <v>0</v>
      </c>
      <c r="P384" s="62">
        <f t="shared" si="24"/>
        <v>0</v>
      </c>
      <c r="Q384" s="62">
        <f t="shared" si="24"/>
        <v>0</v>
      </c>
      <c r="R384" s="62">
        <f t="shared" si="24"/>
        <v>0</v>
      </c>
      <c r="S384" s="62">
        <f t="shared" si="27"/>
        <v>0</v>
      </c>
      <c r="T384" s="62">
        <f t="shared" si="26"/>
        <v>0</v>
      </c>
      <c r="U384" s="62">
        <f t="shared" si="26"/>
        <v>0</v>
      </c>
      <c r="V384" s="62">
        <f t="shared" si="25"/>
        <v>0</v>
      </c>
    </row>
    <row r="385" spans="1:22" ht="19.5">
      <c r="A385" s="10" t="s">
        <v>407</v>
      </c>
      <c r="B385" s="10" t="s">
        <v>39</v>
      </c>
      <c r="C385" s="10" t="s">
        <v>13</v>
      </c>
      <c r="J385" s="10" t="s">
        <v>407</v>
      </c>
      <c r="K385" s="62">
        <f t="shared" si="23"/>
        <v>1</v>
      </c>
      <c r="L385" s="62">
        <f t="shared" si="23"/>
        <v>0</v>
      </c>
      <c r="M385" s="62">
        <f t="shared" si="23"/>
        <v>0</v>
      </c>
      <c r="N385" s="62">
        <f t="shared" si="23"/>
        <v>0</v>
      </c>
      <c r="O385" s="62">
        <f t="shared" si="24"/>
        <v>0</v>
      </c>
      <c r="P385" s="62">
        <f t="shared" si="24"/>
        <v>0</v>
      </c>
      <c r="Q385" s="62">
        <f t="shared" si="24"/>
        <v>0</v>
      </c>
      <c r="R385" s="62">
        <f t="shared" si="24"/>
        <v>0</v>
      </c>
      <c r="S385" s="62">
        <f t="shared" si="27"/>
        <v>0</v>
      </c>
      <c r="T385" s="62">
        <f t="shared" si="26"/>
        <v>0</v>
      </c>
      <c r="U385" s="62">
        <f t="shared" si="26"/>
        <v>0</v>
      </c>
      <c r="V385" s="62">
        <f t="shared" si="25"/>
        <v>1</v>
      </c>
    </row>
    <row r="386" spans="1:22" ht="19.5">
      <c r="A386" s="10" t="s">
        <v>408</v>
      </c>
      <c r="B386" s="10" t="s">
        <v>42</v>
      </c>
      <c r="C386" s="10" t="s">
        <v>13</v>
      </c>
      <c r="J386" s="10" t="s">
        <v>408</v>
      </c>
      <c r="K386" s="62">
        <f t="shared" si="23"/>
        <v>0</v>
      </c>
      <c r="L386" s="62">
        <f t="shared" si="23"/>
        <v>1</v>
      </c>
      <c r="M386" s="62">
        <f t="shared" si="23"/>
        <v>0</v>
      </c>
      <c r="N386" s="62">
        <f t="shared" ref="N386:R449" si="28">IF($B386=Z$9, 1, 0)</f>
        <v>0</v>
      </c>
      <c r="O386" s="62">
        <f t="shared" si="24"/>
        <v>0</v>
      </c>
      <c r="P386" s="62">
        <f t="shared" si="24"/>
        <v>0</v>
      </c>
      <c r="Q386" s="62">
        <f t="shared" si="24"/>
        <v>0</v>
      </c>
      <c r="R386" s="62">
        <f t="shared" si="24"/>
        <v>0</v>
      </c>
      <c r="S386" s="62">
        <f t="shared" si="27"/>
        <v>0</v>
      </c>
      <c r="T386" s="62">
        <f t="shared" si="26"/>
        <v>0</v>
      </c>
      <c r="U386" s="62">
        <f t="shared" si="26"/>
        <v>0</v>
      </c>
      <c r="V386" s="62">
        <f t="shared" si="25"/>
        <v>1</v>
      </c>
    </row>
    <row r="387" spans="1:22" ht="19.5">
      <c r="A387" s="10" t="s">
        <v>409</v>
      </c>
      <c r="B387" s="10" t="s">
        <v>736</v>
      </c>
      <c r="C387" s="10" t="s">
        <v>13</v>
      </c>
      <c r="J387" s="10" t="s">
        <v>409</v>
      </c>
      <c r="K387" s="62">
        <f t="shared" ref="K387:Q450" si="29">IF($B387=W$9, 1, 0)</f>
        <v>0</v>
      </c>
      <c r="L387" s="62">
        <f t="shared" si="29"/>
        <v>0</v>
      </c>
      <c r="M387" s="62">
        <f t="shared" si="29"/>
        <v>0</v>
      </c>
      <c r="N387" s="62">
        <f t="shared" si="28"/>
        <v>0</v>
      </c>
      <c r="O387" s="62">
        <f t="shared" si="28"/>
        <v>0</v>
      </c>
      <c r="P387" s="62">
        <f t="shared" si="28"/>
        <v>0</v>
      </c>
      <c r="Q387" s="62">
        <f t="shared" si="28"/>
        <v>0</v>
      </c>
      <c r="R387" s="62">
        <f t="shared" si="28"/>
        <v>1</v>
      </c>
      <c r="S387" s="62">
        <f t="shared" si="27"/>
        <v>0</v>
      </c>
      <c r="T387" s="62">
        <f t="shared" si="26"/>
        <v>0</v>
      </c>
      <c r="U387" s="62">
        <f t="shared" si="26"/>
        <v>0</v>
      </c>
      <c r="V387" s="62">
        <f t="shared" ref="V387:V450" si="30">IF($C387=$V$1, 1, 0)</f>
        <v>1</v>
      </c>
    </row>
    <row r="388" spans="1:22" ht="19.5">
      <c r="A388" s="10" t="s">
        <v>410</v>
      </c>
      <c r="B388" s="10" t="s">
        <v>737</v>
      </c>
      <c r="C388" s="10" t="s">
        <v>13</v>
      </c>
      <c r="J388" s="10" t="s">
        <v>410</v>
      </c>
      <c r="K388" s="62">
        <f t="shared" si="29"/>
        <v>0</v>
      </c>
      <c r="L388" s="62">
        <f t="shared" si="29"/>
        <v>0</v>
      </c>
      <c r="M388" s="62">
        <f t="shared" si="29"/>
        <v>0</v>
      </c>
      <c r="N388" s="62">
        <f t="shared" si="28"/>
        <v>1</v>
      </c>
      <c r="O388" s="62">
        <f t="shared" si="28"/>
        <v>0</v>
      </c>
      <c r="P388" s="62">
        <f t="shared" si="28"/>
        <v>0</v>
      </c>
      <c r="Q388" s="62">
        <f t="shared" si="28"/>
        <v>0</v>
      </c>
      <c r="R388" s="62">
        <f t="shared" si="28"/>
        <v>0</v>
      </c>
      <c r="S388" s="62">
        <f t="shared" si="27"/>
        <v>0</v>
      </c>
      <c r="T388" s="62">
        <f t="shared" si="26"/>
        <v>0</v>
      </c>
      <c r="U388" s="62">
        <f t="shared" si="26"/>
        <v>0</v>
      </c>
      <c r="V388" s="62">
        <f t="shared" si="30"/>
        <v>1</v>
      </c>
    </row>
    <row r="389" spans="1:22" ht="19.5">
      <c r="A389" s="10" t="s">
        <v>411</v>
      </c>
      <c r="B389" s="10" t="s">
        <v>740</v>
      </c>
      <c r="C389" s="10" t="s">
        <v>13</v>
      </c>
      <c r="J389" s="10" t="s">
        <v>411</v>
      </c>
      <c r="K389" s="62">
        <f t="shared" si="29"/>
        <v>0</v>
      </c>
      <c r="L389" s="62">
        <f t="shared" si="29"/>
        <v>0</v>
      </c>
      <c r="M389" s="62">
        <f t="shared" si="29"/>
        <v>0</v>
      </c>
      <c r="N389" s="62">
        <f t="shared" si="28"/>
        <v>0</v>
      </c>
      <c r="O389" s="62">
        <f t="shared" si="28"/>
        <v>1</v>
      </c>
      <c r="P389" s="62">
        <f t="shared" si="28"/>
        <v>0</v>
      </c>
      <c r="Q389" s="62">
        <f t="shared" si="28"/>
        <v>0</v>
      </c>
      <c r="R389" s="62">
        <f t="shared" ref="R389:U452" si="31">IF($B389=AD$9, 1, 0)</f>
        <v>0</v>
      </c>
      <c r="S389" s="62">
        <f t="shared" si="27"/>
        <v>0</v>
      </c>
      <c r="T389" s="62">
        <f t="shared" si="27"/>
        <v>0</v>
      </c>
      <c r="U389" s="62">
        <f t="shared" si="27"/>
        <v>0</v>
      </c>
      <c r="V389" s="62">
        <f t="shared" si="30"/>
        <v>1</v>
      </c>
    </row>
    <row r="390" spans="1:22" ht="19.5">
      <c r="A390" s="10" t="s">
        <v>412</v>
      </c>
      <c r="B390" s="10" t="s">
        <v>739</v>
      </c>
      <c r="C390" s="10" t="s">
        <v>20</v>
      </c>
      <c r="J390" s="10" t="s">
        <v>412</v>
      </c>
      <c r="K390" s="62">
        <f t="shared" si="29"/>
        <v>0</v>
      </c>
      <c r="L390" s="62">
        <f t="shared" si="29"/>
        <v>0</v>
      </c>
      <c r="M390" s="62">
        <f t="shared" si="29"/>
        <v>0</v>
      </c>
      <c r="N390" s="62">
        <f t="shared" si="28"/>
        <v>0</v>
      </c>
      <c r="O390" s="62">
        <f t="shared" si="28"/>
        <v>0</v>
      </c>
      <c r="P390" s="62">
        <f t="shared" si="28"/>
        <v>1</v>
      </c>
      <c r="Q390" s="62">
        <f t="shared" si="28"/>
        <v>0</v>
      </c>
      <c r="R390" s="62">
        <f t="shared" si="31"/>
        <v>0</v>
      </c>
      <c r="S390" s="62">
        <f t="shared" si="31"/>
        <v>0</v>
      </c>
      <c r="T390" s="62">
        <f t="shared" si="31"/>
        <v>0</v>
      </c>
      <c r="U390" s="62">
        <f t="shared" si="31"/>
        <v>0</v>
      </c>
      <c r="V390" s="62">
        <f t="shared" si="30"/>
        <v>0</v>
      </c>
    </row>
    <row r="391" spans="1:22" ht="19.5">
      <c r="A391" s="10" t="s">
        <v>413</v>
      </c>
      <c r="B391" s="10" t="s">
        <v>39</v>
      </c>
      <c r="C391" s="10" t="s">
        <v>13</v>
      </c>
      <c r="J391" s="10" t="s">
        <v>413</v>
      </c>
      <c r="K391" s="62">
        <f t="shared" si="29"/>
        <v>1</v>
      </c>
      <c r="L391" s="62">
        <f t="shared" si="29"/>
        <v>0</v>
      </c>
      <c r="M391" s="62">
        <f t="shared" si="29"/>
        <v>0</v>
      </c>
      <c r="N391" s="62">
        <f t="shared" si="28"/>
        <v>0</v>
      </c>
      <c r="O391" s="62">
        <f t="shared" si="28"/>
        <v>0</v>
      </c>
      <c r="P391" s="62">
        <f t="shared" si="28"/>
        <v>0</v>
      </c>
      <c r="Q391" s="62">
        <f t="shared" si="28"/>
        <v>0</v>
      </c>
      <c r="R391" s="62">
        <f t="shared" si="31"/>
        <v>0</v>
      </c>
      <c r="S391" s="62">
        <f t="shared" si="31"/>
        <v>0</v>
      </c>
      <c r="T391" s="62">
        <f t="shared" si="31"/>
        <v>0</v>
      </c>
      <c r="U391" s="62">
        <f t="shared" si="31"/>
        <v>0</v>
      </c>
      <c r="V391" s="62">
        <f t="shared" si="30"/>
        <v>1</v>
      </c>
    </row>
    <row r="392" spans="1:22" ht="19.5">
      <c r="A392" s="10" t="s">
        <v>414</v>
      </c>
      <c r="B392" s="10" t="s">
        <v>42</v>
      </c>
      <c r="C392" s="10" t="s">
        <v>13</v>
      </c>
      <c r="J392" s="10" t="s">
        <v>414</v>
      </c>
      <c r="K392" s="62">
        <f t="shared" si="29"/>
        <v>0</v>
      </c>
      <c r="L392" s="62">
        <f t="shared" si="29"/>
        <v>1</v>
      </c>
      <c r="M392" s="62">
        <f t="shared" si="29"/>
        <v>0</v>
      </c>
      <c r="N392" s="62">
        <f t="shared" si="28"/>
        <v>0</v>
      </c>
      <c r="O392" s="62">
        <f t="shared" si="28"/>
        <v>0</v>
      </c>
      <c r="P392" s="62">
        <f t="shared" si="28"/>
        <v>0</v>
      </c>
      <c r="Q392" s="62">
        <f t="shared" si="28"/>
        <v>0</v>
      </c>
      <c r="R392" s="62">
        <f t="shared" si="31"/>
        <v>0</v>
      </c>
      <c r="S392" s="62">
        <f t="shared" si="31"/>
        <v>0</v>
      </c>
      <c r="T392" s="62">
        <f t="shared" si="31"/>
        <v>0</v>
      </c>
      <c r="U392" s="62">
        <f t="shared" si="31"/>
        <v>0</v>
      </c>
      <c r="V392" s="62">
        <f t="shared" si="30"/>
        <v>1</v>
      </c>
    </row>
    <row r="393" spans="1:22" ht="19.5">
      <c r="A393" s="10" t="s">
        <v>415</v>
      </c>
      <c r="B393" s="10" t="s">
        <v>42</v>
      </c>
      <c r="C393" s="10" t="s">
        <v>13</v>
      </c>
      <c r="J393" s="10" t="s">
        <v>415</v>
      </c>
      <c r="K393" s="62">
        <f t="shared" si="29"/>
        <v>0</v>
      </c>
      <c r="L393" s="62">
        <f t="shared" si="29"/>
        <v>1</v>
      </c>
      <c r="M393" s="62">
        <f t="shared" si="29"/>
        <v>0</v>
      </c>
      <c r="N393" s="62">
        <f t="shared" si="28"/>
        <v>0</v>
      </c>
      <c r="O393" s="62">
        <f t="shared" si="28"/>
        <v>0</v>
      </c>
      <c r="P393" s="62">
        <f t="shared" si="28"/>
        <v>0</v>
      </c>
      <c r="Q393" s="62">
        <f t="shared" si="28"/>
        <v>0</v>
      </c>
      <c r="R393" s="62">
        <f t="shared" si="31"/>
        <v>0</v>
      </c>
      <c r="S393" s="62">
        <f t="shared" si="31"/>
        <v>0</v>
      </c>
      <c r="T393" s="62">
        <f t="shared" si="31"/>
        <v>0</v>
      </c>
      <c r="U393" s="62">
        <f t="shared" si="31"/>
        <v>0</v>
      </c>
      <c r="V393" s="62">
        <f t="shared" si="30"/>
        <v>1</v>
      </c>
    </row>
    <row r="394" spans="1:22" ht="19.5">
      <c r="A394" s="10" t="s">
        <v>416</v>
      </c>
      <c r="B394" s="10" t="s">
        <v>736</v>
      </c>
      <c r="C394" s="10" t="s">
        <v>13</v>
      </c>
      <c r="J394" s="10" t="s">
        <v>416</v>
      </c>
      <c r="K394" s="62">
        <f t="shared" si="29"/>
        <v>0</v>
      </c>
      <c r="L394" s="62">
        <f t="shared" si="29"/>
        <v>0</v>
      </c>
      <c r="M394" s="62">
        <f t="shared" si="29"/>
        <v>0</v>
      </c>
      <c r="N394" s="62">
        <f t="shared" si="28"/>
        <v>0</v>
      </c>
      <c r="O394" s="62">
        <f t="shared" si="28"/>
        <v>0</v>
      </c>
      <c r="P394" s="62">
        <f t="shared" si="28"/>
        <v>0</v>
      </c>
      <c r="Q394" s="62">
        <f t="shared" si="28"/>
        <v>0</v>
      </c>
      <c r="R394" s="62">
        <f t="shared" si="31"/>
        <v>1</v>
      </c>
      <c r="S394" s="62">
        <f t="shared" si="31"/>
        <v>0</v>
      </c>
      <c r="T394" s="62">
        <f t="shared" si="31"/>
        <v>0</v>
      </c>
      <c r="U394" s="62">
        <f t="shared" si="31"/>
        <v>0</v>
      </c>
      <c r="V394" s="62">
        <f t="shared" si="30"/>
        <v>1</v>
      </c>
    </row>
    <row r="395" spans="1:22" ht="19.5">
      <c r="A395" s="10" t="s">
        <v>417</v>
      </c>
      <c r="B395" s="10" t="s">
        <v>37</v>
      </c>
      <c r="C395" s="10" t="s">
        <v>13</v>
      </c>
      <c r="J395" s="10" t="s">
        <v>417</v>
      </c>
      <c r="K395" s="62">
        <f t="shared" si="29"/>
        <v>0</v>
      </c>
      <c r="L395" s="62">
        <f t="shared" si="29"/>
        <v>0</v>
      </c>
      <c r="M395" s="62">
        <f t="shared" si="29"/>
        <v>1</v>
      </c>
      <c r="N395" s="62">
        <f t="shared" si="28"/>
        <v>0</v>
      </c>
      <c r="O395" s="62">
        <f t="shared" si="28"/>
        <v>0</v>
      </c>
      <c r="P395" s="62">
        <f t="shared" si="28"/>
        <v>0</v>
      </c>
      <c r="Q395" s="62">
        <f t="shared" si="28"/>
        <v>0</v>
      </c>
      <c r="R395" s="62">
        <f t="shared" si="31"/>
        <v>0</v>
      </c>
      <c r="S395" s="62">
        <f t="shared" si="31"/>
        <v>0</v>
      </c>
      <c r="T395" s="62">
        <f t="shared" si="31"/>
        <v>0</v>
      </c>
      <c r="U395" s="62">
        <f t="shared" si="31"/>
        <v>0</v>
      </c>
      <c r="V395" s="62">
        <f t="shared" si="30"/>
        <v>1</v>
      </c>
    </row>
    <row r="396" spans="1:22" ht="19.5">
      <c r="A396" s="10" t="s">
        <v>418</v>
      </c>
      <c r="B396" s="10" t="s">
        <v>737</v>
      </c>
      <c r="C396" s="10" t="s">
        <v>13</v>
      </c>
      <c r="J396" s="10" t="s">
        <v>418</v>
      </c>
      <c r="K396" s="62">
        <f t="shared" si="29"/>
        <v>0</v>
      </c>
      <c r="L396" s="62">
        <f t="shared" si="29"/>
        <v>0</v>
      </c>
      <c r="M396" s="62">
        <f t="shared" si="29"/>
        <v>0</v>
      </c>
      <c r="N396" s="62">
        <f t="shared" si="28"/>
        <v>1</v>
      </c>
      <c r="O396" s="62">
        <f t="shared" si="28"/>
        <v>0</v>
      </c>
      <c r="P396" s="62">
        <f t="shared" si="28"/>
        <v>0</v>
      </c>
      <c r="Q396" s="62">
        <f t="shared" si="28"/>
        <v>0</v>
      </c>
      <c r="R396" s="62">
        <f t="shared" si="31"/>
        <v>0</v>
      </c>
      <c r="S396" s="62">
        <f t="shared" si="31"/>
        <v>0</v>
      </c>
      <c r="T396" s="62">
        <f t="shared" si="31"/>
        <v>0</v>
      </c>
      <c r="U396" s="62">
        <f t="shared" si="31"/>
        <v>0</v>
      </c>
      <c r="V396" s="62">
        <f t="shared" si="30"/>
        <v>1</v>
      </c>
    </row>
    <row r="397" spans="1:22" ht="19.5">
      <c r="A397" s="10" t="s">
        <v>419</v>
      </c>
      <c r="B397" s="10" t="s">
        <v>740</v>
      </c>
      <c r="C397" s="10" t="s">
        <v>20</v>
      </c>
      <c r="J397" s="10" t="s">
        <v>419</v>
      </c>
      <c r="K397" s="62">
        <f t="shared" si="29"/>
        <v>0</v>
      </c>
      <c r="L397" s="62">
        <f t="shared" si="29"/>
        <v>0</v>
      </c>
      <c r="M397" s="62">
        <f t="shared" si="29"/>
        <v>0</v>
      </c>
      <c r="N397" s="62">
        <f t="shared" si="28"/>
        <v>0</v>
      </c>
      <c r="O397" s="62">
        <f t="shared" si="28"/>
        <v>1</v>
      </c>
      <c r="P397" s="62">
        <f t="shared" si="28"/>
        <v>0</v>
      </c>
      <c r="Q397" s="62">
        <f t="shared" si="28"/>
        <v>0</v>
      </c>
      <c r="R397" s="62">
        <f t="shared" si="31"/>
        <v>0</v>
      </c>
      <c r="S397" s="62">
        <f t="shared" si="31"/>
        <v>0</v>
      </c>
      <c r="T397" s="62">
        <f t="shared" si="31"/>
        <v>0</v>
      </c>
      <c r="U397" s="62">
        <f t="shared" si="31"/>
        <v>0</v>
      </c>
      <c r="V397" s="62">
        <f t="shared" si="30"/>
        <v>0</v>
      </c>
    </row>
    <row r="398" spans="1:22" ht="19.5">
      <c r="A398" s="10" t="s">
        <v>420</v>
      </c>
      <c r="B398" s="10" t="s">
        <v>37</v>
      </c>
      <c r="C398" s="10" t="s">
        <v>13</v>
      </c>
      <c r="J398" s="10" t="s">
        <v>420</v>
      </c>
      <c r="K398" s="62">
        <f t="shared" si="29"/>
        <v>0</v>
      </c>
      <c r="L398" s="62">
        <f t="shared" si="29"/>
        <v>0</v>
      </c>
      <c r="M398" s="62">
        <f t="shared" si="29"/>
        <v>1</v>
      </c>
      <c r="N398" s="62">
        <f t="shared" si="28"/>
        <v>0</v>
      </c>
      <c r="O398" s="62">
        <f t="shared" si="28"/>
        <v>0</v>
      </c>
      <c r="P398" s="62">
        <f t="shared" si="28"/>
        <v>0</v>
      </c>
      <c r="Q398" s="62">
        <f t="shared" si="28"/>
        <v>0</v>
      </c>
      <c r="R398" s="62">
        <f t="shared" si="31"/>
        <v>0</v>
      </c>
      <c r="S398" s="62">
        <f t="shared" si="31"/>
        <v>0</v>
      </c>
      <c r="T398" s="62">
        <f t="shared" si="31"/>
        <v>0</v>
      </c>
      <c r="U398" s="62">
        <f t="shared" si="31"/>
        <v>0</v>
      </c>
      <c r="V398" s="62">
        <f t="shared" si="30"/>
        <v>1</v>
      </c>
    </row>
    <row r="399" spans="1:22" ht="19.5">
      <c r="A399" s="10" t="s">
        <v>421</v>
      </c>
      <c r="B399" s="10" t="s">
        <v>39</v>
      </c>
      <c r="C399" s="10" t="s">
        <v>13</v>
      </c>
      <c r="J399" s="10" t="s">
        <v>421</v>
      </c>
      <c r="K399" s="62">
        <f t="shared" si="29"/>
        <v>1</v>
      </c>
      <c r="L399" s="62">
        <f t="shared" si="29"/>
        <v>0</v>
      </c>
      <c r="M399" s="62">
        <f t="shared" si="29"/>
        <v>0</v>
      </c>
      <c r="N399" s="62">
        <f t="shared" si="28"/>
        <v>0</v>
      </c>
      <c r="O399" s="62">
        <f t="shared" si="28"/>
        <v>0</v>
      </c>
      <c r="P399" s="62">
        <f t="shared" si="28"/>
        <v>0</v>
      </c>
      <c r="Q399" s="62">
        <f t="shared" si="28"/>
        <v>0</v>
      </c>
      <c r="R399" s="62">
        <f t="shared" si="31"/>
        <v>0</v>
      </c>
      <c r="S399" s="62">
        <f t="shared" si="31"/>
        <v>0</v>
      </c>
      <c r="T399" s="62">
        <f t="shared" si="31"/>
        <v>0</v>
      </c>
      <c r="U399" s="62">
        <f t="shared" si="31"/>
        <v>0</v>
      </c>
      <c r="V399" s="62">
        <f t="shared" si="30"/>
        <v>1</v>
      </c>
    </row>
    <row r="400" spans="1:22" ht="19.5">
      <c r="A400" s="10" t="s">
        <v>422</v>
      </c>
      <c r="B400" s="10" t="s">
        <v>39</v>
      </c>
      <c r="C400" s="10" t="s">
        <v>13</v>
      </c>
      <c r="J400" s="10" t="s">
        <v>422</v>
      </c>
      <c r="K400" s="62">
        <f t="shared" si="29"/>
        <v>1</v>
      </c>
      <c r="L400" s="62">
        <f t="shared" si="29"/>
        <v>0</v>
      </c>
      <c r="M400" s="62">
        <f t="shared" si="29"/>
        <v>0</v>
      </c>
      <c r="N400" s="62">
        <f t="shared" si="28"/>
        <v>0</v>
      </c>
      <c r="O400" s="62">
        <f t="shared" si="28"/>
        <v>0</v>
      </c>
      <c r="P400" s="62">
        <f t="shared" si="28"/>
        <v>0</v>
      </c>
      <c r="Q400" s="62">
        <f t="shared" si="28"/>
        <v>0</v>
      </c>
      <c r="R400" s="62">
        <f t="shared" si="31"/>
        <v>0</v>
      </c>
      <c r="S400" s="62">
        <f t="shared" si="31"/>
        <v>0</v>
      </c>
      <c r="T400" s="62">
        <f t="shared" si="31"/>
        <v>0</v>
      </c>
      <c r="U400" s="62">
        <f t="shared" si="31"/>
        <v>0</v>
      </c>
      <c r="V400" s="62">
        <f t="shared" si="30"/>
        <v>1</v>
      </c>
    </row>
    <row r="401" spans="1:22" ht="19.5">
      <c r="A401" s="10" t="s">
        <v>423</v>
      </c>
      <c r="B401" s="10" t="s">
        <v>42</v>
      </c>
      <c r="C401" s="10" t="s">
        <v>20</v>
      </c>
      <c r="J401" s="10" t="s">
        <v>423</v>
      </c>
      <c r="K401" s="62">
        <f t="shared" si="29"/>
        <v>0</v>
      </c>
      <c r="L401" s="62">
        <f t="shared" si="29"/>
        <v>1</v>
      </c>
      <c r="M401" s="62">
        <f t="shared" si="29"/>
        <v>0</v>
      </c>
      <c r="N401" s="62">
        <f t="shared" si="28"/>
        <v>0</v>
      </c>
      <c r="O401" s="62">
        <f t="shared" si="28"/>
        <v>0</v>
      </c>
      <c r="P401" s="62">
        <f t="shared" si="28"/>
        <v>0</v>
      </c>
      <c r="Q401" s="62">
        <f t="shared" si="28"/>
        <v>0</v>
      </c>
      <c r="R401" s="62">
        <f t="shared" si="31"/>
        <v>0</v>
      </c>
      <c r="S401" s="62">
        <f t="shared" si="31"/>
        <v>0</v>
      </c>
      <c r="T401" s="62">
        <f t="shared" si="31"/>
        <v>0</v>
      </c>
      <c r="U401" s="62">
        <f t="shared" si="31"/>
        <v>0</v>
      </c>
      <c r="V401" s="62">
        <f t="shared" si="30"/>
        <v>0</v>
      </c>
    </row>
    <row r="402" spans="1:22" ht="19.5">
      <c r="A402" s="10" t="s">
        <v>424</v>
      </c>
      <c r="B402" s="10" t="s">
        <v>39</v>
      </c>
      <c r="C402" s="10" t="s">
        <v>13</v>
      </c>
      <c r="J402" s="10" t="s">
        <v>424</v>
      </c>
      <c r="K402" s="62">
        <f t="shared" si="29"/>
        <v>1</v>
      </c>
      <c r="L402" s="62">
        <f t="shared" si="29"/>
        <v>0</v>
      </c>
      <c r="M402" s="62">
        <f t="shared" si="29"/>
        <v>0</v>
      </c>
      <c r="N402" s="62">
        <f t="shared" si="28"/>
        <v>0</v>
      </c>
      <c r="O402" s="62">
        <f t="shared" si="28"/>
        <v>0</v>
      </c>
      <c r="P402" s="62">
        <f t="shared" si="28"/>
        <v>0</v>
      </c>
      <c r="Q402" s="62">
        <f t="shared" si="28"/>
        <v>0</v>
      </c>
      <c r="R402" s="62">
        <f t="shared" si="31"/>
        <v>0</v>
      </c>
      <c r="S402" s="62">
        <f t="shared" si="31"/>
        <v>0</v>
      </c>
      <c r="T402" s="62">
        <f t="shared" si="31"/>
        <v>0</v>
      </c>
      <c r="U402" s="62">
        <f t="shared" si="31"/>
        <v>0</v>
      </c>
      <c r="V402" s="62">
        <f t="shared" si="30"/>
        <v>1</v>
      </c>
    </row>
    <row r="403" spans="1:22" ht="19.5">
      <c r="A403" s="10" t="s">
        <v>425</v>
      </c>
      <c r="B403" s="10" t="s">
        <v>736</v>
      </c>
      <c r="C403" s="10" t="s">
        <v>13</v>
      </c>
      <c r="J403" s="10" t="s">
        <v>425</v>
      </c>
      <c r="K403" s="62">
        <f t="shared" si="29"/>
        <v>0</v>
      </c>
      <c r="L403" s="62">
        <f t="shared" si="29"/>
        <v>0</v>
      </c>
      <c r="M403" s="62">
        <f t="shared" si="29"/>
        <v>0</v>
      </c>
      <c r="N403" s="62">
        <f t="shared" si="28"/>
        <v>0</v>
      </c>
      <c r="O403" s="62">
        <f t="shared" si="28"/>
        <v>0</v>
      </c>
      <c r="P403" s="62">
        <f t="shared" si="28"/>
        <v>0</v>
      </c>
      <c r="Q403" s="62">
        <f t="shared" si="28"/>
        <v>0</v>
      </c>
      <c r="R403" s="62">
        <f t="shared" si="31"/>
        <v>1</v>
      </c>
      <c r="S403" s="62">
        <f t="shared" si="31"/>
        <v>0</v>
      </c>
      <c r="T403" s="62">
        <f t="shared" si="31"/>
        <v>0</v>
      </c>
      <c r="U403" s="62">
        <f t="shared" si="31"/>
        <v>0</v>
      </c>
      <c r="V403" s="62">
        <f t="shared" si="30"/>
        <v>1</v>
      </c>
    </row>
    <row r="404" spans="1:22" ht="19.5">
      <c r="A404" s="10" t="s">
        <v>426</v>
      </c>
      <c r="B404" s="10" t="s">
        <v>739</v>
      </c>
      <c r="C404" s="10" t="s">
        <v>13</v>
      </c>
      <c r="J404" s="10" t="s">
        <v>426</v>
      </c>
      <c r="K404" s="62">
        <f t="shared" si="29"/>
        <v>0</v>
      </c>
      <c r="L404" s="62">
        <f t="shared" si="29"/>
        <v>0</v>
      </c>
      <c r="M404" s="62">
        <f t="shared" si="29"/>
        <v>0</v>
      </c>
      <c r="N404" s="62">
        <f t="shared" si="28"/>
        <v>0</v>
      </c>
      <c r="O404" s="62">
        <f t="shared" si="28"/>
        <v>0</v>
      </c>
      <c r="P404" s="62">
        <f t="shared" si="28"/>
        <v>1</v>
      </c>
      <c r="Q404" s="62">
        <f t="shared" si="28"/>
        <v>0</v>
      </c>
      <c r="R404" s="62">
        <f t="shared" si="31"/>
        <v>0</v>
      </c>
      <c r="S404" s="62">
        <f t="shared" si="31"/>
        <v>0</v>
      </c>
      <c r="T404" s="62">
        <f t="shared" si="31"/>
        <v>0</v>
      </c>
      <c r="U404" s="62">
        <f t="shared" si="31"/>
        <v>0</v>
      </c>
      <c r="V404" s="62">
        <f t="shared" si="30"/>
        <v>1</v>
      </c>
    </row>
    <row r="405" spans="1:22" ht="19.5">
      <c r="A405" s="10" t="s">
        <v>427</v>
      </c>
      <c r="B405" s="10" t="s">
        <v>37</v>
      </c>
      <c r="C405" s="10" t="s">
        <v>20</v>
      </c>
      <c r="J405" s="10" t="s">
        <v>427</v>
      </c>
      <c r="K405" s="62">
        <f t="shared" si="29"/>
        <v>0</v>
      </c>
      <c r="L405" s="62">
        <f t="shared" si="29"/>
        <v>0</v>
      </c>
      <c r="M405" s="62">
        <f t="shared" si="29"/>
        <v>1</v>
      </c>
      <c r="N405" s="62">
        <f t="shared" si="28"/>
        <v>0</v>
      </c>
      <c r="O405" s="62">
        <f t="shared" si="28"/>
        <v>0</v>
      </c>
      <c r="P405" s="62">
        <f t="shared" si="28"/>
        <v>0</v>
      </c>
      <c r="Q405" s="62">
        <f t="shared" si="28"/>
        <v>0</v>
      </c>
      <c r="R405" s="62">
        <f t="shared" si="31"/>
        <v>0</v>
      </c>
      <c r="S405" s="62">
        <f t="shared" si="31"/>
        <v>0</v>
      </c>
      <c r="T405" s="62">
        <f t="shared" si="31"/>
        <v>0</v>
      </c>
      <c r="U405" s="62">
        <f t="shared" si="31"/>
        <v>0</v>
      </c>
      <c r="V405" s="62">
        <f t="shared" si="30"/>
        <v>0</v>
      </c>
    </row>
    <row r="406" spans="1:22" ht="19.5">
      <c r="A406" s="10" t="s">
        <v>428</v>
      </c>
      <c r="B406" s="10" t="s">
        <v>39</v>
      </c>
      <c r="C406" s="10" t="s">
        <v>13</v>
      </c>
      <c r="J406" s="10" t="s">
        <v>428</v>
      </c>
      <c r="K406" s="62">
        <f t="shared" si="29"/>
        <v>1</v>
      </c>
      <c r="L406" s="62">
        <f t="shared" si="29"/>
        <v>0</v>
      </c>
      <c r="M406" s="62">
        <f t="shared" si="29"/>
        <v>0</v>
      </c>
      <c r="N406" s="62">
        <f t="shared" si="28"/>
        <v>0</v>
      </c>
      <c r="O406" s="62">
        <f t="shared" si="28"/>
        <v>0</v>
      </c>
      <c r="P406" s="62">
        <f t="shared" si="28"/>
        <v>0</v>
      </c>
      <c r="Q406" s="62">
        <f t="shared" si="28"/>
        <v>0</v>
      </c>
      <c r="R406" s="62">
        <f t="shared" si="31"/>
        <v>0</v>
      </c>
      <c r="S406" s="62">
        <f t="shared" si="31"/>
        <v>0</v>
      </c>
      <c r="T406" s="62">
        <f t="shared" si="31"/>
        <v>0</v>
      </c>
      <c r="U406" s="62">
        <f t="shared" si="31"/>
        <v>0</v>
      </c>
      <c r="V406" s="62">
        <f t="shared" si="30"/>
        <v>1</v>
      </c>
    </row>
    <row r="407" spans="1:22" ht="19.5">
      <c r="A407" s="10" t="s">
        <v>429</v>
      </c>
      <c r="B407" s="10" t="s">
        <v>39</v>
      </c>
      <c r="C407" s="10" t="s">
        <v>13</v>
      </c>
      <c r="J407" s="10" t="s">
        <v>429</v>
      </c>
      <c r="K407" s="62">
        <f t="shared" si="29"/>
        <v>1</v>
      </c>
      <c r="L407" s="62">
        <f t="shared" si="29"/>
        <v>0</v>
      </c>
      <c r="M407" s="62">
        <f t="shared" si="29"/>
        <v>0</v>
      </c>
      <c r="N407" s="62">
        <f t="shared" si="28"/>
        <v>0</v>
      </c>
      <c r="O407" s="62">
        <f t="shared" si="28"/>
        <v>0</v>
      </c>
      <c r="P407" s="62">
        <f t="shared" si="28"/>
        <v>0</v>
      </c>
      <c r="Q407" s="62">
        <f t="shared" si="28"/>
        <v>0</v>
      </c>
      <c r="R407" s="62">
        <f t="shared" si="31"/>
        <v>0</v>
      </c>
      <c r="S407" s="62">
        <f t="shared" si="31"/>
        <v>0</v>
      </c>
      <c r="T407" s="62">
        <f t="shared" si="31"/>
        <v>0</v>
      </c>
      <c r="U407" s="62">
        <f t="shared" si="31"/>
        <v>0</v>
      </c>
      <c r="V407" s="62">
        <f t="shared" si="30"/>
        <v>1</v>
      </c>
    </row>
    <row r="408" spans="1:22" ht="19.5">
      <c r="A408" s="10" t="s">
        <v>430</v>
      </c>
      <c r="B408" s="10" t="s">
        <v>736</v>
      </c>
      <c r="C408" s="10" t="s">
        <v>13</v>
      </c>
      <c r="J408" s="10" t="s">
        <v>430</v>
      </c>
      <c r="K408" s="62">
        <f t="shared" si="29"/>
        <v>0</v>
      </c>
      <c r="L408" s="62">
        <f t="shared" si="29"/>
        <v>0</v>
      </c>
      <c r="M408" s="62">
        <f t="shared" si="29"/>
        <v>0</v>
      </c>
      <c r="N408" s="62">
        <f t="shared" si="28"/>
        <v>0</v>
      </c>
      <c r="O408" s="62">
        <f t="shared" si="28"/>
        <v>0</v>
      </c>
      <c r="P408" s="62">
        <f t="shared" si="28"/>
        <v>0</v>
      </c>
      <c r="Q408" s="62">
        <f t="shared" si="28"/>
        <v>0</v>
      </c>
      <c r="R408" s="62">
        <f t="shared" si="31"/>
        <v>1</v>
      </c>
      <c r="S408" s="62">
        <f t="shared" si="31"/>
        <v>0</v>
      </c>
      <c r="T408" s="62">
        <f t="shared" si="31"/>
        <v>0</v>
      </c>
      <c r="U408" s="62">
        <f t="shared" si="31"/>
        <v>0</v>
      </c>
      <c r="V408" s="62">
        <f t="shared" si="30"/>
        <v>1</v>
      </c>
    </row>
    <row r="409" spans="1:22" ht="19.5">
      <c r="A409" s="10" t="s">
        <v>431</v>
      </c>
      <c r="B409" s="10" t="s">
        <v>739</v>
      </c>
      <c r="C409" s="10" t="s">
        <v>20</v>
      </c>
      <c r="J409" s="10" t="s">
        <v>431</v>
      </c>
      <c r="K409" s="62">
        <f t="shared" si="29"/>
        <v>0</v>
      </c>
      <c r="L409" s="62">
        <f t="shared" si="29"/>
        <v>0</v>
      </c>
      <c r="M409" s="62">
        <f t="shared" si="29"/>
        <v>0</v>
      </c>
      <c r="N409" s="62">
        <f t="shared" si="28"/>
        <v>0</v>
      </c>
      <c r="O409" s="62">
        <f t="shared" si="28"/>
        <v>0</v>
      </c>
      <c r="P409" s="62">
        <f t="shared" si="28"/>
        <v>1</v>
      </c>
      <c r="Q409" s="62">
        <f t="shared" si="28"/>
        <v>0</v>
      </c>
      <c r="R409" s="62">
        <f t="shared" si="31"/>
        <v>0</v>
      </c>
      <c r="S409" s="62">
        <f t="shared" si="31"/>
        <v>0</v>
      </c>
      <c r="T409" s="62">
        <f t="shared" si="31"/>
        <v>0</v>
      </c>
      <c r="U409" s="62">
        <f t="shared" si="31"/>
        <v>0</v>
      </c>
      <c r="V409" s="62">
        <f t="shared" si="30"/>
        <v>0</v>
      </c>
    </row>
    <row r="410" spans="1:22" ht="19.5">
      <c r="A410" s="10" t="s">
        <v>432</v>
      </c>
      <c r="B410" s="10" t="s">
        <v>37</v>
      </c>
      <c r="C410" s="10" t="s">
        <v>13</v>
      </c>
      <c r="J410" s="10" t="s">
        <v>432</v>
      </c>
      <c r="K410" s="62">
        <f t="shared" si="29"/>
        <v>0</v>
      </c>
      <c r="L410" s="62">
        <f t="shared" si="29"/>
        <v>0</v>
      </c>
      <c r="M410" s="62">
        <f t="shared" si="29"/>
        <v>1</v>
      </c>
      <c r="N410" s="62">
        <f t="shared" si="28"/>
        <v>0</v>
      </c>
      <c r="O410" s="62">
        <f t="shared" si="28"/>
        <v>0</v>
      </c>
      <c r="P410" s="62">
        <f t="shared" si="28"/>
        <v>0</v>
      </c>
      <c r="Q410" s="62">
        <f t="shared" si="28"/>
        <v>0</v>
      </c>
      <c r="R410" s="62">
        <f t="shared" si="31"/>
        <v>0</v>
      </c>
      <c r="S410" s="62">
        <f t="shared" si="31"/>
        <v>0</v>
      </c>
      <c r="T410" s="62">
        <f t="shared" si="31"/>
        <v>0</v>
      </c>
      <c r="U410" s="62">
        <f t="shared" si="31"/>
        <v>0</v>
      </c>
      <c r="V410" s="62">
        <f t="shared" si="30"/>
        <v>1</v>
      </c>
    </row>
    <row r="411" spans="1:22" ht="19.5">
      <c r="A411" s="10" t="s">
        <v>433</v>
      </c>
      <c r="B411" s="10" t="s">
        <v>39</v>
      </c>
      <c r="C411" s="10" t="s">
        <v>20</v>
      </c>
      <c r="J411" s="10" t="s">
        <v>433</v>
      </c>
      <c r="K411" s="62">
        <f t="shared" si="29"/>
        <v>1</v>
      </c>
      <c r="L411" s="62">
        <f t="shared" si="29"/>
        <v>0</v>
      </c>
      <c r="M411" s="62">
        <f t="shared" si="29"/>
        <v>0</v>
      </c>
      <c r="N411" s="62">
        <f t="shared" si="28"/>
        <v>0</v>
      </c>
      <c r="O411" s="62">
        <f t="shared" si="28"/>
        <v>0</v>
      </c>
      <c r="P411" s="62">
        <f t="shared" si="28"/>
        <v>0</v>
      </c>
      <c r="Q411" s="62">
        <f t="shared" si="28"/>
        <v>0</v>
      </c>
      <c r="R411" s="62">
        <f t="shared" si="31"/>
        <v>0</v>
      </c>
      <c r="S411" s="62">
        <f t="shared" si="31"/>
        <v>0</v>
      </c>
      <c r="T411" s="62">
        <f t="shared" si="31"/>
        <v>0</v>
      </c>
      <c r="U411" s="62">
        <f t="shared" si="31"/>
        <v>0</v>
      </c>
      <c r="V411" s="62">
        <f t="shared" si="30"/>
        <v>0</v>
      </c>
    </row>
    <row r="412" spans="1:22" ht="19.5">
      <c r="A412" s="10" t="s">
        <v>434</v>
      </c>
      <c r="B412" s="10" t="s">
        <v>42</v>
      </c>
      <c r="C412" s="10" t="s">
        <v>13</v>
      </c>
      <c r="J412" s="10" t="s">
        <v>434</v>
      </c>
      <c r="K412" s="62">
        <f t="shared" si="29"/>
        <v>0</v>
      </c>
      <c r="L412" s="62">
        <f t="shared" si="29"/>
        <v>1</v>
      </c>
      <c r="M412" s="62">
        <f t="shared" si="29"/>
        <v>0</v>
      </c>
      <c r="N412" s="62">
        <f t="shared" si="28"/>
        <v>0</v>
      </c>
      <c r="O412" s="62">
        <f t="shared" si="28"/>
        <v>0</v>
      </c>
      <c r="P412" s="62">
        <f t="shared" si="28"/>
        <v>0</v>
      </c>
      <c r="Q412" s="62">
        <f t="shared" si="28"/>
        <v>0</v>
      </c>
      <c r="R412" s="62">
        <f t="shared" si="31"/>
        <v>0</v>
      </c>
      <c r="S412" s="62">
        <f t="shared" si="31"/>
        <v>0</v>
      </c>
      <c r="T412" s="62">
        <f t="shared" si="31"/>
        <v>0</v>
      </c>
      <c r="U412" s="62">
        <f t="shared" si="31"/>
        <v>0</v>
      </c>
      <c r="V412" s="62">
        <f t="shared" si="30"/>
        <v>1</v>
      </c>
    </row>
    <row r="413" spans="1:22" ht="19.5">
      <c r="A413" s="10" t="s">
        <v>435</v>
      </c>
      <c r="B413" s="10" t="s">
        <v>736</v>
      </c>
      <c r="C413" s="10" t="s">
        <v>13</v>
      </c>
      <c r="J413" s="10" t="s">
        <v>435</v>
      </c>
      <c r="K413" s="62">
        <f t="shared" si="29"/>
        <v>0</v>
      </c>
      <c r="L413" s="62">
        <f t="shared" si="29"/>
        <v>0</v>
      </c>
      <c r="M413" s="62">
        <f t="shared" si="29"/>
        <v>0</v>
      </c>
      <c r="N413" s="62">
        <f t="shared" si="28"/>
        <v>0</v>
      </c>
      <c r="O413" s="62">
        <f t="shared" si="28"/>
        <v>0</v>
      </c>
      <c r="P413" s="62">
        <f t="shared" si="28"/>
        <v>0</v>
      </c>
      <c r="Q413" s="62">
        <f t="shared" si="28"/>
        <v>0</v>
      </c>
      <c r="R413" s="62">
        <f t="shared" si="31"/>
        <v>1</v>
      </c>
      <c r="S413" s="62">
        <f t="shared" si="31"/>
        <v>0</v>
      </c>
      <c r="T413" s="62">
        <f t="shared" si="31"/>
        <v>0</v>
      </c>
      <c r="U413" s="62">
        <f t="shared" si="31"/>
        <v>0</v>
      </c>
      <c r="V413" s="62">
        <f t="shared" si="30"/>
        <v>1</v>
      </c>
    </row>
    <row r="414" spans="1:22" ht="19.5">
      <c r="A414" s="10" t="s">
        <v>436</v>
      </c>
      <c r="B414" s="10" t="s">
        <v>739</v>
      </c>
      <c r="C414" s="10" t="s">
        <v>13</v>
      </c>
      <c r="J414" s="10" t="s">
        <v>436</v>
      </c>
      <c r="K414" s="62">
        <f t="shared" si="29"/>
        <v>0</v>
      </c>
      <c r="L414" s="62">
        <f t="shared" si="29"/>
        <v>0</v>
      </c>
      <c r="M414" s="62">
        <f t="shared" si="29"/>
        <v>0</v>
      </c>
      <c r="N414" s="62">
        <f t="shared" si="28"/>
        <v>0</v>
      </c>
      <c r="O414" s="62">
        <f t="shared" si="28"/>
        <v>0</v>
      </c>
      <c r="P414" s="62">
        <f t="shared" si="28"/>
        <v>1</v>
      </c>
      <c r="Q414" s="62">
        <f t="shared" si="28"/>
        <v>0</v>
      </c>
      <c r="R414" s="62">
        <f t="shared" si="31"/>
        <v>0</v>
      </c>
      <c r="S414" s="62">
        <f t="shared" si="31"/>
        <v>0</v>
      </c>
      <c r="T414" s="62">
        <f t="shared" si="31"/>
        <v>0</v>
      </c>
      <c r="U414" s="62">
        <f t="shared" si="31"/>
        <v>0</v>
      </c>
      <c r="V414" s="62">
        <f t="shared" si="30"/>
        <v>1</v>
      </c>
    </row>
    <row r="415" spans="1:22" ht="19.5">
      <c r="A415" s="10" t="s">
        <v>437</v>
      </c>
      <c r="B415" s="10" t="s">
        <v>39</v>
      </c>
      <c r="C415" s="10" t="s">
        <v>13</v>
      </c>
      <c r="J415" s="10" t="s">
        <v>437</v>
      </c>
      <c r="K415" s="62">
        <f t="shared" si="29"/>
        <v>1</v>
      </c>
      <c r="L415" s="62">
        <f t="shared" si="29"/>
        <v>0</v>
      </c>
      <c r="M415" s="62">
        <f t="shared" si="29"/>
        <v>0</v>
      </c>
      <c r="N415" s="62">
        <f t="shared" si="28"/>
        <v>0</v>
      </c>
      <c r="O415" s="62">
        <f t="shared" si="28"/>
        <v>0</v>
      </c>
      <c r="P415" s="62">
        <f t="shared" si="28"/>
        <v>0</v>
      </c>
      <c r="Q415" s="62">
        <f t="shared" si="28"/>
        <v>0</v>
      </c>
      <c r="R415" s="62">
        <f t="shared" si="31"/>
        <v>0</v>
      </c>
      <c r="S415" s="62">
        <f t="shared" si="31"/>
        <v>0</v>
      </c>
      <c r="T415" s="62">
        <f t="shared" si="31"/>
        <v>0</v>
      </c>
      <c r="U415" s="62">
        <f t="shared" si="31"/>
        <v>0</v>
      </c>
      <c r="V415" s="62">
        <f t="shared" si="30"/>
        <v>1</v>
      </c>
    </row>
    <row r="416" spans="1:22" ht="19.5">
      <c r="A416" s="10" t="s">
        <v>438</v>
      </c>
      <c r="B416" s="10" t="s">
        <v>39</v>
      </c>
      <c r="C416" s="10" t="s">
        <v>13</v>
      </c>
      <c r="J416" s="10" t="s">
        <v>438</v>
      </c>
      <c r="K416" s="62">
        <f t="shared" si="29"/>
        <v>1</v>
      </c>
      <c r="L416" s="62">
        <f t="shared" si="29"/>
        <v>0</v>
      </c>
      <c r="M416" s="62">
        <f t="shared" si="29"/>
        <v>0</v>
      </c>
      <c r="N416" s="62">
        <f t="shared" si="28"/>
        <v>0</v>
      </c>
      <c r="O416" s="62">
        <f t="shared" si="28"/>
        <v>0</v>
      </c>
      <c r="P416" s="62">
        <f t="shared" si="28"/>
        <v>0</v>
      </c>
      <c r="Q416" s="62">
        <f t="shared" si="28"/>
        <v>0</v>
      </c>
      <c r="R416" s="62">
        <f t="shared" si="31"/>
        <v>0</v>
      </c>
      <c r="S416" s="62">
        <f t="shared" si="31"/>
        <v>0</v>
      </c>
      <c r="T416" s="62">
        <f t="shared" si="31"/>
        <v>0</v>
      </c>
      <c r="U416" s="62">
        <f t="shared" si="31"/>
        <v>0</v>
      </c>
      <c r="V416" s="62">
        <f t="shared" si="30"/>
        <v>1</v>
      </c>
    </row>
    <row r="417" spans="1:22" ht="19.5">
      <c r="A417" s="10" t="s">
        <v>439</v>
      </c>
      <c r="B417" s="10" t="s">
        <v>42</v>
      </c>
      <c r="C417" s="10" t="s">
        <v>13</v>
      </c>
      <c r="J417" s="10" t="s">
        <v>439</v>
      </c>
      <c r="K417" s="62">
        <f t="shared" si="29"/>
        <v>0</v>
      </c>
      <c r="L417" s="62">
        <f t="shared" si="29"/>
        <v>1</v>
      </c>
      <c r="M417" s="62">
        <f t="shared" si="29"/>
        <v>0</v>
      </c>
      <c r="N417" s="62">
        <f t="shared" si="28"/>
        <v>0</v>
      </c>
      <c r="O417" s="62">
        <f t="shared" si="28"/>
        <v>0</v>
      </c>
      <c r="P417" s="62">
        <f t="shared" si="28"/>
        <v>0</v>
      </c>
      <c r="Q417" s="62">
        <f t="shared" si="28"/>
        <v>0</v>
      </c>
      <c r="R417" s="62">
        <f t="shared" si="31"/>
        <v>0</v>
      </c>
      <c r="S417" s="62">
        <f t="shared" si="31"/>
        <v>0</v>
      </c>
      <c r="T417" s="62">
        <f t="shared" si="31"/>
        <v>0</v>
      </c>
      <c r="U417" s="62">
        <f t="shared" si="31"/>
        <v>0</v>
      </c>
      <c r="V417" s="62">
        <f t="shared" si="30"/>
        <v>1</v>
      </c>
    </row>
    <row r="418" spans="1:22" ht="19.5">
      <c r="A418" s="10" t="s">
        <v>440</v>
      </c>
      <c r="B418" s="10" t="s">
        <v>736</v>
      </c>
      <c r="C418" s="10" t="s">
        <v>13</v>
      </c>
      <c r="J418" s="10" t="s">
        <v>440</v>
      </c>
      <c r="K418" s="62">
        <f t="shared" si="29"/>
        <v>0</v>
      </c>
      <c r="L418" s="62">
        <f t="shared" si="29"/>
        <v>0</v>
      </c>
      <c r="M418" s="62">
        <f t="shared" si="29"/>
        <v>0</v>
      </c>
      <c r="N418" s="62">
        <f t="shared" si="28"/>
        <v>0</v>
      </c>
      <c r="O418" s="62">
        <f t="shared" si="28"/>
        <v>0</v>
      </c>
      <c r="P418" s="62">
        <f t="shared" si="28"/>
        <v>0</v>
      </c>
      <c r="Q418" s="62">
        <f t="shared" si="28"/>
        <v>0</v>
      </c>
      <c r="R418" s="62">
        <f t="shared" si="31"/>
        <v>1</v>
      </c>
      <c r="S418" s="62">
        <f t="shared" si="31"/>
        <v>0</v>
      </c>
      <c r="T418" s="62">
        <f t="shared" si="31"/>
        <v>0</v>
      </c>
      <c r="U418" s="62">
        <f t="shared" si="31"/>
        <v>0</v>
      </c>
      <c r="V418" s="62">
        <f t="shared" si="30"/>
        <v>1</v>
      </c>
    </row>
    <row r="419" spans="1:22" ht="19.5">
      <c r="A419" s="10" t="s">
        <v>441</v>
      </c>
      <c r="B419" s="10" t="s">
        <v>740</v>
      </c>
      <c r="C419" s="10" t="s">
        <v>13</v>
      </c>
      <c r="J419" s="10" t="s">
        <v>441</v>
      </c>
      <c r="K419" s="62">
        <f t="shared" si="29"/>
        <v>0</v>
      </c>
      <c r="L419" s="62">
        <f t="shared" si="29"/>
        <v>0</v>
      </c>
      <c r="M419" s="62">
        <f t="shared" si="29"/>
        <v>0</v>
      </c>
      <c r="N419" s="62">
        <f t="shared" si="28"/>
        <v>0</v>
      </c>
      <c r="O419" s="62">
        <f t="shared" si="28"/>
        <v>1</v>
      </c>
      <c r="P419" s="62">
        <f t="shared" si="28"/>
        <v>0</v>
      </c>
      <c r="Q419" s="62">
        <f t="shared" si="28"/>
        <v>0</v>
      </c>
      <c r="R419" s="62">
        <f t="shared" si="31"/>
        <v>0</v>
      </c>
      <c r="S419" s="62">
        <f t="shared" si="31"/>
        <v>0</v>
      </c>
      <c r="T419" s="62">
        <f t="shared" si="31"/>
        <v>0</v>
      </c>
      <c r="U419" s="62">
        <f t="shared" si="31"/>
        <v>0</v>
      </c>
      <c r="V419" s="62">
        <f t="shared" si="30"/>
        <v>1</v>
      </c>
    </row>
    <row r="420" spans="1:22" ht="19.5">
      <c r="A420" s="10" t="s">
        <v>442</v>
      </c>
      <c r="B420" s="10" t="s">
        <v>37</v>
      </c>
      <c r="C420" s="10" t="s">
        <v>20</v>
      </c>
      <c r="J420" s="10" t="s">
        <v>442</v>
      </c>
      <c r="K420" s="62">
        <f t="shared" si="29"/>
        <v>0</v>
      </c>
      <c r="L420" s="62">
        <f t="shared" si="29"/>
        <v>0</v>
      </c>
      <c r="M420" s="62">
        <f t="shared" si="29"/>
        <v>1</v>
      </c>
      <c r="N420" s="62">
        <f t="shared" si="28"/>
        <v>0</v>
      </c>
      <c r="O420" s="62">
        <f t="shared" si="28"/>
        <v>0</v>
      </c>
      <c r="P420" s="62">
        <f t="shared" si="28"/>
        <v>0</v>
      </c>
      <c r="Q420" s="62">
        <f t="shared" si="28"/>
        <v>0</v>
      </c>
      <c r="R420" s="62">
        <f t="shared" si="31"/>
        <v>0</v>
      </c>
      <c r="S420" s="62">
        <f t="shared" si="31"/>
        <v>0</v>
      </c>
      <c r="T420" s="62">
        <f t="shared" si="31"/>
        <v>0</v>
      </c>
      <c r="U420" s="62">
        <f t="shared" si="31"/>
        <v>0</v>
      </c>
      <c r="V420" s="62">
        <f t="shared" si="30"/>
        <v>0</v>
      </c>
    </row>
    <row r="421" spans="1:22" ht="19.5">
      <c r="A421" s="10" t="s">
        <v>443</v>
      </c>
      <c r="B421" s="10" t="s">
        <v>39</v>
      </c>
      <c r="C421" s="10" t="s">
        <v>20</v>
      </c>
      <c r="J421" s="10" t="s">
        <v>443</v>
      </c>
      <c r="K421" s="62">
        <f t="shared" si="29"/>
        <v>1</v>
      </c>
      <c r="L421" s="62">
        <f t="shared" si="29"/>
        <v>0</v>
      </c>
      <c r="M421" s="62">
        <f t="shared" si="29"/>
        <v>0</v>
      </c>
      <c r="N421" s="62">
        <f t="shared" si="28"/>
        <v>0</v>
      </c>
      <c r="O421" s="62">
        <f t="shared" si="28"/>
        <v>0</v>
      </c>
      <c r="P421" s="62">
        <f t="shared" si="28"/>
        <v>0</v>
      </c>
      <c r="Q421" s="62">
        <f t="shared" si="28"/>
        <v>0</v>
      </c>
      <c r="R421" s="62">
        <f t="shared" si="31"/>
        <v>0</v>
      </c>
      <c r="S421" s="62">
        <f t="shared" si="31"/>
        <v>0</v>
      </c>
      <c r="T421" s="62">
        <f t="shared" si="31"/>
        <v>0</v>
      </c>
      <c r="U421" s="62">
        <f t="shared" si="31"/>
        <v>0</v>
      </c>
      <c r="V421" s="62">
        <f t="shared" si="30"/>
        <v>0</v>
      </c>
    </row>
    <row r="422" spans="1:22" ht="19.5">
      <c r="A422" s="10" t="s">
        <v>444</v>
      </c>
      <c r="B422" s="10" t="s">
        <v>39</v>
      </c>
      <c r="C422" s="10" t="s">
        <v>13</v>
      </c>
      <c r="J422" s="10" t="s">
        <v>444</v>
      </c>
      <c r="K422" s="62">
        <f t="shared" si="29"/>
        <v>1</v>
      </c>
      <c r="L422" s="62">
        <f t="shared" si="29"/>
        <v>0</v>
      </c>
      <c r="M422" s="62">
        <f t="shared" si="29"/>
        <v>0</v>
      </c>
      <c r="N422" s="62">
        <f t="shared" si="28"/>
        <v>0</v>
      </c>
      <c r="O422" s="62">
        <f t="shared" si="28"/>
        <v>0</v>
      </c>
      <c r="P422" s="62">
        <f t="shared" si="28"/>
        <v>0</v>
      </c>
      <c r="Q422" s="62">
        <f t="shared" si="28"/>
        <v>0</v>
      </c>
      <c r="R422" s="62">
        <f t="shared" si="31"/>
        <v>0</v>
      </c>
      <c r="S422" s="62">
        <f t="shared" si="31"/>
        <v>0</v>
      </c>
      <c r="T422" s="62">
        <f t="shared" si="31"/>
        <v>0</v>
      </c>
      <c r="U422" s="62">
        <f t="shared" si="31"/>
        <v>0</v>
      </c>
      <c r="V422" s="62">
        <f t="shared" si="30"/>
        <v>1</v>
      </c>
    </row>
    <row r="423" spans="1:22" ht="19.5">
      <c r="A423" s="10" t="s">
        <v>445</v>
      </c>
      <c r="B423" s="10" t="s">
        <v>42</v>
      </c>
      <c r="C423" s="10" t="s">
        <v>20</v>
      </c>
      <c r="J423" s="10" t="s">
        <v>445</v>
      </c>
      <c r="K423" s="62">
        <f t="shared" si="29"/>
        <v>0</v>
      </c>
      <c r="L423" s="62">
        <f t="shared" si="29"/>
        <v>1</v>
      </c>
      <c r="M423" s="62">
        <f t="shared" si="29"/>
        <v>0</v>
      </c>
      <c r="N423" s="62">
        <f t="shared" si="28"/>
        <v>0</v>
      </c>
      <c r="O423" s="62">
        <f t="shared" si="28"/>
        <v>0</v>
      </c>
      <c r="P423" s="62">
        <f t="shared" si="28"/>
        <v>0</v>
      </c>
      <c r="Q423" s="62">
        <f t="shared" si="28"/>
        <v>0</v>
      </c>
      <c r="R423" s="62">
        <f t="shared" si="31"/>
        <v>0</v>
      </c>
      <c r="S423" s="62">
        <f t="shared" si="31"/>
        <v>0</v>
      </c>
      <c r="T423" s="62">
        <f t="shared" si="31"/>
        <v>0</v>
      </c>
      <c r="U423" s="62">
        <f t="shared" si="31"/>
        <v>0</v>
      </c>
      <c r="V423" s="62">
        <f t="shared" si="30"/>
        <v>0</v>
      </c>
    </row>
    <row r="424" spans="1:22" ht="19.5">
      <c r="A424" s="10" t="s">
        <v>446</v>
      </c>
      <c r="B424" s="10" t="s">
        <v>42</v>
      </c>
      <c r="C424" s="10" t="s">
        <v>13</v>
      </c>
      <c r="J424" s="10" t="s">
        <v>446</v>
      </c>
      <c r="K424" s="62">
        <f t="shared" si="29"/>
        <v>0</v>
      </c>
      <c r="L424" s="62">
        <f t="shared" si="29"/>
        <v>1</v>
      </c>
      <c r="M424" s="62">
        <f t="shared" si="29"/>
        <v>0</v>
      </c>
      <c r="N424" s="62">
        <f t="shared" si="28"/>
        <v>0</v>
      </c>
      <c r="O424" s="62">
        <f t="shared" si="28"/>
        <v>0</v>
      </c>
      <c r="P424" s="62">
        <f t="shared" si="28"/>
        <v>0</v>
      </c>
      <c r="Q424" s="62">
        <f t="shared" si="28"/>
        <v>0</v>
      </c>
      <c r="R424" s="62">
        <f t="shared" si="31"/>
        <v>0</v>
      </c>
      <c r="S424" s="62">
        <f t="shared" si="31"/>
        <v>0</v>
      </c>
      <c r="T424" s="62">
        <f t="shared" si="31"/>
        <v>0</v>
      </c>
      <c r="U424" s="62">
        <f t="shared" si="31"/>
        <v>0</v>
      </c>
      <c r="V424" s="62">
        <f t="shared" si="30"/>
        <v>1</v>
      </c>
    </row>
    <row r="425" spans="1:22" ht="19.5">
      <c r="A425" s="10" t="s">
        <v>447</v>
      </c>
      <c r="B425" s="10" t="s">
        <v>740</v>
      </c>
      <c r="C425" s="10" t="s">
        <v>13</v>
      </c>
      <c r="J425" s="10" t="s">
        <v>447</v>
      </c>
      <c r="K425" s="62">
        <f t="shared" si="29"/>
        <v>0</v>
      </c>
      <c r="L425" s="62">
        <f t="shared" si="29"/>
        <v>0</v>
      </c>
      <c r="M425" s="62">
        <f t="shared" si="29"/>
        <v>0</v>
      </c>
      <c r="N425" s="62">
        <f t="shared" si="28"/>
        <v>0</v>
      </c>
      <c r="O425" s="62">
        <f t="shared" si="28"/>
        <v>1</v>
      </c>
      <c r="P425" s="62">
        <f t="shared" si="28"/>
        <v>0</v>
      </c>
      <c r="Q425" s="62">
        <f t="shared" si="28"/>
        <v>0</v>
      </c>
      <c r="R425" s="62">
        <f t="shared" si="31"/>
        <v>0</v>
      </c>
      <c r="S425" s="62">
        <f t="shared" si="31"/>
        <v>0</v>
      </c>
      <c r="T425" s="62">
        <f t="shared" si="31"/>
        <v>0</v>
      </c>
      <c r="U425" s="62">
        <f t="shared" si="31"/>
        <v>0</v>
      </c>
      <c r="V425" s="62">
        <f t="shared" si="30"/>
        <v>1</v>
      </c>
    </row>
    <row r="426" spans="1:22" ht="19.5">
      <c r="A426" s="10" t="s">
        <v>448</v>
      </c>
      <c r="B426" s="10" t="s">
        <v>739</v>
      </c>
      <c r="C426" s="10" t="s">
        <v>13</v>
      </c>
      <c r="J426" s="10" t="s">
        <v>448</v>
      </c>
      <c r="K426" s="62">
        <f t="shared" si="29"/>
        <v>0</v>
      </c>
      <c r="L426" s="62">
        <f t="shared" si="29"/>
        <v>0</v>
      </c>
      <c r="M426" s="62">
        <f t="shared" si="29"/>
        <v>0</v>
      </c>
      <c r="N426" s="62">
        <f t="shared" si="28"/>
        <v>0</v>
      </c>
      <c r="O426" s="62">
        <f t="shared" si="28"/>
        <v>0</v>
      </c>
      <c r="P426" s="62">
        <f t="shared" si="28"/>
        <v>1</v>
      </c>
      <c r="Q426" s="62">
        <f t="shared" si="28"/>
        <v>0</v>
      </c>
      <c r="R426" s="62">
        <f t="shared" si="31"/>
        <v>0</v>
      </c>
      <c r="S426" s="62">
        <f t="shared" si="31"/>
        <v>0</v>
      </c>
      <c r="T426" s="62">
        <f t="shared" si="31"/>
        <v>0</v>
      </c>
      <c r="U426" s="62">
        <f t="shared" si="31"/>
        <v>0</v>
      </c>
      <c r="V426" s="62">
        <f t="shared" si="30"/>
        <v>1</v>
      </c>
    </row>
    <row r="427" spans="1:22" ht="19.5">
      <c r="A427" s="10" t="s">
        <v>449</v>
      </c>
      <c r="B427" s="10" t="s">
        <v>39</v>
      </c>
      <c r="C427" s="10" t="s">
        <v>13</v>
      </c>
      <c r="J427" s="10" t="s">
        <v>449</v>
      </c>
      <c r="K427" s="62">
        <f t="shared" si="29"/>
        <v>1</v>
      </c>
      <c r="L427" s="62">
        <f t="shared" si="29"/>
        <v>0</v>
      </c>
      <c r="M427" s="62">
        <f t="shared" si="29"/>
        <v>0</v>
      </c>
      <c r="N427" s="62">
        <f t="shared" si="28"/>
        <v>0</v>
      </c>
      <c r="O427" s="62">
        <f t="shared" si="28"/>
        <v>0</v>
      </c>
      <c r="P427" s="62">
        <f t="shared" si="28"/>
        <v>0</v>
      </c>
      <c r="Q427" s="62">
        <f t="shared" si="28"/>
        <v>0</v>
      </c>
      <c r="R427" s="62">
        <f t="shared" si="31"/>
        <v>0</v>
      </c>
      <c r="S427" s="62">
        <f t="shared" si="31"/>
        <v>0</v>
      </c>
      <c r="T427" s="62">
        <f t="shared" si="31"/>
        <v>0</v>
      </c>
      <c r="U427" s="62">
        <f t="shared" si="31"/>
        <v>0</v>
      </c>
      <c r="V427" s="62">
        <f t="shared" si="30"/>
        <v>1</v>
      </c>
    </row>
    <row r="428" spans="1:22" ht="19.5">
      <c r="A428" s="10" t="s">
        <v>450</v>
      </c>
      <c r="B428" s="10" t="s">
        <v>37</v>
      </c>
      <c r="C428" s="10" t="s">
        <v>13</v>
      </c>
      <c r="J428" s="10" t="s">
        <v>450</v>
      </c>
      <c r="K428" s="62">
        <f t="shared" si="29"/>
        <v>0</v>
      </c>
      <c r="L428" s="62">
        <f t="shared" si="29"/>
        <v>0</v>
      </c>
      <c r="M428" s="62">
        <f t="shared" si="29"/>
        <v>1</v>
      </c>
      <c r="N428" s="62">
        <f t="shared" si="28"/>
        <v>0</v>
      </c>
      <c r="O428" s="62">
        <f t="shared" si="28"/>
        <v>0</v>
      </c>
      <c r="P428" s="62">
        <f t="shared" si="28"/>
        <v>0</v>
      </c>
      <c r="Q428" s="62">
        <f t="shared" si="28"/>
        <v>0</v>
      </c>
      <c r="R428" s="62">
        <f t="shared" si="31"/>
        <v>0</v>
      </c>
      <c r="S428" s="62">
        <f t="shared" si="31"/>
        <v>0</v>
      </c>
      <c r="T428" s="62">
        <f t="shared" si="31"/>
        <v>0</v>
      </c>
      <c r="U428" s="62">
        <f t="shared" si="31"/>
        <v>0</v>
      </c>
      <c r="V428" s="62">
        <f t="shared" si="30"/>
        <v>1</v>
      </c>
    </row>
    <row r="429" spans="1:22" ht="19.5">
      <c r="A429" s="10" t="s">
        <v>451</v>
      </c>
      <c r="B429" s="10" t="s">
        <v>42</v>
      </c>
      <c r="C429" s="10" t="s">
        <v>20</v>
      </c>
      <c r="J429" s="10" t="s">
        <v>451</v>
      </c>
      <c r="K429" s="62">
        <f t="shared" si="29"/>
        <v>0</v>
      </c>
      <c r="L429" s="62">
        <f t="shared" si="29"/>
        <v>1</v>
      </c>
      <c r="M429" s="62">
        <f t="shared" si="29"/>
        <v>0</v>
      </c>
      <c r="N429" s="62">
        <f t="shared" si="28"/>
        <v>0</v>
      </c>
      <c r="O429" s="62">
        <f t="shared" si="28"/>
        <v>0</v>
      </c>
      <c r="P429" s="62">
        <f t="shared" si="28"/>
        <v>0</v>
      </c>
      <c r="Q429" s="62">
        <f t="shared" si="28"/>
        <v>0</v>
      </c>
      <c r="R429" s="62">
        <f t="shared" si="31"/>
        <v>0</v>
      </c>
      <c r="S429" s="62">
        <f t="shared" si="31"/>
        <v>0</v>
      </c>
      <c r="T429" s="62">
        <f t="shared" si="31"/>
        <v>0</v>
      </c>
      <c r="U429" s="62">
        <f t="shared" si="31"/>
        <v>0</v>
      </c>
      <c r="V429" s="62">
        <f t="shared" si="30"/>
        <v>0</v>
      </c>
    </row>
    <row r="430" spans="1:22" ht="19.5">
      <c r="A430" s="10" t="s">
        <v>452</v>
      </c>
      <c r="B430" s="10" t="s">
        <v>736</v>
      </c>
      <c r="C430" s="10" t="s">
        <v>13</v>
      </c>
      <c r="J430" s="10" t="s">
        <v>452</v>
      </c>
      <c r="K430" s="62">
        <f t="shared" si="29"/>
        <v>0</v>
      </c>
      <c r="L430" s="62">
        <f t="shared" si="29"/>
        <v>0</v>
      </c>
      <c r="M430" s="62">
        <f t="shared" si="29"/>
        <v>0</v>
      </c>
      <c r="N430" s="62">
        <f t="shared" si="28"/>
        <v>0</v>
      </c>
      <c r="O430" s="62">
        <f t="shared" si="28"/>
        <v>0</v>
      </c>
      <c r="P430" s="62">
        <f t="shared" si="28"/>
        <v>0</v>
      </c>
      <c r="Q430" s="62">
        <f t="shared" si="28"/>
        <v>0</v>
      </c>
      <c r="R430" s="62">
        <f t="shared" si="31"/>
        <v>1</v>
      </c>
      <c r="S430" s="62">
        <f t="shared" si="31"/>
        <v>0</v>
      </c>
      <c r="T430" s="62">
        <f t="shared" si="31"/>
        <v>0</v>
      </c>
      <c r="U430" s="62">
        <f t="shared" si="31"/>
        <v>0</v>
      </c>
      <c r="V430" s="62">
        <f t="shared" si="30"/>
        <v>1</v>
      </c>
    </row>
    <row r="431" spans="1:22" ht="19.5">
      <c r="A431" s="10" t="s">
        <v>453</v>
      </c>
      <c r="B431" s="10" t="s">
        <v>737</v>
      </c>
      <c r="C431" s="10" t="s">
        <v>20</v>
      </c>
      <c r="J431" s="10" t="s">
        <v>453</v>
      </c>
      <c r="K431" s="62">
        <f t="shared" si="29"/>
        <v>0</v>
      </c>
      <c r="L431" s="62">
        <f t="shared" si="29"/>
        <v>0</v>
      </c>
      <c r="M431" s="62">
        <f t="shared" si="29"/>
        <v>0</v>
      </c>
      <c r="N431" s="62">
        <f t="shared" si="28"/>
        <v>1</v>
      </c>
      <c r="O431" s="62">
        <f t="shared" si="28"/>
        <v>0</v>
      </c>
      <c r="P431" s="62">
        <f t="shared" si="28"/>
        <v>0</v>
      </c>
      <c r="Q431" s="62">
        <f t="shared" si="28"/>
        <v>0</v>
      </c>
      <c r="R431" s="62">
        <f t="shared" si="31"/>
        <v>0</v>
      </c>
      <c r="S431" s="62">
        <f t="shared" si="31"/>
        <v>0</v>
      </c>
      <c r="T431" s="62">
        <f t="shared" si="31"/>
        <v>0</v>
      </c>
      <c r="U431" s="62">
        <f t="shared" si="31"/>
        <v>0</v>
      </c>
      <c r="V431" s="62">
        <f t="shared" si="30"/>
        <v>0</v>
      </c>
    </row>
    <row r="432" spans="1:22" ht="19.5">
      <c r="A432" s="10" t="s">
        <v>454</v>
      </c>
      <c r="B432" s="10" t="s">
        <v>740</v>
      </c>
      <c r="C432" s="10" t="s">
        <v>13</v>
      </c>
      <c r="J432" s="10" t="s">
        <v>454</v>
      </c>
      <c r="K432" s="62">
        <f t="shared" si="29"/>
        <v>0</v>
      </c>
      <c r="L432" s="62">
        <f t="shared" si="29"/>
        <v>0</v>
      </c>
      <c r="M432" s="62">
        <f t="shared" si="29"/>
        <v>0</v>
      </c>
      <c r="N432" s="62">
        <f t="shared" si="28"/>
        <v>0</v>
      </c>
      <c r="O432" s="62">
        <f t="shared" si="28"/>
        <v>1</v>
      </c>
      <c r="P432" s="62">
        <f t="shared" si="28"/>
        <v>0</v>
      </c>
      <c r="Q432" s="62">
        <f t="shared" si="28"/>
        <v>0</v>
      </c>
      <c r="R432" s="62">
        <f t="shared" si="31"/>
        <v>0</v>
      </c>
      <c r="S432" s="62">
        <f t="shared" si="31"/>
        <v>0</v>
      </c>
      <c r="T432" s="62">
        <f t="shared" si="31"/>
        <v>0</v>
      </c>
      <c r="U432" s="62">
        <f t="shared" si="31"/>
        <v>0</v>
      </c>
      <c r="V432" s="62">
        <f t="shared" si="30"/>
        <v>1</v>
      </c>
    </row>
    <row r="433" spans="1:22" ht="19.5">
      <c r="A433" s="10" t="s">
        <v>455</v>
      </c>
      <c r="B433" s="10" t="s">
        <v>39</v>
      </c>
      <c r="C433" s="10" t="s">
        <v>20</v>
      </c>
      <c r="J433" s="10" t="s">
        <v>455</v>
      </c>
      <c r="K433" s="62">
        <f t="shared" si="29"/>
        <v>1</v>
      </c>
      <c r="L433" s="62">
        <f t="shared" si="29"/>
        <v>0</v>
      </c>
      <c r="M433" s="62">
        <f t="shared" si="29"/>
        <v>0</v>
      </c>
      <c r="N433" s="62">
        <f t="shared" si="28"/>
        <v>0</v>
      </c>
      <c r="O433" s="62">
        <f t="shared" si="28"/>
        <v>0</v>
      </c>
      <c r="P433" s="62">
        <f t="shared" si="28"/>
        <v>0</v>
      </c>
      <c r="Q433" s="62">
        <f t="shared" si="28"/>
        <v>0</v>
      </c>
      <c r="R433" s="62">
        <f t="shared" si="31"/>
        <v>0</v>
      </c>
      <c r="S433" s="62">
        <f t="shared" si="31"/>
        <v>0</v>
      </c>
      <c r="T433" s="62">
        <f t="shared" si="31"/>
        <v>0</v>
      </c>
      <c r="U433" s="62">
        <f t="shared" si="31"/>
        <v>0</v>
      </c>
      <c r="V433" s="62">
        <f t="shared" si="30"/>
        <v>0</v>
      </c>
    </row>
    <row r="434" spans="1:22" ht="19.5">
      <c r="A434" s="10" t="s">
        <v>456</v>
      </c>
      <c r="B434" s="10" t="s">
        <v>39</v>
      </c>
      <c r="C434" s="10" t="s">
        <v>13</v>
      </c>
      <c r="J434" s="10" t="s">
        <v>456</v>
      </c>
      <c r="K434" s="62">
        <f t="shared" si="29"/>
        <v>1</v>
      </c>
      <c r="L434" s="62">
        <f t="shared" si="29"/>
        <v>0</v>
      </c>
      <c r="M434" s="62">
        <f t="shared" si="29"/>
        <v>0</v>
      </c>
      <c r="N434" s="62">
        <f t="shared" si="28"/>
        <v>0</v>
      </c>
      <c r="O434" s="62">
        <f t="shared" si="28"/>
        <v>0</v>
      </c>
      <c r="P434" s="62">
        <f t="shared" si="28"/>
        <v>0</v>
      </c>
      <c r="Q434" s="62">
        <f t="shared" si="28"/>
        <v>0</v>
      </c>
      <c r="R434" s="62">
        <f t="shared" si="31"/>
        <v>0</v>
      </c>
      <c r="S434" s="62">
        <f t="shared" si="31"/>
        <v>0</v>
      </c>
      <c r="T434" s="62">
        <f t="shared" si="31"/>
        <v>0</v>
      </c>
      <c r="U434" s="62">
        <f t="shared" si="31"/>
        <v>0</v>
      </c>
      <c r="V434" s="62">
        <f t="shared" si="30"/>
        <v>1</v>
      </c>
    </row>
    <row r="435" spans="1:22" ht="19.5">
      <c r="A435" s="10" t="s">
        <v>457</v>
      </c>
      <c r="B435" s="10" t="s">
        <v>42</v>
      </c>
      <c r="C435" s="10" t="s">
        <v>20</v>
      </c>
      <c r="J435" s="10" t="s">
        <v>457</v>
      </c>
      <c r="K435" s="62">
        <f t="shared" si="29"/>
        <v>0</v>
      </c>
      <c r="L435" s="62">
        <f t="shared" si="29"/>
        <v>1</v>
      </c>
      <c r="M435" s="62">
        <f t="shared" si="29"/>
        <v>0</v>
      </c>
      <c r="N435" s="62">
        <f t="shared" si="28"/>
        <v>0</v>
      </c>
      <c r="O435" s="62">
        <f t="shared" si="28"/>
        <v>0</v>
      </c>
      <c r="P435" s="62">
        <f t="shared" si="28"/>
        <v>0</v>
      </c>
      <c r="Q435" s="62">
        <f t="shared" si="28"/>
        <v>0</v>
      </c>
      <c r="R435" s="62">
        <f t="shared" si="31"/>
        <v>0</v>
      </c>
      <c r="S435" s="62">
        <f t="shared" si="31"/>
        <v>0</v>
      </c>
      <c r="T435" s="62">
        <f t="shared" si="31"/>
        <v>0</v>
      </c>
      <c r="U435" s="62">
        <f t="shared" si="31"/>
        <v>0</v>
      </c>
      <c r="V435" s="62">
        <f t="shared" si="30"/>
        <v>0</v>
      </c>
    </row>
    <row r="436" spans="1:22" ht="19.5">
      <c r="A436" s="10" t="s">
        <v>458</v>
      </c>
      <c r="B436" s="10" t="s">
        <v>42</v>
      </c>
      <c r="C436" s="10" t="s">
        <v>13</v>
      </c>
      <c r="J436" s="10" t="s">
        <v>458</v>
      </c>
      <c r="K436" s="62">
        <f t="shared" si="29"/>
        <v>0</v>
      </c>
      <c r="L436" s="62">
        <f t="shared" si="29"/>
        <v>1</v>
      </c>
      <c r="M436" s="62">
        <f t="shared" si="29"/>
        <v>0</v>
      </c>
      <c r="N436" s="62">
        <f t="shared" si="28"/>
        <v>0</v>
      </c>
      <c r="O436" s="62">
        <f t="shared" si="28"/>
        <v>0</v>
      </c>
      <c r="P436" s="62">
        <f t="shared" si="28"/>
        <v>0</v>
      </c>
      <c r="Q436" s="62">
        <f t="shared" si="28"/>
        <v>0</v>
      </c>
      <c r="R436" s="62">
        <f t="shared" si="31"/>
        <v>0</v>
      </c>
      <c r="S436" s="62">
        <f t="shared" si="31"/>
        <v>0</v>
      </c>
      <c r="T436" s="62">
        <f t="shared" si="31"/>
        <v>0</v>
      </c>
      <c r="U436" s="62">
        <f t="shared" si="31"/>
        <v>0</v>
      </c>
      <c r="V436" s="62">
        <f t="shared" si="30"/>
        <v>1</v>
      </c>
    </row>
    <row r="437" spans="1:22" ht="19.5">
      <c r="A437" s="10" t="s">
        <v>459</v>
      </c>
      <c r="B437" s="10" t="s">
        <v>736</v>
      </c>
      <c r="C437" s="10" t="s">
        <v>13</v>
      </c>
      <c r="J437" s="10" t="s">
        <v>459</v>
      </c>
      <c r="K437" s="62">
        <f t="shared" si="29"/>
        <v>0</v>
      </c>
      <c r="L437" s="62">
        <f t="shared" si="29"/>
        <v>0</v>
      </c>
      <c r="M437" s="62">
        <f t="shared" si="29"/>
        <v>0</v>
      </c>
      <c r="N437" s="62">
        <f t="shared" si="28"/>
        <v>0</v>
      </c>
      <c r="O437" s="62">
        <f t="shared" si="28"/>
        <v>0</v>
      </c>
      <c r="P437" s="62">
        <f t="shared" si="28"/>
        <v>0</v>
      </c>
      <c r="Q437" s="62">
        <f t="shared" si="28"/>
        <v>0</v>
      </c>
      <c r="R437" s="62">
        <f t="shared" si="31"/>
        <v>1</v>
      </c>
      <c r="S437" s="62">
        <f t="shared" si="31"/>
        <v>0</v>
      </c>
      <c r="T437" s="62">
        <f t="shared" si="31"/>
        <v>0</v>
      </c>
      <c r="U437" s="62">
        <f t="shared" si="31"/>
        <v>0</v>
      </c>
      <c r="V437" s="62">
        <f t="shared" si="30"/>
        <v>1</v>
      </c>
    </row>
    <row r="438" spans="1:22" ht="19.5">
      <c r="A438" s="10" t="s">
        <v>460</v>
      </c>
      <c r="B438" s="10" t="s">
        <v>737</v>
      </c>
      <c r="C438" s="10" t="s">
        <v>13</v>
      </c>
      <c r="J438" s="10" t="s">
        <v>460</v>
      </c>
      <c r="K438" s="62">
        <f t="shared" si="29"/>
        <v>0</v>
      </c>
      <c r="L438" s="62">
        <f t="shared" si="29"/>
        <v>0</v>
      </c>
      <c r="M438" s="62">
        <f t="shared" si="29"/>
        <v>0</v>
      </c>
      <c r="N438" s="62">
        <f t="shared" si="28"/>
        <v>1</v>
      </c>
      <c r="O438" s="62">
        <f t="shared" si="28"/>
        <v>0</v>
      </c>
      <c r="P438" s="62">
        <f t="shared" si="28"/>
        <v>0</v>
      </c>
      <c r="Q438" s="62">
        <f t="shared" si="28"/>
        <v>0</v>
      </c>
      <c r="R438" s="62">
        <f t="shared" si="31"/>
        <v>0</v>
      </c>
      <c r="S438" s="62">
        <f t="shared" si="31"/>
        <v>0</v>
      </c>
      <c r="T438" s="62">
        <f t="shared" si="31"/>
        <v>0</v>
      </c>
      <c r="U438" s="62">
        <f t="shared" si="31"/>
        <v>0</v>
      </c>
      <c r="V438" s="62">
        <f t="shared" si="30"/>
        <v>1</v>
      </c>
    </row>
    <row r="439" spans="1:22" ht="19.5">
      <c r="A439" s="10" t="s">
        <v>461</v>
      </c>
      <c r="B439" s="10" t="s">
        <v>39</v>
      </c>
      <c r="C439" s="10" t="s">
        <v>13</v>
      </c>
      <c r="J439" s="10" t="s">
        <v>461</v>
      </c>
      <c r="K439" s="62">
        <f t="shared" si="29"/>
        <v>1</v>
      </c>
      <c r="L439" s="62">
        <f t="shared" si="29"/>
        <v>0</v>
      </c>
      <c r="M439" s="62">
        <f t="shared" si="29"/>
        <v>0</v>
      </c>
      <c r="N439" s="62">
        <f t="shared" si="28"/>
        <v>0</v>
      </c>
      <c r="O439" s="62">
        <f t="shared" si="28"/>
        <v>0</v>
      </c>
      <c r="P439" s="62">
        <f t="shared" si="28"/>
        <v>0</v>
      </c>
      <c r="Q439" s="62">
        <f t="shared" si="28"/>
        <v>0</v>
      </c>
      <c r="R439" s="62">
        <f t="shared" si="31"/>
        <v>0</v>
      </c>
      <c r="S439" s="62">
        <f t="shared" si="31"/>
        <v>0</v>
      </c>
      <c r="T439" s="62">
        <f t="shared" si="31"/>
        <v>0</v>
      </c>
      <c r="U439" s="62">
        <f t="shared" si="31"/>
        <v>0</v>
      </c>
      <c r="V439" s="62">
        <f t="shared" si="30"/>
        <v>1</v>
      </c>
    </row>
    <row r="440" spans="1:22" ht="19.5">
      <c r="A440" s="10" t="s">
        <v>462</v>
      </c>
      <c r="B440" s="10" t="s">
        <v>42</v>
      </c>
      <c r="C440" s="10" t="s">
        <v>13</v>
      </c>
      <c r="J440" s="10" t="s">
        <v>462</v>
      </c>
      <c r="K440" s="62">
        <f t="shared" si="29"/>
        <v>0</v>
      </c>
      <c r="L440" s="62">
        <f t="shared" si="29"/>
        <v>1</v>
      </c>
      <c r="M440" s="62">
        <f t="shared" si="29"/>
        <v>0</v>
      </c>
      <c r="N440" s="62">
        <f t="shared" si="28"/>
        <v>0</v>
      </c>
      <c r="O440" s="62">
        <f t="shared" si="28"/>
        <v>0</v>
      </c>
      <c r="P440" s="62">
        <f t="shared" si="28"/>
        <v>0</v>
      </c>
      <c r="Q440" s="62">
        <f t="shared" si="28"/>
        <v>0</v>
      </c>
      <c r="R440" s="62">
        <f t="shared" si="31"/>
        <v>0</v>
      </c>
      <c r="S440" s="62">
        <f t="shared" si="31"/>
        <v>0</v>
      </c>
      <c r="T440" s="62">
        <f t="shared" si="31"/>
        <v>0</v>
      </c>
      <c r="U440" s="62">
        <f t="shared" si="31"/>
        <v>0</v>
      </c>
      <c r="V440" s="62">
        <f t="shared" si="30"/>
        <v>1</v>
      </c>
    </row>
    <row r="441" spans="1:22" ht="19.5">
      <c r="A441" s="10" t="s">
        <v>463</v>
      </c>
      <c r="B441" s="10" t="s">
        <v>736</v>
      </c>
      <c r="C441" s="10" t="s">
        <v>13</v>
      </c>
      <c r="J441" s="10" t="s">
        <v>463</v>
      </c>
      <c r="K441" s="62">
        <f t="shared" si="29"/>
        <v>0</v>
      </c>
      <c r="L441" s="62">
        <f t="shared" si="29"/>
        <v>0</v>
      </c>
      <c r="M441" s="62">
        <f t="shared" si="29"/>
        <v>0</v>
      </c>
      <c r="N441" s="62">
        <f t="shared" si="28"/>
        <v>0</v>
      </c>
      <c r="O441" s="62">
        <f t="shared" si="28"/>
        <v>0</v>
      </c>
      <c r="P441" s="62">
        <f t="shared" si="28"/>
        <v>0</v>
      </c>
      <c r="Q441" s="62">
        <f t="shared" si="28"/>
        <v>0</v>
      </c>
      <c r="R441" s="62">
        <f t="shared" si="31"/>
        <v>1</v>
      </c>
      <c r="S441" s="62">
        <f t="shared" si="31"/>
        <v>0</v>
      </c>
      <c r="T441" s="62">
        <f t="shared" si="31"/>
        <v>0</v>
      </c>
      <c r="U441" s="62">
        <f t="shared" si="31"/>
        <v>0</v>
      </c>
      <c r="V441" s="62">
        <f t="shared" si="30"/>
        <v>1</v>
      </c>
    </row>
    <row r="442" spans="1:22" ht="19.5">
      <c r="A442" s="10" t="s">
        <v>464</v>
      </c>
      <c r="B442" s="10" t="s">
        <v>740</v>
      </c>
      <c r="C442" s="10" t="s">
        <v>13</v>
      </c>
      <c r="J442" s="10" t="s">
        <v>464</v>
      </c>
      <c r="K442" s="62">
        <f t="shared" si="29"/>
        <v>0</v>
      </c>
      <c r="L442" s="62">
        <f t="shared" si="29"/>
        <v>0</v>
      </c>
      <c r="M442" s="62">
        <f t="shared" si="29"/>
        <v>0</v>
      </c>
      <c r="N442" s="62">
        <f t="shared" si="28"/>
        <v>0</v>
      </c>
      <c r="O442" s="62">
        <f t="shared" si="28"/>
        <v>1</v>
      </c>
      <c r="P442" s="62">
        <f t="shared" si="28"/>
        <v>0</v>
      </c>
      <c r="Q442" s="62">
        <f t="shared" si="28"/>
        <v>0</v>
      </c>
      <c r="R442" s="62">
        <f t="shared" si="31"/>
        <v>0</v>
      </c>
      <c r="S442" s="62">
        <f t="shared" si="31"/>
        <v>0</v>
      </c>
      <c r="T442" s="62">
        <f t="shared" si="31"/>
        <v>0</v>
      </c>
      <c r="U442" s="62">
        <f t="shared" si="31"/>
        <v>0</v>
      </c>
      <c r="V442" s="62">
        <f t="shared" si="30"/>
        <v>1</v>
      </c>
    </row>
    <row r="443" spans="1:22" ht="19.5">
      <c r="A443" s="10" t="s">
        <v>465</v>
      </c>
      <c r="B443" s="10" t="s">
        <v>39</v>
      </c>
      <c r="C443" s="10" t="s">
        <v>13</v>
      </c>
      <c r="J443" s="10" t="s">
        <v>465</v>
      </c>
      <c r="K443" s="62">
        <f t="shared" si="29"/>
        <v>1</v>
      </c>
      <c r="L443" s="62">
        <f t="shared" si="29"/>
        <v>0</v>
      </c>
      <c r="M443" s="62">
        <f t="shared" si="29"/>
        <v>0</v>
      </c>
      <c r="N443" s="62">
        <f t="shared" si="28"/>
        <v>0</v>
      </c>
      <c r="O443" s="62">
        <f t="shared" si="28"/>
        <v>0</v>
      </c>
      <c r="P443" s="62">
        <f t="shared" si="28"/>
        <v>0</v>
      </c>
      <c r="Q443" s="62">
        <f t="shared" si="28"/>
        <v>0</v>
      </c>
      <c r="R443" s="62">
        <f t="shared" si="31"/>
        <v>0</v>
      </c>
      <c r="S443" s="62">
        <f t="shared" si="31"/>
        <v>0</v>
      </c>
      <c r="T443" s="62">
        <f t="shared" si="31"/>
        <v>0</v>
      </c>
      <c r="U443" s="62">
        <f t="shared" si="31"/>
        <v>0</v>
      </c>
      <c r="V443" s="62">
        <f t="shared" si="30"/>
        <v>1</v>
      </c>
    </row>
    <row r="444" spans="1:22" ht="19.5">
      <c r="A444" s="10" t="s">
        <v>466</v>
      </c>
      <c r="B444" s="10" t="s">
        <v>39</v>
      </c>
      <c r="C444" s="10" t="s">
        <v>13</v>
      </c>
      <c r="J444" s="10" t="s">
        <v>466</v>
      </c>
      <c r="K444" s="62">
        <f t="shared" si="29"/>
        <v>1</v>
      </c>
      <c r="L444" s="62">
        <f t="shared" si="29"/>
        <v>0</v>
      </c>
      <c r="M444" s="62">
        <f t="shared" si="29"/>
        <v>0</v>
      </c>
      <c r="N444" s="62">
        <f t="shared" si="28"/>
        <v>0</v>
      </c>
      <c r="O444" s="62">
        <f t="shared" si="28"/>
        <v>0</v>
      </c>
      <c r="P444" s="62">
        <f t="shared" si="28"/>
        <v>0</v>
      </c>
      <c r="Q444" s="62">
        <f t="shared" si="28"/>
        <v>0</v>
      </c>
      <c r="R444" s="62">
        <f t="shared" si="31"/>
        <v>0</v>
      </c>
      <c r="S444" s="62">
        <f t="shared" si="31"/>
        <v>0</v>
      </c>
      <c r="T444" s="62">
        <f t="shared" si="31"/>
        <v>0</v>
      </c>
      <c r="U444" s="62">
        <f t="shared" si="31"/>
        <v>0</v>
      </c>
      <c r="V444" s="62">
        <f t="shared" si="30"/>
        <v>1</v>
      </c>
    </row>
    <row r="445" spans="1:22" ht="19.5">
      <c r="A445" s="10" t="s">
        <v>467</v>
      </c>
      <c r="B445" s="10" t="s">
        <v>42</v>
      </c>
      <c r="C445" s="10" t="s">
        <v>20</v>
      </c>
      <c r="J445" s="10" t="s">
        <v>467</v>
      </c>
      <c r="K445" s="62">
        <f t="shared" si="29"/>
        <v>0</v>
      </c>
      <c r="L445" s="62">
        <f t="shared" si="29"/>
        <v>1</v>
      </c>
      <c r="M445" s="62">
        <f t="shared" si="29"/>
        <v>0</v>
      </c>
      <c r="N445" s="62">
        <f t="shared" si="28"/>
        <v>0</v>
      </c>
      <c r="O445" s="62">
        <f t="shared" si="28"/>
        <v>0</v>
      </c>
      <c r="P445" s="62">
        <f t="shared" si="28"/>
        <v>0</v>
      </c>
      <c r="Q445" s="62">
        <f t="shared" si="28"/>
        <v>0</v>
      </c>
      <c r="R445" s="62">
        <f t="shared" si="31"/>
        <v>0</v>
      </c>
      <c r="S445" s="62">
        <f t="shared" si="31"/>
        <v>0</v>
      </c>
      <c r="T445" s="62">
        <f t="shared" si="31"/>
        <v>0</v>
      </c>
      <c r="U445" s="62">
        <f t="shared" si="31"/>
        <v>0</v>
      </c>
      <c r="V445" s="62">
        <f t="shared" si="30"/>
        <v>0</v>
      </c>
    </row>
    <row r="446" spans="1:22" ht="19.5">
      <c r="A446" s="10" t="s">
        <v>468</v>
      </c>
      <c r="B446" s="10" t="s">
        <v>736</v>
      </c>
      <c r="C446" s="10" t="s">
        <v>13</v>
      </c>
      <c r="J446" s="10" t="s">
        <v>468</v>
      </c>
      <c r="K446" s="62">
        <f t="shared" si="29"/>
        <v>0</v>
      </c>
      <c r="L446" s="62">
        <f t="shared" si="29"/>
        <v>0</v>
      </c>
      <c r="M446" s="62">
        <f t="shared" si="29"/>
        <v>0</v>
      </c>
      <c r="N446" s="62">
        <f t="shared" si="28"/>
        <v>0</v>
      </c>
      <c r="O446" s="62">
        <f t="shared" si="28"/>
        <v>0</v>
      </c>
      <c r="P446" s="62">
        <f t="shared" si="28"/>
        <v>0</v>
      </c>
      <c r="Q446" s="62">
        <f t="shared" si="28"/>
        <v>0</v>
      </c>
      <c r="R446" s="62">
        <f t="shared" si="31"/>
        <v>1</v>
      </c>
      <c r="S446" s="62">
        <f t="shared" si="31"/>
        <v>0</v>
      </c>
      <c r="T446" s="62">
        <f t="shared" si="31"/>
        <v>0</v>
      </c>
      <c r="U446" s="62">
        <f t="shared" si="31"/>
        <v>0</v>
      </c>
      <c r="V446" s="62">
        <f t="shared" si="30"/>
        <v>1</v>
      </c>
    </row>
    <row r="447" spans="1:22" ht="19.5">
      <c r="A447" s="10" t="s">
        <v>469</v>
      </c>
      <c r="B447" s="10" t="s">
        <v>737</v>
      </c>
      <c r="C447" s="10" t="s">
        <v>20</v>
      </c>
      <c r="J447" s="10" t="s">
        <v>469</v>
      </c>
      <c r="K447" s="62">
        <f t="shared" si="29"/>
        <v>0</v>
      </c>
      <c r="L447" s="62">
        <f t="shared" si="29"/>
        <v>0</v>
      </c>
      <c r="M447" s="62">
        <f t="shared" si="29"/>
        <v>0</v>
      </c>
      <c r="N447" s="62">
        <f t="shared" si="28"/>
        <v>1</v>
      </c>
      <c r="O447" s="62">
        <f t="shared" si="28"/>
        <v>0</v>
      </c>
      <c r="P447" s="62">
        <f t="shared" si="28"/>
        <v>0</v>
      </c>
      <c r="Q447" s="62">
        <f t="shared" si="28"/>
        <v>0</v>
      </c>
      <c r="R447" s="62">
        <f t="shared" si="31"/>
        <v>0</v>
      </c>
      <c r="S447" s="62">
        <f t="shared" si="31"/>
        <v>0</v>
      </c>
      <c r="T447" s="62">
        <f t="shared" si="31"/>
        <v>0</v>
      </c>
      <c r="U447" s="62">
        <f t="shared" si="31"/>
        <v>0</v>
      </c>
      <c r="V447" s="62">
        <f t="shared" si="30"/>
        <v>0</v>
      </c>
    </row>
    <row r="448" spans="1:22" ht="19.5">
      <c r="A448" s="10" t="s">
        <v>470</v>
      </c>
      <c r="B448" s="10" t="s">
        <v>740</v>
      </c>
      <c r="C448" s="10" t="s">
        <v>13</v>
      </c>
      <c r="J448" s="10" t="s">
        <v>470</v>
      </c>
      <c r="K448" s="62">
        <f t="shared" si="29"/>
        <v>0</v>
      </c>
      <c r="L448" s="62">
        <f t="shared" si="29"/>
        <v>0</v>
      </c>
      <c r="M448" s="62">
        <f t="shared" si="29"/>
        <v>0</v>
      </c>
      <c r="N448" s="62">
        <f t="shared" si="28"/>
        <v>0</v>
      </c>
      <c r="O448" s="62">
        <f t="shared" si="28"/>
        <v>1</v>
      </c>
      <c r="P448" s="62">
        <f t="shared" si="28"/>
        <v>0</v>
      </c>
      <c r="Q448" s="62">
        <f t="shared" si="28"/>
        <v>0</v>
      </c>
      <c r="R448" s="62">
        <f t="shared" si="31"/>
        <v>0</v>
      </c>
      <c r="S448" s="62">
        <f t="shared" si="31"/>
        <v>0</v>
      </c>
      <c r="T448" s="62">
        <f t="shared" si="31"/>
        <v>0</v>
      </c>
      <c r="U448" s="62">
        <f t="shared" si="31"/>
        <v>0</v>
      </c>
      <c r="V448" s="62">
        <f t="shared" si="30"/>
        <v>1</v>
      </c>
    </row>
    <row r="449" spans="1:22" ht="19.5">
      <c r="A449" s="10" t="s">
        <v>471</v>
      </c>
      <c r="B449" s="10" t="s">
        <v>739</v>
      </c>
      <c r="C449" s="10" t="s">
        <v>20</v>
      </c>
      <c r="J449" s="10" t="s">
        <v>471</v>
      </c>
      <c r="K449" s="62">
        <f t="shared" si="29"/>
        <v>0</v>
      </c>
      <c r="L449" s="62">
        <f t="shared" si="29"/>
        <v>0</v>
      </c>
      <c r="M449" s="62">
        <f t="shared" si="29"/>
        <v>0</v>
      </c>
      <c r="N449" s="62">
        <f t="shared" si="28"/>
        <v>0</v>
      </c>
      <c r="O449" s="62">
        <f t="shared" si="28"/>
        <v>0</v>
      </c>
      <c r="P449" s="62">
        <f t="shared" si="28"/>
        <v>1</v>
      </c>
      <c r="Q449" s="62">
        <f t="shared" si="28"/>
        <v>0</v>
      </c>
      <c r="R449" s="62">
        <f t="shared" si="31"/>
        <v>0</v>
      </c>
      <c r="S449" s="62">
        <f t="shared" si="31"/>
        <v>0</v>
      </c>
      <c r="T449" s="62">
        <f t="shared" si="31"/>
        <v>0</v>
      </c>
      <c r="U449" s="62">
        <f t="shared" si="31"/>
        <v>0</v>
      </c>
      <c r="V449" s="62">
        <f t="shared" si="30"/>
        <v>0</v>
      </c>
    </row>
    <row r="450" spans="1:22" ht="19.5">
      <c r="A450" s="10" t="s">
        <v>472</v>
      </c>
      <c r="B450" s="10" t="s">
        <v>37</v>
      </c>
      <c r="C450" s="10" t="s">
        <v>13</v>
      </c>
      <c r="J450" s="10" t="s">
        <v>472</v>
      </c>
      <c r="K450" s="62">
        <f t="shared" si="29"/>
        <v>0</v>
      </c>
      <c r="L450" s="62">
        <f t="shared" si="29"/>
        <v>0</v>
      </c>
      <c r="M450" s="62">
        <f t="shared" si="29"/>
        <v>1</v>
      </c>
      <c r="N450" s="62">
        <f t="shared" si="29"/>
        <v>0</v>
      </c>
      <c r="O450" s="62">
        <f t="shared" si="29"/>
        <v>0</v>
      </c>
      <c r="P450" s="62">
        <f t="shared" si="29"/>
        <v>0</v>
      </c>
      <c r="Q450" s="62">
        <f t="shared" si="29"/>
        <v>0</v>
      </c>
      <c r="R450" s="62">
        <f t="shared" si="31"/>
        <v>0</v>
      </c>
      <c r="S450" s="62">
        <f t="shared" si="31"/>
        <v>0</v>
      </c>
      <c r="T450" s="62">
        <f t="shared" si="31"/>
        <v>0</v>
      </c>
      <c r="U450" s="62">
        <f t="shared" si="31"/>
        <v>0</v>
      </c>
      <c r="V450" s="62">
        <f t="shared" si="30"/>
        <v>1</v>
      </c>
    </row>
    <row r="451" spans="1:22" ht="19.5">
      <c r="A451" s="10" t="s">
        <v>473</v>
      </c>
      <c r="B451" s="10" t="s">
        <v>39</v>
      </c>
      <c r="C451" s="10" t="s">
        <v>13</v>
      </c>
      <c r="J451" s="10" t="s">
        <v>473</v>
      </c>
      <c r="K451" s="62">
        <f t="shared" ref="K451:N514" si="32">IF($B451=W$9, 1, 0)</f>
        <v>1</v>
      </c>
      <c r="L451" s="62">
        <f t="shared" si="32"/>
        <v>0</v>
      </c>
      <c r="M451" s="62">
        <f t="shared" si="32"/>
        <v>0</v>
      </c>
      <c r="N451" s="62">
        <f t="shared" si="32"/>
        <v>0</v>
      </c>
      <c r="O451" s="62">
        <f t="shared" ref="O451:S514" si="33">IF($B451=AA$9, 1, 0)</f>
        <v>0</v>
      </c>
      <c r="P451" s="62">
        <f t="shared" si="33"/>
        <v>0</v>
      </c>
      <c r="Q451" s="62">
        <f t="shared" si="33"/>
        <v>0</v>
      </c>
      <c r="R451" s="62">
        <f t="shared" si="31"/>
        <v>0</v>
      </c>
      <c r="S451" s="62">
        <f t="shared" si="31"/>
        <v>0</v>
      </c>
      <c r="T451" s="62">
        <f t="shared" si="31"/>
        <v>0</v>
      </c>
      <c r="U451" s="62">
        <f t="shared" si="31"/>
        <v>0</v>
      </c>
      <c r="V451" s="62">
        <f t="shared" ref="V451:V514" si="34">IF($C451=$V$1, 1, 0)</f>
        <v>1</v>
      </c>
    </row>
    <row r="452" spans="1:22" ht="19.5">
      <c r="A452" s="10" t="s">
        <v>474</v>
      </c>
      <c r="B452" s="10" t="s">
        <v>42</v>
      </c>
      <c r="C452" s="10" t="s">
        <v>13</v>
      </c>
      <c r="J452" s="10" t="s">
        <v>474</v>
      </c>
      <c r="K452" s="62">
        <f t="shared" si="32"/>
        <v>0</v>
      </c>
      <c r="L452" s="62">
        <f t="shared" si="32"/>
        <v>1</v>
      </c>
      <c r="M452" s="62">
        <f t="shared" si="32"/>
        <v>0</v>
      </c>
      <c r="N452" s="62">
        <f t="shared" si="32"/>
        <v>0</v>
      </c>
      <c r="O452" s="62">
        <f t="shared" si="33"/>
        <v>0</v>
      </c>
      <c r="P452" s="62">
        <f t="shared" si="33"/>
        <v>0</v>
      </c>
      <c r="Q452" s="62">
        <f t="shared" si="33"/>
        <v>0</v>
      </c>
      <c r="R452" s="62">
        <f t="shared" si="31"/>
        <v>0</v>
      </c>
      <c r="S452" s="62">
        <f t="shared" si="31"/>
        <v>0</v>
      </c>
      <c r="T452" s="62">
        <f t="shared" si="31"/>
        <v>0</v>
      </c>
      <c r="U452" s="62">
        <f t="shared" si="31"/>
        <v>0</v>
      </c>
      <c r="V452" s="62">
        <f t="shared" si="34"/>
        <v>1</v>
      </c>
    </row>
    <row r="453" spans="1:22" ht="19.5">
      <c r="A453" s="10" t="s">
        <v>475</v>
      </c>
      <c r="B453" s="10" t="s">
        <v>42</v>
      </c>
      <c r="C453" s="10" t="s">
        <v>20</v>
      </c>
      <c r="J453" s="10" t="s">
        <v>475</v>
      </c>
      <c r="K453" s="62">
        <f t="shared" si="32"/>
        <v>0</v>
      </c>
      <c r="L453" s="62">
        <f t="shared" si="32"/>
        <v>1</v>
      </c>
      <c r="M453" s="62">
        <f t="shared" si="32"/>
        <v>0</v>
      </c>
      <c r="N453" s="62">
        <f t="shared" si="32"/>
        <v>0</v>
      </c>
      <c r="O453" s="62">
        <f t="shared" si="33"/>
        <v>0</v>
      </c>
      <c r="P453" s="62">
        <f t="shared" si="33"/>
        <v>0</v>
      </c>
      <c r="Q453" s="62">
        <f t="shared" si="33"/>
        <v>0</v>
      </c>
      <c r="R453" s="62">
        <f t="shared" si="33"/>
        <v>0</v>
      </c>
      <c r="S453" s="62">
        <f t="shared" si="33"/>
        <v>0</v>
      </c>
      <c r="T453" s="62">
        <f t="shared" ref="T453:U516" si="35">IF($B453=AF$9, 1, 0)</f>
        <v>0</v>
      </c>
      <c r="U453" s="62">
        <f t="shared" si="35"/>
        <v>0</v>
      </c>
      <c r="V453" s="62">
        <f t="shared" si="34"/>
        <v>0</v>
      </c>
    </row>
    <row r="454" spans="1:22" ht="19.5">
      <c r="A454" s="10" t="s">
        <v>476</v>
      </c>
      <c r="B454" s="10" t="s">
        <v>736</v>
      </c>
      <c r="C454" s="10" t="s">
        <v>20</v>
      </c>
      <c r="J454" s="10" t="s">
        <v>476</v>
      </c>
      <c r="K454" s="62">
        <f t="shared" si="32"/>
        <v>0</v>
      </c>
      <c r="L454" s="62">
        <f t="shared" si="32"/>
        <v>0</v>
      </c>
      <c r="M454" s="62">
        <f t="shared" si="32"/>
        <v>0</v>
      </c>
      <c r="N454" s="62">
        <f t="shared" si="32"/>
        <v>0</v>
      </c>
      <c r="O454" s="62">
        <f t="shared" si="33"/>
        <v>0</v>
      </c>
      <c r="P454" s="62">
        <f t="shared" si="33"/>
        <v>0</v>
      </c>
      <c r="Q454" s="62">
        <f t="shared" si="33"/>
        <v>0</v>
      </c>
      <c r="R454" s="62">
        <f t="shared" si="33"/>
        <v>1</v>
      </c>
      <c r="S454" s="62">
        <f t="shared" ref="S454:U517" si="36">IF($B454=AE$9, 1, 0)</f>
        <v>0</v>
      </c>
      <c r="T454" s="62">
        <f t="shared" si="35"/>
        <v>0</v>
      </c>
      <c r="U454" s="62">
        <f t="shared" si="35"/>
        <v>0</v>
      </c>
      <c r="V454" s="62">
        <f t="shared" si="34"/>
        <v>0</v>
      </c>
    </row>
    <row r="455" spans="1:22" ht="19.5">
      <c r="A455" s="10" t="s">
        <v>477</v>
      </c>
      <c r="B455" s="10" t="s">
        <v>737</v>
      </c>
      <c r="C455" s="10" t="s">
        <v>20</v>
      </c>
      <c r="J455" s="10" t="s">
        <v>477</v>
      </c>
      <c r="K455" s="62">
        <f t="shared" si="32"/>
        <v>0</v>
      </c>
      <c r="L455" s="62">
        <f t="shared" si="32"/>
        <v>0</v>
      </c>
      <c r="M455" s="62">
        <f t="shared" si="32"/>
        <v>0</v>
      </c>
      <c r="N455" s="62">
        <f t="shared" si="32"/>
        <v>1</v>
      </c>
      <c r="O455" s="62">
        <f t="shared" si="33"/>
        <v>0</v>
      </c>
      <c r="P455" s="62">
        <f t="shared" si="33"/>
        <v>0</v>
      </c>
      <c r="Q455" s="62">
        <f t="shared" si="33"/>
        <v>0</v>
      </c>
      <c r="R455" s="62">
        <f t="shared" si="33"/>
        <v>0</v>
      </c>
      <c r="S455" s="62">
        <f t="shared" si="36"/>
        <v>0</v>
      </c>
      <c r="T455" s="62">
        <f t="shared" si="35"/>
        <v>0</v>
      </c>
      <c r="U455" s="62">
        <f t="shared" si="35"/>
        <v>0</v>
      </c>
      <c r="V455" s="62">
        <f t="shared" si="34"/>
        <v>0</v>
      </c>
    </row>
    <row r="456" spans="1:22" ht="19.5">
      <c r="A456" s="10" t="s">
        <v>478</v>
      </c>
      <c r="B456" s="10" t="s">
        <v>740</v>
      </c>
      <c r="C456" s="10" t="s">
        <v>20</v>
      </c>
      <c r="J456" s="10" t="s">
        <v>478</v>
      </c>
      <c r="K456" s="62">
        <f t="shared" si="32"/>
        <v>0</v>
      </c>
      <c r="L456" s="62">
        <f t="shared" si="32"/>
        <v>0</v>
      </c>
      <c r="M456" s="62">
        <f t="shared" si="32"/>
        <v>0</v>
      </c>
      <c r="N456" s="62">
        <f t="shared" si="32"/>
        <v>0</v>
      </c>
      <c r="O456" s="62">
        <f t="shared" si="33"/>
        <v>1</v>
      </c>
      <c r="P456" s="62">
        <f t="shared" si="33"/>
        <v>0</v>
      </c>
      <c r="Q456" s="62">
        <f t="shared" si="33"/>
        <v>0</v>
      </c>
      <c r="R456" s="62">
        <f t="shared" si="33"/>
        <v>0</v>
      </c>
      <c r="S456" s="62">
        <f t="shared" si="36"/>
        <v>0</v>
      </c>
      <c r="T456" s="62">
        <f t="shared" si="35"/>
        <v>0</v>
      </c>
      <c r="U456" s="62">
        <f t="shared" si="35"/>
        <v>0</v>
      </c>
      <c r="V456" s="62">
        <f t="shared" si="34"/>
        <v>0</v>
      </c>
    </row>
    <row r="457" spans="1:22" ht="19.5">
      <c r="A457" s="10" t="s">
        <v>479</v>
      </c>
      <c r="B457" s="10" t="s">
        <v>739</v>
      </c>
      <c r="C457" s="10" t="s">
        <v>20</v>
      </c>
      <c r="J457" s="10" t="s">
        <v>479</v>
      </c>
      <c r="K457" s="62">
        <f t="shared" si="32"/>
        <v>0</v>
      </c>
      <c r="L457" s="62">
        <f t="shared" si="32"/>
        <v>0</v>
      </c>
      <c r="M457" s="62">
        <f t="shared" si="32"/>
        <v>0</v>
      </c>
      <c r="N457" s="62">
        <f t="shared" si="32"/>
        <v>0</v>
      </c>
      <c r="O457" s="62">
        <f t="shared" si="33"/>
        <v>0</v>
      </c>
      <c r="P457" s="62">
        <f t="shared" si="33"/>
        <v>1</v>
      </c>
      <c r="Q457" s="62">
        <f t="shared" si="33"/>
        <v>0</v>
      </c>
      <c r="R457" s="62">
        <f t="shared" si="33"/>
        <v>0</v>
      </c>
      <c r="S457" s="62">
        <f t="shared" si="36"/>
        <v>0</v>
      </c>
      <c r="T457" s="62">
        <f t="shared" si="35"/>
        <v>0</v>
      </c>
      <c r="U457" s="62">
        <f t="shared" si="35"/>
        <v>0</v>
      </c>
      <c r="V457" s="62">
        <f t="shared" si="34"/>
        <v>0</v>
      </c>
    </row>
    <row r="458" spans="1:22" ht="19.5">
      <c r="A458" s="10" t="s">
        <v>480</v>
      </c>
      <c r="B458" s="10" t="s">
        <v>39</v>
      </c>
      <c r="C458" s="10" t="s">
        <v>13</v>
      </c>
      <c r="J458" s="10" t="s">
        <v>480</v>
      </c>
      <c r="K458" s="62">
        <f t="shared" si="32"/>
        <v>1</v>
      </c>
      <c r="L458" s="62">
        <f t="shared" si="32"/>
        <v>0</v>
      </c>
      <c r="M458" s="62">
        <f t="shared" si="32"/>
        <v>0</v>
      </c>
      <c r="N458" s="62">
        <f t="shared" si="32"/>
        <v>0</v>
      </c>
      <c r="O458" s="62">
        <f t="shared" si="33"/>
        <v>0</v>
      </c>
      <c r="P458" s="62">
        <f t="shared" si="33"/>
        <v>0</v>
      </c>
      <c r="Q458" s="62">
        <f t="shared" si="33"/>
        <v>0</v>
      </c>
      <c r="R458" s="62">
        <f t="shared" si="33"/>
        <v>0</v>
      </c>
      <c r="S458" s="62">
        <f t="shared" si="36"/>
        <v>0</v>
      </c>
      <c r="T458" s="62">
        <f t="shared" si="35"/>
        <v>0</v>
      </c>
      <c r="U458" s="62">
        <f t="shared" si="35"/>
        <v>0</v>
      </c>
      <c r="V458" s="62">
        <f t="shared" si="34"/>
        <v>1</v>
      </c>
    </row>
    <row r="459" spans="1:22" ht="19.5">
      <c r="A459" s="10" t="s">
        <v>481</v>
      </c>
      <c r="B459" s="10" t="s">
        <v>39</v>
      </c>
      <c r="C459" s="10" t="s">
        <v>13</v>
      </c>
      <c r="J459" s="10" t="s">
        <v>481</v>
      </c>
      <c r="K459" s="62">
        <f t="shared" si="32"/>
        <v>1</v>
      </c>
      <c r="L459" s="62">
        <f t="shared" si="32"/>
        <v>0</v>
      </c>
      <c r="M459" s="62">
        <f t="shared" si="32"/>
        <v>0</v>
      </c>
      <c r="N459" s="62">
        <f t="shared" si="32"/>
        <v>0</v>
      </c>
      <c r="O459" s="62">
        <f t="shared" si="33"/>
        <v>0</v>
      </c>
      <c r="P459" s="62">
        <f t="shared" si="33"/>
        <v>0</v>
      </c>
      <c r="Q459" s="62">
        <f t="shared" si="33"/>
        <v>0</v>
      </c>
      <c r="R459" s="62">
        <f t="shared" si="33"/>
        <v>0</v>
      </c>
      <c r="S459" s="62">
        <f t="shared" si="36"/>
        <v>0</v>
      </c>
      <c r="T459" s="62">
        <f t="shared" si="35"/>
        <v>0</v>
      </c>
      <c r="U459" s="62">
        <f t="shared" si="35"/>
        <v>0</v>
      </c>
      <c r="V459" s="62">
        <f t="shared" si="34"/>
        <v>1</v>
      </c>
    </row>
    <row r="460" spans="1:22" ht="19.5">
      <c r="A460" s="10" t="s">
        <v>482</v>
      </c>
      <c r="B460" s="10" t="s">
        <v>42</v>
      </c>
      <c r="C460" s="10" t="s">
        <v>13</v>
      </c>
      <c r="J460" s="10" t="s">
        <v>482</v>
      </c>
      <c r="K460" s="62">
        <f t="shared" si="32"/>
        <v>0</v>
      </c>
      <c r="L460" s="62">
        <f t="shared" si="32"/>
        <v>1</v>
      </c>
      <c r="M460" s="62">
        <f t="shared" si="32"/>
        <v>0</v>
      </c>
      <c r="N460" s="62">
        <f t="shared" si="32"/>
        <v>0</v>
      </c>
      <c r="O460" s="62">
        <f t="shared" si="33"/>
        <v>0</v>
      </c>
      <c r="P460" s="62">
        <f t="shared" si="33"/>
        <v>0</v>
      </c>
      <c r="Q460" s="62">
        <f t="shared" si="33"/>
        <v>0</v>
      </c>
      <c r="R460" s="62">
        <f t="shared" si="33"/>
        <v>0</v>
      </c>
      <c r="S460" s="62">
        <f t="shared" si="36"/>
        <v>0</v>
      </c>
      <c r="T460" s="62">
        <f t="shared" si="35"/>
        <v>0</v>
      </c>
      <c r="U460" s="62">
        <f t="shared" si="35"/>
        <v>0</v>
      </c>
      <c r="V460" s="62">
        <f t="shared" si="34"/>
        <v>1</v>
      </c>
    </row>
    <row r="461" spans="1:22" ht="19.5">
      <c r="A461" s="10" t="s">
        <v>483</v>
      </c>
      <c r="B461" s="10" t="s">
        <v>39</v>
      </c>
      <c r="C461" s="10" t="s">
        <v>13</v>
      </c>
      <c r="J461" s="10" t="s">
        <v>483</v>
      </c>
      <c r="K461" s="62">
        <f t="shared" si="32"/>
        <v>1</v>
      </c>
      <c r="L461" s="62">
        <f t="shared" si="32"/>
        <v>0</v>
      </c>
      <c r="M461" s="62">
        <f t="shared" si="32"/>
        <v>0</v>
      </c>
      <c r="N461" s="62">
        <f t="shared" si="32"/>
        <v>0</v>
      </c>
      <c r="O461" s="62">
        <f t="shared" si="33"/>
        <v>0</v>
      </c>
      <c r="P461" s="62">
        <f t="shared" si="33"/>
        <v>0</v>
      </c>
      <c r="Q461" s="62">
        <f t="shared" si="33"/>
        <v>0</v>
      </c>
      <c r="R461" s="62">
        <f t="shared" si="33"/>
        <v>0</v>
      </c>
      <c r="S461" s="62">
        <f t="shared" si="36"/>
        <v>0</v>
      </c>
      <c r="T461" s="62">
        <f t="shared" si="35"/>
        <v>0</v>
      </c>
      <c r="U461" s="62">
        <f t="shared" si="35"/>
        <v>0</v>
      </c>
      <c r="V461" s="62">
        <f t="shared" si="34"/>
        <v>1</v>
      </c>
    </row>
    <row r="462" spans="1:22" ht="19.5">
      <c r="A462" s="10" t="s">
        <v>484</v>
      </c>
      <c r="B462" s="10" t="s">
        <v>740</v>
      </c>
      <c r="C462" s="10" t="s">
        <v>13</v>
      </c>
      <c r="J462" s="10" t="s">
        <v>484</v>
      </c>
      <c r="K462" s="62">
        <f t="shared" si="32"/>
        <v>0</v>
      </c>
      <c r="L462" s="62">
        <f t="shared" si="32"/>
        <v>0</v>
      </c>
      <c r="M462" s="62">
        <f t="shared" si="32"/>
        <v>0</v>
      </c>
      <c r="N462" s="62">
        <f t="shared" si="32"/>
        <v>0</v>
      </c>
      <c r="O462" s="62">
        <f t="shared" si="33"/>
        <v>1</v>
      </c>
      <c r="P462" s="62">
        <f t="shared" si="33"/>
        <v>0</v>
      </c>
      <c r="Q462" s="62">
        <f t="shared" si="33"/>
        <v>0</v>
      </c>
      <c r="R462" s="62">
        <f t="shared" si="33"/>
        <v>0</v>
      </c>
      <c r="S462" s="62">
        <f t="shared" si="36"/>
        <v>0</v>
      </c>
      <c r="T462" s="62">
        <f t="shared" si="35"/>
        <v>0</v>
      </c>
      <c r="U462" s="62">
        <f t="shared" si="35"/>
        <v>0</v>
      </c>
      <c r="V462" s="62">
        <f t="shared" si="34"/>
        <v>1</v>
      </c>
    </row>
    <row r="463" spans="1:22" ht="19.5">
      <c r="A463" s="10" t="s">
        <v>485</v>
      </c>
      <c r="B463" s="10" t="s">
        <v>739</v>
      </c>
      <c r="C463" s="10" t="s">
        <v>13</v>
      </c>
      <c r="J463" s="10" t="s">
        <v>485</v>
      </c>
      <c r="K463" s="62">
        <f t="shared" si="32"/>
        <v>0</v>
      </c>
      <c r="L463" s="62">
        <f t="shared" si="32"/>
        <v>0</v>
      </c>
      <c r="M463" s="62">
        <f t="shared" si="32"/>
        <v>0</v>
      </c>
      <c r="N463" s="62">
        <f t="shared" si="32"/>
        <v>0</v>
      </c>
      <c r="O463" s="62">
        <f t="shared" si="33"/>
        <v>0</v>
      </c>
      <c r="P463" s="62">
        <f t="shared" si="33"/>
        <v>1</v>
      </c>
      <c r="Q463" s="62">
        <f t="shared" si="33"/>
        <v>0</v>
      </c>
      <c r="R463" s="62">
        <f t="shared" si="33"/>
        <v>0</v>
      </c>
      <c r="S463" s="62">
        <f t="shared" si="36"/>
        <v>0</v>
      </c>
      <c r="T463" s="62">
        <f t="shared" si="35"/>
        <v>0</v>
      </c>
      <c r="U463" s="62">
        <f t="shared" si="35"/>
        <v>0</v>
      </c>
      <c r="V463" s="62">
        <f t="shared" si="34"/>
        <v>1</v>
      </c>
    </row>
    <row r="464" spans="1:22" ht="19.5">
      <c r="A464" s="10" t="s">
        <v>486</v>
      </c>
      <c r="B464" s="10" t="s">
        <v>37</v>
      </c>
      <c r="C464" s="10" t="s">
        <v>13</v>
      </c>
      <c r="J464" s="10" t="s">
        <v>486</v>
      </c>
      <c r="K464" s="62">
        <f t="shared" si="32"/>
        <v>0</v>
      </c>
      <c r="L464" s="62">
        <f t="shared" si="32"/>
        <v>0</v>
      </c>
      <c r="M464" s="62">
        <f t="shared" si="32"/>
        <v>1</v>
      </c>
      <c r="N464" s="62">
        <f t="shared" si="32"/>
        <v>0</v>
      </c>
      <c r="O464" s="62">
        <f t="shared" si="33"/>
        <v>0</v>
      </c>
      <c r="P464" s="62">
        <f t="shared" si="33"/>
        <v>0</v>
      </c>
      <c r="Q464" s="62">
        <f t="shared" si="33"/>
        <v>0</v>
      </c>
      <c r="R464" s="62">
        <f t="shared" si="33"/>
        <v>0</v>
      </c>
      <c r="S464" s="62">
        <f t="shared" si="36"/>
        <v>0</v>
      </c>
      <c r="T464" s="62">
        <f t="shared" si="35"/>
        <v>0</v>
      </c>
      <c r="U464" s="62">
        <f t="shared" si="35"/>
        <v>0</v>
      </c>
      <c r="V464" s="62">
        <f t="shared" si="34"/>
        <v>1</v>
      </c>
    </row>
    <row r="465" spans="1:22" ht="19.5">
      <c r="A465" s="10" t="s">
        <v>487</v>
      </c>
      <c r="B465" s="10" t="s">
        <v>39</v>
      </c>
      <c r="C465" s="10" t="s">
        <v>13</v>
      </c>
      <c r="J465" s="10" t="s">
        <v>487</v>
      </c>
      <c r="K465" s="62">
        <f t="shared" si="32"/>
        <v>1</v>
      </c>
      <c r="L465" s="62">
        <f t="shared" si="32"/>
        <v>0</v>
      </c>
      <c r="M465" s="62">
        <f t="shared" si="32"/>
        <v>0</v>
      </c>
      <c r="N465" s="62">
        <f t="shared" si="32"/>
        <v>0</v>
      </c>
      <c r="O465" s="62">
        <f t="shared" si="33"/>
        <v>0</v>
      </c>
      <c r="P465" s="62">
        <f t="shared" si="33"/>
        <v>0</v>
      </c>
      <c r="Q465" s="62">
        <f t="shared" si="33"/>
        <v>0</v>
      </c>
      <c r="R465" s="62">
        <f t="shared" si="33"/>
        <v>0</v>
      </c>
      <c r="S465" s="62">
        <f t="shared" si="36"/>
        <v>0</v>
      </c>
      <c r="T465" s="62">
        <f t="shared" si="35"/>
        <v>0</v>
      </c>
      <c r="U465" s="62">
        <f t="shared" si="35"/>
        <v>0</v>
      </c>
      <c r="V465" s="62">
        <f t="shared" si="34"/>
        <v>1</v>
      </c>
    </row>
    <row r="466" spans="1:22" ht="19.5">
      <c r="A466" s="10" t="s">
        <v>488</v>
      </c>
      <c r="B466" s="10" t="s">
        <v>39</v>
      </c>
      <c r="C466" s="10" t="s">
        <v>13</v>
      </c>
      <c r="J466" s="10" t="s">
        <v>488</v>
      </c>
      <c r="K466" s="62">
        <f t="shared" si="32"/>
        <v>1</v>
      </c>
      <c r="L466" s="62">
        <f t="shared" si="32"/>
        <v>0</v>
      </c>
      <c r="M466" s="62">
        <f t="shared" si="32"/>
        <v>0</v>
      </c>
      <c r="N466" s="62">
        <f t="shared" si="32"/>
        <v>0</v>
      </c>
      <c r="O466" s="62">
        <f t="shared" si="33"/>
        <v>0</v>
      </c>
      <c r="P466" s="62">
        <f t="shared" si="33"/>
        <v>0</v>
      </c>
      <c r="Q466" s="62">
        <f t="shared" si="33"/>
        <v>0</v>
      </c>
      <c r="R466" s="62">
        <f t="shared" si="33"/>
        <v>0</v>
      </c>
      <c r="S466" s="62">
        <f t="shared" si="36"/>
        <v>0</v>
      </c>
      <c r="T466" s="62">
        <f t="shared" si="35"/>
        <v>0</v>
      </c>
      <c r="U466" s="62">
        <f t="shared" si="35"/>
        <v>0</v>
      </c>
      <c r="V466" s="62">
        <f t="shared" si="34"/>
        <v>1</v>
      </c>
    </row>
    <row r="467" spans="1:22" ht="19.5">
      <c r="A467" s="10" t="s">
        <v>489</v>
      </c>
      <c r="B467" s="10" t="s">
        <v>42</v>
      </c>
      <c r="C467" s="10" t="s">
        <v>13</v>
      </c>
      <c r="J467" s="10" t="s">
        <v>489</v>
      </c>
      <c r="K467" s="62">
        <f t="shared" si="32"/>
        <v>0</v>
      </c>
      <c r="L467" s="62">
        <f t="shared" si="32"/>
        <v>1</v>
      </c>
      <c r="M467" s="62">
        <f t="shared" si="32"/>
        <v>0</v>
      </c>
      <c r="N467" s="62">
        <f t="shared" si="32"/>
        <v>0</v>
      </c>
      <c r="O467" s="62">
        <f t="shared" si="33"/>
        <v>0</v>
      </c>
      <c r="P467" s="62">
        <f t="shared" si="33"/>
        <v>0</v>
      </c>
      <c r="Q467" s="62">
        <f t="shared" si="33"/>
        <v>0</v>
      </c>
      <c r="R467" s="62">
        <f t="shared" si="33"/>
        <v>0</v>
      </c>
      <c r="S467" s="62">
        <f t="shared" si="36"/>
        <v>0</v>
      </c>
      <c r="T467" s="62">
        <f t="shared" si="35"/>
        <v>0</v>
      </c>
      <c r="U467" s="62">
        <f t="shared" si="35"/>
        <v>0</v>
      </c>
      <c r="V467" s="62">
        <f t="shared" si="34"/>
        <v>1</v>
      </c>
    </row>
    <row r="468" spans="1:22" ht="19.5">
      <c r="A468" s="10" t="s">
        <v>490</v>
      </c>
      <c r="B468" s="10" t="s">
        <v>42</v>
      </c>
      <c r="C468" s="10" t="s">
        <v>13</v>
      </c>
      <c r="J468" s="10" t="s">
        <v>490</v>
      </c>
      <c r="K468" s="62">
        <f t="shared" si="32"/>
        <v>0</v>
      </c>
      <c r="L468" s="62">
        <f t="shared" si="32"/>
        <v>1</v>
      </c>
      <c r="M468" s="62">
        <f t="shared" si="32"/>
        <v>0</v>
      </c>
      <c r="N468" s="62">
        <f t="shared" si="32"/>
        <v>0</v>
      </c>
      <c r="O468" s="62">
        <f t="shared" si="33"/>
        <v>0</v>
      </c>
      <c r="P468" s="62">
        <f t="shared" si="33"/>
        <v>0</v>
      </c>
      <c r="Q468" s="62">
        <f t="shared" si="33"/>
        <v>0</v>
      </c>
      <c r="R468" s="62">
        <f t="shared" si="33"/>
        <v>0</v>
      </c>
      <c r="S468" s="62">
        <f t="shared" si="36"/>
        <v>0</v>
      </c>
      <c r="T468" s="62">
        <f t="shared" si="35"/>
        <v>0</v>
      </c>
      <c r="U468" s="62">
        <f t="shared" si="35"/>
        <v>0</v>
      </c>
      <c r="V468" s="62">
        <f t="shared" si="34"/>
        <v>1</v>
      </c>
    </row>
    <row r="469" spans="1:22" ht="19.5">
      <c r="A469" s="10" t="s">
        <v>491</v>
      </c>
      <c r="B469" s="10" t="s">
        <v>736</v>
      </c>
      <c r="C469" s="10" t="s">
        <v>20</v>
      </c>
      <c r="J469" s="10" t="s">
        <v>491</v>
      </c>
      <c r="K469" s="62">
        <f t="shared" si="32"/>
        <v>0</v>
      </c>
      <c r="L469" s="62">
        <f t="shared" si="32"/>
        <v>0</v>
      </c>
      <c r="M469" s="62">
        <f t="shared" si="32"/>
        <v>0</v>
      </c>
      <c r="N469" s="62">
        <f t="shared" si="32"/>
        <v>0</v>
      </c>
      <c r="O469" s="62">
        <f t="shared" si="33"/>
        <v>0</v>
      </c>
      <c r="P469" s="62">
        <f t="shared" si="33"/>
        <v>0</v>
      </c>
      <c r="Q469" s="62">
        <f t="shared" si="33"/>
        <v>0</v>
      </c>
      <c r="R469" s="62">
        <f t="shared" si="33"/>
        <v>1</v>
      </c>
      <c r="S469" s="62">
        <f t="shared" si="36"/>
        <v>0</v>
      </c>
      <c r="T469" s="62">
        <f t="shared" si="35"/>
        <v>0</v>
      </c>
      <c r="U469" s="62">
        <f t="shared" si="35"/>
        <v>0</v>
      </c>
      <c r="V469" s="62">
        <f t="shared" si="34"/>
        <v>0</v>
      </c>
    </row>
    <row r="470" spans="1:22" ht="19.5">
      <c r="A470" s="10" t="s">
        <v>492</v>
      </c>
      <c r="B470" s="10" t="s">
        <v>737</v>
      </c>
      <c r="C470" s="10" t="s">
        <v>20</v>
      </c>
      <c r="J470" s="10" t="s">
        <v>492</v>
      </c>
      <c r="K470" s="62">
        <f t="shared" si="32"/>
        <v>0</v>
      </c>
      <c r="L470" s="62">
        <f t="shared" si="32"/>
        <v>0</v>
      </c>
      <c r="M470" s="62">
        <f t="shared" si="32"/>
        <v>0</v>
      </c>
      <c r="N470" s="62">
        <f t="shared" si="32"/>
        <v>1</v>
      </c>
      <c r="O470" s="62">
        <f t="shared" si="33"/>
        <v>0</v>
      </c>
      <c r="P470" s="62">
        <f t="shared" si="33"/>
        <v>0</v>
      </c>
      <c r="Q470" s="62">
        <f t="shared" si="33"/>
        <v>0</v>
      </c>
      <c r="R470" s="62">
        <f t="shared" si="33"/>
        <v>0</v>
      </c>
      <c r="S470" s="62">
        <f t="shared" si="36"/>
        <v>0</v>
      </c>
      <c r="T470" s="62">
        <f t="shared" si="35"/>
        <v>0</v>
      </c>
      <c r="U470" s="62">
        <f t="shared" si="35"/>
        <v>0</v>
      </c>
      <c r="V470" s="62">
        <f t="shared" si="34"/>
        <v>0</v>
      </c>
    </row>
    <row r="471" spans="1:22" ht="19.5">
      <c r="A471" s="10" t="s">
        <v>493</v>
      </c>
      <c r="B471" s="10" t="s">
        <v>740</v>
      </c>
      <c r="C471" s="10" t="s">
        <v>13</v>
      </c>
      <c r="J471" s="10" t="s">
        <v>493</v>
      </c>
      <c r="K471" s="62">
        <f t="shared" si="32"/>
        <v>0</v>
      </c>
      <c r="L471" s="62">
        <f t="shared" si="32"/>
        <v>0</v>
      </c>
      <c r="M471" s="62">
        <f t="shared" si="32"/>
        <v>0</v>
      </c>
      <c r="N471" s="62">
        <f t="shared" si="32"/>
        <v>0</v>
      </c>
      <c r="O471" s="62">
        <f t="shared" si="33"/>
        <v>1</v>
      </c>
      <c r="P471" s="62">
        <f t="shared" si="33"/>
        <v>0</v>
      </c>
      <c r="Q471" s="62">
        <f t="shared" si="33"/>
        <v>0</v>
      </c>
      <c r="R471" s="62">
        <f t="shared" si="33"/>
        <v>0</v>
      </c>
      <c r="S471" s="62">
        <f t="shared" si="36"/>
        <v>0</v>
      </c>
      <c r="T471" s="62">
        <f t="shared" si="35"/>
        <v>0</v>
      </c>
      <c r="U471" s="62">
        <f t="shared" si="35"/>
        <v>0</v>
      </c>
      <c r="V471" s="62">
        <f t="shared" si="34"/>
        <v>1</v>
      </c>
    </row>
    <row r="472" spans="1:22" ht="19.5">
      <c r="A472" s="10" t="s">
        <v>494</v>
      </c>
      <c r="B472" s="10" t="s">
        <v>739</v>
      </c>
      <c r="C472" s="10" t="s">
        <v>13</v>
      </c>
      <c r="J472" s="10" t="s">
        <v>494</v>
      </c>
      <c r="K472" s="62">
        <f t="shared" si="32"/>
        <v>0</v>
      </c>
      <c r="L472" s="62">
        <f t="shared" si="32"/>
        <v>0</v>
      </c>
      <c r="M472" s="62">
        <f t="shared" si="32"/>
        <v>0</v>
      </c>
      <c r="N472" s="62">
        <f t="shared" si="32"/>
        <v>0</v>
      </c>
      <c r="O472" s="62">
        <f t="shared" si="33"/>
        <v>0</v>
      </c>
      <c r="P472" s="62">
        <f t="shared" si="33"/>
        <v>1</v>
      </c>
      <c r="Q472" s="62">
        <f t="shared" si="33"/>
        <v>0</v>
      </c>
      <c r="R472" s="62">
        <f t="shared" si="33"/>
        <v>0</v>
      </c>
      <c r="S472" s="62">
        <f t="shared" si="36"/>
        <v>0</v>
      </c>
      <c r="T472" s="62">
        <f t="shared" si="35"/>
        <v>0</v>
      </c>
      <c r="U472" s="62">
        <f t="shared" si="35"/>
        <v>0</v>
      </c>
      <c r="V472" s="62">
        <f t="shared" si="34"/>
        <v>1</v>
      </c>
    </row>
    <row r="473" spans="1:22" ht="19.5">
      <c r="A473" s="10" t="s">
        <v>495</v>
      </c>
      <c r="B473" s="10" t="s">
        <v>37</v>
      </c>
      <c r="C473" s="10" t="s">
        <v>13</v>
      </c>
      <c r="J473" s="10" t="s">
        <v>495</v>
      </c>
      <c r="K473" s="62">
        <f t="shared" si="32"/>
        <v>0</v>
      </c>
      <c r="L473" s="62">
        <f t="shared" si="32"/>
        <v>0</v>
      </c>
      <c r="M473" s="62">
        <f t="shared" si="32"/>
        <v>1</v>
      </c>
      <c r="N473" s="62">
        <f t="shared" si="32"/>
        <v>0</v>
      </c>
      <c r="O473" s="62">
        <f t="shared" si="33"/>
        <v>0</v>
      </c>
      <c r="P473" s="62">
        <f t="shared" si="33"/>
        <v>0</v>
      </c>
      <c r="Q473" s="62">
        <f t="shared" si="33"/>
        <v>0</v>
      </c>
      <c r="R473" s="62">
        <f t="shared" si="33"/>
        <v>0</v>
      </c>
      <c r="S473" s="62">
        <f t="shared" si="36"/>
        <v>0</v>
      </c>
      <c r="T473" s="62">
        <f t="shared" si="35"/>
        <v>0</v>
      </c>
      <c r="U473" s="62">
        <f t="shared" si="35"/>
        <v>0</v>
      </c>
      <c r="V473" s="62">
        <f t="shared" si="34"/>
        <v>1</v>
      </c>
    </row>
    <row r="474" spans="1:22" ht="19.5">
      <c r="A474" s="10" t="s">
        <v>496</v>
      </c>
      <c r="B474" s="10" t="s">
        <v>39</v>
      </c>
      <c r="C474" s="10" t="s">
        <v>13</v>
      </c>
      <c r="J474" s="10" t="s">
        <v>496</v>
      </c>
      <c r="K474" s="62">
        <f t="shared" si="32"/>
        <v>1</v>
      </c>
      <c r="L474" s="62">
        <f t="shared" si="32"/>
        <v>0</v>
      </c>
      <c r="M474" s="62">
        <f t="shared" si="32"/>
        <v>0</v>
      </c>
      <c r="N474" s="62">
        <f t="shared" si="32"/>
        <v>0</v>
      </c>
      <c r="O474" s="62">
        <f t="shared" si="33"/>
        <v>0</v>
      </c>
      <c r="P474" s="62">
        <f t="shared" si="33"/>
        <v>0</v>
      </c>
      <c r="Q474" s="62">
        <f t="shared" si="33"/>
        <v>0</v>
      </c>
      <c r="R474" s="62">
        <f t="shared" si="33"/>
        <v>0</v>
      </c>
      <c r="S474" s="62">
        <f t="shared" si="36"/>
        <v>0</v>
      </c>
      <c r="T474" s="62">
        <f t="shared" si="35"/>
        <v>0</v>
      </c>
      <c r="U474" s="62">
        <f t="shared" si="35"/>
        <v>0</v>
      </c>
      <c r="V474" s="62">
        <f t="shared" si="34"/>
        <v>1</v>
      </c>
    </row>
    <row r="475" spans="1:22" ht="19.5">
      <c r="A475" s="10" t="s">
        <v>497</v>
      </c>
      <c r="B475" s="10" t="s">
        <v>39</v>
      </c>
      <c r="C475" s="10" t="s">
        <v>13</v>
      </c>
      <c r="J475" s="10" t="s">
        <v>497</v>
      </c>
      <c r="K475" s="62">
        <f t="shared" si="32"/>
        <v>1</v>
      </c>
      <c r="L475" s="62">
        <f t="shared" si="32"/>
        <v>0</v>
      </c>
      <c r="M475" s="62">
        <f t="shared" si="32"/>
        <v>0</v>
      </c>
      <c r="N475" s="62">
        <f t="shared" si="32"/>
        <v>0</v>
      </c>
      <c r="O475" s="62">
        <f t="shared" si="33"/>
        <v>0</v>
      </c>
      <c r="P475" s="62">
        <f t="shared" si="33"/>
        <v>0</v>
      </c>
      <c r="Q475" s="62">
        <f t="shared" si="33"/>
        <v>0</v>
      </c>
      <c r="R475" s="62">
        <f t="shared" si="33"/>
        <v>0</v>
      </c>
      <c r="S475" s="62">
        <f t="shared" si="36"/>
        <v>0</v>
      </c>
      <c r="T475" s="62">
        <f t="shared" si="35"/>
        <v>0</v>
      </c>
      <c r="U475" s="62">
        <f t="shared" si="35"/>
        <v>0</v>
      </c>
      <c r="V475" s="62">
        <f t="shared" si="34"/>
        <v>1</v>
      </c>
    </row>
    <row r="476" spans="1:22" ht="19.5">
      <c r="A476" s="10" t="s">
        <v>498</v>
      </c>
      <c r="B476" s="10" t="s">
        <v>737</v>
      </c>
      <c r="C476" s="10" t="s">
        <v>20</v>
      </c>
      <c r="J476" s="10" t="s">
        <v>498</v>
      </c>
      <c r="K476" s="62">
        <f t="shared" si="32"/>
        <v>0</v>
      </c>
      <c r="L476" s="62">
        <f t="shared" si="32"/>
        <v>0</v>
      </c>
      <c r="M476" s="62">
        <f t="shared" si="32"/>
        <v>0</v>
      </c>
      <c r="N476" s="62">
        <f t="shared" si="32"/>
        <v>1</v>
      </c>
      <c r="O476" s="62">
        <f t="shared" si="33"/>
        <v>0</v>
      </c>
      <c r="P476" s="62">
        <f t="shared" si="33"/>
        <v>0</v>
      </c>
      <c r="Q476" s="62">
        <f t="shared" si="33"/>
        <v>0</v>
      </c>
      <c r="R476" s="62">
        <f t="shared" si="33"/>
        <v>0</v>
      </c>
      <c r="S476" s="62">
        <f t="shared" si="36"/>
        <v>0</v>
      </c>
      <c r="T476" s="62">
        <f t="shared" si="35"/>
        <v>0</v>
      </c>
      <c r="U476" s="62">
        <f t="shared" si="35"/>
        <v>0</v>
      </c>
      <c r="V476" s="62">
        <f t="shared" si="34"/>
        <v>0</v>
      </c>
    </row>
    <row r="477" spans="1:22" ht="19.5">
      <c r="A477" s="10" t="s">
        <v>499</v>
      </c>
      <c r="B477" s="10" t="s">
        <v>739</v>
      </c>
      <c r="C477" s="10" t="s">
        <v>13</v>
      </c>
      <c r="J477" s="10" t="s">
        <v>499</v>
      </c>
      <c r="K477" s="62">
        <f t="shared" si="32"/>
        <v>0</v>
      </c>
      <c r="L477" s="62">
        <f t="shared" si="32"/>
        <v>0</v>
      </c>
      <c r="M477" s="62">
        <f t="shared" si="32"/>
        <v>0</v>
      </c>
      <c r="N477" s="62">
        <f t="shared" si="32"/>
        <v>0</v>
      </c>
      <c r="O477" s="62">
        <f t="shared" si="33"/>
        <v>0</v>
      </c>
      <c r="P477" s="62">
        <f t="shared" si="33"/>
        <v>1</v>
      </c>
      <c r="Q477" s="62">
        <f t="shared" si="33"/>
        <v>0</v>
      </c>
      <c r="R477" s="62">
        <f t="shared" si="33"/>
        <v>0</v>
      </c>
      <c r="S477" s="62">
        <f t="shared" si="36"/>
        <v>0</v>
      </c>
      <c r="T477" s="62">
        <f t="shared" si="35"/>
        <v>0</v>
      </c>
      <c r="U477" s="62">
        <f t="shared" si="35"/>
        <v>0</v>
      </c>
      <c r="V477" s="62">
        <f t="shared" si="34"/>
        <v>1</v>
      </c>
    </row>
    <row r="478" spans="1:22" ht="19.5">
      <c r="A478" s="10" t="s">
        <v>500</v>
      </c>
      <c r="B478" s="10" t="s">
        <v>39</v>
      </c>
      <c r="C478" s="10" t="s">
        <v>13</v>
      </c>
      <c r="J478" s="10" t="s">
        <v>500</v>
      </c>
      <c r="K478" s="62">
        <f t="shared" si="32"/>
        <v>1</v>
      </c>
      <c r="L478" s="62">
        <f t="shared" si="32"/>
        <v>0</v>
      </c>
      <c r="M478" s="62">
        <f t="shared" si="32"/>
        <v>0</v>
      </c>
      <c r="N478" s="62">
        <f t="shared" si="32"/>
        <v>0</v>
      </c>
      <c r="O478" s="62">
        <f t="shared" si="33"/>
        <v>0</v>
      </c>
      <c r="P478" s="62">
        <f t="shared" si="33"/>
        <v>0</v>
      </c>
      <c r="Q478" s="62">
        <f t="shared" si="33"/>
        <v>0</v>
      </c>
      <c r="R478" s="62">
        <f t="shared" si="33"/>
        <v>0</v>
      </c>
      <c r="S478" s="62">
        <f t="shared" si="36"/>
        <v>0</v>
      </c>
      <c r="T478" s="62">
        <f t="shared" si="35"/>
        <v>0</v>
      </c>
      <c r="U478" s="62">
        <f t="shared" si="35"/>
        <v>0</v>
      </c>
      <c r="V478" s="62">
        <f t="shared" si="34"/>
        <v>1</v>
      </c>
    </row>
    <row r="479" spans="1:22" ht="19.5">
      <c r="A479" s="10" t="s">
        <v>501</v>
      </c>
      <c r="B479" s="10" t="s">
        <v>42</v>
      </c>
      <c r="C479" s="10" t="s">
        <v>13</v>
      </c>
      <c r="J479" s="10" t="s">
        <v>501</v>
      </c>
      <c r="K479" s="62">
        <f t="shared" si="32"/>
        <v>0</v>
      </c>
      <c r="L479" s="62">
        <f t="shared" si="32"/>
        <v>1</v>
      </c>
      <c r="M479" s="62">
        <f t="shared" si="32"/>
        <v>0</v>
      </c>
      <c r="N479" s="62">
        <f t="shared" si="32"/>
        <v>0</v>
      </c>
      <c r="O479" s="62">
        <f t="shared" si="33"/>
        <v>0</v>
      </c>
      <c r="P479" s="62">
        <f t="shared" si="33"/>
        <v>0</v>
      </c>
      <c r="Q479" s="62">
        <f t="shared" si="33"/>
        <v>0</v>
      </c>
      <c r="R479" s="62">
        <f t="shared" si="33"/>
        <v>0</v>
      </c>
      <c r="S479" s="62">
        <f t="shared" si="36"/>
        <v>0</v>
      </c>
      <c r="T479" s="62">
        <f t="shared" si="35"/>
        <v>0</v>
      </c>
      <c r="U479" s="62">
        <f t="shared" si="35"/>
        <v>0</v>
      </c>
      <c r="V479" s="62">
        <f t="shared" si="34"/>
        <v>1</v>
      </c>
    </row>
    <row r="480" spans="1:22" ht="19.5">
      <c r="A480" s="10" t="s">
        <v>502</v>
      </c>
      <c r="B480" s="10" t="s">
        <v>736</v>
      </c>
      <c r="C480" s="10" t="s">
        <v>13</v>
      </c>
      <c r="J480" s="10" t="s">
        <v>502</v>
      </c>
      <c r="K480" s="62">
        <f t="shared" si="32"/>
        <v>0</v>
      </c>
      <c r="L480" s="62">
        <f t="shared" si="32"/>
        <v>0</v>
      </c>
      <c r="M480" s="62">
        <f t="shared" si="32"/>
        <v>0</v>
      </c>
      <c r="N480" s="62">
        <f t="shared" si="32"/>
        <v>0</v>
      </c>
      <c r="O480" s="62">
        <f t="shared" si="33"/>
        <v>0</v>
      </c>
      <c r="P480" s="62">
        <f t="shared" si="33"/>
        <v>0</v>
      </c>
      <c r="Q480" s="62">
        <f t="shared" si="33"/>
        <v>0</v>
      </c>
      <c r="R480" s="62">
        <f t="shared" si="33"/>
        <v>1</v>
      </c>
      <c r="S480" s="62">
        <f t="shared" si="36"/>
        <v>0</v>
      </c>
      <c r="T480" s="62">
        <f t="shared" si="35"/>
        <v>0</v>
      </c>
      <c r="U480" s="62">
        <f t="shared" si="35"/>
        <v>0</v>
      </c>
      <c r="V480" s="62">
        <f t="shared" si="34"/>
        <v>1</v>
      </c>
    </row>
    <row r="481" spans="1:22" ht="19.5">
      <c r="A481" s="10" t="s">
        <v>503</v>
      </c>
      <c r="B481" s="10" t="s">
        <v>740</v>
      </c>
      <c r="C481" s="10" t="s">
        <v>20</v>
      </c>
      <c r="J481" s="10" t="s">
        <v>503</v>
      </c>
      <c r="K481" s="62">
        <f t="shared" si="32"/>
        <v>0</v>
      </c>
      <c r="L481" s="62">
        <f t="shared" si="32"/>
        <v>0</v>
      </c>
      <c r="M481" s="62">
        <f t="shared" si="32"/>
        <v>0</v>
      </c>
      <c r="N481" s="62">
        <f t="shared" si="32"/>
        <v>0</v>
      </c>
      <c r="O481" s="62">
        <f t="shared" si="33"/>
        <v>1</v>
      </c>
      <c r="P481" s="62">
        <f t="shared" si="33"/>
        <v>0</v>
      </c>
      <c r="Q481" s="62">
        <f t="shared" si="33"/>
        <v>0</v>
      </c>
      <c r="R481" s="62">
        <f t="shared" si="33"/>
        <v>0</v>
      </c>
      <c r="S481" s="62">
        <f t="shared" si="36"/>
        <v>0</v>
      </c>
      <c r="T481" s="62">
        <f t="shared" si="35"/>
        <v>0</v>
      </c>
      <c r="U481" s="62">
        <f t="shared" si="35"/>
        <v>0</v>
      </c>
      <c r="V481" s="62">
        <f t="shared" si="34"/>
        <v>0</v>
      </c>
    </row>
    <row r="482" spans="1:22" ht="19.5">
      <c r="A482" s="10" t="s">
        <v>504</v>
      </c>
      <c r="B482" s="10" t="s">
        <v>37</v>
      </c>
      <c r="C482" s="10" t="s">
        <v>13</v>
      </c>
      <c r="J482" s="10" t="s">
        <v>504</v>
      </c>
      <c r="K482" s="62">
        <f t="shared" si="32"/>
        <v>0</v>
      </c>
      <c r="L482" s="62">
        <f t="shared" si="32"/>
        <v>0</v>
      </c>
      <c r="M482" s="62">
        <f t="shared" si="32"/>
        <v>1</v>
      </c>
      <c r="N482" s="62">
        <f t="shared" si="32"/>
        <v>0</v>
      </c>
      <c r="O482" s="62">
        <f t="shared" si="33"/>
        <v>0</v>
      </c>
      <c r="P482" s="62">
        <f t="shared" si="33"/>
        <v>0</v>
      </c>
      <c r="Q482" s="62">
        <f t="shared" si="33"/>
        <v>0</v>
      </c>
      <c r="R482" s="62">
        <f t="shared" si="33"/>
        <v>0</v>
      </c>
      <c r="S482" s="62">
        <f t="shared" si="36"/>
        <v>0</v>
      </c>
      <c r="T482" s="62">
        <f t="shared" si="35"/>
        <v>0</v>
      </c>
      <c r="U482" s="62">
        <f t="shared" si="35"/>
        <v>0</v>
      </c>
      <c r="V482" s="62">
        <f t="shared" si="34"/>
        <v>1</v>
      </c>
    </row>
    <row r="483" spans="1:22" ht="19.5">
      <c r="A483" s="10" t="s">
        <v>505</v>
      </c>
      <c r="B483" s="10" t="s">
        <v>737</v>
      </c>
      <c r="C483" s="10" t="s">
        <v>13</v>
      </c>
      <c r="J483" s="10" t="s">
        <v>505</v>
      </c>
      <c r="K483" s="62">
        <f t="shared" si="32"/>
        <v>0</v>
      </c>
      <c r="L483" s="62">
        <f t="shared" si="32"/>
        <v>0</v>
      </c>
      <c r="M483" s="62">
        <f t="shared" si="32"/>
        <v>0</v>
      </c>
      <c r="N483" s="62">
        <f t="shared" si="32"/>
        <v>1</v>
      </c>
      <c r="O483" s="62">
        <f t="shared" si="33"/>
        <v>0</v>
      </c>
      <c r="P483" s="62">
        <f t="shared" si="33"/>
        <v>0</v>
      </c>
      <c r="Q483" s="62">
        <f t="shared" si="33"/>
        <v>0</v>
      </c>
      <c r="R483" s="62">
        <f t="shared" si="33"/>
        <v>0</v>
      </c>
      <c r="S483" s="62">
        <f t="shared" si="36"/>
        <v>0</v>
      </c>
      <c r="T483" s="62">
        <f t="shared" si="35"/>
        <v>0</v>
      </c>
      <c r="U483" s="62">
        <f t="shared" si="35"/>
        <v>0</v>
      </c>
      <c r="V483" s="62">
        <f t="shared" si="34"/>
        <v>1</v>
      </c>
    </row>
    <row r="484" spans="1:22" ht="19.5">
      <c r="A484" s="10" t="s">
        <v>506</v>
      </c>
      <c r="B484" s="10" t="s">
        <v>740</v>
      </c>
      <c r="C484" s="10" t="s">
        <v>20</v>
      </c>
      <c r="J484" s="10" t="s">
        <v>506</v>
      </c>
      <c r="K484" s="62">
        <f t="shared" si="32"/>
        <v>0</v>
      </c>
      <c r="L484" s="62">
        <f t="shared" si="32"/>
        <v>0</v>
      </c>
      <c r="M484" s="62">
        <f t="shared" si="32"/>
        <v>0</v>
      </c>
      <c r="N484" s="62">
        <f t="shared" si="32"/>
        <v>0</v>
      </c>
      <c r="O484" s="62">
        <f t="shared" si="33"/>
        <v>1</v>
      </c>
      <c r="P484" s="62">
        <f t="shared" si="33"/>
        <v>0</v>
      </c>
      <c r="Q484" s="62">
        <f t="shared" si="33"/>
        <v>0</v>
      </c>
      <c r="R484" s="62">
        <f t="shared" si="33"/>
        <v>0</v>
      </c>
      <c r="S484" s="62">
        <f t="shared" si="36"/>
        <v>0</v>
      </c>
      <c r="T484" s="62">
        <f t="shared" si="35"/>
        <v>0</v>
      </c>
      <c r="U484" s="62">
        <f t="shared" si="35"/>
        <v>0</v>
      </c>
      <c r="V484" s="62">
        <f t="shared" si="34"/>
        <v>0</v>
      </c>
    </row>
    <row r="485" spans="1:22" ht="19.5">
      <c r="A485" s="10" t="s">
        <v>507</v>
      </c>
      <c r="B485" s="10" t="s">
        <v>39</v>
      </c>
      <c r="C485" s="10" t="s">
        <v>13</v>
      </c>
      <c r="J485" s="10" t="s">
        <v>507</v>
      </c>
      <c r="K485" s="62">
        <f t="shared" si="32"/>
        <v>1</v>
      </c>
      <c r="L485" s="62">
        <f t="shared" si="32"/>
        <v>0</v>
      </c>
      <c r="M485" s="62">
        <f t="shared" si="32"/>
        <v>0</v>
      </c>
      <c r="N485" s="62">
        <f t="shared" si="32"/>
        <v>0</v>
      </c>
      <c r="O485" s="62">
        <f t="shared" si="33"/>
        <v>0</v>
      </c>
      <c r="P485" s="62">
        <f t="shared" si="33"/>
        <v>0</v>
      </c>
      <c r="Q485" s="62">
        <f t="shared" si="33"/>
        <v>0</v>
      </c>
      <c r="R485" s="62">
        <f t="shared" si="33"/>
        <v>0</v>
      </c>
      <c r="S485" s="62">
        <f t="shared" si="36"/>
        <v>0</v>
      </c>
      <c r="T485" s="62">
        <f t="shared" si="35"/>
        <v>0</v>
      </c>
      <c r="U485" s="62">
        <f t="shared" si="35"/>
        <v>0</v>
      </c>
      <c r="V485" s="62">
        <f t="shared" si="34"/>
        <v>1</v>
      </c>
    </row>
    <row r="486" spans="1:22" ht="19.5">
      <c r="A486" s="10" t="s">
        <v>508</v>
      </c>
      <c r="B486" s="10" t="s">
        <v>42</v>
      </c>
      <c r="C486" s="10" t="s">
        <v>13</v>
      </c>
      <c r="J486" s="10" t="s">
        <v>508</v>
      </c>
      <c r="K486" s="62">
        <f t="shared" si="32"/>
        <v>0</v>
      </c>
      <c r="L486" s="62">
        <f t="shared" si="32"/>
        <v>1</v>
      </c>
      <c r="M486" s="62">
        <f t="shared" si="32"/>
        <v>0</v>
      </c>
      <c r="N486" s="62">
        <f t="shared" si="32"/>
        <v>0</v>
      </c>
      <c r="O486" s="62">
        <f t="shared" si="33"/>
        <v>0</v>
      </c>
      <c r="P486" s="62">
        <f t="shared" si="33"/>
        <v>0</v>
      </c>
      <c r="Q486" s="62">
        <f t="shared" si="33"/>
        <v>0</v>
      </c>
      <c r="R486" s="62">
        <f t="shared" si="33"/>
        <v>0</v>
      </c>
      <c r="S486" s="62">
        <f t="shared" si="36"/>
        <v>0</v>
      </c>
      <c r="T486" s="62">
        <f t="shared" si="35"/>
        <v>0</v>
      </c>
      <c r="U486" s="62">
        <f t="shared" si="35"/>
        <v>0</v>
      </c>
      <c r="V486" s="62">
        <f t="shared" si="34"/>
        <v>1</v>
      </c>
    </row>
    <row r="487" spans="1:22" ht="19.5">
      <c r="A487" s="10" t="s">
        <v>509</v>
      </c>
      <c r="B487" s="10" t="s">
        <v>737</v>
      </c>
      <c r="C487" s="10" t="s">
        <v>20</v>
      </c>
      <c r="J487" s="10" t="s">
        <v>509</v>
      </c>
      <c r="K487" s="62">
        <f t="shared" si="32"/>
        <v>0</v>
      </c>
      <c r="L487" s="62">
        <f t="shared" si="32"/>
        <v>0</v>
      </c>
      <c r="M487" s="62">
        <f t="shared" si="32"/>
        <v>0</v>
      </c>
      <c r="N487" s="62">
        <f t="shared" si="32"/>
        <v>1</v>
      </c>
      <c r="O487" s="62">
        <f t="shared" si="33"/>
        <v>0</v>
      </c>
      <c r="P487" s="62">
        <f t="shared" si="33"/>
        <v>0</v>
      </c>
      <c r="Q487" s="62">
        <f t="shared" si="33"/>
        <v>0</v>
      </c>
      <c r="R487" s="62">
        <f t="shared" si="33"/>
        <v>0</v>
      </c>
      <c r="S487" s="62">
        <f t="shared" si="36"/>
        <v>0</v>
      </c>
      <c r="T487" s="62">
        <f t="shared" si="35"/>
        <v>0</v>
      </c>
      <c r="U487" s="62">
        <f t="shared" si="35"/>
        <v>0</v>
      </c>
      <c r="V487" s="62">
        <f t="shared" si="34"/>
        <v>0</v>
      </c>
    </row>
    <row r="488" spans="1:22" ht="19.5">
      <c r="A488" s="10" t="s">
        <v>510</v>
      </c>
      <c r="B488" s="10" t="s">
        <v>739</v>
      </c>
      <c r="C488" s="10" t="s">
        <v>13</v>
      </c>
      <c r="J488" s="10" t="s">
        <v>510</v>
      </c>
      <c r="K488" s="62">
        <f t="shared" si="32"/>
        <v>0</v>
      </c>
      <c r="L488" s="62">
        <f t="shared" si="32"/>
        <v>0</v>
      </c>
      <c r="M488" s="62">
        <f t="shared" si="32"/>
        <v>0</v>
      </c>
      <c r="N488" s="62">
        <f t="shared" si="32"/>
        <v>0</v>
      </c>
      <c r="O488" s="62">
        <f t="shared" si="33"/>
        <v>0</v>
      </c>
      <c r="P488" s="62">
        <f t="shared" si="33"/>
        <v>1</v>
      </c>
      <c r="Q488" s="62">
        <f t="shared" si="33"/>
        <v>0</v>
      </c>
      <c r="R488" s="62">
        <f t="shared" si="33"/>
        <v>0</v>
      </c>
      <c r="S488" s="62">
        <f t="shared" si="36"/>
        <v>0</v>
      </c>
      <c r="T488" s="62">
        <f t="shared" si="35"/>
        <v>0</v>
      </c>
      <c r="U488" s="62">
        <f t="shared" si="35"/>
        <v>0</v>
      </c>
      <c r="V488" s="62">
        <f t="shared" si="34"/>
        <v>1</v>
      </c>
    </row>
    <row r="489" spans="1:22" ht="19.5">
      <c r="A489" s="10" t="s">
        <v>511</v>
      </c>
      <c r="B489" s="10" t="s">
        <v>39</v>
      </c>
      <c r="C489" s="10" t="s">
        <v>13</v>
      </c>
      <c r="J489" s="10" t="s">
        <v>511</v>
      </c>
      <c r="K489" s="62">
        <f t="shared" si="32"/>
        <v>1</v>
      </c>
      <c r="L489" s="62">
        <f t="shared" si="32"/>
        <v>0</v>
      </c>
      <c r="M489" s="62">
        <f t="shared" si="32"/>
        <v>0</v>
      </c>
      <c r="N489" s="62">
        <f t="shared" si="32"/>
        <v>0</v>
      </c>
      <c r="O489" s="62">
        <f t="shared" si="33"/>
        <v>0</v>
      </c>
      <c r="P489" s="62">
        <f t="shared" si="33"/>
        <v>0</v>
      </c>
      <c r="Q489" s="62">
        <f t="shared" si="33"/>
        <v>0</v>
      </c>
      <c r="R489" s="62">
        <f t="shared" si="33"/>
        <v>0</v>
      </c>
      <c r="S489" s="62">
        <f t="shared" si="36"/>
        <v>0</v>
      </c>
      <c r="T489" s="62">
        <f t="shared" si="35"/>
        <v>0</v>
      </c>
      <c r="U489" s="62">
        <f t="shared" si="35"/>
        <v>0</v>
      </c>
      <c r="V489" s="62">
        <f t="shared" si="34"/>
        <v>1</v>
      </c>
    </row>
    <row r="490" spans="1:22" ht="19.5">
      <c r="A490" s="10" t="s">
        <v>512</v>
      </c>
      <c r="B490" s="10" t="s">
        <v>39</v>
      </c>
      <c r="C490" s="10" t="s">
        <v>13</v>
      </c>
      <c r="J490" s="10" t="s">
        <v>512</v>
      </c>
      <c r="K490" s="62">
        <f t="shared" si="32"/>
        <v>1</v>
      </c>
      <c r="L490" s="62">
        <f t="shared" si="32"/>
        <v>0</v>
      </c>
      <c r="M490" s="62">
        <f t="shared" si="32"/>
        <v>0</v>
      </c>
      <c r="N490" s="62">
        <f t="shared" si="32"/>
        <v>0</v>
      </c>
      <c r="O490" s="62">
        <f t="shared" si="33"/>
        <v>0</v>
      </c>
      <c r="P490" s="62">
        <f t="shared" si="33"/>
        <v>0</v>
      </c>
      <c r="Q490" s="62">
        <f t="shared" si="33"/>
        <v>0</v>
      </c>
      <c r="R490" s="62">
        <f t="shared" si="33"/>
        <v>0</v>
      </c>
      <c r="S490" s="62">
        <f t="shared" si="36"/>
        <v>0</v>
      </c>
      <c r="T490" s="62">
        <f t="shared" si="35"/>
        <v>0</v>
      </c>
      <c r="U490" s="62">
        <f t="shared" si="35"/>
        <v>0</v>
      </c>
      <c r="V490" s="62">
        <f t="shared" si="34"/>
        <v>1</v>
      </c>
    </row>
    <row r="491" spans="1:22" ht="19.5">
      <c r="A491" s="10" t="s">
        <v>513</v>
      </c>
      <c r="B491" s="10" t="s">
        <v>42</v>
      </c>
      <c r="C491" s="10" t="s">
        <v>13</v>
      </c>
      <c r="J491" s="10" t="s">
        <v>513</v>
      </c>
      <c r="K491" s="62">
        <f t="shared" si="32"/>
        <v>0</v>
      </c>
      <c r="L491" s="62">
        <f t="shared" si="32"/>
        <v>1</v>
      </c>
      <c r="M491" s="62">
        <f t="shared" si="32"/>
        <v>0</v>
      </c>
      <c r="N491" s="62">
        <f t="shared" si="32"/>
        <v>0</v>
      </c>
      <c r="O491" s="62">
        <f t="shared" si="33"/>
        <v>0</v>
      </c>
      <c r="P491" s="62">
        <f t="shared" si="33"/>
        <v>0</v>
      </c>
      <c r="Q491" s="62">
        <f t="shared" si="33"/>
        <v>0</v>
      </c>
      <c r="R491" s="62">
        <f t="shared" si="33"/>
        <v>0</v>
      </c>
      <c r="S491" s="62">
        <f t="shared" si="36"/>
        <v>0</v>
      </c>
      <c r="T491" s="62">
        <f t="shared" si="35"/>
        <v>0</v>
      </c>
      <c r="U491" s="62">
        <f t="shared" si="35"/>
        <v>0</v>
      </c>
      <c r="V491" s="62">
        <f t="shared" si="34"/>
        <v>1</v>
      </c>
    </row>
    <row r="492" spans="1:22" ht="19.5">
      <c r="A492" s="10" t="s">
        <v>514</v>
      </c>
      <c r="B492" s="10" t="s">
        <v>737</v>
      </c>
      <c r="C492" s="10" t="s">
        <v>13</v>
      </c>
      <c r="J492" s="10" t="s">
        <v>514</v>
      </c>
      <c r="K492" s="62">
        <f t="shared" si="32"/>
        <v>0</v>
      </c>
      <c r="L492" s="62">
        <f t="shared" si="32"/>
        <v>0</v>
      </c>
      <c r="M492" s="62">
        <f t="shared" si="32"/>
        <v>0</v>
      </c>
      <c r="N492" s="62">
        <f t="shared" si="32"/>
        <v>1</v>
      </c>
      <c r="O492" s="62">
        <f t="shared" si="33"/>
        <v>0</v>
      </c>
      <c r="P492" s="62">
        <f t="shared" si="33"/>
        <v>0</v>
      </c>
      <c r="Q492" s="62">
        <f t="shared" si="33"/>
        <v>0</v>
      </c>
      <c r="R492" s="62">
        <f t="shared" si="33"/>
        <v>0</v>
      </c>
      <c r="S492" s="62">
        <f t="shared" si="36"/>
        <v>0</v>
      </c>
      <c r="T492" s="62">
        <f t="shared" si="35"/>
        <v>0</v>
      </c>
      <c r="U492" s="62">
        <f t="shared" si="35"/>
        <v>0</v>
      </c>
      <c r="V492" s="62">
        <f t="shared" si="34"/>
        <v>1</v>
      </c>
    </row>
    <row r="493" spans="1:22" ht="19.5">
      <c r="A493" s="10" t="s">
        <v>515</v>
      </c>
      <c r="B493" s="10" t="s">
        <v>740</v>
      </c>
      <c r="C493" s="10" t="s">
        <v>13</v>
      </c>
      <c r="J493" s="10" t="s">
        <v>515</v>
      </c>
      <c r="K493" s="62">
        <f t="shared" si="32"/>
        <v>0</v>
      </c>
      <c r="L493" s="62">
        <f t="shared" si="32"/>
        <v>0</v>
      </c>
      <c r="M493" s="62">
        <f t="shared" si="32"/>
        <v>0</v>
      </c>
      <c r="N493" s="62">
        <f t="shared" si="32"/>
        <v>0</v>
      </c>
      <c r="O493" s="62">
        <f t="shared" si="33"/>
        <v>1</v>
      </c>
      <c r="P493" s="62">
        <f t="shared" si="33"/>
        <v>0</v>
      </c>
      <c r="Q493" s="62">
        <f t="shared" si="33"/>
        <v>0</v>
      </c>
      <c r="R493" s="62">
        <f t="shared" si="33"/>
        <v>0</v>
      </c>
      <c r="S493" s="62">
        <f t="shared" si="36"/>
        <v>0</v>
      </c>
      <c r="T493" s="62">
        <f t="shared" si="35"/>
        <v>0</v>
      </c>
      <c r="U493" s="62">
        <f t="shared" si="35"/>
        <v>0</v>
      </c>
      <c r="V493" s="62">
        <f t="shared" si="34"/>
        <v>1</v>
      </c>
    </row>
    <row r="494" spans="1:22" ht="19.5">
      <c r="A494" s="10" t="s">
        <v>516</v>
      </c>
      <c r="B494" s="10" t="s">
        <v>37</v>
      </c>
      <c r="C494" s="10" t="s">
        <v>20</v>
      </c>
      <c r="J494" s="10" t="s">
        <v>516</v>
      </c>
      <c r="K494" s="62">
        <f t="shared" si="32"/>
        <v>0</v>
      </c>
      <c r="L494" s="62">
        <f t="shared" si="32"/>
        <v>0</v>
      </c>
      <c r="M494" s="62">
        <f t="shared" si="32"/>
        <v>1</v>
      </c>
      <c r="N494" s="62">
        <f t="shared" si="32"/>
        <v>0</v>
      </c>
      <c r="O494" s="62">
        <f t="shared" si="33"/>
        <v>0</v>
      </c>
      <c r="P494" s="62">
        <f t="shared" si="33"/>
        <v>0</v>
      </c>
      <c r="Q494" s="62">
        <f t="shared" si="33"/>
        <v>0</v>
      </c>
      <c r="R494" s="62">
        <f t="shared" si="33"/>
        <v>0</v>
      </c>
      <c r="S494" s="62">
        <f t="shared" si="36"/>
        <v>0</v>
      </c>
      <c r="T494" s="62">
        <f t="shared" si="35"/>
        <v>0</v>
      </c>
      <c r="U494" s="62">
        <f t="shared" si="35"/>
        <v>0</v>
      </c>
      <c r="V494" s="62">
        <f t="shared" si="34"/>
        <v>0</v>
      </c>
    </row>
    <row r="495" spans="1:22" ht="19.5">
      <c r="A495" s="10" t="s">
        <v>517</v>
      </c>
      <c r="B495" s="10" t="s">
        <v>39</v>
      </c>
      <c r="C495" s="10" t="s">
        <v>13</v>
      </c>
      <c r="J495" s="10" t="s">
        <v>517</v>
      </c>
      <c r="K495" s="62">
        <f t="shared" si="32"/>
        <v>1</v>
      </c>
      <c r="L495" s="62">
        <f t="shared" si="32"/>
        <v>0</v>
      </c>
      <c r="M495" s="62">
        <f t="shared" si="32"/>
        <v>0</v>
      </c>
      <c r="N495" s="62">
        <f t="shared" si="32"/>
        <v>0</v>
      </c>
      <c r="O495" s="62">
        <f t="shared" si="33"/>
        <v>0</v>
      </c>
      <c r="P495" s="62">
        <f t="shared" si="33"/>
        <v>0</v>
      </c>
      <c r="Q495" s="62">
        <f t="shared" si="33"/>
        <v>0</v>
      </c>
      <c r="R495" s="62">
        <f t="shared" si="33"/>
        <v>0</v>
      </c>
      <c r="S495" s="62">
        <f t="shared" si="36"/>
        <v>0</v>
      </c>
      <c r="T495" s="62">
        <f t="shared" si="35"/>
        <v>0</v>
      </c>
      <c r="U495" s="62">
        <f t="shared" si="35"/>
        <v>0</v>
      </c>
      <c r="V495" s="62">
        <f t="shared" si="34"/>
        <v>1</v>
      </c>
    </row>
    <row r="496" spans="1:22" ht="19.5">
      <c r="A496" s="10" t="s">
        <v>518</v>
      </c>
      <c r="B496" s="10" t="s">
        <v>39</v>
      </c>
      <c r="C496" s="10" t="s">
        <v>20</v>
      </c>
      <c r="J496" s="10" t="s">
        <v>518</v>
      </c>
      <c r="K496" s="62">
        <f t="shared" si="32"/>
        <v>1</v>
      </c>
      <c r="L496" s="62">
        <f t="shared" si="32"/>
        <v>0</v>
      </c>
      <c r="M496" s="62">
        <f t="shared" si="32"/>
        <v>0</v>
      </c>
      <c r="N496" s="62">
        <f t="shared" si="32"/>
        <v>0</v>
      </c>
      <c r="O496" s="62">
        <f t="shared" si="33"/>
        <v>0</v>
      </c>
      <c r="P496" s="62">
        <f t="shared" si="33"/>
        <v>0</v>
      </c>
      <c r="Q496" s="62">
        <f t="shared" si="33"/>
        <v>0</v>
      </c>
      <c r="R496" s="62">
        <f t="shared" si="33"/>
        <v>0</v>
      </c>
      <c r="S496" s="62">
        <f t="shared" si="36"/>
        <v>0</v>
      </c>
      <c r="T496" s="62">
        <f t="shared" si="35"/>
        <v>0</v>
      </c>
      <c r="U496" s="62">
        <f t="shared" si="35"/>
        <v>0</v>
      </c>
      <c r="V496" s="62">
        <f t="shared" si="34"/>
        <v>0</v>
      </c>
    </row>
    <row r="497" spans="1:22" ht="19.5">
      <c r="A497" s="10" t="s">
        <v>519</v>
      </c>
      <c r="B497" s="10" t="s">
        <v>42</v>
      </c>
      <c r="C497" s="10" t="s">
        <v>13</v>
      </c>
      <c r="J497" s="10" t="s">
        <v>519</v>
      </c>
      <c r="K497" s="62">
        <f t="shared" si="32"/>
        <v>0</v>
      </c>
      <c r="L497" s="62">
        <f t="shared" si="32"/>
        <v>1</v>
      </c>
      <c r="M497" s="62">
        <f t="shared" si="32"/>
        <v>0</v>
      </c>
      <c r="N497" s="62">
        <f t="shared" si="32"/>
        <v>0</v>
      </c>
      <c r="O497" s="62">
        <f t="shared" si="33"/>
        <v>0</v>
      </c>
      <c r="P497" s="62">
        <f t="shared" si="33"/>
        <v>0</v>
      </c>
      <c r="Q497" s="62">
        <f t="shared" si="33"/>
        <v>0</v>
      </c>
      <c r="R497" s="62">
        <f t="shared" si="33"/>
        <v>0</v>
      </c>
      <c r="S497" s="62">
        <f t="shared" si="36"/>
        <v>0</v>
      </c>
      <c r="T497" s="62">
        <f t="shared" si="35"/>
        <v>0</v>
      </c>
      <c r="U497" s="62">
        <f t="shared" si="35"/>
        <v>0</v>
      </c>
      <c r="V497" s="62">
        <f t="shared" si="34"/>
        <v>1</v>
      </c>
    </row>
    <row r="498" spans="1:22" ht="19.5">
      <c r="A498" s="10" t="s">
        <v>520</v>
      </c>
      <c r="B498" s="10" t="s">
        <v>736</v>
      </c>
      <c r="C498" s="10" t="s">
        <v>13</v>
      </c>
      <c r="J498" s="10" t="s">
        <v>520</v>
      </c>
      <c r="K498" s="62">
        <f t="shared" si="32"/>
        <v>0</v>
      </c>
      <c r="L498" s="62">
        <f t="shared" si="32"/>
        <v>0</v>
      </c>
      <c r="M498" s="62">
        <f t="shared" si="32"/>
        <v>0</v>
      </c>
      <c r="N498" s="62">
        <f t="shared" si="32"/>
        <v>0</v>
      </c>
      <c r="O498" s="62">
        <f t="shared" si="33"/>
        <v>0</v>
      </c>
      <c r="P498" s="62">
        <f t="shared" si="33"/>
        <v>0</v>
      </c>
      <c r="Q498" s="62">
        <f t="shared" si="33"/>
        <v>0</v>
      </c>
      <c r="R498" s="62">
        <f t="shared" si="33"/>
        <v>1</v>
      </c>
      <c r="S498" s="62">
        <f t="shared" si="36"/>
        <v>0</v>
      </c>
      <c r="T498" s="62">
        <f t="shared" si="35"/>
        <v>0</v>
      </c>
      <c r="U498" s="62">
        <f t="shared" si="35"/>
        <v>0</v>
      </c>
      <c r="V498" s="62">
        <f t="shared" si="34"/>
        <v>1</v>
      </c>
    </row>
    <row r="499" spans="1:22" ht="19.5">
      <c r="A499" s="10" t="s">
        <v>521</v>
      </c>
      <c r="B499" s="10" t="s">
        <v>737</v>
      </c>
      <c r="C499" s="10" t="s">
        <v>20</v>
      </c>
      <c r="J499" s="10" t="s">
        <v>521</v>
      </c>
      <c r="K499" s="62">
        <f t="shared" si="32"/>
        <v>0</v>
      </c>
      <c r="L499" s="62">
        <f t="shared" si="32"/>
        <v>0</v>
      </c>
      <c r="M499" s="62">
        <f t="shared" si="32"/>
        <v>0</v>
      </c>
      <c r="N499" s="62">
        <f t="shared" si="32"/>
        <v>1</v>
      </c>
      <c r="O499" s="62">
        <f t="shared" si="33"/>
        <v>0</v>
      </c>
      <c r="P499" s="62">
        <f t="shared" si="33"/>
        <v>0</v>
      </c>
      <c r="Q499" s="62">
        <f t="shared" si="33"/>
        <v>0</v>
      </c>
      <c r="R499" s="62">
        <f t="shared" si="33"/>
        <v>0</v>
      </c>
      <c r="S499" s="62">
        <f t="shared" si="36"/>
        <v>0</v>
      </c>
      <c r="T499" s="62">
        <f t="shared" si="35"/>
        <v>0</v>
      </c>
      <c r="U499" s="62">
        <f t="shared" si="35"/>
        <v>0</v>
      </c>
      <c r="V499" s="62">
        <f t="shared" si="34"/>
        <v>0</v>
      </c>
    </row>
    <row r="500" spans="1:22" ht="19.5">
      <c r="A500" s="10" t="s">
        <v>522</v>
      </c>
      <c r="B500" s="10" t="s">
        <v>739</v>
      </c>
      <c r="C500" s="10" t="s">
        <v>13</v>
      </c>
      <c r="J500" s="10" t="s">
        <v>522</v>
      </c>
      <c r="K500" s="62">
        <f t="shared" si="32"/>
        <v>0</v>
      </c>
      <c r="L500" s="62">
        <f t="shared" si="32"/>
        <v>0</v>
      </c>
      <c r="M500" s="62">
        <f t="shared" si="32"/>
        <v>0</v>
      </c>
      <c r="N500" s="62">
        <f t="shared" si="32"/>
        <v>0</v>
      </c>
      <c r="O500" s="62">
        <f t="shared" si="33"/>
        <v>0</v>
      </c>
      <c r="P500" s="62">
        <f t="shared" si="33"/>
        <v>1</v>
      </c>
      <c r="Q500" s="62">
        <f t="shared" si="33"/>
        <v>0</v>
      </c>
      <c r="R500" s="62">
        <f t="shared" si="33"/>
        <v>0</v>
      </c>
      <c r="S500" s="62">
        <f t="shared" si="36"/>
        <v>0</v>
      </c>
      <c r="T500" s="62">
        <f t="shared" si="35"/>
        <v>0</v>
      </c>
      <c r="U500" s="62">
        <f t="shared" si="35"/>
        <v>0</v>
      </c>
      <c r="V500" s="62">
        <f t="shared" si="34"/>
        <v>1</v>
      </c>
    </row>
    <row r="501" spans="1:22" ht="19.5">
      <c r="A501" s="10" t="s">
        <v>523</v>
      </c>
      <c r="B501" s="10" t="s">
        <v>37</v>
      </c>
      <c r="C501" s="10" t="s">
        <v>20</v>
      </c>
      <c r="J501" s="10" t="s">
        <v>523</v>
      </c>
      <c r="K501" s="62">
        <f t="shared" si="32"/>
        <v>0</v>
      </c>
      <c r="L501" s="62">
        <f t="shared" si="32"/>
        <v>0</v>
      </c>
      <c r="M501" s="62">
        <f t="shared" si="32"/>
        <v>1</v>
      </c>
      <c r="N501" s="62">
        <f t="shared" si="32"/>
        <v>0</v>
      </c>
      <c r="O501" s="62">
        <f t="shared" si="33"/>
        <v>0</v>
      </c>
      <c r="P501" s="62">
        <f t="shared" si="33"/>
        <v>0</v>
      </c>
      <c r="Q501" s="62">
        <f t="shared" si="33"/>
        <v>0</v>
      </c>
      <c r="R501" s="62">
        <f t="shared" si="33"/>
        <v>0</v>
      </c>
      <c r="S501" s="62">
        <f t="shared" si="36"/>
        <v>0</v>
      </c>
      <c r="T501" s="62">
        <f t="shared" si="35"/>
        <v>0</v>
      </c>
      <c r="U501" s="62">
        <f t="shared" si="35"/>
        <v>0</v>
      </c>
      <c r="V501" s="62">
        <f t="shared" si="34"/>
        <v>0</v>
      </c>
    </row>
    <row r="502" spans="1:22" ht="19.5">
      <c r="A502" s="10" t="s">
        <v>524</v>
      </c>
      <c r="B502" s="10" t="s">
        <v>39</v>
      </c>
      <c r="C502" s="10" t="s">
        <v>13</v>
      </c>
      <c r="J502" s="10" t="s">
        <v>524</v>
      </c>
      <c r="K502" s="62">
        <f t="shared" si="32"/>
        <v>1</v>
      </c>
      <c r="L502" s="62">
        <f t="shared" si="32"/>
        <v>0</v>
      </c>
      <c r="M502" s="62">
        <f t="shared" si="32"/>
        <v>0</v>
      </c>
      <c r="N502" s="62">
        <f t="shared" si="32"/>
        <v>0</v>
      </c>
      <c r="O502" s="62">
        <f t="shared" si="33"/>
        <v>0</v>
      </c>
      <c r="P502" s="62">
        <f t="shared" si="33"/>
        <v>0</v>
      </c>
      <c r="Q502" s="62">
        <f t="shared" si="33"/>
        <v>0</v>
      </c>
      <c r="R502" s="62">
        <f t="shared" si="33"/>
        <v>0</v>
      </c>
      <c r="S502" s="62">
        <f t="shared" si="36"/>
        <v>0</v>
      </c>
      <c r="T502" s="62">
        <f t="shared" si="35"/>
        <v>0</v>
      </c>
      <c r="U502" s="62">
        <f t="shared" si="35"/>
        <v>0</v>
      </c>
      <c r="V502" s="62">
        <f t="shared" si="34"/>
        <v>1</v>
      </c>
    </row>
    <row r="503" spans="1:22" ht="19.5">
      <c r="A503" s="10" t="s">
        <v>525</v>
      </c>
      <c r="B503" s="10" t="s">
        <v>39</v>
      </c>
      <c r="C503" s="10" t="s">
        <v>20</v>
      </c>
      <c r="J503" s="10" t="s">
        <v>525</v>
      </c>
      <c r="K503" s="62">
        <f t="shared" si="32"/>
        <v>1</v>
      </c>
      <c r="L503" s="62">
        <f t="shared" si="32"/>
        <v>0</v>
      </c>
      <c r="M503" s="62">
        <f t="shared" si="32"/>
        <v>0</v>
      </c>
      <c r="N503" s="62">
        <f t="shared" si="32"/>
        <v>0</v>
      </c>
      <c r="O503" s="62">
        <f t="shared" si="33"/>
        <v>0</v>
      </c>
      <c r="P503" s="62">
        <f t="shared" si="33"/>
        <v>0</v>
      </c>
      <c r="Q503" s="62">
        <f t="shared" si="33"/>
        <v>0</v>
      </c>
      <c r="R503" s="62">
        <f t="shared" si="33"/>
        <v>0</v>
      </c>
      <c r="S503" s="62">
        <f t="shared" si="36"/>
        <v>0</v>
      </c>
      <c r="T503" s="62">
        <f t="shared" si="35"/>
        <v>0</v>
      </c>
      <c r="U503" s="62">
        <f t="shared" si="35"/>
        <v>0</v>
      </c>
      <c r="V503" s="62">
        <f t="shared" si="34"/>
        <v>0</v>
      </c>
    </row>
    <row r="504" spans="1:22" ht="19.5">
      <c r="A504" s="10" t="s">
        <v>526</v>
      </c>
      <c r="B504" s="10" t="s">
        <v>42</v>
      </c>
      <c r="C504" s="10" t="s">
        <v>13</v>
      </c>
      <c r="J504" s="10" t="s">
        <v>526</v>
      </c>
      <c r="K504" s="62">
        <f t="shared" si="32"/>
        <v>0</v>
      </c>
      <c r="L504" s="62">
        <f t="shared" si="32"/>
        <v>1</v>
      </c>
      <c r="M504" s="62">
        <f t="shared" si="32"/>
        <v>0</v>
      </c>
      <c r="N504" s="62">
        <f t="shared" si="32"/>
        <v>0</v>
      </c>
      <c r="O504" s="62">
        <f t="shared" si="33"/>
        <v>0</v>
      </c>
      <c r="P504" s="62">
        <f t="shared" si="33"/>
        <v>0</v>
      </c>
      <c r="Q504" s="62">
        <f t="shared" si="33"/>
        <v>0</v>
      </c>
      <c r="R504" s="62">
        <f t="shared" si="33"/>
        <v>0</v>
      </c>
      <c r="S504" s="62">
        <f t="shared" si="36"/>
        <v>0</v>
      </c>
      <c r="T504" s="62">
        <f t="shared" si="35"/>
        <v>0</v>
      </c>
      <c r="U504" s="62">
        <f t="shared" si="35"/>
        <v>0</v>
      </c>
      <c r="V504" s="62">
        <f t="shared" si="34"/>
        <v>1</v>
      </c>
    </row>
    <row r="505" spans="1:22" ht="19.5">
      <c r="A505" s="10" t="s">
        <v>527</v>
      </c>
      <c r="B505" s="10" t="s">
        <v>42</v>
      </c>
      <c r="C505" s="10" t="s">
        <v>13</v>
      </c>
      <c r="J505" s="10" t="s">
        <v>527</v>
      </c>
      <c r="K505" s="62">
        <f t="shared" si="32"/>
        <v>0</v>
      </c>
      <c r="L505" s="62">
        <f t="shared" si="32"/>
        <v>1</v>
      </c>
      <c r="M505" s="62">
        <f t="shared" si="32"/>
        <v>0</v>
      </c>
      <c r="N505" s="62">
        <f t="shared" si="32"/>
        <v>0</v>
      </c>
      <c r="O505" s="62">
        <f t="shared" si="33"/>
        <v>0</v>
      </c>
      <c r="P505" s="62">
        <f t="shared" si="33"/>
        <v>0</v>
      </c>
      <c r="Q505" s="62">
        <f t="shared" si="33"/>
        <v>0</v>
      </c>
      <c r="R505" s="62">
        <f t="shared" si="33"/>
        <v>0</v>
      </c>
      <c r="S505" s="62">
        <f t="shared" si="36"/>
        <v>0</v>
      </c>
      <c r="T505" s="62">
        <f t="shared" si="35"/>
        <v>0</v>
      </c>
      <c r="U505" s="62">
        <f t="shared" si="35"/>
        <v>0</v>
      </c>
      <c r="V505" s="62">
        <f t="shared" si="34"/>
        <v>1</v>
      </c>
    </row>
    <row r="506" spans="1:22" ht="19.5">
      <c r="A506" s="10" t="s">
        <v>528</v>
      </c>
      <c r="B506" s="10" t="s">
        <v>737</v>
      </c>
      <c r="C506" s="10" t="s">
        <v>13</v>
      </c>
      <c r="J506" s="10" t="s">
        <v>528</v>
      </c>
      <c r="K506" s="62">
        <f t="shared" si="32"/>
        <v>0</v>
      </c>
      <c r="L506" s="62">
        <f t="shared" si="32"/>
        <v>0</v>
      </c>
      <c r="M506" s="62">
        <f t="shared" si="32"/>
        <v>0</v>
      </c>
      <c r="N506" s="62">
        <f t="shared" si="32"/>
        <v>1</v>
      </c>
      <c r="O506" s="62">
        <f t="shared" si="33"/>
        <v>0</v>
      </c>
      <c r="P506" s="62">
        <f t="shared" si="33"/>
        <v>0</v>
      </c>
      <c r="Q506" s="62">
        <f t="shared" si="33"/>
        <v>0</v>
      </c>
      <c r="R506" s="62">
        <f t="shared" si="33"/>
        <v>0</v>
      </c>
      <c r="S506" s="62">
        <f t="shared" si="36"/>
        <v>0</v>
      </c>
      <c r="T506" s="62">
        <f t="shared" si="35"/>
        <v>0</v>
      </c>
      <c r="U506" s="62">
        <f t="shared" si="35"/>
        <v>0</v>
      </c>
      <c r="V506" s="62">
        <f t="shared" si="34"/>
        <v>1</v>
      </c>
    </row>
    <row r="507" spans="1:22" ht="19.5">
      <c r="A507" s="10" t="s">
        <v>529</v>
      </c>
      <c r="B507" s="10" t="s">
        <v>740</v>
      </c>
      <c r="C507" s="10" t="s">
        <v>13</v>
      </c>
      <c r="J507" s="10" t="s">
        <v>529</v>
      </c>
      <c r="K507" s="62">
        <f t="shared" si="32"/>
        <v>0</v>
      </c>
      <c r="L507" s="62">
        <f t="shared" si="32"/>
        <v>0</v>
      </c>
      <c r="M507" s="62">
        <f t="shared" si="32"/>
        <v>0</v>
      </c>
      <c r="N507" s="62">
        <f t="shared" si="32"/>
        <v>0</v>
      </c>
      <c r="O507" s="62">
        <f t="shared" si="33"/>
        <v>1</v>
      </c>
      <c r="P507" s="62">
        <f t="shared" si="33"/>
        <v>0</v>
      </c>
      <c r="Q507" s="62">
        <f t="shared" si="33"/>
        <v>0</v>
      </c>
      <c r="R507" s="62">
        <f t="shared" si="33"/>
        <v>0</v>
      </c>
      <c r="S507" s="62">
        <f t="shared" si="36"/>
        <v>0</v>
      </c>
      <c r="T507" s="62">
        <f t="shared" si="35"/>
        <v>0</v>
      </c>
      <c r="U507" s="62">
        <f t="shared" si="35"/>
        <v>0</v>
      </c>
      <c r="V507" s="62">
        <f t="shared" si="34"/>
        <v>1</v>
      </c>
    </row>
    <row r="508" spans="1:22" ht="19.5">
      <c r="A508" s="10" t="s">
        <v>530</v>
      </c>
      <c r="B508" s="10" t="s">
        <v>739</v>
      </c>
      <c r="C508" s="10" t="s">
        <v>13</v>
      </c>
      <c r="J508" s="10" t="s">
        <v>530</v>
      </c>
      <c r="K508" s="62">
        <f t="shared" si="32"/>
        <v>0</v>
      </c>
      <c r="L508" s="62">
        <f t="shared" si="32"/>
        <v>0</v>
      </c>
      <c r="M508" s="62">
        <f t="shared" si="32"/>
        <v>0</v>
      </c>
      <c r="N508" s="62">
        <f t="shared" si="32"/>
        <v>0</v>
      </c>
      <c r="O508" s="62">
        <f t="shared" si="33"/>
        <v>0</v>
      </c>
      <c r="P508" s="62">
        <f t="shared" si="33"/>
        <v>1</v>
      </c>
      <c r="Q508" s="62">
        <f t="shared" si="33"/>
        <v>0</v>
      </c>
      <c r="R508" s="62">
        <f t="shared" si="33"/>
        <v>0</v>
      </c>
      <c r="S508" s="62">
        <f t="shared" si="36"/>
        <v>0</v>
      </c>
      <c r="T508" s="62">
        <f t="shared" si="35"/>
        <v>0</v>
      </c>
      <c r="U508" s="62">
        <f t="shared" si="35"/>
        <v>0</v>
      </c>
      <c r="V508" s="62">
        <f t="shared" si="34"/>
        <v>1</v>
      </c>
    </row>
    <row r="509" spans="1:22" ht="19.5">
      <c r="A509" s="10" t="s">
        <v>531</v>
      </c>
      <c r="B509" s="10" t="s">
        <v>37</v>
      </c>
      <c r="C509" s="10" t="s">
        <v>20</v>
      </c>
      <c r="J509" s="10" t="s">
        <v>531</v>
      </c>
      <c r="K509" s="62">
        <f t="shared" si="32"/>
        <v>0</v>
      </c>
      <c r="L509" s="62">
        <f t="shared" si="32"/>
        <v>0</v>
      </c>
      <c r="M509" s="62">
        <f t="shared" si="32"/>
        <v>1</v>
      </c>
      <c r="N509" s="62">
        <f t="shared" si="32"/>
        <v>0</v>
      </c>
      <c r="O509" s="62">
        <f t="shared" si="33"/>
        <v>0</v>
      </c>
      <c r="P509" s="62">
        <f t="shared" si="33"/>
        <v>0</v>
      </c>
      <c r="Q509" s="62">
        <f t="shared" si="33"/>
        <v>0</v>
      </c>
      <c r="R509" s="62">
        <f t="shared" si="33"/>
        <v>0</v>
      </c>
      <c r="S509" s="62">
        <f t="shared" si="36"/>
        <v>0</v>
      </c>
      <c r="T509" s="62">
        <f t="shared" si="35"/>
        <v>0</v>
      </c>
      <c r="U509" s="62">
        <f t="shared" si="35"/>
        <v>0</v>
      </c>
      <c r="V509" s="62">
        <f t="shared" si="34"/>
        <v>0</v>
      </c>
    </row>
    <row r="510" spans="1:22" ht="19.5">
      <c r="A510" s="10" t="s">
        <v>532</v>
      </c>
      <c r="B510" s="10" t="s">
        <v>39</v>
      </c>
      <c r="C510" s="10" t="s">
        <v>20</v>
      </c>
      <c r="J510" s="10" t="s">
        <v>532</v>
      </c>
      <c r="K510" s="62">
        <f t="shared" si="32"/>
        <v>1</v>
      </c>
      <c r="L510" s="62">
        <f t="shared" si="32"/>
        <v>0</v>
      </c>
      <c r="M510" s="62">
        <f t="shared" si="32"/>
        <v>0</v>
      </c>
      <c r="N510" s="62">
        <f t="shared" si="32"/>
        <v>0</v>
      </c>
      <c r="O510" s="62">
        <f t="shared" si="33"/>
        <v>0</v>
      </c>
      <c r="P510" s="62">
        <f t="shared" si="33"/>
        <v>0</v>
      </c>
      <c r="Q510" s="62">
        <f t="shared" si="33"/>
        <v>0</v>
      </c>
      <c r="R510" s="62">
        <f t="shared" si="33"/>
        <v>0</v>
      </c>
      <c r="S510" s="62">
        <f t="shared" si="36"/>
        <v>0</v>
      </c>
      <c r="T510" s="62">
        <f t="shared" si="35"/>
        <v>0</v>
      </c>
      <c r="U510" s="62">
        <f t="shared" si="35"/>
        <v>0</v>
      </c>
      <c r="V510" s="62">
        <f t="shared" si="34"/>
        <v>0</v>
      </c>
    </row>
    <row r="511" spans="1:22" ht="19.5">
      <c r="A511" s="10" t="s">
        <v>533</v>
      </c>
      <c r="B511" s="10" t="s">
        <v>42</v>
      </c>
      <c r="C511" s="10" t="s">
        <v>20</v>
      </c>
      <c r="J511" s="10" t="s">
        <v>533</v>
      </c>
      <c r="K511" s="62">
        <f t="shared" si="32"/>
        <v>0</v>
      </c>
      <c r="L511" s="62">
        <f t="shared" si="32"/>
        <v>1</v>
      </c>
      <c r="M511" s="62">
        <f t="shared" si="32"/>
        <v>0</v>
      </c>
      <c r="N511" s="62">
        <f t="shared" si="32"/>
        <v>0</v>
      </c>
      <c r="O511" s="62">
        <f t="shared" si="33"/>
        <v>0</v>
      </c>
      <c r="P511" s="62">
        <f t="shared" si="33"/>
        <v>0</v>
      </c>
      <c r="Q511" s="62">
        <f t="shared" si="33"/>
        <v>0</v>
      </c>
      <c r="R511" s="62">
        <f t="shared" si="33"/>
        <v>0</v>
      </c>
      <c r="S511" s="62">
        <f t="shared" si="36"/>
        <v>0</v>
      </c>
      <c r="T511" s="62">
        <f t="shared" si="35"/>
        <v>0</v>
      </c>
      <c r="U511" s="62">
        <f t="shared" si="35"/>
        <v>0</v>
      </c>
      <c r="V511" s="62">
        <f t="shared" si="34"/>
        <v>0</v>
      </c>
    </row>
    <row r="512" spans="1:22" ht="19.5">
      <c r="A512" s="10" t="s">
        <v>534</v>
      </c>
      <c r="B512" s="10" t="s">
        <v>737</v>
      </c>
      <c r="C512" s="10" t="s">
        <v>13</v>
      </c>
      <c r="J512" s="10" t="s">
        <v>534</v>
      </c>
      <c r="K512" s="62">
        <f t="shared" si="32"/>
        <v>0</v>
      </c>
      <c r="L512" s="62">
        <f t="shared" si="32"/>
        <v>0</v>
      </c>
      <c r="M512" s="62">
        <f t="shared" si="32"/>
        <v>0</v>
      </c>
      <c r="N512" s="62">
        <f t="shared" si="32"/>
        <v>1</v>
      </c>
      <c r="O512" s="62">
        <f t="shared" si="33"/>
        <v>0</v>
      </c>
      <c r="P512" s="62">
        <f t="shared" si="33"/>
        <v>0</v>
      </c>
      <c r="Q512" s="62">
        <f t="shared" si="33"/>
        <v>0</v>
      </c>
      <c r="R512" s="62">
        <f t="shared" si="33"/>
        <v>0</v>
      </c>
      <c r="S512" s="62">
        <f t="shared" si="36"/>
        <v>0</v>
      </c>
      <c r="T512" s="62">
        <f t="shared" si="35"/>
        <v>0</v>
      </c>
      <c r="U512" s="62">
        <f t="shared" si="35"/>
        <v>0</v>
      </c>
      <c r="V512" s="62">
        <f t="shared" si="34"/>
        <v>1</v>
      </c>
    </row>
    <row r="513" spans="1:22" ht="19.5">
      <c r="A513" s="10" t="s">
        <v>535</v>
      </c>
      <c r="B513" s="10" t="s">
        <v>740</v>
      </c>
      <c r="C513" s="10" t="s">
        <v>20</v>
      </c>
      <c r="J513" s="10" t="s">
        <v>535</v>
      </c>
      <c r="K513" s="62">
        <f t="shared" si="32"/>
        <v>0</v>
      </c>
      <c r="L513" s="62">
        <f t="shared" si="32"/>
        <v>0</v>
      </c>
      <c r="M513" s="62">
        <f t="shared" si="32"/>
        <v>0</v>
      </c>
      <c r="N513" s="62">
        <f t="shared" si="32"/>
        <v>0</v>
      </c>
      <c r="O513" s="62">
        <f t="shared" si="33"/>
        <v>1</v>
      </c>
      <c r="P513" s="62">
        <f t="shared" si="33"/>
        <v>0</v>
      </c>
      <c r="Q513" s="62">
        <f t="shared" si="33"/>
        <v>0</v>
      </c>
      <c r="R513" s="62">
        <f t="shared" si="33"/>
        <v>0</v>
      </c>
      <c r="S513" s="62">
        <f t="shared" si="36"/>
        <v>0</v>
      </c>
      <c r="T513" s="62">
        <f t="shared" si="35"/>
        <v>0</v>
      </c>
      <c r="U513" s="62">
        <f t="shared" si="35"/>
        <v>0</v>
      </c>
      <c r="V513" s="62">
        <f t="shared" si="34"/>
        <v>0</v>
      </c>
    </row>
    <row r="514" spans="1:22" ht="19.5">
      <c r="A514" s="10" t="s">
        <v>536</v>
      </c>
      <c r="B514" s="10" t="s">
        <v>739</v>
      </c>
      <c r="C514" s="10" t="s">
        <v>20</v>
      </c>
      <c r="J514" s="10" t="s">
        <v>536</v>
      </c>
      <c r="K514" s="62">
        <f t="shared" si="32"/>
        <v>0</v>
      </c>
      <c r="L514" s="62">
        <f t="shared" si="32"/>
        <v>0</v>
      </c>
      <c r="M514" s="62">
        <f t="shared" si="32"/>
        <v>0</v>
      </c>
      <c r="N514" s="62">
        <f t="shared" ref="N514:R577" si="37">IF($B514=Z$9, 1, 0)</f>
        <v>0</v>
      </c>
      <c r="O514" s="62">
        <f t="shared" si="33"/>
        <v>0</v>
      </c>
      <c r="P514" s="62">
        <f t="shared" si="33"/>
        <v>1</v>
      </c>
      <c r="Q514" s="62">
        <f t="shared" si="33"/>
        <v>0</v>
      </c>
      <c r="R514" s="62">
        <f t="shared" si="33"/>
        <v>0</v>
      </c>
      <c r="S514" s="62">
        <f t="shared" si="36"/>
        <v>0</v>
      </c>
      <c r="T514" s="62">
        <f t="shared" si="35"/>
        <v>0</v>
      </c>
      <c r="U514" s="62">
        <f t="shared" si="35"/>
        <v>0</v>
      </c>
      <c r="V514" s="62">
        <f t="shared" si="34"/>
        <v>0</v>
      </c>
    </row>
    <row r="515" spans="1:22" ht="19.5">
      <c r="A515" s="10" t="s">
        <v>537</v>
      </c>
      <c r="B515" s="10" t="s">
        <v>42</v>
      </c>
      <c r="C515" s="10" t="s">
        <v>13</v>
      </c>
      <c r="J515" s="10" t="s">
        <v>537</v>
      </c>
      <c r="K515" s="62">
        <f t="shared" ref="K515:Q578" si="38">IF($B515=W$9, 1, 0)</f>
        <v>0</v>
      </c>
      <c r="L515" s="62">
        <f t="shared" si="38"/>
        <v>1</v>
      </c>
      <c r="M515" s="62">
        <f t="shared" si="38"/>
        <v>0</v>
      </c>
      <c r="N515" s="62">
        <f t="shared" si="37"/>
        <v>0</v>
      </c>
      <c r="O515" s="62">
        <f t="shared" si="37"/>
        <v>0</v>
      </c>
      <c r="P515" s="62">
        <f t="shared" si="37"/>
        <v>0</v>
      </c>
      <c r="Q515" s="62">
        <f t="shared" si="37"/>
        <v>0</v>
      </c>
      <c r="R515" s="62">
        <f t="shared" si="37"/>
        <v>0</v>
      </c>
      <c r="S515" s="62">
        <f t="shared" si="36"/>
        <v>0</v>
      </c>
      <c r="T515" s="62">
        <f t="shared" si="35"/>
        <v>0</v>
      </c>
      <c r="U515" s="62">
        <f t="shared" si="35"/>
        <v>0</v>
      </c>
      <c r="V515" s="62">
        <f t="shared" ref="V515:V578" si="39">IF($C515=$V$1, 1, 0)</f>
        <v>1</v>
      </c>
    </row>
    <row r="516" spans="1:22" ht="19.5">
      <c r="A516" s="10" t="s">
        <v>538</v>
      </c>
      <c r="B516" s="10" t="s">
        <v>737</v>
      </c>
      <c r="C516" s="10" t="s">
        <v>13</v>
      </c>
      <c r="J516" s="10" t="s">
        <v>538</v>
      </c>
      <c r="K516" s="62">
        <f t="shared" si="38"/>
        <v>0</v>
      </c>
      <c r="L516" s="62">
        <f t="shared" si="38"/>
        <v>0</v>
      </c>
      <c r="M516" s="62">
        <f t="shared" si="38"/>
        <v>0</v>
      </c>
      <c r="N516" s="62">
        <f t="shared" si="37"/>
        <v>1</v>
      </c>
      <c r="O516" s="62">
        <f t="shared" si="37"/>
        <v>0</v>
      </c>
      <c r="P516" s="62">
        <f t="shared" si="37"/>
        <v>0</v>
      </c>
      <c r="Q516" s="62">
        <f t="shared" si="37"/>
        <v>0</v>
      </c>
      <c r="R516" s="62">
        <f t="shared" si="37"/>
        <v>0</v>
      </c>
      <c r="S516" s="62">
        <f t="shared" si="36"/>
        <v>0</v>
      </c>
      <c r="T516" s="62">
        <f t="shared" si="35"/>
        <v>0</v>
      </c>
      <c r="U516" s="62">
        <f t="shared" si="35"/>
        <v>0</v>
      </c>
      <c r="V516" s="62">
        <f t="shared" si="39"/>
        <v>1</v>
      </c>
    </row>
    <row r="517" spans="1:22" ht="19.5">
      <c r="A517" s="10" t="s">
        <v>539</v>
      </c>
      <c r="B517" s="10" t="s">
        <v>739</v>
      </c>
      <c r="C517" s="10" t="s">
        <v>13</v>
      </c>
      <c r="J517" s="10" t="s">
        <v>539</v>
      </c>
      <c r="K517" s="62">
        <f t="shared" si="38"/>
        <v>0</v>
      </c>
      <c r="L517" s="62">
        <f t="shared" si="38"/>
        <v>0</v>
      </c>
      <c r="M517" s="62">
        <f t="shared" si="38"/>
        <v>0</v>
      </c>
      <c r="N517" s="62">
        <f t="shared" si="37"/>
        <v>0</v>
      </c>
      <c r="O517" s="62">
        <f t="shared" si="37"/>
        <v>0</v>
      </c>
      <c r="P517" s="62">
        <f t="shared" si="37"/>
        <v>1</v>
      </c>
      <c r="Q517" s="62">
        <f t="shared" si="37"/>
        <v>0</v>
      </c>
      <c r="R517" s="62">
        <f t="shared" ref="R517:U580" si="40">IF($B517=AD$9, 1, 0)</f>
        <v>0</v>
      </c>
      <c r="S517" s="62">
        <f t="shared" si="36"/>
        <v>0</v>
      </c>
      <c r="T517" s="62">
        <f t="shared" si="36"/>
        <v>0</v>
      </c>
      <c r="U517" s="62">
        <f t="shared" si="36"/>
        <v>0</v>
      </c>
      <c r="V517" s="62">
        <f t="shared" si="39"/>
        <v>1</v>
      </c>
    </row>
    <row r="518" spans="1:22" ht="19.5">
      <c r="A518" s="10" t="s">
        <v>540</v>
      </c>
      <c r="B518" s="10" t="s">
        <v>37</v>
      </c>
      <c r="C518" s="10" t="s">
        <v>13</v>
      </c>
      <c r="J518" s="10" t="s">
        <v>540</v>
      </c>
      <c r="K518" s="62">
        <f t="shared" si="38"/>
        <v>0</v>
      </c>
      <c r="L518" s="62">
        <f t="shared" si="38"/>
        <v>0</v>
      </c>
      <c r="M518" s="62">
        <f t="shared" si="38"/>
        <v>1</v>
      </c>
      <c r="N518" s="62">
        <f t="shared" si="37"/>
        <v>0</v>
      </c>
      <c r="O518" s="62">
        <f t="shared" si="37"/>
        <v>0</v>
      </c>
      <c r="P518" s="62">
        <f t="shared" si="37"/>
        <v>0</v>
      </c>
      <c r="Q518" s="62">
        <f t="shared" si="37"/>
        <v>0</v>
      </c>
      <c r="R518" s="62">
        <f t="shared" si="40"/>
        <v>0</v>
      </c>
      <c r="S518" s="62">
        <f t="shared" si="40"/>
        <v>0</v>
      </c>
      <c r="T518" s="62">
        <f t="shared" si="40"/>
        <v>0</v>
      </c>
      <c r="U518" s="62">
        <f t="shared" si="40"/>
        <v>0</v>
      </c>
      <c r="V518" s="62">
        <f t="shared" si="39"/>
        <v>1</v>
      </c>
    </row>
    <row r="519" spans="1:22" ht="19.5">
      <c r="A519" s="10" t="s">
        <v>541</v>
      </c>
      <c r="B519" s="10" t="s">
        <v>39</v>
      </c>
      <c r="C519" s="10" t="s">
        <v>20</v>
      </c>
      <c r="J519" s="10" t="s">
        <v>541</v>
      </c>
      <c r="K519" s="62">
        <f t="shared" si="38"/>
        <v>1</v>
      </c>
      <c r="L519" s="62">
        <f t="shared" si="38"/>
        <v>0</v>
      </c>
      <c r="M519" s="62">
        <f t="shared" si="38"/>
        <v>0</v>
      </c>
      <c r="N519" s="62">
        <f t="shared" si="37"/>
        <v>0</v>
      </c>
      <c r="O519" s="62">
        <f t="shared" si="37"/>
        <v>0</v>
      </c>
      <c r="P519" s="62">
        <f t="shared" si="37"/>
        <v>0</v>
      </c>
      <c r="Q519" s="62">
        <f t="shared" si="37"/>
        <v>0</v>
      </c>
      <c r="R519" s="62">
        <f t="shared" si="40"/>
        <v>0</v>
      </c>
      <c r="S519" s="62">
        <f t="shared" si="40"/>
        <v>0</v>
      </c>
      <c r="T519" s="62">
        <f t="shared" si="40"/>
        <v>0</v>
      </c>
      <c r="U519" s="62">
        <f t="shared" si="40"/>
        <v>0</v>
      </c>
      <c r="V519" s="62">
        <f t="shared" si="39"/>
        <v>0</v>
      </c>
    </row>
    <row r="520" spans="1:22" ht="19.5">
      <c r="A520" s="10" t="s">
        <v>542</v>
      </c>
      <c r="B520" s="10" t="s">
        <v>39</v>
      </c>
      <c r="C520" s="10" t="s">
        <v>13</v>
      </c>
      <c r="J520" s="10" t="s">
        <v>542</v>
      </c>
      <c r="K520" s="62">
        <f t="shared" si="38"/>
        <v>1</v>
      </c>
      <c r="L520" s="62">
        <f t="shared" si="38"/>
        <v>0</v>
      </c>
      <c r="M520" s="62">
        <f t="shared" si="38"/>
        <v>0</v>
      </c>
      <c r="N520" s="62">
        <f t="shared" si="37"/>
        <v>0</v>
      </c>
      <c r="O520" s="62">
        <f t="shared" si="37"/>
        <v>0</v>
      </c>
      <c r="P520" s="62">
        <f t="shared" si="37"/>
        <v>0</v>
      </c>
      <c r="Q520" s="62">
        <f t="shared" si="37"/>
        <v>0</v>
      </c>
      <c r="R520" s="62">
        <f t="shared" si="40"/>
        <v>0</v>
      </c>
      <c r="S520" s="62">
        <f t="shared" si="40"/>
        <v>0</v>
      </c>
      <c r="T520" s="62">
        <f t="shared" si="40"/>
        <v>0</v>
      </c>
      <c r="U520" s="62">
        <f t="shared" si="40"/>
        <v>0</v>
      </c>
      <c r="V520" s="62">
        <f t="shared" si="39"/>
        <v>1</v>
      </c>
    </row>
    <row r="521" spans="1:22" ht="19.5">
      <c r="A521" s="10" t="s">
        <v>543</v>
      </c>
      <c r="B521" s="10" t="s">
        <v>737</v>
      </c>
      <c r="C521" s="10" t="s">
        <v>13</v>
      </c>
      <c r="J521" s="10" t="s">
        <v>543</v>
      </c>
      <c r="K521" s="62">
        <f t="shared" si="38"/>
        <v>0</v>
      </c>
      <c r="L521" s="62">
        <f t="shared" si="38"/>
        <v>0</v>
      </c>
      <c r="M521" s="62">
        <f t="shared" si="38"/>
        <v>0</v>
      </c>
      <c r="N521" s="62">
        <f t="shared" si="37"/>
        <v>1</v>
      </c>
      <c r="O521" s="62">
        <f t="shared" si="37"/>
        <v>0</v>
      </c>
      <c r="P521" s="62">
        <f t="shared" si="37"/>
        <v>0</v>
      </c>
      <c r="Q521" s="62">
        <f t="shared" si="37"/>
        <v>0</v>
      </c>
      <c r="R521" s="62">
        <f t="shared" si="40"/>
        <v>0</v>
      </c>
      <c r="S521" s="62">
        <f t="shared" si="40"/>
        <v>0</v>
      </c>
      <c r="T521" s="62">
        <f t="shared" si="40"/>
        <v>0</v>
      </c>
      <c r="U521" s="62">
        <f t="shared" si="40"/>
        <v>0</v>
      </c>
      <c r="V521" s="62">
        <f t="shared" si="39"/>
        <v>1</v>
      </c>
    </row>
    <row r="522" spans="1:22" ht="19.5">
      <c r="A522" s="10" t="s">
        <v>544</v>
      </c>
      <c r="B522" s="10" t="s">
        <v>739</v>
      </c>
      <c r="C522" s="10" t="s">
        <v>13</v>
      </c>
      <c r="J522" s="10" t="s">
        <v>544</v>
      </c>
      <c r="K522" s="62">
        <f t="shared" si="38"/>
        <v>0</v>
      </c>
      <c r="L522" s="62">
        <f t="shared" si="38"/>
        <v>0</v>
      </c>
      <c r="M522" s="62">
        <f t="shared" si="38"/>
        <v>0</v>
      </c>
      <c r="N522" s="62">
        <f t="shared" si="37"/>
        <v>0</v>
      </c>
      <c r="O522" s="62">
        <f t="shared" si="37"/>
        <v>0</v>
      </c>
      <c r="P522" s="62">
        <f t="shared" si="37"/>
        <v>1</v>
      </c>
      <c r="Q522" s="62">
        <f t="shared" si="37"/>
        <v>0</v>
      </c>
      <c r="R522" s="62">
        <f t="shared" si="40"/>
        <v>0</v>
      </c>
      <c r="S522" s="62">
        <f t="shared" si="40"/>
        <v>0</v>
      </c>
      <c r="T522" s="62">
        <f t="shared" si="40"/>
        <v>0</v>
      </c>
      <c r="U522" s="62">
        <f t="shared" si="40"/>
        <v>0</v>
      </c>
      <c r="V522" s="62">
        <f t="shared" si="39"/>
        <v>1</v>
      </c>
    </row>
    <row r="523" spans="1:22" ht="19.5">
      <c r="A523" s="10" t="s">
        <v>545</v>
      </c>
      <c r="B523" s="10" t="s">
        <v>37</v>
      </c>
      <c r="C523" s="10" t="s">
        <v>13</v>
      </c>
      <c r="J523" s="10" t="s">
        <v>545</v>
      </c>
      <c r="K523" s="62">
        <f t="shared" si="38"/>
        <v>0</v>
      </c>
      <c r="L523" s="62">
        <f t="shared" si="38"/>
        <v>0</v>
      </c>
      <c r="M523" s="62">
        <f t="shared" si="38"/>
        <v>1</v>
      </c>
      <c r="N523" s="62">
        <f t="shared" si="37"/>
        <v>0</v>
      </c>
      <c r="O523" s="62">
        <f t="shared" si="37"/>
        <v>0</v>
      </c>
      <c r="P523" s="62">
        <f t="shared" si="37"/>
        <v>0</v>
      </c>
      <c r="Q523" s="62">
        <f t="shared" si="37"/>
        <v>0</v>
      </c>
      <c r="R523" s="62">
        <f t="shared" si="40"/>
        <v>0</v>
      </c>
      <c r="S523" s="62">
        <f t="shared" si="40"/>
        <v>0</v>
      </c>
      <c r="T523" s="62">
        <f t="shared" si="40"/>
        <v>0</v>
      </c>
      <c r="U523" s="62">
        <f t="shared" si="40"/>
        <v>0</v>
      </c>
      <c r="V523" s="62">
        <f t="shared" si="39"/>
        <v>1</v>
      </c>
    </row>
    <row r="524" spans="1:22" ht="19.5">
      <c r="A524" s="10" t="s">
        <v>546</v>
      </c>
      <c r="B524" s="10" t="s">
        <v>39</v>
      </c>
      <c r="C524" s="10" t="s">
        <v>13</v>
      </c>
      <c r="J524" s="10" t="s">
        <v>546</v>
      </c>
      <c r="K524" s="62">
        <f t="shared" si="38"/>
        <v>1</v>
      </c>
      <c r="L524" s="62">
        <f t="shared" si="38"/>
        <v>0</v>
      </c>
      <c r="M524" s="62">
        <f t="shared" si="38"/>
        <v>0</v>
      </c>
      <c r="N524" s="62">
        <f t="shared" si="37"/>
        <v>0</v>
      </c>
      <c r="O524" s="62">
        <f t="shared" si="37"/>
        <v>0</v>
      </c>
      <c r="P524" s="62">
        <f t="shared" si="37"/>
        <v>0</v>
      </c>
      <c r="Q524" s="62">
        <f t="shared" si="37"/>
        <v>0</v>
      </c>
      <c r="R524" s="62">
        <f t="shared" si="40"/>
        <v>0</v>
      </c>
      <c r="S524" s="62">
        <f t="shared" si="40"/>
        <v>0</v>
      </c>
      <c r="T524" s="62">
        <f t="shared" si="40"/>
        <v>0</v>
      </c>
      <c r="U524" s="62">
        <f t="shared" si="40"/>
        <v>0</v>
      </c>
      <c r="V524" s="62">
        <f t="shared" si="39"/>
        <v>1</v>
      </c>
    </row>
    <row r="525" spans="1:22" ht="19.5">
      <c r="A525" s="10" t="s">
        <v>547</v>
      </c>
      <c r="B525" s="10" t="s">
        <v>42</v>
      </c>
      <c r="C525" s="10" t="s">
        <v>13</v>
      </c>
      <c r="J525" s="10" t="s">
        <v>547</v>
      </c>
      <c r="K525" s="62">
        <f t="shared" si="38"/>
        <v>0</v>
      </c>
      <c r="L525" s="62">
        <f t="shared" si="38"/>
        <v>1</v>
      </c>
      <c r="M525" s="62">
        <f t="shared" si="38"/>
        <v>0</v>
      </c>
      <c r="N525" s="62">
        <f t="shared" si="37"/>
        <v>0</v>
      </c>
      <c r="O525" s="62">
        <f t="shared" si="37"/>
        <v>0</v>
      </c>
      <c r="P525" s="62">
        <f t="shared" si="37"/>
        <v>0</v>
      </c>
      <c r="Q525" s="62">
        <f t="shared" si="37"/>
        <v>0</v>
      </c>
      <c r="R525" s="62">
        <f t="shared" si="40"/>
        <v>0</v>
      </c>
      <c r="S525" s="62">
        <f t="shared" si="40"/>
        <v>0</v>
      </c>
      <c r="T525" s="62">
        <f t="shared" si="40"/>
        <v>0</v>
      </c>
      <c r="U525" s="62">
        <f t="shared" si="40"/>
        <v>0</v>
      </c>
      <c r="V525" s="62">
        <f t="shared" si="39"/>
        <v>1</v>
      </c>
    </row>
    <row r="526" spans="1:22" ht="19.5">
      <c r="A526" s="10" t="s">
        <v>548</v>
      </c>
      <c r="B526" s="10" t="s">
        <v>42</v>
      </c>
      <c r="C526" s="10" t="s">
        <v>13</v>
      </c>
      <c r="J526" s="10" t="s">
        <v>548</v>
      </c>
      <c r="K526" s="62">
        <f t="shared" si="38"/>
        <v>0</v>
      </c>
      <c r="L526" s="62">
        <f t="shared" si="38"/>
        <v>1</v>
      </c>
      <c r="M526" s="62">
        <f t="shared" si="38"/>
        <v>0</v>
      </c>
      <c r="N526" s="62">
        <f t="shared" si="37"/>
        <v>0</v>
      </c>
      <c r="O526" s="62">
        <f t="shared" si="37"/>
        <v>0</v>
      </c>
      <c r="P526" s="62">
        <f t="shared" si="37"/>
        <v>0</v>
      </c>
      <c r="Q526" s="62">
        <f t="shared" si="37"/>
        <v>0</v>
      </c>
      <c r="R526" s="62">
        <f t="shared" si="40"/>
        <v>0</v>
      </c>
      <c r="S526" s="62">
        <f t="shared" si="40"/>
        <v>0</v>
      </c>
      <c r="T526" s="62">
        <f t="shared" si="40"/>
        <v>0</v>
      </c>
      <c r="U526" s="62">
        <f t="shared" si="40"/>
        <v>0</v>
      </c>
      <c r="V526" s="62">
        <f t="shared" si="39"/>
        <v>1</v>
      </c>
    </row>
    <row r="527" spans="1:22" ht="19.5">
      <c r="A527" s="10" t="s">
        <v>549</v>
      </c>
      <c r="B527" s="10" t="s">
        <v>737</v>
      </c>
      <c r="C527" s="10" t="s">
        <v>13</v>
      </c>
      <c r="J527" s="10" t="s">
        <v>549</v>
      </c>
      <c r="K527" s="62">
        <f t="shared" si="38"/>
        <v>0</v>
      </c>
      <c r="L527" s="62">
        <f t="shared" si="38"/>
        <v>0</v>
      </c>
      <c r="M527" s="62">
        <f t="shared" si="38"/>
        <v>0</v>
      </c>
      <c r="N527" s="62">
        <f t="shared" si="37"/>
        <v>1</v>
      </c>
      <c r="O527" s="62">
        <f t="shared" si="37"/>
        <v>0</v>
      </c>
      <c r="P527" s="62">
        <f t="shared" si="37"/>
        <v>0</v>
      </c>
      <c r="Q527" s="62">
        <f t="shared" si="37"/>
        <v>0</v>
      </c>
      <c r="R527" s="62">
        <f t="shared" si="40"/>
        <v>0</v>
      </c>
      <c r="S527" s="62">
        <f t="shared" si="40"/>
        <v>0</v>
      </c>
      <c r="T527" s="62">
        <f t="shared" si="40"/>
        <v>0</v>
      </c>
      <c r="U527" s="62">
        <f t="shared" si="40"/>
        <v>0</v>
      </c>
      <c r="V527" s="62">
        <f t="shared" si="39"/>
        <v>1</v>
      </c>
    </row>
    <row r="528" spans="1:22" ht="19.5">
      <c r="A528" s="10" t="s">
        <v>550</v>
      </c>
      <c r="B528" s="10" t="s">
        <v>739</v>
      </c>
      <c r="C528" s="10" t="s">
        <v>13</v>
      </c>
      <c r="J528" s="10" t="s">
        <v>550</v>
      </c>
      <c r="K528" s="62">
        <f t="shared" si="38"/>
        <v>0</v>
      </c>
      <c r="L528" s="62">
        <f t="shared" si="38"/>
        <v>0</v>
      </c>
      <c r="M528" s="62">
        <f t="shared" si="38"/>
        <v>0</v>
      </c>
      <c r="N528" s="62">
        <f t="shared" si="37"/>
        <v>0</v>
      </c>
      <c r="O528" s="62">
        <f t="shared" si="37"/>
        <v>0</v>
      </c>
      <c r="P528" s="62">
        <f t="shared" si="37"/>
        <v>1</v>
      </c>
      <c r="Q528" s="62">
        <f t="shared" si="37"/>
        <v>0</v>
      </c>
      <c r="R528" s="62">
        <f t="shared" si="40"/>
        <v>0</v>
      </c>
      <c r="S528" s="62">
        <f t="shared" si="40"/>
        <v>0</v>
      </c>
      <c r="T528" s="62">
        <f t="shared" si="40"/>
        <v>0</v>
      </c>
      <c r="U528" s="62">
        <f t="shared" si="40"/>
        <v>0</v>
      </c>
      <c r="V528" s="62">
        <f t="shared" si="39"/>
        <v>1</v>
      </c>
    </row>
    <row r="529" spans="1:22" ht="19.5">
      <c r="A529" s="10" t="s">
        <v>551</v>
      </c>
      <c r="B529" s="10" t="s">
        <v>39</v>
      </c>
      <c r="C529" s="10" t="s">
        <v>13</v>
      </c>
      <c r="J529" s="10" t="s">
        <v>551</v>
      </c>
      <c r="K529" s="62">
        <f t="shared" si="38"/>
        <v>1</v>
      </c>
      <c r="L529" s="62">
        <f t="shared" si="38"/>
        <v>0</v>
      </c>
      <c r="M529" s="62">
        <f t="shared" si="38"/>
        <v>0</v>
      </c>
      <c r="N529" s="62">
        <f t="shared" si="37"/>
        <v>0</v>
      </c>
      <c r="O529" s="62">
        <f t="shared" si="37"/>
        <v>0</v>
      </c>
      <c r="P529" s="62">
        <f t="shared" si="37"/>
        <v>0</v>
      </c>
      <c r="Q529" s="62">
        <f t="shared" si="37"/>
        <v>0</v>
      </c>
      <c r="R529" s="62">
        <f t="shared" si="40"/>
        <v>0</v>
      </c>
      <c r="S529" s="62">
        <f t="shared" si="40"/>
        <v>0</v>
      </c>
      <c r="T529" s="62">
        <f t="shared" si="40"/>
        <v>0</v>
      </c>
      <c r="U529" s="62">
        <f t="shared" si="40"/>
        <v>0</v>
      </c>
      <c r="V529" s="62">
        <f t="shared" si="39"/>
        <v>1</v>
      </c>
    </row>
    <row r="530" spans="1:22" ht="19.5">
      <c r="A530" s="10" t="s">
        <v>552</v>
      </c>
      <c r="B530" s="10" t="s">
        <v>42</v>
      </c>
      <c r="C530" s="10" t="s">
        <v>13</v>
      </c>
      <c r="J530" s="10" t="s">
        <v>552</v>
      </c>
      <c r="K530" s="62">
        <f t="shared" si="38"/>
        <v>0</v>
      </c>
      <c r="L530" s="62">
        <f t="shared" si="38"/>
        <v>1</v>
      </c>
      <c r="M530" s="62">
        <f t="shared" si="38"/>
        <v>0</v>
      </c>
      <c r="N530" s="62">
        <f t="shared" si="37"/>
        <v>0</v>
      </c>
      <c r="O530" s="62">
        <f t="shared" si="37"/>
        <v>0</v>
      </c>
      <c r="P530" s="62">
        <f t="shared" si="37"/>
        <v>0</v>
      </c>
      <c r="Q530" s="62">
        <f t="shared" si="37"/>
        <v>0</v>
      </c>
      <c r="R530" s="62">
        <f t="shared" si="40"/>
        <v>0</v>
      </c>
      <c r="S530" s="62">
        <f t="shared" si="40"/>
        <v>0</v>
      </c>
      <c r="T530" s="62">
        <f t="shared" si="40"/>
        <v>0</v>
      </c>
      <c r="U530" s="62">
        <f t="shared" si="40"/>
        <v>0</v>
      </c>
      <c r="V530" s="62">
        <f t="shared" si="39"/>
        <v>1</v>
      </c>
    </row>
    <row r="531" spans="1:22" ht="19.5">
      <c r="A531" s="10" t="s">
        <v>553</v>
      </c>
      <c r="B531" s="10" t="s">
        <v>737</v>
      </c>
      <c r="C531" s="10" t="s">
        <v>20</v>
      </c>
      <c r="J531" s="10" t="s">
        <v>553</v>
      </c>
      <c r="K531" s="62">
        <f t="shared" si="38"/>
        <v>0</v>
      </c>
      <c r="L531" s="62">
        <f t="shared" si="38"/>
        <v>0</v>
      </c>
      <c r="M531" s="62">
        <f t="shared" si="38"/>
        <v>0</v>
      </c>
      <c r="N531" s="62">
        <f t="shared" si="37"/>
        <v>1</v>
      </c>
      <c r="O531" s="62">
        <f t="shared" si="37"/>
        <v>0</v>
      </c>
      <c r="P531" s="62">
        <f t="shared" si="37"/>
        <v>0</v>
      </c>
      <c r="Q531" s="62">
        <f t="shared" si="37"/>
        <v>0</v>
      </c>
      <c r="R531" s="62">
        <f t="shared" si="40"/>
        <v>0</v>
      </c>
      <c r="S531" s="62">
        <f t="shared" si="40"/>
        <v>0</v>
      </c>
      <c r="T531" s="62">
        <f t="shared" si="40"/>
        <v>0</v>
      </c>
      <c r="U531" s="62">
        <f t="shared" si="40"/>
        <v>0</v>
      </c>
      <c r="V531" s="62">
        <f t="shared" si="39"/>
        <v>0</v>
      </c>
    </row>
    <row r="532" spans="1:22" ht="19.5">
      <c r="A532" s="10" t="s">
        <v>554</v>
      </c>
      <c r="B532" s="10" t="s">
        <v>740</v>
      </c>
      <c r="C532" s="10" t="s">
        <v>13</v>
      </c>
      <c r="J532" s="10" t="s">
        <v>554</v>
      </c>
      <c r="K532" s="62">
        <f t="shared" si="38"/>
        <v>0</v>
      </c>
      <c r="L532" s="62">
        <f t="shared" si="38"/>
        <v>0</v>
      </c>
      <c r="M532" s="62">
        <f t="shared" si="38"/>
        <v>0</v>
      </c>
      <c r="N532" s="62">
        <f t="shared" si="37"/>
        <v>0</v>
      </c>
      <c r="O532" s="62">
        <f t="shared" si="37"/>
        <v>1</v>
      </c>
      <c r="P532" s="62">
        <f t="shared" si="37"/>
        <v>0</v>
      </c>
      <c r="Q532" s="62">
        <f t="shared" si="37"/>
        <v>0</v>
      </c>
      <c r="R532" s="62">
        <f t="shared" si="40"/>
        <v>0</v>
      </c>
      <c r="S532" s="62">
        <f t="shared" si="40"/>
        <v>0</v>
      </c>
      <c r="T532" s="62">
        <f t="shared" si="40"/>
        <v>0</v>
      </c>
      <c r="U532" s="62">
        <f t="shared" si="40"/>
        <v>0</v>
      </c>
      <c r="V532" s="62">
        <f t="shared" si="39"/>
        <v>1</v>
      </c>
    </row>
    <row r="533" spans="1:22" ht="19.5">
      <c r="A533" s="10" t="s">
        <v>555</v>
      </c>
      <c r="B533" s="10" t="s">
        <v>37</v>
      </c>
      <c r="C533" s="10" t="s">
        <v>13</v>
      </c>
      <c r="J533" s="10" t="s">
        <v>555</v>
      </c>
      <c r="K533" s="62">
        <f t="shared" si="38"/>
        <v>0</v>
      </c>
      <c r="L533" s="62">
        <f t="shared" si="38"/>
        <v>0</v>
      </c>
      <c r="M533" s="62">
        <f t="shared" si="38"/>
        <v>1</v>
      </c>
      <c r="N533" s="62">
        <f t="shared" si="37"/>
        <v>0</v>
      </c>
      <c r="O533" s="62">
        <f t="shared" si="37"/>
        <v>0</v>
      </c>
      <c r="P533" s="62">
        <f t="shared" si="37"/>
        <v>0</v>
      </c>
      <c r="Q533" s="62">
        <f t="shared" si="37"/>
        <v>0</v>
      </c>
      <c r="R533" s="62">
        <f t="shared" si="40"/>
        <v>0</v>
      </c>
      <c r="S533" s="62">
        <f t="shared" si="40"/>
        <v>0</v>
      </c>
      <c r="T533" s="62">
        <f t="shared" si="40"/>
        <v>0</v>
      </c>
      <c r="U533" s="62">
        <f t="shared" si="40"/>
        <v>0</v>
      </c>
      <c r="V533" s="62">
        <f t="shared" si="39"/>
        <v>1</v>
      </c>
    </row>
    <row r="534" spans="1:22" ht="19.5">
      <c r="A534" s="10" t="s">
        <v>556</v>
      </c>
      <c r="B534" s="10" t="s">
        <v>39</v>
      </c>
      <c r="C534" s="10" t="s">
        <v>13</v>
      </c>
      <c r="J534" s="10" t="s">
        <v>556</v>
      </c>
      <c r="K534" s="62">
        <f t="shared" si="38"/>
        <v>1</v>
      </c>
      <c r="L534" s="62">
        <f t="shared" si="38"/>
        <v>0</v>
      </c>
      <c r="M534" s="62">
        <f t="shared" si="38"/>
        <v>0</v>
      </c>
      <c r="N534" s="62">
        <f t="shared" si="37"/>
        <v>0</v>
      </c>
      <c r="O534" s="62">
        <f t="shared" si="37"/>
        <v>0</v>
      </c>
      <c r="P534" s="62">
        <f t="shared" si="37"/>
        <v>0</v>
      </c>
      <c r="Q534" s="62">
        <f t="shared" si="37"/>
        <v>0</v>
      </c>
      <c r="R534" s="62">
        <f t="shared" si="40"/>
        <v>0</v>
      </c>
      <c r="S534" s="62">
        <f t="shared" si="40"/>
        <v>0</v>
      </c>
      <c r="T534" s="62">
        <f t="shared" si="40"/>
        <v>0</v>
      </c>
      <c r="U534" s="62">
        <f t="shared" si="40"/>
        <v>0</v>
      </c>
      <c r="V534" s="62">
        <f t="shared" si="39"/>
        <v>1</v>
      </c>
    </row>
    <row r="535" spans="1:22" ht="19.5">
      <c r="A535" s="10" t="s">
        <v>557</v>
      </c>
      <c r="B535" s="10" t="s">
        <v>42</v>
      </c>
      <c r="C535" s="10" t="s">
        <v>20</v>
      </c>
      <c r="J535" s="10" t="s">
        <v>557</v>
      </c>
      <c r="K535" s="62">
        <f t="shared" si="38"/>
        <v>0</v>
      </c>
      <c r="L535" s="62">
        <f t="shared" si="38"/>
        <v>1</v>
      </c>
      <c r="M535" s="62">
        <f t="shared" si="38"/>
        <v>0</v>
      </c>
      <c r="N535" s="62">
        <f t="shared" si="37"/>
        <v>0</v>
      </c>
      <c r="O535" s="62">
        <f t="shared" si="37"/>
        <v>0</v>
      </c>
      <c r="P535" s="62">
        <f t="shared" si="37"/>
        <v>0</v>
      </c>
      <c r="Q535" s="62">
        <f t="shared" si="37"/>
        <v>0</v>
      </c>
      <c r="R535" s="62">
        <f t="shared" si="40"/>
        <v>0</v>
      </c>
      <c r="S535" s="62">
        <f t="shared" si="40"/>
        <v>0</v>
      </c>
      <c r="T535" s="62">
        <f t="shared" si="40"/>
        <v>0</v>
      </c>
      <c r="U535" s="62">
        <f t="shared" si="40"/>
        <v>0</v>
      </c>
      <c r="V535" s="62">
        <f t="shared" si="39"/>
        <v>0</v>
      </c>
    </row>
    <row r="536" spans="1:22" ht="19.5">
      <c r="A536" s="10" t="s">
        <v>558</v>
      </c>
      <c r="B536" s="10" t="s">
        <v>42</v>
      </c>
      <c r="C536" s="10" t="s">
        <v>13</v>
      </c>
      <c r="J536" s="10" t="s">
        <v>558</v>
      </c>
      <c r="K536" s="62">
        <f t="shared" si="38"/>
        <v>0</v>
      </c>
      <c r="L536" s="62">
        <f t="shared" si="38"/>
        <v>1</v>
      </c>
      <c r="M536" s="62">
        <f t="shared" si="38"/>
        <v>0</v>
      </c>
      <c r="N536" s="62">
        <f t="shared" si="37"/>
        <v>0</v>
      </c>
      <c r="O536" s="62">
        <f t="shared" si="37"/>
        <v>0</v>
      </c>
      <c r="P536" s="62">
        <f t="shared" si="37"/>
        <v>0</v>
      </c>
      <c r="Q536" s="62">
        <f t="shared" si="37"/>
        <v>0</v>
      </c>
      <c r="R536" s="62">
        <f t="shared" si="40"/>
        <v>0</v>
      </c>
      <c r="S536" s="62">
        <f t="shared" si="40"/>
        <v>0</v>
      </c>
      <c r="T536" s="62">
        <f t="shared" si="40"/>
        <v>0</v>
      </c>
      <c r="U536" s="62">
        <f t="shared" si="40"/>
        <v>0</v>
      </c>
      <c r="V536" s="62">
        <f t="shared" si="39"/>
        <v>1</v>
      </c>
    </row>
    <row r="537" spans="1:22" ht="19.5">
      <c r="A537" s="10" t="s">
        <v>559</v>
      </c>
      <c r="B537" s="10" t="s">
        <v>737</v>
      </c>
      <c r="C537" s="10" t="s">
        <v>13</v>
      </c>
      <c r="J537" s="10" t="s">
        <v>559</v>
      </c>
      <c r="K537" s="62">
        <f t="shared" si="38"/>
        <v>0</v>
      </c>
      <c r="L537" s="62">
        <f t="shared" si="38"/>
        <v>0</v>
      </c>
      <c r="M537" s="62">
        <f t="shared" si="38"/>
        <v>0</v>
      </c>
      <c r="N537" s="62">
        <f t="shared" si="37"/>
        <v>1</v>
      </c>
      <c r="O537" s="62">
        <f t="shared" si="37"/>
        <v>0</v>
      </c>
      <c r="P537" s="62">
        <f t="shared" si="37"/>
        <v>0</v>
      </c>
      <c r="Q537" s="62">
        <f t="shared" si="37"/>
        <v>0</v>
      </c>
      <c r="R537" s="62">
        <f t="shared" si="40"/>
        <v>0</v>
      </c>
      <c r="S537" s="62">
        <f t="shared" si="40"/>
        <v>0</v>
      </c>
      <c r="T537" s="62">
        <f t="shared" si="40"/>
        <v>0</v>
      </c>
      <c r="U537" s="62">
        <f t="shared" si="40"/>
        <v>0</v>
      </c>
      <c r="V537" s="62">
        <f t="shared" si="39"/>
        <v>1</v>
      </c>
    </row>
    <row r="538" spans="1:22" ht="19.5">
      <c r="A538" s="10" t="s">
        <v>560</v>
      </c>
      <c r="B538" s="10" t="s">
        <v>739</v>
      </c>
      <c r="C538" s="10" t="s">
        <v>20</v>
      </c>
      <c r="J538" s="10" t="s">
        <v>560</v>
      </c>
      <c r="K538" s="62">
        <f t="shared" si="38"/>
        <v>0</v>
      </c>
      <c r="L538" s="62">
        <f t="shared" si="38"/>
        <v>0</v>
      </c>
      <c r="M538" s="62">
        <f t="shared" si="38"/>
        <v>0</v>
      </c>
      <c r="N538" s="62">
        <f t="shared" si="37"/>
        <v>0</v>
      </c>
      <c r="O538" s="62">
        <f t="shared" si="37"/>
        <v>0</v>
      </c>
      <c r="P538" s="62">
        <f t="shared" si="37"/>
        <v>1</v>
      </c>
      <c r="Q538" s="62">
        <f t="shared" si="37"/>
        <v>0</v>
      </c>
      <c r="R538" s="62">
        <f t="shared" si="40"/>
        <v>0</v>
      </c>
      <c r="S538" s="62">
        <f t="shared" si="40"/>
        <v>0</v>
      </c>
      <c r="T538" s="62">
        <f t="shared" si="40"/>
        <v>0</v>
      </c>
      <c r="U538" s="62">
        <f t="shared" si="40"/>
        <v>0</v>
      </c>
      <c r="V538" s="62">
        <f t="shared" si="39"/>
        <v>0</v>
      </c>
    </row>
    <row r="539" spans="1:22" ht="19.5">
      <c r="A539" s="10" t="s">
        <v>561</v>
      </c>
      <c r="B539" s="10" t="s">
        <v>39</v>
      </c>
      <c r="C539" s="10" t="s">
        <v>13</v>
      </c>
      <c r="J539" s="10" t="s">
        <v>561</v>
      </c>
      <c r="K539" s="62">
        <f t="shared" si="38"/>
        <v>1</v>
      </c>
      <c r="L539" s="62">
        <f t="shared" si="38"/>
        <v>0</v>
      </c>
      <c r="M539" s="62">
        <f t="shared" si="38"/>
        <v>0</v>
      </c>
      <c r="N539" s="62">
        <f t="shared" si="37"/>
        <v>0</v>
      </c>
      <c r="O539" s="62">
        <f t="shared" si="37"/>
        <v>0</v>
      </c>
      <c r="P539" s="62">
        <f t="shared" si="37"/>
        <v>0</v>
      </c>
      <c r="Q539" s="62">
        <f t="shared" si="37"/>
        <v>0</v>
      </c>
      <c r="R539" s="62">
        <f t="shared" si="40"/>
        <v>0</v>
      </c>
      <c r="S539" s="62">
        <f t="shared" si="40"/>
        <v>0</v>
      </c>
      <c r="T539" s="62">
        <f t="shared" si="40"/>
        <v>0</v>
      </c>
      <c r="U539" s="62">
        <f t="shared" si="40"/>
        <v>0</v>
      </c>
      <c r="V539" s="62">
        <f t="shared" si="39"/>
        <v>1</v>
      </c>
    </row>
    <row r="540" spans="1:22" ht="19.5">
      <c r="A540" s="10" t="s">
        <v>562</v>
      </c>
      <c r="B540" s="10" t="s">
        <v>42</v>
      </c>
      <c r="C540" s="10" t="s">
        <v>20</v>
      </c>
      <c r="J540" s="10" t="s">
        <v>562</v>
      </c>
      <c r="K540" s="62">
        <f t="shared" si="38"/>
        <v>0</v>
      </c>
      <c r="L540" s="62">
        <f t="shared" si="38"/>
        <v>1</v>
      </c>
      <c r="M540" s="62">
        <f t="shared" si="38"/>
        <v>0</v>
      </c>
      <c r="N540" s="62">
        <f t="shared" si="37"/>
        <v>0</v>
      </c>
      <c r="O540" s="62">
        <f t="shared" si="37"/>
        <v>0</v>
      </c>
      <c r="P540" s="62">
        <f t="shared" si="37"/>
        <v>0</v>
      </c>
      <c r="Q540" s="62">
        <f t="shared" si="37"/>
        <v>0</v>
      </c>
      <c r="R540" s="62">
        <f t="shared" si="40"/>
        <v>0</v>
      </c>
      <c r="S540" s="62">
        <f t="shared" si="40"/>
        <v>0</v>
      </c>
      <c r="T540" s="62">
        <f t="shared" si="40"/>
        <v>0</v>
      </c>
      <c r="U540" s="62">
        <f t="shared" si="40"/>
        <v>0</v>
      </c>
      <c r="V540" s="62">
        <f t="shared" si="39"/>
        <v>0</v>
      </c>
    </row>
    <row r="541" spans="1:22" ht="19.5">
      <c r="A541" s="10" t="s">
        <v>563</v>
      </c>
      <c r="B541" s="10" t="s">
        <v>42</v>
      </c>
      <c r="C541" s="10" t="s">
        <v>20</v>
      </c>
      <c r="J541" s="10" t="s">
        <v>563</v>
      </c>
      <c r="K541" s="62">
        <f t="shared" si="38"/>
        <v>0</v>
      </c>
      <c r="L541" s="62">
        <f t="shared" si="38"/>
        <v>1</v>
      </c>
      <c r="M541" s="62">
        <f t="shared" si="38"/>
        <v>0</v>
      </c>
      <c r="N541" s="62">
        <f t="shared" si="37"/>
        <v>0</v>
      </c>
      <c r="O541" s="62">
        <f t="shared" si="37"/>
        <v>0</v>
      </c>
      <c r="P541" s="62">
        <f t="shared" si="37"/>
        <v>0</v>
      </c>
      <c r="Q541" s="62">
        <f t="shared" si="37"/>
        <v>0</v>
      </c>
      <c r="R541" s="62">
        <f t="shared" si="40"/>
        <v>0</v>
      </c>
      <c r="S541" s="62">
        <f t="shared" si="40"/>
        <v>0</v>
      </c>
      <c r="T541" s="62">
        <f t="shared" si="40"/>
        <v>0</v>
      </c>
      <c r="U541" s="62">
        <f t="shared" si="40"/>
        <v>0</v>
      </c>
      <c r="V541" s="62">
        <f t="shared" si="39"/>
        <v>0</v>
      </c>
    </row>
    <row r="542" spans="1:22" ht="19.5">
      <c r="A542" s="10" t="s">
        <v>564</v>
      </c>
      <c r="B542" s="10" t="s">
        <v>736</v>
      </c>
      <c r="C542" s="10" t="s">
        <v>20</v>
      </c>
      <c r="J542" s="10" t="s">
        <v>564</v>
      </c>
      <c r="K542" s="62">
        <f t="shared" si="38"/>
        <v>0</v>
      </c>
      <c r="L542" s="62">
        <f t="shared" si="38"/>
        <v>0</v>
      </c>
      <c r="M542" s="62">
        <f t="shared" si="38"/>
        <v>0</v>
      </c>
      <c r="N542" s="62">
        <f t="shared" si="37"/>
        <v>0</v>
      </c>
      <c r="O542" s="62">
        <f t="shared" si="37"/>
        <v>0</v>
      </c>
      <c r="P542" s="62">
        <f t="shared" si="37"/>
        <v>0</v>
      </c>
      <c r="Q542" s="62">
        <f t="shared" si="37"/>
        <v>0</v>
      </c>
      <c r="R542" s="62">
        <f t="shared" si="40"/>
        <v>1</v>
      </c>
      <c r="S542" s="62">
        <f t="shared" si="40"/>
        <v>0</v>
      </c>
      <c r="T542" s="62">
        <f t="shared" si="40"/>
        <v>0</v>
      </c>
      <c r="U542" s="62">
        <f t="shared" si="40"/>
        <v>0</v>
      </c>
      <c r="V542" s="62">
        <f t="shared" si="39"/>
        <v>0</v>
      </c>
    </row>
    <row r="543" spans="1:22" ht="19.5">
      <c r="A543" s="10" t="s">
        <v>565</v>
      </c>
      <c r="B543" s="10" t="s">
        <v>737</v>
      </c>
      <c r="C543" s="10" t="s">
        <v>13</v>
      </c>
      <c r="J543" s="10" t="s">
        <v>565</v>
      </c>
      <c r="K543" s="62">
        <f t="shared" si="38"/>
        <v>0</v>
      </c>
      <c r="L543" s="62">
        <f t="shared" si="38"/>
        <v>0</v>
      </c>
      <c r="M543" s="62">
        <f t="shared" si="38"/>
        <v>0</v>
      </c>
      <c r="N543" s="62">
        <f t="shared" si="37"/>
        <v>1</v>
      </c>
      <c r="O543" s="62">
        <f t="shared" si="37"/>
        <v>0</v>
      </c>
      <c r="P543" s="62">
        <f t="shared" si="37"/>
        <v>0</v>
      </c>
      <c r="Q543" s="62">
        <f t="shared" si="37"/>
        <v>0</v>
      </c>
      <c r="R543" s="62">
        <f t="shared" si="40"/>
        <v>0</v>
      </c>
      <c r="S543" s="62">
        <f t="shared" si="40"/>
        <v>0</v>
      </c>
      <c r="T543" s="62">
        <f t="shared" si="40"/>
        <v>0</v>
      </c>
      <c r="U543" s="62">
        <f t="shared" si="40"/>
        <v>0</v>
      </c>
      <c r="V543" s="62">
        <f t="shared" si="39"/>
        <v>1</v>
      </c>
    </row>
    <row r="544" spans="1:22" ht="19.5">
      <c r="A544" s="10" t="s">
        <v>566</v>
      </c>
      <c r="B544" s="10" t="s">
        <v>740</v>
      </c>
      <c r="C544" s="10" t="s">
        <v>20</v>
      </c>
      <c r="J544" s="10" t="s">
        <v>566</v>
      </c>
      <c r="K544" s="62">
        <f t="shared" si="38"/>
        <v>0</v>
      </c>
      <c r="L544" s="62">
        <f t="shared" si="38"/>
        <v>0</v>
      </c>
      <c r="M544" s="62">
        <f t="shared" si="38"/>
        <v>0</v>
      </c>
      <c r="N544" s="62">
        <f t="shared" si="37"/>
        <v>0</v>
      </c>
      <c r="O544" s="62">
        <f t="shared" si="37"/>
        <v>1</v>
      </c>
      <c r="P544" s="62">
        <f t="shared" si="37"/>
        <v>0</v>
      </c>
      <c r="Q544" s="62">
        <f t="shared" si="37"/>
        <v>0</v>
      </c>
      <c r="R544" s="62">
        <f t="shared" si="40"/>
        <v>0</v>
      </c>
      <c r="S544" s="62">
        <f t="shared" si="40"/>
        <v>0</v>
      </c>
      <c r="T544" s="62">
        <f t="shared" si="40"/>
        <v>0</v>
      </c>
      <c r="U544" s="62">
        <f t="shared" si="40"/>
        <v>0</v>
      </c>
      <c r="V544" s="62">
        <f t="shared" si="39"/>
        <v>0</v>
      </c>
    </row>
    <row r="545" spans="1:22" ht="19.5">
      <c r="A545" s="10" t="s">
        <v>567</v>
      </c>
      <c r="B545" s="10" t="s">
        <v>39</v>
      </c>
      <c r="C545" s="10" t="s">
        <v>20</v>
      </c>
      <c r="J545" s="10" t="s">
        <v>567</v>
      </c>
      <c r="K545" s="62">
        <f t="shared" si="38"/>
        <v>1</v>
      </c>
      <c r="L545" s="62">
        <f t="shared" si="38"/>
        <v>0</v>
      </c>
      <c r="M545" s="62">
        <f t="shared" si="38"/>
        <v>0</v>
      </c>
      <c r="N545" s="62">
        <f t="shared" si="37"/>
        <v>0</v>
      </c>
      <c r="O545" s="62">
        <f t="shared" si="37"/>
        <v>0</v>
      </c>
      <c r="P545" s="62">
        <f t="shared" si="37"/>
        <v>0</v>
      </c>
      <c r="Q545" s="62">
        <f t="shared" si="37"/>
        <v>0</v>
      </c>
      <c r="R545" s="62">
        <f t="shared" si="40"/>
        <v>0</v>
      </c>
      <c r="S545" s="62">
        <f t="shared" si="40"/>
        <v>0</v>
      </c>
      <c r="T545" s="62">
        <f t="shared" si="40"/>
        <v>0</v>
      </c>
      <c r="U545" s="62">
        <f t="shared" si="40"/>
        <v>0</v>
      </c>
      <c r="V545" s="62">
        <f t="shared" si="39"/>
        <v>0</v>
      </c>
    </row>
    <row r="546" spans="1:22" ht="19.5">
      <c r="A546" s="10" t="s">
        <v>568</v>
      </c>
      <c r="B546" s="10" t="s">
        <v>42</v>
      </c>
      <c r="C546" s="10" t="s">
        <v>13</v>
      </c>
      <c r="J546" s="10" t="s">
        <v>568</v>
      </c>
      <c r="K546" s="62">
        <f t="shared" si="38"/>
        <v>0</v>
      </c>
      <c r="L546" s="62">
        <f t="shared" si="38"/>
        <v>1</v>
      </c>
      <c r="M546" s="62">
        <f t="shared" si="38"/>
        <v>0</v>
      </c>
      <c r="N546" s="62">
        <f t="shared" si="37"/>
        <v>0</v>
      </c>
      <c r="O546" s="62">
        <f t="shared" si="37"/>
        <v>0</v>
      </c>
      <c r="P546" s="62">
        <f t="shared" si="37"/>
        <v>0</v>
      </c>
      <c r="Q546" s="62">
        <f t="shared" si="37"/>
        <v>0</v>
      </c>
      <c r="R546" s="62">
        <f t="shared" si="40"/>
        <v>0</v>
      </c>
      <c r="S546" s="62">
        <f t="shared" si="40"/>
        <v>0</v>
      </c>
      <c r="T546" s="62">
        <f t="shared" si="40"/>
        <v>0</v>
      </c>
      <c r="U546" s="62">
        <f t="shared" si="40"/>
        <v>0</v>
      </c>
      <c r="V546" s="62">
        <f t="shared" si="39"/>
        <v>1</v>
      </c>
    </row>
    <row r="547" spans="1:22" ht="19.5">
      <c r="A547" s="10" t="s">
        <v>569</v>
      </c>
      <c r="B547" s="10" t="s">
        <v>42</v>
      </c>
      <c r="C547" s="10" t="s">
        <v>13</v>
      </c>
      <c r="J547" s="10" t="s">
        <v>569</v>
      </c>
      <c r="K547" s="62">
        <f t="shared" si="38"/>
        <v>0</v>
      </c>
      <c r="L547" s="62">
        <f t="shared" si="38"/>
        <v>1</v>
      </c>
      <c r="M547" s="62">
        <f t="shared" si="38"/>
        <v>0</v>
      </c>
      <c r="N547" s="62">
        <f t="shared" si="37"/>
        <v>0</v>
      </c>
      <c r="O547" s="62">
        <f t="shared" si="37"/>
        <v>0</v>
      </c>
      <c r="P547" s="62">
        <f t="shared" si="37"/>
        <v>0</v>
      </c>
      <c r="Q547" s="62">
        <f t="shared" si="37"/>
        <v>0</v>
      </c>
      <c r="R547" s="62">
        <f t="shared" si="40"/>
        <v>0</v>
      </c>
      <c r="S547" s="62">
        <f t="shared" si="40"/>
        <v>0</v>
      </c>
      <c r="T547" s="62">
        <f t="shared" si="40"/>
        <v>0</v>
      </c>
      <c r="U547" s="62">
        <f t="shared" si="40"/>
        <v>0</v>
      </c>
      <c r="V547" s="62">
        <f t="shared" si="39"/>
        <v>1</v>
      </c>
    </row>
    <row r="548" spans="1:22" ht="19.5">
      <c r="A548" s="10" t="s">
        <v>570</v>
      </c>
      <c r="B548" s="10" t="s">
        <v>736</v>
      </c>
      <c r="C548" s="10" t="s">
        <v>13</v>
      </c>
      <c r="J548" s="10" t="s">
        <v>570</v>
      </c>
      <c r="K548" s="62">
        <f t="shared" si="38"/>
        <v>0</v>
      </c>
      <c r="L548" s="62">
        <f t="shared" si="38"/>
        <v>0</v>
      </c>
      <c r="M548" s="62">
        <f t="shared" si="38"/>
        <v>0</v>
      </c>
      <c r="N548" s="62">
        <f t="shared" si="37"/>
        <v>0</v>
      </c>
      <c r="O548" s="62">
        <f t="shared" si="37"/>
        <v>0</v>
      </c>
      <c r="P548" s="62">
        <f t="shared" si="37"/>
        <v>0</v>
      </c>
      <c r="Q548" s="62">
        <f t="shared" si="37"/>
        <v>0</v>
      </c>
      <c r="R548" s="62">
        <f t="shared" si="40"/>
        <v>1</v>
      </c>
      <c r="S548" s="62">
        <f t="shared" si="40"/>
        <v>0</v>
      </c>
      <c r="T548" s="62">
        <f t="shared" si="40"/>
        <v>0</v>
      </c>
      <c r="U548" s="62">
        <f t="shared" si="40"/>
        <v>0</v>
      </c>
      <c r="V548" s="62">
        <f t="shared" si="39"/>
        <v>1</v>
      </c>
    </row>
    <row r="549" spans="1:22" ht="19.5">
      <c r="A549" s="10" t="s">
        <v>571</v>
      </c>
      <c r="B549" s="10" t="s">
        <v>740</v>
      </c>
      <c r="C549" s="10" t="s">
        <v>20</v>
      </c>
      <c r="J549" s="10" t="s">
        <v>571</v>
      </c>
      <c r="K549" s="62">
        <f t="shared" si="38"/>
        <v>0</v>
      </c>
      <c r="L549" s="62">
        <f t="shared" si="38"/>
        <v>0</v>
      </c>
      <c r="M549" s="62">
        <f t="shared" si="38"/>
        <v>0</v>
      </c>
      <c r="N549" s="62">
        <f t="shared" si="37"/>
        <v>0</v>
      </c>
      <c r="O549" s="62">
        <f t="shared" si="37"/>
        <v>1</v>
      </c>
      <c r="P549" s="62">
        <f t="shared" si="37"/>
        <v>0</v>
      </c>
      <c r="Q549" s="62">
        <f t="shared" si="37"/>
        <v>0</v>
      </c>
      <c r="R549" s="62">
        <f t="shared" si="40"/>
        <v>0</v>
      </c>
      <c r="S549" s="62">
        <f t="shared" si="40"/>
        <v>0</v>
      </c>
      <c r="T549" s="62">
        <f t="shared" si="40"/>
        <v>0</v>
      </c>
      <c r="U549" s="62">
        <f t="shared" si="40"/>
        <v>0</v>
      </c>
      <c r="V549" s="62">
        <f t="shared" si="39"/>
        <v>0</v>
      </c>
    </row>
    <row r="550" spans="1:22" ht="19.5">
      <c r="A550" s="10" t="s">
        <v>572</v>
      </c>
      <c r="B550" s="10" t="s">
        <v>739</v>
      </c>
      <c r="C550" s="10" t="s">
        <v>20</v>
      </c>
      <c r="J550" s="10" t="s">
        <v>572</v>
      </c>
      <c r="K550" s="62">
        <f t="shared" si="38"/>
        <v>0</v>
      </c>
      <c r="L550" s="62">
        <f t="shared" si="38"/>
        <v>0</v>
      </c>
      <c r="M550" s="62">
        <f t="shared" si="38"/>
        <v>0</v>
      </c>
      <c r="N550" s="62">
        <f t="shared" si="37"/>
        <v>0</v>
      </c>
      <c r="O550" s="62">
        <f t="shared" si="37"/>
        <v>0</v>
      </c>
      <c r="P550" s="62">
        <f t="shared" si="37"/>
        <v>1</v>
      </c>
      <c r="Q550" s="62">
        <f t="shared" si="37"/>
        <v>0</v>
      </c>
      <c r="R550" s="62">
        <f t="shared" si="40"/>
        <v>0</v>
      </c>
      <c r="S550" s="62">
        <f t="shared" si="40"/>
        <v>0</v>
      </c>
      <c r="T550" s="62">
        <f t="shared" si="40"/>
        <v>0</v>
      </c>
      <c r="U550" s="62">
        <f t="shared" si="40"/>
        <v>0</v>
      </c>
      <c r="V550" s="62">
        <f t="shared" si="39"/>
        <v>0</v>
      </c>
    </row>
    <row r="551" spans="1:22" ht="19.5">
      <c r="A551" s="10" t="s">
        <v>573</v>
      </c>
      <c r="B551" s="10" t="s">
        <v>37</v>
      </c>
      <c r="C551" s="10" t="s">
        <v>13</v>
      </c>
      <c r="J551" s="10" t="s">
        <v>573</v>
      </c>
      <c r="K551" s="62">
        <f t="shared" si="38"/>
        <v>0</v>
      </c>
      <c r="L551" s="62">
        <f t="shared" si="38"/>
        <v>0</v>
      </c>
      <c r="M551" s="62">
        <f t="shared" si="38"/>
        <v>1</v>
      </c>
      <c r="N551" s="62">
        <f t="shared" si="37"/>
        <v>0</v>
      </c>
      <c r="O551" s="62">
        <f t="shared" si="37"/>
        <v>0</v>
      </c>
      <c r="P551" s="62">
        <f t="shared" si="37"/>
        <v>0</v>
      </c>
      <c r="Q551" s="62">
        <f t="shared" si="37"/>
        <v>0</v>
      </c>
      <c r="R551" s="62">
        <f t="shared" si="40"/>
        <v>0</v>
      </c>
      <c r="S551" s="62">
        <f t="shared" si="40"/>
        <v>0</v>
      </c>
      <c r="T551" s="62">
        <f t="shared" si="40"/>
        <v>0</v>
      </c>
      <c r="U551" s="62">
        <f t="shared" si="40"/>
        <v>0</v>
      </c>
      <c r="V551" s="62">
        <f t="shared" si="39"/>
        <v>1</v>
      </c>
    </row>
    <row r="552" spans="1:22" ht="19.5">
      <c r="A552" s="10" t="s">
        <v>574</v>
      </c>
      <c r="B552" s="10" t="s">
        <v>39</v>
      </c>
      <c r="C552" s="10" t="s">
        <v>13</v>
      </c>
      <c r="J552" s="10" t="s">
        <v>574</v>
      </c>
      <c r="K552" s="62">
        <f t="shared" si="38"/>
        <v>1</v>
      </c>
      <c r="L552" s="62">
        <f t="shared" si="38"/>
        <v>0</v>
      </c>
      <c r="M552" s="62">
        <f t="shared" si="38"/>
        <v>0</v>
      </c>
      <c r="N552" s="62">
        <f t="shared" si="37"/>
        <v>0</v>
      </c>
      <c r="O552" s="62">
        <f t="shared" si="37"/>
        <v>0</v>
      </c>
      <c r="P552" s="62">
        <f t="shared" si="37"/>
        <v>0</v>
      </c>
      <c r="Q552" s="62">
        <f t="shared" si="37"/>
        <v>0</v>
      </c>
      <c r="R552" s="62">
        <f t="shared" si="40"/>
        <v>0</v>
      </c>
      <c r="S552" s="62">
        <f t="shared" si="40"/>
        <v>0</v>
      </c>
      <c r="T552" s="62">
        <f t="shared" si="40"/>
        <v>0</v>
      </c>
      <c r="U552" s="62">
        <f t="shared" si="40"/>
        <v>0</v>
      </c>
      <c r="V552" s="62">
        <f t="shared" si="39"/>
        <v>1</v>
      </c>
    </row>
    <row r="553" spans="1:22" ht="19.5">
      <c r="A553" s="10" t="s">
        <v>575</v>
      </c>
      <c r="B553" s="10" t="s">
        <v>39</v>
      </c>
      <c r="C553" s="10" t="s">
        <v>13</v>
      </c>
      <c r="J553" s="10" t="s">
        <v>575</v>
      </c>
      <c r="K553" s="62">
        <f t="shared" si="38"/>
        <v>1</v>
      </c>
      <c r="L553" s="62">
        <f t="shared" si="38"/>
        <v>0</v>
      </c>
      <c r="M553" s="62">
        <f t="shared" si="38"/>
        <v>0</v>
      </c>
      <c r="N553" s="62">
        <f t="shared" si="37"/>
        <v>0</v>
      </c>
      <c r="O553" s="62">
        <f t="shared" si="37"/>
        <v>0</v>
      </c>
      <c r="P553" s="62">
        <f t="shared" si="37"/>
        <v>0</v>
      </c>
      <c r="Q553" s="62">
        <f t="shared" si="37"/>
        <v>0</v>
      </c>
      <c r="R553" s="62">
        <f t="shared" si="40"/>
        <v>0</v>
      </c>
      <c r="S553" s="62">
        <f t="shared" si="40"/>
        <v>0</v>
      </c>
      <c r="T553" s="62">
        <f t="shared" si="40"/>
        <v>0</v>
      </c>
      <c r="U553" s="62">
        <f t="shared" si="40"/>
        <v>0</v>
      </c>
      <c r="V553" s="62">
        <f t="shared" si="39"/>
        <v>1</v>
      </c>
    </row>
    <row r="554" spans="1:22" ht="19.5">
      <c r="A554" s="10" t="s">
        <v>576</v>
      </c>
      <c r="B554" s="10" t="s">
        <v>42</v>
      </c>
      <c r="C554" s="10" t="s">
        <v>13</v>
      </c>
      <c r="J554" s="10" t="s">
        <v>576</v>
      </c>
      <c r="K554" s="62">
        <f t="shared" si="38"/>
        <v>0</v>
      </c>
      <c r="L554" s="62">
        <f t="shared" si="38"/>
        <v>1</v>
      </c>
      <c r="M554" s="62">
        <f t="shared" si="38"/>
        <v>0</v>
      </c>
      <c r="N554" s="62">
        <f t="shared" si="37"/>
        <v>0</v>
      </c>
      <c r="O554" s="62">
        <f t="shared" si="37"/>
        <v>0</v>
      </c>
      <c r="P554" s="62">
        <f t="shared" si="37"/>
        <v>0</v>
      </c>
      <c r="Q554" s="62">
        <f t="shared" si="37"/>
        <v>0</v>
      </c>
      <c r="R554" s="62">
        <f t="shared" si="40"/>
        <v>0</v>
      </c>
      <c r="S554" s="62">
        <f t="shared" si="40"/>
        <v>0</v>
      </c>
      <c r="T554" s="62">
        <f t="shared" si="40"/>
        <v>0</v>
      </c>
      <c r="U554" s="62">
        <f t="shared" si="40"/>
        <v>0</v>
      </c>
      <c r="V554" s="62">
        <f t="shared" si="39"/>
        <v>1</v>
      </c>
    </row>
    <row r="555" spans="1:22" ht="19.5">
      <c r="A555" s="10" t="s">
        <v>577</v>
      </c>
      <c r="B555" s="10" t="s">
        <v>740</v>
      </c>
      <c r="C555" s="10" t="s">
        <v>13</v>
      </c>
      <c r="J555" s="10" t="s">
        <v>577</v>
      </c>
      <c r="K555" s="62">
        <f t="shared" si="38"/>
        <v>0</v>
      </c>
      <c r="L555" s="62">
        <f t="shared" si="38"/>
        <v>0</v>
      </c>
      <c r="M555" s="62">
        <f t="shared" si="38"/>
        <v>0</v>
      </c>
      <c r="N555" s="62">
        <f t="shared" si="37"/>
        <v>0</v>
      </c>
      <c r="O555" s="62">
        <f t="shared" si="37"/>
        <v>1</v>
      </c>
      <c r="P555" s="62">
        <f t="shared" si="37"/>
        <v>0</v>
      </c>
      <c r="Q555" s="62">
        <f t="shared" si="37"/>
        <v>0</v>
      </c>
      <c r="R555" s="62">
        <f t="shared" si="40"/>
        <v>0</v>
      </c>
      <c r="S555" s="62">
        <f t="shared" si="40"/>
        <v>0</v>
      </c>
      <c r="T555" s="62">
        <f t="shared" si="40"/>
        <v>0</v>
      </c>
      <c r="U555" s="62">
        <f t="shared" si="40"/>
        <v>0</v>
      </c>
      <c r="V555" s="62">
        <f t="shared" si="39"/>
        <v>1</v>
      </c>
    </row>
    <row r="556" spans="1:22" ht="19.5">
      <c r="A556" s="10" t="s">
        <v>578</v>
      </c>
      <c r="B556" s="10" t="s">
        <v>37</v>
      </c>
      <c r="C556" s="10" t="s">
        <v>13</v>
      </c>
      <c r="J556" s="10" t="s">
        <v>578</v>
      </c>
      <c r="K556" s="62">
        <f t="shared" si="38"/>
        <v>0</v>
      </c>
      <c r="L556" s="62">
        <f t="shared" si="38"/>
        <v>0</v>
      </c>
      <c r="M556" s="62">
        <f t="shared" si="38"/>
        <v>1</v>
      </c>
      <c r="N556" s="62">
        <f t="shared" si="37"/>
        <v>0</v>
      </c>
      <c r="O556" s="62">
        <f t="shared" si="37"/>
        <v>0</v>
      </c>
      <c r="P556" s="62">
        <f t="shared" si="37"/>
        <v>0</v>
      </c>
      <c r="Q556" s="62">
        <f t="shared" si="37"/>
        <v>0</v>
      </c>
      <c r="R556" s="62">
        <f t="shared" si="40"/>
        <v>0</v>
      </c>
      <c r="S556" s="62">
        <f t="shared" si="40"/>
        <v>0</v>
      </c>
      <c r="T556" s="62">
        <f t="shared" si="40"/>
        <v>0</v>
      </c>
      <c r="U556" s="62">
        <f t="shared" si="40"/>
        <v>0</v>
      </c>
      <c r="V556" s="62">
        <f t="shared" si="39"/>
        <v>1</v>
      </c>
    </row>
    <row r="557" spans="1:22" ht="19.5">
      <c r="A557" s="10" t="s">
        <v>579</v>
      </c>
      <c r="B557" s="10" t="s">
        <v>42</v>
      </c>
      <c r="C557" s="10" t="s">
        <v>13</v>
      </c>
      <c r="J557" s="10" t="s">
        <v>579</v>
      </c>
      <c r="K557" s="62">
        <f t="shared" si="38"/>
        <v>0</v>
      </c>
      <c r="L557" s="62">
        <f t="shared" si="38"/>
        <v>1</v>
      </c>
      <c r="M557" s="62">
        <f t="shared" si="38"/>
        <v>0</v>
      </c>
      <c r="N557" s="62">
        <f t="shared" si="37"/>
        <v>0</v>
      </c>
      <c r="O557" s="62">
        <f t="shared" si="37"/>
        <v>0</v>
      </c>
      <c r="P557" s="62">
        <f t="shared" si="37"/>
        <v>0</v>
      </c>
      <c r="Q557" s="62">
        <f t="shared" si="37"/>
        <v>0</v>
      </c>
      <c r="R557" s="62">
        <f t="shared" si="40"/>
        <v>0</v>
      </c>
      <c r="S557" s="62">
        <f t="shared" si="40"/>
        <v>0</v>
      </c>
      <c r="T557" s="62">
        <f t="shared" si="40"/>
        <v>0</v>
      </c>
      <c r="U557" s="62">
        <f t="shared" si="40"/>
        <v>0</v>
      </c>
      <c r="V557" s="62">
        <f t="shared" si="39"/>
        <v>1</v>
      </c>
    </row>
    <row r="558" spans="1:22" ht="19.5">
      <c r="A558" s="10" t="s">
        <v>580</v>
      </c>
      <c r="B558" s="10" t="s">
        <v>737</v>
      </c>
      <c r="C558" s="10" t="s">
        <v>13</v>
      </c>
      <c r="J558" s="10" t="s">
        <v>580</v>
      </c>
      <c r="K558" s="62">
        <f t="shared" si="38"/>
        <v>0</v>
      </c>
      <c r="L558" s="62">
        <f t="shared" si="38"/>
        <v>0</v>
      </c>
      <c r="M558" s="62">
        <f t="shared" si="38"/>
        <v>0</v>
      </c>
      <c r="N558" s="62">
        <f t="shared" si="37"/>
        <v>1</v>
      </c>
      <c r="O558" s="62">
        <f t="shared" si="37"/>
        <v>0</v>
      </c>
      <c r="P558" s="62">
        <f t="shared" si="37"/>
        <v>0</v>
      </c>
      <c r="Q558" s="62">
        <f t="shared" si="37"/>
        <v>0</v>
      </c>
      <c r="R558" s="62">
        <f t="shared" si="40"/>
        <v>0</v>
      </c>
      <c r="S558" s="62">
        <f t="shared" si="40"/>
        <v>0</v>
      </c>
      <c r="T558" s="62">
        <f t="shared" si="40"/>
        <v>0</v>
      </c>
      <c r="U558" s="62">
        <f t="shared" si="40"/>
        <v>0</v>
      </c>
      <c r="V558" s="62">
        <f t="shared" si="39"/>
        <v>1</v>
      </c>
    </row>
    <row r="559" spans="1:22" ht="19.5">
      <c r="A559" s="10" t="s">
        <v>581</v>
      </c>
      <c r="B559" s="10" t="s">
        <v>740</v>
      </c>
      <c r="C559" s="10" t="s">
        <v>20</v>
      </c>
      <c r="J559" s="10" t="s">
        <v>581</v>
      </c>
      <c r="K559" s="62">
        <f t="shared" si="38"/>
        <v>0</v>
      </c>
      <c r="L559" s="62">
        <f t="shared" si="38"/>
        <v>0</v>
      </c>
      <c r="M559" s="62">
        <f t="shared" si="38"/>
        <v>0</v>
      </c>
      <c r="N559" s="62">
        <f t="shared" si="37"/>
        <v>0</v>
      </c>
      <c r="O559" s="62">
        <f t="shared" si="37"/>
        <v>1</v>
      </c>
      <c r="P559" s="62">
        <f t="shared" si="37"/>
        <v>0</v>
      </c>
      <c r="Q559" s="62">
        <f t="shared" si="37"/>
        <v>0</v>
      </c>
      <c r="R559" s="62">
        <f t="shared" si="40"/>
        <v>0</v>
      </c>
      <c r="S559" s="62">
        <f t="shared" si="40"/>
        <v>0</v>
      </c>
      <c r="T559" s="62">
        <f t="shared" si="40"/>
        <v>0</v>
      </c>
      <c r="U559" s="62">
        <f t="shared" si="40"/>
        <v>0</v>
      </c>
      <c r="V559" s="62">
        <f t="shared" si="39"/>
        <v>0</v>
      </c>
    </row>
    <row r="560" spans="1:22" ht="19.5">
      <c r="A560" s="10" t="s">
        <v>582</v>
      </c>
      <c r="B560" s="10" t="s">
        <v>740</v>
      </c>
      <c r="C560" s="10" t="s">
        <v>13</v>
      </c>
      <c r="J560" s="10" t="s">
        <v>582</v>
      </c>
      <c r="K560" s="62">
        <f t="shared" si="38"/>
        <v>0</v>
      </c>
      <c r="L560" s="62">
        <f t="shared" si="38"/>
        <v>0</v>
      </c>
      <c r="M560" s="62">
        <f t="shared" si="38"/>
        <v>0</v>
      </c>
      <c r="N560" s="62">
        <f t="shared" si="37"/>
        <v>0</v>
      </c>
      <c r="O560" s="62">
        <f t="shared" si="37"/>
        <v>1</v>
      </c>
      <c r="P560" s="62">
        <f t="shared" si="37"/>
        <v>0</v>
      </c>
      <c r="Q560" s="62">
        <f t="shared" si="37"/>
        <v>0</v>
      </c>
      <c r="R560" s="62">
        <f t="shared" si="40"/>
        <v>0</v>
      </c>
      <c r="S560" s="62">
        <f t="shared" si="40"/>
        <v>0</v>
      </c>
      <c r="T560" s="62">
        <f t="shared" si="40"/>
        <v>0</v>
      </c>
      <c r="U560" s="62">
        <f t="shared" si="40"/>
        <v>0</v>
      </c>
      <c r="V560" s="62">
        <f t="shared" si="39"/>
        <v>1</v>
      </c>
    </row>
    <row r="561" spans="1:22" ht="19.5">
      <c r="A561" s="10" t="s">
        <v>583</v>
      </c>
      <c r="B561" s="10" t="s">
        <v>39</v>
      </c>
      <c r="C561" s="10" t="s">
        <v>13</v>
      </c>
      <c r="J561" s="10" t="s">
        <v>583</v>
      </c>
      <c r="K561" s="62">
        <f t="shared" si="38"/>
        <v>1</v>
      </c>
      <c r="L561" s="62">
        <f t="shared" si="38"/>
        <v>0</v>
      </c>
      <c r="M561" s="62">
        <f t="shared" si="38"/>
        <v>0</v>
      </c>
      <c r="N561" s="62">
        <f t="shared" si="37"/>
        <v>0</v>
      </c>
      <c r="O561" s="62">
        <f t="shared" si="37"/>
        <v>0</v>
      </c>
      <c r="P561" s="62">
        <f t="shared" si="37"/>
        <v>0</v>
      </c>
      <c r="Q561" s="62">
        <f t="shared" si="37"/>
        <v>0</v>
      </c>
      <c r="R561" s="62">
        <f t="shared" si="40"/>
        <v>0</v>
      </c>
      <c r="S561" s="62">
        <f t="shared" si="40"/>
        <v>0</v>
      </c>
      <c r="T561" s="62">
        <f t="shared" si="40"/>
        <v>0</v>
      </c>
      <c r="U561" s="62">
        <f t="shared" si="40"/>
        <v>0</v>
      </c>
      <c r="V561" s="62">
        <f t="shared" si="39"/>
        <v>1</v>
      </c>
    </row>
    <row r="562" spans="1:22" ht="19.5">
      <c r="A562" s="10" t="s">
        <v>584</v>
      </c>
      <c r="B562" s="10" t="s">
        <v>42</v>
      </c>
      <c r="C562" s="10" t="s">
        <v>20</v>
      </c>
      <c r="J562" s="10" t="s">
        <v>584</v>
      </c>
      <c r="K562" s="62">
        <f t="shared" si="38"/>
        <v>0</v>
      </c>
      <c r="L562" s="62">
        <f t="shared" si="38"/>
        <v>1</v>
      </c>
      <c r="M562" s="62">
        <f t="shared" si="38"/>
        <v>0</v>
      </c>
      <c r="N562" s="62">
        <f t="shared" si="37"/>
        <v>0</v>
      </c>
      <c r="O562" s="62">
        <f t="shared" si="37"/>
        <v>0</v>
      </c>
      <c r="P562" s="62">
        <f t="shared" si="37"/>
        <v>0</v>
      </c>
      <c r="Q562" s="62">
        <f t="shared" si="37"/>
        <v>0</v>
      </c>
      <c r="R562" s="62">
        <f t="shared" si="40"/>
        <v>0</v>
      </c>
      <c r="S562" s="62">
        <f t="shared" si="40"/>
        <v>0</v>
      </c>
      <c r="T562" s="62">
        <f t="shared" si="40"/>
        <v>0</v>
      </c>
      <c r="U562" s="62">
        <f t="shared" si="40"/>
        <v>0</v>
      </c>
      <c r="V562" s="62">
        <f t="shared" si="39"/>
        <v>0</v>
      </c>
    </row>
    <row r="563" spans="1:22" ht="19.5">
      <c r="A563" s="10" t="s">
        <v>585</v>
      </c>
      <c r="B563" s="10" t="s">
        <v>42</v>
      </c>
      <c r="C563" s="10" t="s">
        <v>13</v>
      </c>
      <c r="J563" s="10" t="s">
        <v>585</v>
      </c>
      <c r="K563" s="62">
        <f t="shared" si="38"/>
        <v>0</v>
      </c>
      <c r="L563" s="62">
        <f t="shared" si="38"/>
        <v>1</v>
      </c>
      <c r="M563" s="62">
        <f t="shared" si="38"/>
        <v>0</v>
      </c>
      <c r="N563" s="62">
        <f t="shared" si="37"/>
        <v>0</v>
      </c>
      <c r="O563" s="62">
        <f t="shared" si="37"/>
        <v>0</v>
      </c>
      <c r="P563" s="62">
        <f t="shared" si="37"/>
        <v>0</v>
      </c>
      <c r="Q563" s="62">
        <f t="shared" si="37"/>
        <v>0</v>
      </c>
      <c r="R563" s="62">
        <f t="shared" si="40"/>
        <v>0</v>
      </c>
      <c r="S563" s="62">
        <f t="shared" si="40"/>
        <v>0</v>
      </c>
      <c r="T563" s="62">
        <f t="shared" si="40"/>
        <v>0</v>
      </c>
      <c r="U563" s="62">
        <f t="shared" si="40"/>
        <v>0</v>
      </c>
      <c r="V563" s="62">
        <f t="shared" si="39"/>
        <v>1</v>
      </c>
    </row>
    <row r="564" spans="1:22" ht="19.5">
      <c r="A564" s="10" t="s">
        <v>586</v>
      </c>
      <c r="B564" s="10" t="s">
        <v>736</v>
      </c>
      <c r="C564" s="10" t="s">
        <v>20</v>
      </c>
      <c r="J564" s="10" t="s">
        <v>586</v>
      </c>
      <c r="K564" s="62">
        <f t="shared" si="38"/>
        <v>0</v>
      </c>
      <c r="L564" s="62">
        <f t="shared" si="38"/>
        <v>0</v>
      </c>
      <c r="M564" s="62">
        <f t="shared" si="38"/>
        <v>0</v>
      </c>
      <c r="N564" s="62">
        <f t="shared" si="37"/>
        <v>0</v>
      </c>
      <c r="O564" s="62">
        <f t="shared" si="37"/>
        <v>0</v>
      </c>
      <c r="P564" s="62">
        <f t="shared" si="37"/>
        <v>0</v>
      </c>
      <c r="Q564" s="62">
        <f t="shared" si="37"/>
        <v>0</v>
      </c>
      <c r="R564" s="62">
        <f t="shared" si="40"/>
        <v>1</v>
      </c>
      <c r="S564" s="62">
        <f t="shared" si="40"/>
        <v>0</v>
      </c>
      <c r="T564" s="62">
        <f t="shared" si="40"/>
        <v>0</v>
      </c>
      <c r="U564" s="62">
        <f t="shared" si="40"/>
        <v>0</v>
      </c>
      <c r="V564" s="62">
        <f t="shared" si="39"/>
        <v>0</v>
      </c>
    </row>
    <row r="565" spans="1:22" ht="19.5">
      <c r="A565" s="10" t="s">
        <v>587</v>
      </c>
      <c r="B565" s="10" t="s">
        <v>737</v>
      </c>
      <c r="C565" s="10" t="s">
        <v>20</v>
      </c>
      <c r="J565" s="10" t="s">
        <v>587</v>
      </c>
      <c r="K565" s="62">
        <f t="shared" si="38"/>
        <v>0</v>
      </c>
      <c r="L565" s="62">
        <f t="shared" si="38"/>
        <v>0</v>
      </c>
      <c r="M565" s="62">
        <f t="shared" si="38"/>
        <v>0</v>
      </c>
      <c r="N565" s="62">
        <f t="shared" si="37"/>
        <v>1</v>
      </c>
      <c r="O565" s="62">
        <f t="shared" si="37"/>
        <v>0</v>
      </c>
      <c r="P565" s="62">
        <f t="shared" si="37"/>
        <v>0</v>
      </c>
      <c r="Q565" s="62">
        <f t="shared" si="37"/>
        <v>0</v>
      </c>
      <c r="R565" s="62">
        <f t="shared" si="40"/>
        <v>0</v>
      </c>
      <c r="S565" s="62">
        <f t="shared" si="40"/>
        <v>0</v>
      </c>
      <c r="T565" s="62">
        <f t="shared" si="40"/>
        <v>0</v>
      </c>
      <c r="U565" s="62">
        <f t="shared" si="40"/>
        <v>0</v>
      </c>
      <c r="V565" s="62">
        <f t="shared" si="39"/>
        <v>0</v>
      </c>
    </row>
    <row r="566" spans="1:22" ht="19.5">
      <c r="A566" s="10" t="s">
        <v>588</v>
      </c>
      <c r="B566" s="10" t="s">
        <v>739</v>
      </c>
      <c r="C566" s="10" t="s">
        <v>13</v>
      </c>
      <c r="J566" s="10" t="s">
        <v>588</v>
      </c>
      <c r="K566" s="62">
        <f t="shared" si="38"/>
        <v>0</v>
      </c>
      <c r="L566" s="62">
        <f t="shared" si="38"/>
        <v>0</v>
      </c>
      <c r="M566" s="62">
        <f t="shared" si="38"/>
        <v>0</v>
      </c>
      <c r="N566" s="62">
        <f t="shared" si="37"/>
        <v>0</v>
      </c>
      <c r="O566" s="62">
        <f t="shared" si="37"/>
        <v>0</v>
      </c>
      <c r="P566" s="62">
        <f t="shared" si="37"/>
        <v>1</v>
      </c>
      <c r="Q566" s="62">
        <f t="shared" si="37"/>
        <v>0</v>
      </c>
      <c r="R566" s="62">
        <f t="shared" si="40"/>
        <v>0</v>
      </c>
      <c r="S566" s="62">
        <f t="shared" si="40"/>
        <v>0</v>
      </c>
      <c r="T566" s="62">
        <f t="shared" si="40"/>
        <v>0</v>
      </c>
      <c r="U566" s="62">
        <f t="shared" si="40"/>
        <v>0</v>
      </c>
      <c r="V566" s="62">
        <f t="shared" si="39"/>
        <v>1</v>
      </c>
    </row>
    <row r="567" spans="1:22" ht="19.5">
      <c r="A567" s="10" t="s">
        <v>589</v>
      </c>
      <c r="B567" s="10" t="s">
        <v>39</v>
      </c>
      <c r="C567" s="10" t="s">
        <v>13</v>
      </c>
      <c r="J567" s="10" t="s">
        <v>589</v>
      </c>
      <c r="K567" s="62">
        <f t="shared" si="38"/>
        <v>1</v>
      </c>
      <c r="L567" s="62">
        <f t="shared" si="38"/>
        <v>0</v>
      </c>
      <c r="M567" s="62">
        <f t="shared" si="38"/>
        <v>0</v>
      </c>
      <c r="N567" s="62">
        <f t="shared" si="37"/>
        <v>0</v>
      </c>
      <c r="O567" s="62">
        <f t="shared" si="37"/>
        <v>0</v>
      </c>
      <c r="P567" s="62">
        <f t="shared" si="37"/>
        <v>0</v>
      </c>
      <c r="Q567" s="62">
        <f t="shared" si="37"/>
        <v>0</v>
      </c>
      <c r="R567" s="62">
        <f t="shared" si="40"/>
        <v>0</v>
      </c>
      <c r="S567" s="62">
        <f t="shared" si="40"/>
        <v>0</v>
      </c>
      <c r="T567" s="62">
        <f t="shared" si="40"/>
        <v>0</v>
      </c>
      <c r="U567" s="62">
        <f t="shared" si="40"/>
        <v>0</v>
      </c>
      <c r="V567" s="62">
        <f t="shared" si="39"/>
        <v>1</v>
      </c>
    </row>
    <row r="568" spans="1:22" ht="19.5">
      <c r="A568" s="10" t="s">
        <v>590</v>
      </c>
      <c r="B568" s="10" t="s">
        <v>42</v>
      </c>
      <c r="C568" s="10" t="s">
        <v>13</v>
      </c>
      <c r="J568" s="10" t="s">
        <v>590</v>
      </c>
      <c r="K568" s="62">
        <f t="shared" si="38"/>
        <v>0</v>
      </c>
      <c r="L568" s="62">
        <f t="shared" si="38"/>
        <v>1</v>
      </c>
      <c r="M568" s="62">
        <f t="shared" si="38"/>
        <v>0</v>
      </c>
      <c r="N568" s="62">
        <f t="shared" si="37"/>
        <v>0</v>
      </c>
      <c r="O568" s="62">
        <f t="shared" si="37"/>
        <v>0</v>
      </c>
      <c r="P568" s="62">
        <f t="shared" si="37"/>
        <v>0</v>
      </c>
      <c r="Q568" s="62">
        <f t="shared" si="37"/>
        <v>0</v>
      </c>
      <c r="R568" s="62">
        <f t="shared" si="40"/>
        <v>0</v>
      </c>
      <c r="S568" s="62">
        <f t="shared" si="40"/>
        <v>0</v>
      </c>
      <c r="T568" s="62">
        <f t="shared" si="40"/>
        <v>0</v>
      </c>
      <c r="U568" s="62">
        <f t="shared" si="40"/>
        <v>0</v>
      </c>
      <c r="V568" s="62">
        <f t="shared" si="39"/>
        <v>1</v>
      </c>
    </row>
    <row r="569" spans="1:22" ht="19.5">
      <c r="A569" s="10" t="s">
        <v>591</v>
      </c>
      <c r="B569" s="10" t="s">
        <v>42</v>
      </c>
      <c r="C569" s="10" t="s">
        <v>13</v>
      </c>
      <c r="J569" s="10" t="s">
        <v>591</v>
      </c>
      <c r="K569" s="62">
        <f t="shared" si="38"/>
        <v>0</v>
      </c>
      <c r="L569" s="62">
        <f t="shared" si="38"/>
        <v>1</v>
      </c>
      <c r="M569" s="62">
        <f t="shared" si="38"/>
        <v>0</v>
      </c>
      <c r="N569" s="62">
        <f t="shared" si="37"/>
        <v>0</v>
      </c>
      <c r="O569" s="62">
        <f t="shared" si="37"/>
        <v>0</v>
      </c>
      <c r="P569" s="62">
        <f t="shared" si="37"/>
        <v>0</v>
      </c>
      <c r="Q569" s="62">
        <f t="shared" si="37"/>
        <v>0</v>
      </c>
      <c r="R569" s="62">
        <f t="shared" si="40"/>
        <v>0</v>
      </c>
      <c r="S569" s="62">
        <f t="shared" si="40"/>
        <v>0</v>
      </c>
      <c r="T569" s="62">
        <f t="shared" si="40"/>
        <v>0</v>
      </c>
      <c r="U569" s="62">
        <f t="shared" si="40"/>
        <v>0</v>
      </c>
      <c r="V569" s="62">
        <f t="shared" si="39"/>
        <v>1</v>
      </c>
    </row>
    <row r="570" spans="1:22" ht="19.5">
      <c r="A570" s="10" t="s">
        <v>592</v>
      </c>
      <c r="B570" s="10" t="s">
        <v>736</v>
      </c>
      <c r="C570" s="10" t="s">
        <v>20</v>
      </c>
      <c r="J570" s="10" t="s">
        <v>592</v>
      </c>
      <c r="K570" s="62">
        <f t="shared" si="38"/>
        <v>0</v>
      </c>
      <c r="L570" s="62">
        <f t="shared" si="38"/>
        <v>0</v>
      </c>
      <c r="M570" s="62">
        <f t="shared" si="38"/>
        <v>0</v>
      </c>
      <c r="N570" s="62">
        <f t="shared" si="37"/>
        <v>0</v>
      </c>
      <c r="O570" s="62">
        <f t="shared" si="37"/>
        <v>0</v>
      </c>
      <c r="P570" s="62">
        <f t="shared" si="37"/>
        <v>0</v>
      </c>
      <c r="Q570" s="62">
        <f t="shared" si="37"/>
        <v>0</v>
      </c>
      <c r="R570" s="62">
        <f t="shared" si="40"/>
        <v>1</v>
      </c>
      <c r="S570" s="62">
        <f t="shared" si="40"/>
        <v>0</v>
      </c>
      <c r="T570" s="62">
        <f t="shared" si="40"/>
        <v>0</v>
      </c>
      <c r="U570" s="62">
        <f t="shared" si="40"/>
        <v>0</v>
      </c>
      <c r="V570" s="62">
        <f t="shared" si="39"/>
        <v>0</v>
      </c>
    </row>
    <row r="571" spans="1:22" ht="19.5">
      <c r="A571" s="10" t="s">
        <v>593</v>
      </c>
      <c r="B571" s="10" t="s">
        <v>737</v>
      </c>
      <c r="C571" s="10" t="s">
        <v>13</v>
      </c>
      <c r="J571" s="10" t="s">
        <v>593</v>
      </c>
      <c r="K571" s="62">
        <f t="shared" si="38"/>
        <v>0</v>
      </c>
      <c r="L571" s="62">
        <f t="shared" si="38"/>
        <v>0</v>
      </c>
      <c r="M571" s="62">
        <f t="shared" si="38"/>
        <v>0</v>
      </c>
      <c r="N571" s="62">
        <f t="shared" si="37"/>
        <v>1</v>
      </c>
      <c r="O571" s="62">
        <f t="shared" si="37"/>
        <v>0</v>
      </c>
      <c r="P571" s="62">
        <f t="shared" si="37"/>
        <v>0</v>
      </c>
      <c r="Q571" s="62">
        <f t="shared" si="37"/>
        <v>0</v>
      </c>
      <c r="R571" s="62">
        <f t="shared" si="40"/>
        <v>0</v>
      </c>
      <c r="S571" s="62">
        <f t="shared" si="40"/>
        <v>0</v>
      </c>
      <c r="T571" s="62">
        <f t="shared" si="40"/>
        <v>0</v>
      </c>
      <c r="U571" s="62">
        <f t="shared" si="40"/>
        <v>0</v>
      </c>
      <c r="V571" s="62">
        <f t="shared" si="39"/>
        <v>1</v>
      </c>
    </row>
    <row r="572" spans="1:22" ht="19.5">
      <c r="A572" s="10" t="s">
        <v>594</v>
      </c>
      <c r="B572" s="10" t="s">
        <v>740</v>
      </c>
      <c r="C572" s="10" t="s">
        <v>13</v>
      </c>
      <c r="J572" s="10" t="s">
        <v>594</v>
      </c>
      <c r="K572" s="62">
        <f t="shared" si="38"/>
        <v>0</v>
      </c>
      <c r="L572" s="62">
        <f t="shared" si="38"/>
        <v>0</v>
      </c>
      <c r="M572" s="62">
        <f t="shared" si="38"/>
        <v>0</v>
      </c>
      <c r="N572" s="62">
        <f t="shared" si="37"/>
        <v>0</v>
      </c>
      <c r="O572" s="62">
        <f t="shared" si="37"/>
        <v>1</v>
      </c>
      <c r="P572" s="62">
        <f t="shared" si="37"/>
        <v>0</v>
      </c>
      <c r="Q572" s="62">
        <f t="shared" si="37"/>
        <v>0</v>
      </c>
      <c r="R572" s="62">
        <f t="shared" si="40"/>
        <v>0</v>
      </c>
      <c r="S572" s="62">
        <f t="shared" si="40"/>
        <v>0</v>
      </c>
      <c r="T572" s="62">
        <f t="shared" si="40"/>
        <v>0</v>
      </c>
      <c r="U572" s="62">
        <f t="shared" si="40"/>
        <v>0</v>
      </c>
      <c r="V572" s="62">
        <f t="shared" si="39"/>
        <v>1</v>
      </c>
    </row>
    <row r="573" spans="1:22" ht="19.5">
      <c r="A573" s="10" t="s">
        <v>595</v>
      </c>
      <c r="B573" s="10" t="s">
        <v>739</v>
      </c>
      <c r="C573" s="10" t="s">
        <v>13</v>
      </c>
      <c r="J573" s="10" t="s">
        <v>595</v>
      </c>
      <c r="K573" s="62">
        <f t="shared" si="38"/>
        <v>0</v>
      </c>
      <c r="L573" s="62">
        <f t="shared" si="38"/>
        <v>0</v>
      </c>
      <c r="M573" s="62">
        <f t="shared" si="38"/>
        <v>0</v>
      </c>
      <c r="N573" s="62">
        <f t="shared" si="37"/>
        <v>0</v>
      </c>
      <c r="O573" s="62">
        <f t="shared" si="37"/>
        <v>0</v>
      </c>
      <c r="P573" s="62">
        <f t="shared" si="37"/>
        <v>1</v>
      </c>
      <c r="Q573" s="62">
        <f t="shared" si="37"/>
        <v>0</v>
      </c>
      <c r="R573" s="62">
        <f t="shared" si="40"/>
        <v>0</v>
      </c>
      <c r="S573" s="62">
        <f t="shared" si="40"/>
        <v>0</v>
      </c>
      <c r="T573" s="62">
        <f t="shared" si="40"/>
        <v>0</v>
      </c>
      <c r="U573" s="62">
        <f t="shared" si="40"/>
        <v>0</v>
      </c>
      <c r="V573" s="62">
        <f t="shared" si="39"/>
        <v>1</v>
      </c>
    </row>
    <row r="574" spans="1:22" ht="19.5">
      <c r="A574" s="10" t="s">
        <v>596</v>
      </c>
      <c r="B574" s="10" t="s">
        <v>39</v>
      </c>
      <c r="C574" s="10" t="s">
        <v>20</v>
      </c>
      <c r="J574" s="10" t="s">
        <v>596</v>
      </c>
      <c r="K574" s="62">
        <f t="shared" si="38"/>
        <v>1</v>
      </c>
      <c r="L574" s="62">
        <f t="shared" si="38"/>
        <v>0</v>
      </c>
      <c r="M574" s="62">
        <f t="shared" si="38"/>
        <v>0</v>
      </c>
      <c r="N574" s="62">
        <f t="shared" si="37"/>
        <v>0</v>
      </c>
      <c r="O574" s="62">
        <f t="shared" si="37"/>
        <v>0</v>
      </c>
      <c r="P574" s="62">
        <f t="shared" si="37"/>
        <v>0</v>
      </c>
      <c r="Q574" s="62">
        <f t="shared" si="37"/>
        <v>0</v>
      </c>
      <c r="R574" s="62">
        <f t="shared" si="40"/>
        <v>0</v>
      </c>
      <c r="S574" s="62">
        <f t="shared" si="40"/>
        <v>0</v>
      </c>
      <c r="T574" s="62">
        <f t="shared" si="40"/>
        <v>0</v>
      </c>
      <c r="U574" s="62">
        <f t="shared" si="40"/>
        <v>0</v>
      </c>
      <c r="V574" s="62">
        <f t="shared" si="39"/>
        <v>0</v>
      </c>
    </row>
    <row r="575" spans="1:22" ht="19.5">
      <c r="A575" s="10" t="s">
        <v>597</v>
      </c>
      <c r="B575" s="10" t="s">
        <v>39</v>
      </c>
      <c r="C575" s="10" t="s">
        <v>20</v>
      </c>
      <c r="J575" s="10" t="s">
        <v>597</v>
      </c>
      <c r="K575" s="62">
        <f t="shared" si="38"/>
        <v>1</v>
      </c>
      <c r="L575" s="62">
        <f t="shared" si="38"/>
        <v>0</v>
      </c>
      <c r="M575" s="62">
        <f t="shared" si="38"/>
        <v>0</v>
      </c>
      <c r="N575" s="62">
        <f t="shared" si="37"/>
        <v>0</v>
      </c>
      <c r="O575" s="62">
        <f t="shared" si="37"/>
        <v>0</v>
      </c>
      <c r="P575" s="62">
        <f t="shared" si="37"/>
        <v>0</v>
      </c>
      <c r="Q575" s="62">
        <f t="shared" si="37"/>
        <v>0</v>
      </c>
      <c r="R575" s="62">
        <f t="shared" si="40"/>
        <v>0</v>
      </c>
      <c r="S575" s="62">
        <f t="shared" si="40"/>
        <v>0</v>
      </c>
      <c r="T575" s="62">
        <f t="shared" si="40"/>
        <v>0</v>
      </c>
      <c r="U575" s="62">
        <f t="shared" si="40"/>
        <v>0</v>
      </c>
      <c r="V575" s="62">
        <f t="shared" si="39"/>
        <v>0</v>
      </c>
    </row>
    <row r="576" spans="1:22" ht="19.5">
      <c r="A576" s="10" t="s">
        <v>598</v>
      </c>
      <c r="B576" s="10" t="s">
        <v>737</v>
      </c>
      <c r="C576" s="10" t="s">
        <v>13</v>
      </c>
      <c r="J576" s="10" t="s">
        <v>598</v>
      </c>
      <c r="K576" s="62">
        <f t="shared" si="38"/>
        <v>0</v>
      </c>
      <c r="L576" s="62">
        <f t="shared" si="38"/>
        <v>0</v>
      </c>
      <c r="M576" s="62">
        <f t="shared" si="38"/>
        <v>0</v>
      </c>
      <c r="N576" s="62">
        <f t="shared" si="37"/>
        <v>1</v>
      </c>
      <c r="O576" s="62">
        <f t="shared" si="37"/>
        <v>0</v>
      </c>
      <c r="P576" s="62">
        <f t="shared" si="37"/>
        <v>0</v>
      </c>
      <c r="Q576" s="62">
        <f t="shared" si="37"/>
        <v>0</v>
      </c>
      <c r="R576" s="62">
        <f t="shared" si="40"/>
        <v>0</v>
      </c>
      <c r="S576" s="62">
        <f t="shared" si="40"/>
        <v>0</v>
      </c>
      <c r="T576" s="62">
        <f t="shared" si="40"/>
        <v>0</v>
      </c>
      <c r="U576" s="62">
        <f t="shared" si="40"/>
        <v>0</v>
      </c>
      <c r="V576" s="62">
        <f t="shared" si="39"/>
        <v>1</v>
      </c>
    </row>
    <row r="577" spans="1:22" ht="19.5">
      <c r="A577" s="10" t="s">
        <v>599</v>
      </c>
      <c r="B577" s="10" t="s">
        <v>740</v>
      </c>
      <c r="C577" s="10" t="s">
        <v>20</v>
      </c>
      <c r="J577" s="10" t="s">
        <v>599</v>
      </c>
      <c r="K577" s="62">
        <f t="shared" si="38"/>
        <v>0</v>
      </c>
      <c r="L577" s="62">
        <f t="shared" si="38"/>
        <v>0</v>
      </c>
      <c r="M577" s="62">
        <f t="shared" si="38"/>
        <v>0</v>
      </c>
      <c r="N577" s="62">
        <f t="shared" si="37"/>
        <v>0</v>
      </c>
      <c r="O577" s="62">
        <f t="shared" si="37"/>
        <v>1</v>
      </c>
      <c r="P577" s="62">
        <f t="shared" si="37"/>
        <v>0</v>
      </c>
      <c r="Q577" s="62">
        <f t="shared" si="37"/>
        <v>0</v>
      </c>
      <c r="R577" s="62">
        <f t="shared" si="40"/>
        <v>0</v>
      </c>
      <c r="S577" s="62">
        <f t="shared" si="40"/>
        <v>0</v>
      </c>
      <c r="T577" s="62">
        <f t="shared" si="40"/>
        <v>0</v>
      </c>
      <c r="U577" s="62">
        <f t="shared" si="40"/>
        <v>0</v>
      </c>
      <c r="V577" s="62">
        <f t="shared" si="39"/>
        <v>0</v>
      </c>
    </row>
    <row r="578" spans="1:22" ht="19.5">
      <c r="A578" s="10" t="s">
        <v>600</v>
      </c>
      <c r="B578" s="10" t="s">
        <v>39</v>
      </c>
      <c r="C578" s="10" t="s">
        <v>13</v>
      </c>
      <c r="J578" s="10" t="s">
        <v>600</v>
      </c>
      <c r="K578" s="62">
        <f t="shared" si="38"/>
        <v>1</v>
      </c>
      <c r="L578" s="62">
        <f t="shared" si="38"/>
        <v>0</v>
      </c>
      <c r="M578" s="62">
        <f t="shared" si="38"/>
        <v>0</v>
      </c>
      <c r="N578" s="62">
        <f t="shared" si="38"/>
        <v>0</v>
      </c>
      <c r="O578" s="62">
        <f t="shared" si="38"/>
        <v>0</v>
      </c>
      <c r="P578" s="62">
        <f t="shared" si="38"/>
        <v>0</v>
      </c>
      <c r="Q578" s="62">
        <f t="shared" si="38"/>
        <v>0</v>
      </c>
      <c r="R578" s="62">
        <f t="shared" si="40"/>
        <v>0</v>
      </c>
      <c r="S578" s="62">
        <f t="shared" si="40"/>
        <v>0</v>
      </c>
      <c r="T578" s="62">
        <f t="shared" si="40"/>
        <v>0</v>
      </c>
      <c r="U578" s="62">
        <f t="shared" si="40"/>
        <v>0</v>
      </c>
      <c r="V578" s="62">
        <f t="shared" si="39"/>
        <v>1</v>
      </c>
    </row>
    <row r="579" spans="1:22" ht="19.5">
      <c r="A579" s="10" t="s">
        <v>601</v>
      </c>
      <c r="B579" s="10" t="s">
        <v>39</v>
      </c>
      <c r="C579" s="10" t="s">
        <v>20</v>
      </c>
      <c r="J579" s="10" t="s">
        <v>601</v>
      </c>
      <c r="K579" s="62">
        <f t="shared" ref="K579:N642" si="41">IF($B579=W$9, 1, 0)</f>
        <v>1</v>
      </c>
      <c r="L579" s="62">
        <f t="shared" si="41"/>
        <v>0</v>
      </c>
      <c r="M579" s="62">
        <f t="shared" si="41"/>
        <v>0</v>
      </c>
      <c r="N579" s="62">
        <f t="shared" si="41"/>
        <v>0</v>
      </c>
      <c r="O579" s="62">
        <f t="shared" ref="O579:S642" si="42">IF($B579=AA$9, 1, 0)</f>
        <v>0</v>
      </c>
      <c r="P579" s="62">
        <f t="shared" si="42"/>
        <v>0</v>
      </c>
      <c r="Q579" s="62">
        <f t="shared" si="42"/>
        <v>0</v>
      </c>
      <c r="R579" s="62">
        <f t="shared" si="40"/>
        <v>0</v>
      </c>
      <c r="S579" s="62">
        <f t="shared" si="40"/>
        <v>0</v>
      </c>
      <c r="T579" s="62">
        <f t="shared" si="40"/>
        <v>0</v>
      </c>
      <c r="U579" s="62">
        <f t="shared" si="40"/>
        <v>0</v>
      </c>
      <c r="V579" s="62">
        <f t="shared" ref="V579:V642" si="43">IF($C579=$V$1, 1, 0)</f>
        <v>0</v>
      </c>
    </row>
    <row r="580" spans="1:22" ht="19.5">
      <c r="A580" s="10" t="s">
        <v>602</v>
      </c>
      <c r="B580" s="10" t="s">
        <v>42</v>
      </c>
      <c r="C580" s="10" t="s">
        <v>13</v>
      </c>
      <c r="J580" s="10" t="s">
        <v>602</v>
      </c>
      <c r="K580" s="62">
        <f t="shared" si="41"/>
        <v>0</v>
      </c>
      <c r="L580" s="62">
        <f t="shared" si="41"/>
        <v>1</v>
      </c>
      <c r="M580" s="62">
        <f t="shared" si="41"/>
        <v>0</v>
      </c>
      <c r="N580" s="62">
        <f t="shared" si="41"/>
        <v>0</v>
      </c>
      <c r="O580" s="62">
        <f t="shared" si="42"/>
        <v>0</v>
      </c>
      <c r="P580" s="62">
        <f t="shared" si="42"/>
        <v>0</v>
      </c>
      <c r="Q580" s="62">
        <f t="shared" si="42"/>
        <v>0</v>
      </c>
      <c r="R580" s="62">
        <f t="shared" si="40"/>
        <v>0</v>
      </c>
      <c r="S580" s="62">
        <f t="shared" si="40"/>
        <v>0</v>
      </c>
      <c r="T580" s="62">
        <f t="shared" si="40"/>
        <v>0</v>
      </c>
      <c r="U580" s="62">
        <f t="shared" si="40"/>
        <v>0</v>
      </c>
      <c r="V580" s="62">
        <f t="shared" si="43"/>
        <v>1</v>
      </c>
    </row>
    <row r="581" spans="1:22" ht="19.5">
      <c r="A581" s="10" t="s">
        <v>603</v>
      </c>
      <c r="B581" s="10" t="s">
        <v>740</v>
      </c>
      <c r="C581" s="10" t="s">
        <v>20</v>
      </c>
      <c r="J581" s="10" t="s">
        <v>603</v>
      </c>
      <c r="K581" s="62">
        <f t="shared" si="41"/>
        <v>0</v>
      </c>
      <c r="L581" s="62">
        <f t="shared" si="41"/>
        <v>0</v>
      </c>
      <c r="M581" s="62">
        <f t="shared" si="41"/>
        <v>0</v>
      </c>
      <c r="N581" s="62">
        <f t="shared" si="41"/>
        <v>0</v>
      </c>
      <c r="O581" s="62">
        <f t="shared" si="42"/>
        <v>1</v>
      </c>
      <c r="P581" s="62">
        <f t="shared" si="42"/>
        <v>0</v>
      </c>
      <c r="Q581" s="62">
        <f t="shared" si="42"/>
        <v>0</v>
      </c>
      <c r="R581" s="62">
        <f t="shared" si="42"/>
        <v>0</v>
      </c>
      <c r="S581" s="62">
        <f t="shared" si="42"/>
        <v>0</v>
      </c>
      <c r="T581" s="62">
        <f t="shared" ref="T581:U644" si="44">IF($B581=AF$9, 1, 0)</f>
        <v>0</v>
      </c>
      <c r="U581" s="62">
        <f t="shared" si="44"/>
        <v>0</v>
      </c>
      <c r="V581" s="62">
        <f t="shared" si="43"/>
        <v>0</v>
      </c>
    </row>
    <row r="582" spans="1:22" ht="19.5">
      <c r="A582" s="10" t="s">
        <v>604</v>
      </c>
      <c r="B582" s="10" t="s">
        <v>740</v>
      </c>
      <c r="C582" s="10" t="s">
        <v>20</v>
      </c>
      <c r="J582" s="10" t="s">
        <v>604</v>
      </c>
      <c r="K582" s="62">
        <f t="shared" si="41"/>
        <v>0</v>
      </c>
      <c r="L582" s="62">
        <f t="shared" si="41"/>
        <v>0</v>
      </c>
      <c r="M582" s="62">
        <f t="shared" si="41"/>
        <v>0</v>
      </c>
      <c r="N582" s="62">
        <f t="shared" si="41"/>
        <v>0</v>
      </c>
      <c r="O582" s="62">
        <f t="shared" si="42"/>
        <v>1</v>
      </c>
      <c r="P582" s="62">
        <f t="shared" si="42"/>
        <v>0</v>
      </c>
      <c r="Q582" s="62">
        <f t="shared" si="42"/>
        <v>0</v>
      </c>
      <c r="R582" s="62">
        <f t="shared" si="42"/>
        <v>0</v>
      </c>
      <c r="S582" s="62">
        <f t="shared" ref="S582:U645" si="45">IF($B582=AE$9, 1, 0)</f>
        <v>0</v>
      </c>
      <c r="T582" s="62">
        <f t="shared" si="44"/>
        <v>0</v>
      </c>
      <c r="U582" s="62">
        <f t="shared" si="44"/>
        <v>0</v>
      </c>
      <c r="V582" s="62">
        <f t="shared" si="43"/>
        <v>0</v>
      </c>
    </row>
    <row r="583" spans="1:22" ht="19.5">
      <c r="A583" s="10" t="s">
        <v>605</v>
      </c>
      <c r="B583" s="10" t="s">
        <v>37</v>
      </c>
      <c r="C583" s="10" t="s">
        <v>20</v>
      </c>
      <c r="J583" s="10" t="s">
        <v>605</v>
      </c>
      <c r="K583" s="62">
        <f t="shared" si="41"/>
        <v>0</v>
      </c>
      <c r="L583" s="62">
        <f t="shared" si="41"/>
        <v>0</v>
      </c>
      <c r="M583" s="62">
        <f t="shared" si="41"/>
        <v>1</v>
      </c>
      <c r="N583" s="62">
        <f t="shared" si="41"/>
        <v>0</v>
      </c>
      <c r="O583" s="62">
        <f t="shared" si="42"/>
        <v>0</v>
      </c>
      <c r="P583" s="62">
        <f t="shared" si="42"/>
        <v>0</v>
      </c>
      <c r="Q583" s="62">
        <f t="shared" si="42"/>
        <v>0</v>
      </c>
      <c r="R583" s="62">
        <f t="shared" si="42"/>
        <v>0</v>
      </c>
      <c r="S583" s="62">
        <f t="shared" si="45"/>
        <v>0</v>
      </c>
      <c r="T583" s="62">
        <f t="shared" si="44"/>
        <v>0</v>
      </c>
      <c r="U583" s="62">
        <f t="shared" si="44"/>
        <v>0</v>
      </c>
      <c r="V583" s="62">
        <f t="shared" si="43"/>
        <v>0</v>
      </c>
    </row>
    <row r="584" spans="1:22" ht="19.5">
      <c r="A584" s="10" t="s">
        <v>606</v>
      </c>
      <c r="B584" s="10" t="s">
        <v>39</v>
      </c>
      <c r="C584" s="10" t="s">
        <v>13</v>
      </c>
      <c r="J584" s="10" t="s">
        <v>606</v>
      </c>
      <c r="K584" s="62">
        <f t="shared" si="41"/>
        <v>1</v>
      </c>
      <c r="L584" s="62">
        <f t="shared" si="41"/>
        <v>0</v>
      </c>
      <c r="M584" s="62">
        <f t="shared" si="41"/>
        <v>0</v>
      </c>
      <c r="N584" s="62">
        <f t="shared" si="41"/>
        <v>0</v>
      </c>
      <c r="O584" s="62">
        <f t="shared" si="42"/>
        <v>0</v>
      </c>
      <c r="P584" s="62">
        <f t="shared" si="42"/>
        <v>0</v>
      </c>
      <c r="Q584" s="62">
        <f t="shared" si="42"/>
        <v>0</v>
      </c>
      <c r="R584" s="62">
        <f t="shared" si="42"/>
        <v>0</v>
      </c>
      <c r="S584" s="62">
        <f t="shared" si="45"/>
        <v>0</v>
      </c>
      <c r="T584" s="62">
        <f t="shared" si="44"/>
        <v>0</v>
      </c>
      <c r="U584" s="62">
        <f t="shared" si="44"/>
        <v>0</v>
      </c>
      <c r="V584" s="62">
        <f t="shared" si="43"/>
        <v>1</v>
      </c>
    </row>
    <row r="585" spans="1:22" ht="19.5">
      <c r="A585" s="10" t="s">
        <v>607</v>
      </c>
      <c r="B585" s="10" t="s">
        <v>39</v>
      </c>
      <c r="C585" s="10" t="s">
        <v>20</v>
      </c>
      <c r="J585" s="10" t="s">
        <v>607</v>
      </c>
      <c r="K585" s="62">
        <f t="shared" si="41"/>
        <v>1</v>
      </c>
      <c r="L585" s="62">
        <f t="shared" si="41"/>
        <v>0</v>
      </c>
      <c r="M585" s="62">
        <f t="shared" si="41"/>
        <v>0</v>
      </c>
      <c r="N585" s="62">
        <f t="shared" si="41"/>
        <v>0</v>
      </c>
      <c r="O585" s="62">
        <f t="shared" si="42"/>
        <v>0</v>
      </c>
      <c r="P585" s="62">
        <f t="shared" si="42"/>
        <v>0</v>
      </c>
      <c r="Q585" s="62">
        <f t="shared" si="42"/>
        <v>0</v>
      </c>
      <c r="R585" s="62">
        <f t="shared" si="42"/>
        <v>0</v>
      </c>
      <c r="S585" s="62">
        <f t="shared" si="45"/>
        <v>0</v>
      </c>
      <c r="T585" s="62">
        <f t="shared" si="44"/>
        <v>0</v>
      </c>
      <c r="U585" s="62">
        <f t="shared" si="44"/>
        <v>0</v>
      </c>
      <c r="V585" s="62">
        <f t="shared" si="43"/>
        <v>0</v>
      </c>
    </row>
    <row r="586" spans="1:22" ht="19.5">
      <c r="A586" s="10" t="s">
        <v>608</v>
      </c>
      <c r="B586" s="10" t="s">
        <v>42</v>
      </c>
      <c r="C586" s="10" t="s">
        <v>13</v>
      </c>
      <c r="J586" s="10" t="s">
        <v>608</v>
      </c>
      <c r="K586" s="62">
        <f t="shared" si="41"/>
        <v>0</v>
      </c>
      <c r="L586" s="62">
        <f t="shared" si="41"/>
        <v>1</v>
      </c>
      <c r="M586" s="62">
        <f t="shared" si="41"/>
        <v>0</v>
      </c>
      <c r="N586" s="62">
        <f t="shared" si="41"/>
        <v>0</v>
      </c>
      <c r="O586" s="62">
        <f t="shared" si="42"/>
        <v>0</v>
      </c>
      <c r="P586" s="62">
        <f t="shared" si="42"/>
        <v>0</v>
      </c>
      <c r="Q586" s="62">
        <f t="shared" si="42"/>
        <v>0</v>
      </c>
      <c r="R586" s="62">
        <f t="shared" si="42"/>
        <v>0</v>
      </c>
      <c r="S586" s="62">
        <f t="shared" si="45"/>
        <v>0</v>
      </c>
      <c r="T586" s="62">
        <f t="shared" si="44"/>
        <v>0</v>
      </c>
      <c r="U586" s="62">
        <f t="shared" si="44"/>
        <v>0</v>
      </c>
      <c r="V586" s="62">
        <f t="shared" si="43"/>
        <v>1</v>
      </c>
    </row>
    <row r="587" spans="1:22" ht="19.5">
      <c r="A587" s="10" t="s">
        <v>609</v>
      </c>
      <c r="B587" s="10" t="s">
        <v>42</v>
      </c>
      <c r="C587" s="10" t="s">
        <v>13</v>
      </c>
      <c r="J587" s="10" t="s">
        <v>609</v>
      </c>
      <c r="K587" s="62">
        <f t="shared" si="41"/>
        <v>0</v>
      </c>
      <c r="L587" s="62">
        <f t="shared" si="41"/>
        <v>1</v>
      </c>
      <c r="M587" s="62">
        <f t="shared" si="41"/>
        <v>0</v>
      </c>
      <c r="N587" s="62">
        <f t="shared" si="41"/>
        <v>0</v>
      </c>
      <c r="O587" s="62">
        <f t="shared" si="42"/>
        <v>0</v>
      </c>
      <c r="P587" s="62">
        <f t="shared" si="42"/>
        <v>0</v>
      </c>
      <c r="Q587" s="62">
        <f t="shared" si="42"/>
        <v>0</v>
      </c>
      <c r="R587" s="62">
        <f t="shared" si="42"/>
        <v>0</v>
      </c>
      <c r="S587" s="62">
        <f t="shared" si="45"/>
        <v>0</v>
      </c>
      <c r="T587" s="62">
        <f t="shared" si="44"/>
        <v>0</v>
      </c>
      <c r="U587" s="62">
        <f t="shared" si="44"/>
        <v>0</v>
      </c>
      <c r="V587" s="62">
        <f t="shared" si="43"/>
        <v>1</v>
      </c>
    </row>
    <row r="588" spans="1:22" ht="19.5">
      <c r="A588" s="10" t="s">
        <v>610</v>
      </c>
      <c r="B588" s="10" t="s">
        <v>737</v>
      </c>
      <c r="C588" s="10" t="s">
        <v>13</v>
      </c>
      <c r="J588" s="10" t="s">
        <v>610</v>
      </c>
      <c r="K588" s="62">
        <f t="shared" si="41"/>
        <v>0</v>
      </c>
      <c r="L588" s="62">
        <f t="shared" si="41"/>
        <v>0</v>
      </c>
      <c r="M588" s="62">
        <f t="shared" si="41"/>
        <v>0</v>
      </c>
      <c r="N588" s="62">
        <f t="shared" si="41"/>
        <v>1</v>
      </c>
      <c r="O588" s="62">
        <f t="shared" si="42"/>
        <v>0</v>
      </c>
      <c r="P588" s="62">
        <f t="shared" si="42"/>
        <v>0</v>
      </c>
      <c r="Q588" s="62">
        <f t="shared" si="42"/>
        <v>0</v>
      </c>
      <c r="R588" s="62">
        <f t="shared" si="42"/>
        <v>0</v>
      </c>
      <c r="S588" s="62">
        <f t="shared" si="45"/>
        <v>0</v>
      </c>
      <c r="T588" s="62">
        <f t="shared" si="44"/>
        <v>0</v>
      </c>
      <c r="U588" s="62">
        <f t="shared" si="44"/>
        <v>0</v>
      </c>
      <c r="V588" s="62">
        <f t="shared" si="43"/>
        <v>1</v>
      </c>
    </row>
    <row r="589" spans="1:22" ht="19.5">
      <c r="A589" s="10" t="s">
        <v>611</v>
      </c>
      <c r="B589" s="10" t="s">
        <v>740</v>
      </c>
      <c r="C589" s="10" t="s">
        <v>13</v>
      </c>
      <c r="J589" s="10" t="s">
        <v>611</v>
      </c>
      <c r="K589" s="62">
        <f t="shared" si="41"/>
        <v>0</v>
      </c>
      <c r="L589" s="62">
        <f t="shared" si="41"/>
        <v>0</v>
      </c>
      <c r="M589" s="62">
        <f t="shared" si="41"/>
        <v>0</v>
      </c>
      <c r="N589" s="62">
        <f t="shared" si="41"/>
        <v>0</v>
      </c>
      <c r="O589" s="62">
        <f t="shared" si="42"/>
        <v>1</v>
      </c>
      <c r="P589" s="62">
        <f t="shared" si="42"/>
        <v>0</v>
      </c>
      <c r="Q589" s="62">
        <f t="shared" si="42"/>
        <v>0</v>
      </c>
      <c r="R589" s="62">
        <f t="shared" si="42"/>
        <v>0</v>
      </c>
      <c r="S589" s="62">
        <f t="shared" si="45"/>
        <v>0</v>
      </c>
      <c r="T589" s="62">
        <f t="shared" si="44"/>
        <v>0</v>
      </c>
      <c r="U589" s="62">
        <f t="shared" si="44"/>
        <v>0</v>
      </c>
      <c r="V589" s="62">
        <f t="shared" si="43"/>
        <v>1</v>
      </c>
    </row>
    <row r="590" spans="1:22" ht="19.5">
      <c r="A590" s="10" t="s">
        <v>612</v>
      </c>
      <c r="B590" s="10" t="s">
        <v>39</v>
      </c>
      <c r="C590" s="10" t="s">
        <v>20</v>
      </c>
      <c r="J590" s="10" t="s">
        <v>612</v>
      </c>
      <c r="K590" s="62">
        <f t="shared" si="41"/>
        <v>1</v>
      </c>
      <c r="L590" s="62">
        <f t="shared" si="41"/>
        <v>0</v>
      </c>
      <c r="M590" s="62">
        <f t="shared" si="41"/>
        <v>0</v>
      </c>
      <c r="N590" s="62">
        <f t="shared" si="41"/>
        <v>0</v>
      </c>
      <c r="O590" s="62">
        <f t="shared" si="42"/>
        <v>0</v>
      </c>
      <c r="P590" s="62">
        <f t="shared" si="42"/>
        <v>0</v>
      </c>
      <c r="Q590" s="62">
        <f t="shared" si="42"/>
        <v>0</v>
      </c>
      <c r="R590" s="62">
        <f t="shared" si="42"/>
        <v>0</v>
      </c>
      <c r="S590" s="62">
        <f t="shared" si="45"/>
        <v>0</v>
      </c>
      <c r="T590" s="62">
        <f t="shared" si="44"/>
        <v>0</v>
      </c>
      <c r="U590" s="62">
        <f t="shared" si="44"/>
        <v>0</v>
      </c>
      <c r="V590" s="62">
        <f t="shared" si="43"/>
        <v>0</v>
      </c>
    </row>
    <row r="591" spans="1:22" ht="19.5">
      <c r="A591" s="10" t="s">
        <v>613</v>
      </c>
      <c r="B591" s="10" t="s">
        <v>42</v>
      </c>
      <c r="C591" s="10" t="s">
        <v>13</v>
      </c>
      <c r="J591" s="10" t="s">
        <v>613</v>
      </c>
      <c r="K591" s="62">
        <f t="shared" si="41"/>
        <v>0</v>
      </c>
      <c r="L591" s="62">
        <f t="shared" si="41"/>
        <v>1</v>
      </c>
      <c r="M591" s="62">
        <f t="shared" si="41"/>
        <v>0</v>
      </c>
      <c r="N591" s="62">
        <f t="shared" si="41"/>
        <v>0</v>
      </c>
      <c r="O591" s="62">
        <f t="shared" si="42"/>
        <v>0</v>
      </c>
      <c r="P591" s="62">
        <f t="shared" si="42"/>
        <v>0</v>
      </c>
      <c r="Q591" s="62">
        <f t="shared" si="42"/>
        <v>0</v>
      </c>
      <c r="R591" s="62">
        <f t="shared" si="42"/>
        <v>0</v>
      </c>
      <c r="S591" s="62">
        <f t="shared" si="45"/>
        <v>0</v>
      </c>
      <c r="T591" s="62">
        <f t="shared" si="44"/>
        <v>0</v>
      </c>
      <c r="U591" s="62">
        <f t="shared" si="44"/>
        <v>0</v>
      </c>
      <c r="V591" s="62">
        <f t="shared" si="43"/>
        <v>1</v>
      </c>
    </row>
    <row r="592" spans="1:22" ht="19.5">
      <c r="A592" s="10" t="s">
        <v>614</v>
      </c>
      <c r="B592" s="10" t="s">
        <v>736</v>
      </c>
      <c r="C592" s="10" t="s">
        <v>13</v>
      </c>
      <c r="J592" s="10" t="s">
        <v>614</v>
      </c>
      <c r="K592" s="62">
        <f t="shared" si="41"/>
        <v>0</v>
      </c>
      <c r="L592" s="62">
        <f t="shared" si="41"/>
        <v>0</v>
      </c>
      <c r="M592" s="62">
        <f t="shared" si="41"/>
        <v>0</v>
      </c>
      <c r="N592" s="62">
        <f t="shared" si="41"/>
        <v>0</v>
      </c>
      <c r="O592" s="62">
        <f t="shared" si="42"/>
        <v>0</v>
      </c>
      <c r="P592" s="62">
        <f t="shared" si="42"/>
        <v>0</v>
      </c>
      <c r="Q592" s="62">
        <f t="shared" si="42"/>
        <v>0</v>
      </c>
      <c r="R592" s="62">
        <f t="shared" si="42"/>
        <v>1</v>
      </c>
      <c r="S592" s="62">
        <f t="shared" si="45"/>
        <v>0</v>
      </c>
      <c r="T592" s="62">
        <f t="shared" si="44"/>
        <v>0</v>
      </c>
      <c r="U592" s="62">
        <f t="shared" si="44"/>
        <v>0</v>
      </c>
      <c r="V592" s="62">
        <f t="shared" si="43"/>
        <v>1</v>
      </c>
    </row>
    <row r="593" spans="1:22" ht="19.5">
      <c r="A593" s="10" t="s">
        <v>615</v>
      </c>
      <c r="B593" s="10" t="s">
        <v>737</v>
      </c>
      <c r="C593" s="10" t="s">
        <v>13</v>
      </c>
      <c r="J593" s="10" t="s">
        <v>615</v>
      </c>
      <c r="K593" s="62">
        <f t="shared" si="41"/>
        <v>0</v>
      </c>
      <c r="L593" s="62">
        <f t="shared" si="41"/>
        <v>0</v>
      </c>
      <c r="M593" s="62">
        <f t="shared" si="41"/>
        <v>0</v>
      </c>
      <c r="N593" s="62">
        <f t="shared" si="41"/>
        <v>1</v>
      </c>
      <c r="O593" s="62">
        <f t="shared" si="42"/>
        <v>0</v>
      </c>
      <c r="P593" s="62">
        <f t="shared" si="42"/>
        <v>0</v>
      </c>
      <c r="Q593" s="62">
        <f t="shared" si="42"/>
        <v>0</v>
      </c>
      <c r="R593" s="62">
        <f t="shared" si="42"/>
        <v>0</v>
      </c>
      <c r="S593" s="62">
        <f t="shared" si="45"/>
        <v>0</v>
      </c>
      <c r="T593" s="62">
        <f t="shared" si="44"/>
        <v>0</v>
      </c>
      <c r="U593" s="62">
        <f t="shared" si="44"/>
        <v>0</v>
      </c>
      <c r="V593" s="62">
        <f t="shared" si="43"/>
        <v>1</v>
      </c>
    </row>
    <row r="594" spans="1:22" ht="19.5">
      <c r="A594" s="10" t="s">
        <v>616</v>
      </c>
      <c r="B594" s="10" t="s">
        <v>740</v>
      </c>
      <c r="C594" s="10" t="s">
        <v>13</v>
      </c>
      <c r="J594" s="10" t="s">
        <v>616</v>
      </c>
      <c r="K594" s="62">
        <f t="shared" si="41"/>
        <v>0</v>
      </c>
      <c r="L594" s="62">
        <f t="shared" si="41"/>
        <v>0</v>
      </c>
      <c r="M594" s="62">
        <f t="shared" si="41"/>
        <v>0</v>
      </c>
      <c r="N594" s="62">
        <f t="shared" si="41"/>
        <v>0</v>
      </c>
      <c r="O594" s="62">
        <f t="shared" si="42"/>
        <v>1</v>
      </c>
      <c r="P594" s="62">
        <f t="shared" si="42"/>
        <v>0</v>
      </c>
      <c r="Q594" s="62">
        <f t="shared" si="42"/>
        <v>0</v>
      </c>
      <c r="R594" s="62">
        <f t="shared" si="42"/>
        <v>0</v>
      </c>
      <c r="S594" s="62">
        <f t="shared" si="45"/>
        <v>0</v>
      </c>
      <c r="T594" s="62">
        <f t="shared" si="44"/>
        <v>0</v>
      </c>
      <c r="U594" s="62">
        <f t="shared" si="44"/>
        <v>0</v>
      </c>
      <c r="V594" s="62">
        <f t="shared" si="43"/>
        <v>1</v>
      </c>
    </row>
    <row r="595" spans="1:22" ht="19.5">
      <c r="A595" s="10" t="s">
        <v>617</v>
      </c>
      <c r="B595" s="10" t="s">
        <v>739</v>
      </c>
      <c r="C595" s="10" t="s">
        <v>13</v>
      </c>
      <c r="J595" s="10" t="s">
        <v>617</v>
      </c>
      <c r="K595" s="62">
        <f t="shared" si="41"/>
        <v>0</v>
      </c>
      <c r="L595" s="62">
        <f t="shared" si="41"/>
        <v>0</v>
      </c>
      <c r="M595" s="62">
        <f t="shared" si="41"/>
        <v>0</v>
      </c>
      <c r="N595" s="62">
        <f t="shared" si="41"/>
        <v>0</v>
      </c>
      <c r="O595" s="62">
        <f t="shared" si="42"/>
        <v>0</v>
      </c>
      <c r="P595" s="62">
        <f t="shared" si="42"/>
        <v>1</v>
      </c>
      <c r="Q595" s="62">
        <f t="shared" si="42"/>
        <v>0</v>
      </c>
      <c r="R595" s="62">
        <f t="shared" si="42"/>
        <v>0</v>
      </c>
      <c r="S595" s="62">
        <f t="shared" si="45"/>
        <v>0</v>
      </c>
      <c r="T595" s="62">
        <f t="shared" si="44"/>
        <v>0</v>
      </c>
      <c r="U595" s="62">
        <f t="shared" si="44"/>
        <v>0</v>
      </c>
      <c r="V595" s="62">
        <f t="shared" si="43"/>
        <v>1</v>
      </c>
    </row>
    <row r="596" spans="1:22" ht="19.5">
      <c r="A596" s="10" t="s">
        <v>618</v>
      </c>
      <c r="B596" s="10" t="s">
        <v>37</v>
      </c>
      <c r="C596" s="10" t="s">
        <v>20</v>
      </c>
      <c r="J596" s="10" t="s">
        <v>618</v>
      </c>
      <c r="K596" s="62">
        <f t="shared" si="41"/>
        <v>0</v>
      </c>
      <c r="L596" s="62">
        <f t="shared" si="41"/>
        <v>0</v>
      </c>
      <c r="M596" s="62">
        <f t="shared" si="41"/>
        <v>1</v>
      </c>
      <c r="N596" s="62">
        <f t="shared" si="41"/>
        <v>0</v>
      </c>
      <c r="O596" s="62">
        <f t="shared" si="42"/>
        <v>0</v>
      </c>
      <c r="P596" s="62">
        <f t="shared" si="42"/>
        <v>0</v>
      </c>
      <c r="Q596" s="62">
        <f t="shared" si="42"/>
        <v>0</v>
      </c>
      <c r="R596" s="62">
        <f t="shared" si="42"/>
        <v>0</v>
      </c>
      <c r="S596" s="62">
        <f t="shared" si="45"/>
        <v>0</v>
      </c>
      <c r="T596" s="62">
        <f t="shared" si="44"/>
        <v>0</v>
      </c>
      <c r="U596" s="62">
        <f t="shared" si="44"/>
        <v>0</v>
      </c>
      <c r="V596" s="62">
        <f t="shared" si="43"/>
        <v>0</v>
      </c>
    </row>
    <row r="597" spans="1:22" ht="19.5">
      <c r="A597" s="10" t="s">
        <v>619</v>
      </c>
      <c r="B597" s="10" t="s">
        <v>39</v>
      </c>
      <c r="C597" s="10" t="s">
        <v>13</v>
      </c>
      <c r="J597" s="10" t="s">
        <v>619</v>
      </c>
      <c r="K597" s="62">
        <f t="shared" si="41"/>
        <v>1</v>
      </c>
      <c r="L597" s="62">
        <f t="shared" si="41"/>
        <v>0</v>
      </c>
      <c r="M597" s="62">
        <f t="shared" si="41"/>
        <v>0</v>
      </c>
      <c r="N597" s="62">
        <f t="shared" si="41"/>
        <v>0</v>
      </c>
      <c r="O597" s="62">
        <f t="shared" si="42"/>
        <v>0</v>
      </c>
      <c r="P597" s="62">
        <f t="shared" si="42"/>
        <v>0</v>
      </c>
      <c r="Q597" s="62">
        <f t="shared" si="42"/>
        <v>0</v>
      </c>
      <c r="R597" s="62">
        <f t="shared" si="42"/>
        <v>0</v>
      </c>
      <c r="S597" s="62">
        <f t="shared" si="45"/>
        <v>0</v>
      </c>
      <c r="T597" s="62">
        <f t="shared" si="44"/>
        <v>0</v>
      </c>
      <c r="U597" s="62">
        <f t="shared" si="44"/>
        <v>0</v>
      </c>
      <c r="V597" s="62">
        <f t="shared" si="43"/>
        <v>1</v>
      </c>
    </row>
    <row r="598" spans="1:22" ht="19.5">
      <c r="A598" s="10" t="s">
        <v>620</v>
      </c>
      <c r="B598" s="10" t="s">
        <v>737</v>
      </c>
      <c r="C598" s="10" t="s">
        <v>20</v>
      </c>
      <c r="J598" s="10" t="s">
        <v>620</v>
      </c>
      <c r="K598" s="62">
        <f t="shared" si="41"/>
        <v>0</v>
      </c>
      <c r="L598" s="62">
        <f t="shared" si="41"/>
        <v>0</v>
      </c>
      <c r="M598" s="62">
        <f t="shared" si="41"/>
        <v>0</v>
      </c>
      <c r="N598" s="62">
        <f t="shared" si="41"/>
        <v>1</v>
      </c>
      <c r="O598" s="62">
        <f t="shared" si="42"/>
        <v>0</v>
      </c>
      <c r="P598" s="62">
        <f t="shared" si="42"/>
        <v>0</v>
      </c>
      <c r="Q598" s="62">
        <f t="shared" si="42"/>
        <v>0</v>
      </c>
      <c r="R598" s="62">
        <f t="shared" si="42"/>
        <v>0</v>
      </c>
      <c r="S598" s="62">
        <f t="shared" si="45"/>
        <v>0</v>
      </c>
      <c r="T598" s="62">
        <f t="shared" si="44"/>
        <v>0</v>
      </c>
      <c r="U598" s="62">
        <f t="shared" si="44"/>
        <v>0</v>
      </c>
      <c r="V598" s="62">
        <f t="shared" si="43"/>
        <v>0</v>
      </c>
    </row>
    <row r="599" spans="1:22" ht="19.5">
      <c r="A599" s="10" t="s">
        <v>621</v>
      </c>
      <c r="B599" s="10" t="s">
        <v>740</v>
      </c>
      <c r="C599" s="10" t="s">
        <v>13</v>
      </c>
      <c r="J599" s="10" t="s">
        <v>621</v>
      </c>
      <c r="K599" s="62">
        <f t="shared" si="41"/>
        <v>0</v>
      </c>
      <c r="L599" s="62">
        <f t="shared" si="41"/>
        <v>0</v>
      </c>
      <c r="M599" s="62">
        <f t="shared" si="41"/>
        <v>0</v>
      </c>
      <c r="N599" s="62">
        <f t="shared" si="41"/>
        <v>0</v>
      </c>
      <c r="O599" s="62">
        <f t="shared" si="42"/>
        <v>1</v>
      </c>
      <c r="P599" s="62">
        <f t="shared" si="42"/>
        <v>0</v>
      </c>
      <c r="Q599" s="62">
        <f t="shared" si="42"/>
        <v>0</v>
      </c>
      <c r="R599" s="62">
        <f t="shared" si="42"/>
        <v>0</v>
      </c>
      <c r="S599" s="62">
        <f t="shared" si="45"/>
        <v>0</v>
      </c>
      <c r="T599" s="62">
        <f t="shared" si="44"/>
        <v>0</v>
      </c>
      <c r="U599" s="62">
        <f t="shared" si="44"/>
        <v>0</v>
      </c>
      <c r="V599" s="62">
        <f t="shared" si="43"/>
        <v>1</v>
      </c>
    </row>
    <row r="600" spans="1:22" ht="19.5">
      <c r="A600" s="10" t="s">
        <v>622</v>
      </c>
      <c r="B600" s="10" t="s">
        <v>739</v>
      </c>
      <c r="C600" s="10" t="s">
        <v>13</v>
      </c>
      <c r="J600" s="10" t="s">
        <v>622</v>
      </c>
      <c r="K600" s="62">
        <f t="shared" si="41"/>
        <v>0</v>
      </c>
      <c r="L600" s="62">
        <f t="shared" si="41"/>
        <v>0</v>
      </c>
      <c r="M600" s="62">
        <f t="shared" si="41"/>
        <v>0</v>
      </c>
      <c r="N600" s="62">
        <f t="shared" si="41"/>
        <v>0</v>
      </c>
      <c r="O600" s="62">
        <f t="shared" si="42"/>
        <v>0</v>
      </c>
      <c r="P600" s="62">
        <f t="shared" si="42"/>
        <v>1</v>
      </c>
      <c r="Q600" s="62">
        <f t="shared" si="42"/>
        <v>0</v>
      </c>
      <c r="R600" s="62">
        <f t="shared" si="42"/>
        <v>0</v>
      </c>
      <c r="S600" s="62">
        <f t="shared" si="45"/>
        <v>0</v>
      </c>
      <c r="T600" s="62">
        <f t="shared" si="44"/>
        <v>0</v>
      </c>
      <c r="U600" s="62">
        <f t="shared" si="44"/>
        <v>0</v>
      </c>
      <c r="V600" s="62">
        <f t="shared" si="43"/>
        <v>1</v>
      </c>
    </row>
    <row r="601" spans="1:22" ht="19.5">
      <c r="A601" s="10" t="s">
        <v>623</v>
      </c>
      <c r="B601" s="10" t="s">
        <v>37</v>
      </c>
      <c r="C601" s="10" t="s">
        <v>13</v>
      </c>
      <c r="J601" s="10" t="s">
        <v>623</v>
      </c>
      <c r="K601" s="62">
        <f t="shared" si="41"/>
        <v>0</v>
      </c>
      <c r="L601" s="62">
        <f t="shared" si="41"/>
        <v>0</v>
      </c>
      <c r="M601" s="62">
        <f t="shared" si="41"/>
        <v>1</v>
      </c>
      <c r="N601" s="62">
        <f t="shared" si="41"/>
        <v>0</v>
      </c>
      <c r="O601" s="62">
        <f t="shared" si="42"/>
        <v>0</v>
      </c>
      <c r="P601" s="62">
        <f t="shared" si="42"/>
        <v>0</v>
      </c>
      <c r="Q601" s="62">
        <f t="shared" si="42"/>
        <v>0</v>
      </c>
      <c r="R601" s="62">
        <f t="shared" si="42"/>
        <v>0</v>
      </c>
      <c r="S601" s="62">
        <f t="shared" si="45"/>
        <v>0</v>
      </c>
      <c r="T601" s="62">
        <f t="shared" si="44"/>
        <v>0</v>
      </c>
      <c r="U601" s="62">
        <f t="shared" si="44"/>
        <v>0</v>
      </c>
      <c r="V601" s="62">
        <f t="shared" si="43"/>
        <v>1</v>
      </c>
    </row>
    <row r="602" spans="1:22" ht="19.5">
      <c r="A602" s="10" t="s">
        <v>624</v>
      </c>
      <c r="B602" s="10" t="s">
        <v>39</v>
      </c>
      <c r="C602" s="10" t="s">
        <v>13</v>
      </c>
      <c r="J602" s="10" t="s">
        <v>624</v>
      </c>
      <c r="K602" s="62">
        <f t="shared" si="41"/>
        <v>1</v>
      </c>
      <c r="L602" s="62">
        <f t="shared" si="41"/>
        <v>0</v>
      </c>
      <c r="M602" s="62">
        <f t="shared" si="41"/>
        <v>0</v>
      </c>
      <c r="N602" s="62">
        <f t="shared" si="41"/>
        <v>0</v>
      </c>
      <c r="O602" s="62">
        <f t="shared" si="42"/>
        <v>0</v>
      </c>
      <c r="P602" s="62">
        <f t="shared" si="42"/>
        <v>0</v>
      </c>
      <c r="Q602" s="62">
        <f t="shared" si="42"/>
        <v>0</v>
      </c>
      <c r="R602" s="62">
        <f t="shared" si="42"/>
        <v>0</v>
      </c>
      <c r="S602" s="62">
        <f t="shared" si="45"/>
        <v>0</v>
      </c>
      <c r="T602" s="62">
        <f t="shared" si="44"/>
        <v>0</v>
      </c>
      <c r="U602" s="62">
        <f t="shared" si="44"/>
        <v>0</v>
      </c>
      <c r="V602" s="62">
        <f t="shared" si="43"/>
        <v>1</v>
      </c>
    </row>
    <row r="603" spans="1:22" ht="19.5">
      <c r="A603" s="10" t="s">
        <v>625</v>
      </c>
      <c r="B603" s="10" t="s">
        <v>39</v>
      </c>
      <c r="C603" s="10" t="s">
        <v>13</v>
      </c>
      <c r="J603" s="10" t="s">
        <v>625</v>
      </c>
      <c r="K603" s="62">
        <f t="shared" si="41"/>
        <v>1</v>
      </c>
      <c r="L603" s="62">
        <f t="shared" si="41"/>
        <v>0</v>
      </c>
      <c r="M603" s="62">
        <f t="shared" si="41"/>
        <v>0</v>
      </c>
      <c r="N603" s="62">
        <f t="shared" si="41"/>
        <v>0</v>
      </c>
      <c r="O603" s="62">
        <f t="shared" si="42"/>
        <v>0</v>
      </c>
      <c r="P603" s="62">
        <f t="shared" si="42"/>
        <v>0</v>
      </c>
      <c r="Q603" s="62">
        <f t="shared" si="42"/>
        <v>0</v>
      </c>
      <c r="R603" s="62">
        <f t="shared" si="42"/>
        <v>0</v>
      </c>
      <c r="S603" s="62">
        <f t="shared" si="45"/>
        <v>0</v>
      </c>
      <c r="T603" s="62">
        <f t="shared" si="44"/>
        <v>0</v>
      </c>
      <c r="U603" s="62">
        <f t="shared" si="44"/>
        <v>0</v>
      </c>
      <c r="V603" s="62">
        <f t="shared" si="43"/>
        <v>1</v>
      </c>
    </row>
    <row r="604" spans="1:22" ht="19.5">
      <c r="A604" s="10" t="s">
        <v>626</v>
      </c>
      <c r="B604" s="10" t="s">
        <v>42</v>
      </c>
      <c r="C604" s="10" t="s">
        <v>13</v>
      </c>
      <c r="J604" s="10" t="s">
        <v>626</v>
      </c>
      <c r="K604" s="62">
        <f t="shared" si="41"/>
        <v>0</v>
      </c>
      <c r="L604" s="62">
        <f t="shared" si="41"/>
        <v>1</v>
      </c>
      <c r="M604" s="62">
        <f t="shared" si="41"/>
        <v>0</v>
      </c>
      <c r="N604" s="62">
        <f t="shared" si="41"/>
        <v>0</v>
      </c>
      <c r="O604" s="62">
        <f t="shared" si="42"/>
        <v>0</v>
      </c>
      <c r="P604" s="62">
        <f t="shared" si="42"/>
        <v>0</v>
      </c>
      <c r="Q604" s="62">
        <f t="shared" si="42"/>
        <v>0</v>
      </c>
      <c r="R604" s="62">
        <f t="shared" si="42"/>
        <v>0</v>
      </c>
      <c r="S604" s="62">
        <f t="shared" si="45"/>
        <v>0</v>
      </c>
      <c r="T604" s="62">
        <f t="shared" si="44"/>
        <v>0</v>
      </c>
      <c r="U604" s="62">
        <f t="shared" si="44"/>
        <v>0</v>
      </c>
      <c r="V604" s="62">
        <f t="shared" si="43"/>
        <v>1</v>
      </c>
    </row>
    <row r="605" spans="1:22" ht="19.5">
      <c r="A605" s="10" t="s">
        <v>627</v>
      </c>
      <c r="B605" s="10" t="s">
        <v>628</v>
      </c>
      <c r="C605" s="10" t="s">
        <v>20</v>
      </c>
      <c r="J605" s="10" t="s">
        <v>627</v>
      </c>
      <c r="K605" s="62">
        <f t="shared" si="41"/>
        <v>0</v>
      </c>
      <c r="L605" s="62">
        <f t="shared" si="41"/>
        <v>0</v>
      </c>
      <c r="M605" s="62">
        <f t="shared" si="41"/>
        <v>0</v>
      </c>
      <c r="N605" s="62">
        <f t="shared" si="41"/>
        <v>0</v>
      </c>
      <c r="O605" s="62">
        <f t="shared" si="42"/>
        <v>0</v>
      </c>
      <c r="P605" s="62">
        <f t="shared" si="42"/>
        <v>0</v>
      </c>
      <c r="Q605" s="62">
        <f t="shared" si="42"/>
        <v>1</v>
      </c>
      <c r="R605" s="62">
        <f t="shared" si="42"/>
        <v>0</v>
      </c>
      <c r="S605" s="62">
        <f t="shared" si="45"/>
        <v>0</v>
      </c>
      <c r="T605" s="62">
        <f t="shared" si="44"/>
        <v>0</v>
      </c>
      <c r="U605" s="62">
        <f t="shared" si="44"/>
        <v>0</v>
      </c>
      <c r="V605" s="62">
        <f t="shared" si="43"/>
        <v>0</v>
      </c>
    </row>
    <row r="606" spans="1:22" ht="19.5">
      <c r="A606" s="10" t="s">
        <v>629</v>
      </c>
      <c r="B606" s="10" t="s">
        <v>628</v>
      </c>
      <c r="C606" s="10" t="s">
        <v>20</v>
      </c>
      <c r="J606" s="10" t="s">
        <v>629</v>
      </c>
      <c r="K606" s="62">
        <f t="shared" si="41"/>
        <v>0</v>
      </c>
      <c r="L606" s="62">
        <f t="shared" si="41"/>
        <v>0</v>
      </c>
      <c r="M606" s="62">
        <f t="shared" si="41"/>
        <v>0</v>
      </c>
      <c r="N606" s="62">
        <f t="shared" si="41"/>
        <v>0</v>
      </c>
      <c r="O606" s="62">
        <f t="shared" si="42"/>
        <v>0</v>
      </c>
      <c r="P606" s="62">
        <f t="shared" si="42"/>
        <v>0</v>
      </c>
      <c r="Q606" s="62">
        <f t="shared" si="42"/>
        <v>1</v>
      </c>
      <c r="R606" s="62">
        <f t="shared" si="42"/>
        <v>0</v>
      </c>
      <c r="S606" s="62">
        <f t="shared" si="45"/>
        <v>0</v>
      </c>
      <c r="T606" s="62">
        <f t="shared" si="44"/>
        <v>0</v>
      </c>
      <c r="U606" s="62">
        <f t="shared" si="44"/>
        <v>0</v>
      </c>
      <c r="V606" s="62">
        <f t="shared" si="43"/>
        <v>0</v>
      </c>
    </row>
    <row r="607" spans="1:22" ht="19.5">
      <c r="A607" s="10" t="s">
        <v>630</v>
      </c>
      <c r="B607" s="10" t="s">
        <v>628</v>
      </c>
      <c r="C607" s="10" t="s">
        <v>13</v>
      </c>
      <c r="J607" s="10" t="s">
        <v>630</v>
      </c>
      <c r="K607" s="62">
        <f t="shared" si="41"/>
        <v>0</v>
      </c>
      <c r="L607" s="62">
        <f t="shared" si="41"/>
        <v>0</v>
      </c>
      <c r="M607" s="62">
        <f t="shared" si="41"/>
        <v>0</v>
      </c>
      <c r="N607" s="62">
        <f t="shared" si="41"/>
        <v>0</v>
      </c>
      <c r="O607" s="62">
        <f t="shared" si="42"/>
        <v>0</v>
      </c>
      <c r="P607" s="62">
        <f t="shared" si="42"/>
        <v>0</v>
      </c>
      <c r="Q607" s="62">
        <f t="shared" si="42"/>
        <v>1</v>
      </c>
      <c r="R607" s="62">
        <f t="shared" si="42"/>
        <v>0</v>
      </c>
      <c r="S607" s="62">
        <f t="shared" si="45"/>
        <v>0</v>
      </c>
      <c r="T607" s="62">
        <f t="shared" si="44"/>
        <v>0</v>
      </c>
      <c r="U607" s="62">
        <f t="shared" si="44"/>
        <v>0</v>
      </c>
      <c r="V607" s="62">
        <f t="shared" si="43"/>
        <v>1</v>
      </c>
    </row>
    <row r="608" spans="1:22" ht="19.5">
      <c r="A608" s="10" t="s">
        <v>631</v>
      </c>
      <c r="B608" s="10" t="s">
        <v>628</v>
      </c>
      <c r="C608" s="10" t="s">
        <v>13</v>
      </c>
      <c r="J608" s="10" t="s">
        <v>631</v>
      </c>
      <c r="K608" s="62">
        <f t="shared" si="41"/>
        <v>0</v>
      </c>
      <c r="L608" s="62">
        <f t="shared" si="41"/>
        <v>0</v>
      </c>
      <c r="M608" s="62">
        <f t="shared" si="41"/>
        <v>0</v>
      </c>
      <c r="N608" s="62">
        <f t="shared" si="41"/>
        <v>0</v>
      </c>
      <c r="O608" s="62">
        <f t="shared" si="42"/>
        <v>0</v>
      </c>
      <c r="P608" s="62">
        <f t="shared" si="42"/>
        <v>0</v>
      </c>
      <c r="Q608" s="62">
        <f t="shared" si="42"/>
        <v>1</v>
      </c>
      <c r="R608" s="62">
        <f t="shared" si="42"/>
        <v>0</v>
      </c>
      <c r="S608" s="62">
        <f t="shared" si="45"/>
        <v>0</v>
      </c>
      <c r="T608" s="62">
        <f t="shared" si="44"/>
        <v>0</v>
      </c>
      <c r="U608" s="62">
        <f t="shared" si="44"/>
        <v>0</v>
      </c>
      <c r="V608" s="62">
        <f t="shared" si="43"/>
        <v>1</v>
      </c>
    </row>
    <row r="609" spans="1:22" ht="19.5">
      <c r="A609" s="10" t="s">
        <v>632</v>
      </c>
      <c r="B609" s="10" t="s">
        <v>628</v>
      </c>
      <c r="C609" s="10" t="s">
        <v>13</v>
      </c>
      <c r="J609" s="10" t="s">
        <v>632</v>
      </c>
      <c r="K609" s="62">
        <f t="shared" si="41"/>
        <v>0</v>
      </c>
      <c r="L609" s="62">
        <f t="shared" si="41"/>
        <v>0</v>
      </c>
      <c r="M609" s="62">
        <f t="shared" si="41"/>
        <v>0</v>
      </c>
      <c r="N609" s="62">
        <f t="shared" si="41"/>
        <v>0</v>
      </c>
      <c r="O609" s="62">
        <f t="shared" si="42"/>
        <v>0</v>
      </c>
      <c r="P609" s="62">
        <f t="shared" si="42"/>
        <v>0</v>
      </c>
      <c r="Q609" s="62">
        <f t="shared" si="42"/>
        <v>1</v>
      </c>
      <c r="R609" s="62">
        <f t="shared" si="42"/>
        <v>0</v>
      </c>
      <c r="S609" s="62">
        <f t="shared" si="45"/>
        <v>0</v>
      </c>
      <c r="T609" s="62">
        <f t="shared" si="44"/>
        <v>0</v>
      </c>
      <c r="U609" s="62">
        <f t="shared" si="44"/>
        <v>0</v>
      </c>
      <c r="V609" s="62">
        <f t="shared" si="43"/>
        <v>1</v>
      </c>
    </row>
    <row r="610" spans="1:22" ht="19.5">
      <c r="A610" s="10" t="s">
        <v>633</v>
      </c>
      <c r="B610" s="10" t="s">
        <v>628</v>
      </c>
      <c r="C610" s="10" t="s">
        <v>13</v>
      </c>
      <c r="J610" s="10" t="s">
        <v>633</v>
      </c>
      <c r="K610" s="62">
        <f t="shared" si="41"/>
        <v>0</v>
      </c>
      <c r="L610" s="62">
        <f t="shared" si="41"/>
        <v>0</v>
      </c>
      <c r="M610" s="62">
        <f t="shared" si="41"/>
        <v>0</v>
      </c>
      <c r="N610" s="62">
        <f t="shared" si="41"/>
        <v>0</v>
      </c>
      <c r="O610" s="62">
        <f t="shared" si="42"/>
        <v>0</v>
      </c>
      <c r="P610" s="62">
        <f t="shared" si="42"/>
        <v>0</v>
      </c>
      <c r="Q610" s="62">
        <f t="shared" si="42"/>
        <v>1</v>
      </c>
      <c r="R610" s="62">
        <f t="shared" si="42"/>
        <v>0</v>
      </c>
      <c r="S610" s="62">
        <f t="shared" si="45"/>
        <v>0</v>
      </c>
      <c r="T610" s="62">
        <f t="shared" si="44"/>
        <v>0</v>
      </c>
      <c r="U610" s="62">
        <f t="shared" si="44"/>
        <v>0</v>
      </c>
      <c r="V610" s="62">
        <f t="shared" si="43"/>
        <v>1</v>
      </c>
    </row>
    <row r="611" spans="1:22" ht="19.5">
      <c r="A611" s="10" t="s">
        <v>634</v>
      </c>
      <c r="B611" s="10" t="s">
        <v>628</v>
      </c>
      <c r="C611" s="10" t="s">
        <v>13</v>
      </c>
      <c r="J611" s="10" t="s">
        <v>634</v>
      </c>
      <c r="K611" s="62">
        <f t="shared" si="41"/>
        <v>0</v>
      </c>
      <c r="L611" s="62">
        <f t="shared" si="41"/>
        <v>0</v>
      </c>
      <c r="M611" s="62">
        <f t="shared" si="41"/>
        <v>0</v>
      </c>
      <c r="N611" s="62">
        <f t="shared" si="41"/>
        <v>0</v>
      </c>
      <c r="O611" s="62">
        <f t="shared" si="42"/>
        <v>0</v>
      </c>
      <c r="P611" s="62">
        <f t="shared" si="42"/>
        <v>0</v>
      </c>
      <c r="Q611" s="62">
        <f t="shared" si="42"/>
        <v>1</v>
      </c>
      <c r="R611" s="62">
        <f t="shared" si="42"/>
        <v>0</v>
      </c>
      <c r="S611" s="62">
        <f t="shared" si="45"/>
        <v>0</v>
      </c>
      <c r="T611" s="62">
        <f t="shared" si="44"/>
        <v>0</v>
      </c>
      <c r="U611" s="62">
        <f t="shared" si="44"/>
        <v>0</v>
      </c>
      <c r="V611" s="62">
        <f t="shared" si="43"/>
        <v>1</v>
      </c>
    </row>
    <row r="612" spans="1:22" ht="19.5">
      <c r="A612" s="10" t="s">
        <v>635</v>
      </c>
      <c r="B612" s="10" t="s">
        <v>628</v>
      </c>
      <c r="C612" s="10" t="s">
        <v>13</v>
      </c>
      <c r="J612" s="10" t="s">
        <v>635</v>
      </c>
      <c r="K612" s="62">
        <f t="shared" si="41"/>
        <v>0</v>
      </c>
      <c r="L612" s="62">
        <f t="shared" si="41"/>
        <v>0</v>
      </c>
      <c r="M612" s="62">
        <f t="shared" si="41"/>
        <v>0</v>
      </c>
      <c r="N612" s="62">
        <f t="shared" si="41"/>
        <v>0</v>
      </c>
      <c r="O612" s="62">
        <f t="shared" si="42"/>
        <v>0</v>
      </c>
      <c r="P612" s="62">
        <f t="shared" si="42"/>
        <v>0</v>
      </c>
      <c r="Q612" s="62">
        <f t="shared" si="42"/>
        <v>1</v>
      </c>
      <c r="R612" s="62">
        <f t="shared" si="42"/>
        <v>0</v>
      </c>
      <c r="S612" s="62">
        <f t="shared" si="45"/>
        <v>0</v>
      </c>
      <c r="T612" s="62">
        <f t="shared" si="44"/>
        <v>0</v>
      </c>
      <c r="U612" s="62">
        <f t="shared" si="44"/>
        <v>0</v>
      </c>
      <c r="V612" s="62">
        <f t="shared" si="43"/>
        <v>1</v>
      </c>
    </row>
    <row r="613" spans="1:22" ht="19.5">
      <c r="A613" s="10" t="s">
        <v>636</v>
      </c>
      <c r="B613" s="10" t="s">
        <v>628</v>
      </c>
      <c r="C613" s="10" t="s">
        <v>13</v>
      </c>
      <c r="J613" s="10" t="s">
        <v>636</v>
      </c>
      <c r="K613" s="62">
        <f t="shared" si="41"/>
        <v>0</v>
      </c>
      <c r="L613" s="62">
        <f t="shared" si="41"/>
        <v>0</v>
      </c>
      <c r="M613" s="62">
        <f t="shared" si="41"/>
        <v>0</v>
      </c>
      <c r="N613" s="62">
        <f t="shared" si="41"/>
        <v>0</v>
      </c>
      <c r="O613" s="62">
        <f t="shared" si="42"/>
        <v>0</v>
      </c>
      <c r="P613" s="62">
        <f t="shared" si="42"/>
        <v>0</v>
      </c>
      <c r="Q613" s="62">
        <f t="shared" si="42"/>
        <v>1</v>
      </c>
      <c r="R613" s="62">
        <f t="shared" si="42"/>
        <v>0</v>
      </c>
      <c r="S613" s="62">
        <f t="shared" si="45"/>
        <v>0</v>
      </c>
      <c r="T613" s="62">
        <f t="shared" si="44"/>
        <v>0</v>
      </c>
      <c r="U613" s="62">
        <f t="shared" si="44"/>
        <v>0</v>
      </c>
      <c r="V613" s="62">
        <f t="shared" si="43"/>
        <v>1</v>
      </c>
    </row>
    <row r="614" spans="1:22" ht="19.5">
      <c r="A614" s="10" t="s">
        <v>637</v>
      </c>
      <c r="B614" s="10" t="s">
        <v>628</v>
      </c>
      <c r="C614" s="10" t="s">
        <v>20</v>
      </c>
      <c r="J614" s="10" t="s">
        <v>637</v>
      </c>
      <c r="K614" s="62">
        <f t="shared" si="41"/>
        <v>0</v>
      </c>
      <c r="L614" s="62">
        <f t="shared" si="41"/>
        <v>0</v>
      </c>
      <c r="M614" s="62">
        <f t="shared" si="41"/>
        <v>0</v>
      </c>
      <c r="N614" s="62">
        <f t="shared" si="41"/>
        <v>0</v>
      </c>
      <c r="O614" s="62">
        <f t="shared" si="42"/>
        <v>0</v>
      </c>
      <c r="P614" s="62">
        <f t="shared" si="42"/>
        <v>0</v>
      </c>
      <c r="Q614" s="62">
        <f t="shared" si="42"/>
        <v>1</v>
      </c>
      <c r="R614" s="62">
        <f t="shared" si="42"/>
        <v>0</v>
      </c>
      <c r="S614" s="62">
        <f t="shared" si="45"/>
        <v>0</v>
      </c>
      <c r="T614" s="62">
        <f t="shared" si="44"/>
        <v>0</v>
      </c>
      <c r="U614" s="62">
        <f t="shared" si="44"/>
        <v>0</v>
      </c>
      <c r="V614" s="62">
        <f t="shared" si="43"/>
        <v>0</v>
      </c>
    </row>
    <row r="615" spans="1:22" ht="19.5">
      <c r="A615" s="10" t="s">
        <v>638</v>
      </c>
      <c r="B615" s="10" t="s">
        <v>628</v>
      </c>
      <c r="C615" s="10" t="s">
        <v>20</v>
      </c>
      <c r="J615" s="10" t="s">
        <v>638</v>
      </c>
      <c r="K615" s="62">
        <f t="shared" si="41"/>
        <v>0</v>
      </c>
      <c r="L615" s="62">
        <f t="shared" si="41"/>
        <v>0</v>
      </c>
      <c r="M615" s="62">
        <f t="shared" si="41"/>
        <v>0</v>
      </c>
      <c r="N615" s="62">
        <f t="shared" si="41"/>
        <v>0</v>
      </c>
      <c r="O615" s="62">
        <f t="shared" si="42"/>
        <v>0</v>
      </c>
      <c r="P615" s="62">
        <f t="shared" si="42"/>
        <v>0</v>
      </c>
      <c r="Q615" s="62">
        <f t="shared" si="42"/>
        <v>1</v>
      </c>
      <c r="R615" s="62">
        <f t="shared" si="42"/>
        <v>0</v>
      </c>
      <c r="S615" s="62">
        <f t="shared" si="45"/>
        <v>0</v>
      </c>
      <c r="T615" s="62">
        <f t="shared" si="44"/>
        <v>0</v>
      </c>
      <c r="U615" s="62">
        <f t="shared" si="44"/>
        <v>0</v>
      </c>
      <c r="V615" s="62">
        <f t="shared" si="43"/>
        <v>0</v>
      </c>
    </row>
    <row r="616" spans="1:22" ht="19.5">
      <c r="A616" s="10" t="s">
        <v>639</v>
      </c>
      <c r="B616" s="10" t="s">
        <v>628</v>
      </c>
      <c r="C616" s="10" t="s">
        <v>13</v>
      </c>
      <c r="J616" s="10" t="s">
        <v>639</v>
      </c>
      <c r="K616" s="62">
        <f t="shared" si="41"/>
        <v>0</v>
      </c>
      <c r="L616" s="62">
        <f t="shared" si="41"/>
        <v>0</v>
      </c>
      <c r="M616" s="62">
        <f t="shared" si="41"/>
        <v>0</v>
      </c>
      <c r="N616" s="62">
        <f t="shared" si="41"/>
        <v>0</v>
      </c>
      <c r="O616" s="62">
        <f t="shared" si="42"/>
        <v>0</v>
      </c>
      <c r="P616" s="62">
        <f t="shared" si="42"/>
        <v>0</v>
      </c>
      <c r="Q616" s="62">
        <f t="shared" si="42"/>
        <v>1</v>
      </c>
      <c r="R616" s="62">
        <f t="shared" si="42"/>
        <v>0</v>
      </c>
      <c r="S616" s="62">
        <f t="shared" si="45"/>
        <v>0</v>
      </c>
      <c r="T616" s="62">
        <f t="shared" si="44"/>
        <v>0</v>
      </c>
      <c r="U616" s="62">
        <f t="shared" si="44"/>
        <v>0</v>
      </c>
      <c r="V616" s="62">
        <f t="shared" si="43"/>
        <v>1</v>
      </c>
    </row>
    <row r="617" spans="1:22" ht="19.5">
      <c r="A617" s="10" t="s">
        <v>640</v>
      </c>
      <c r="B617" s="10" t="s">
        <v>628</v>
      </c>
      <c r="C617" s="10" t="s">
        <v>20</v>
      </c>
      <c r="J617" s="10" t="s">
        <v>640</v>
      </c>
      <c r="K617" s="62">
        <f t="shared" si="41"/>
        <v>0</v>
      </c>
      <c r="L617" s="62">
        <f t="shared" si="41"/>
        <v>0</v>
      </c>
      <c r="M617" s="62">
        <f t="shared" si="41"/>
        <v>0</v>
      </c>
      <c r="N617" s="62">
        <f t="shared" si="41"/>
        <v>0</v>
      </c>
      <c r="O617" s="62">
        <f t="shared" si="42"/>
        <v>0</v>
      </c>
      <c r="P617" s="62">
        <f t="shared" si="42"/>
        <v>0</v>
      </c>
      <c r="Q617" s="62">
        <f t="shared" si="42"/>
        <v>1</v>
      </c>
      <c r="R617" s="62">
        <f t="shared" si="42"/>
        <v>0</v>
      </c>
      <c r="S617" s="62">
        <f t="shared" si="45"/>
        <v>0</v>
      </c>
      <c r="T617" s="62">
        <f t="shared" si="44"/>
        <v>0</v>
      </c>
      <c r="U617" s="62">
        <f t="shared" si="44"/>
        <v>0</v>
      </c>
      <c r="V617" s="62">
        <f t="shared" si="43"/>
        <v>0</v>
      </c>
    </row>
    <row r="618" spans="1:22" ht="19.5">
      <c r="A618" s="10" t="s">
        <v>641</v>
      </c>
      <c r="B618" s="10" t="s">
        <v>628</v>
      </c>
      <c r="C618" s="10" t="s">
        <v>13</v>
      </c>
      <c r="J618" s="10" t="s">
        <v>641</v>
      </c>
      <c r="K618" s="62">
        <f t="shared" si="41"/>
        <v>0</v>
      </c>
      <c r="L618" s="62">
        <f t="shared" si="41"/>
        <v>0</v>
      </c>
      <c r="M618" s="62">
        <f t="shared" si="41"/>
        <v>0</v>
      </c>
      <c r="N618" s="62">
        <f t="shared" si="41"/>
        <v>0</v>
      </c>
      <c r="O618" s="62">
        <f t="shared" si="42"/>
        <v>0</v>
      </c>
      <c r="P618" s="62">
        <f t="shared" si="42"/>
        <v>0</v>
      </c>
      <c r="Q618" s="62">
        <f t="shared" si="42"/>
        <v>1</v>
      </c>
      <c r="R618" s="62">
        <f t="shared" si="42"/>
        <v>0</v>
      </c>
      <c r="S618" s="62">
        <f t="shared" si="45"/>
        <v>0</v>
      </c>
      <c r="T618" s="62">
        <f t="shared" si="44"/>
        <v>0</v>
      </c>
      <c r="U618" s="62">
        <f t="shared" si="44"/>
        <v>0</v>
      </c>
      <c r="V618" s="62">
        <f t="shared" si="43"/>
        <v>1</v>
      </c>
    </row>
    <row r="619" spans="1:22" ht="19.5">
      <c r="A619" s="10" t="s">
        <v>642</v>
      </c>
      <c r="B619" s="10" t="s">
        <v>628</v>
      </c>
      <c r="C619" s="10" t="s">
        <v>13</v>
      </c>
      <c r="J619" s="10" t="s">
        <v>642</v>
      </c>
      <c r="K619" s="62">
        <f t="shared" si="41"/>
        <v>0</v>
      </c>
      <c r="L619" s="62">
        <f t="shared" si="41"/>
        <v>0</v>
      </c>
      <c r="M619" s="62">
        <f t="shared" si="41"/>
        <v>0</v>
      </c>
      <c r="N619" s="62">
        <f t="shared" si="41"/>
        <v>0</v>
      </c>
      <c r="O619" s="62">
        <f t="shared" si="42"/>
        <v>0</v>
      </c>
      <c r="P619" s="62">
        <f t="shared" si="42"/>
        <v>0</v>
      </c>
      <c r="Q619" s="62">
        <f t="shared" si="42"/>
        <v>1</v>
      </c>
      <c r="R619" s="62">
        <f t="shared" si="42"/>
        <v>0</v>
      </c>
      <c r="S619" s="62">
        <f t="shared" si="45"/>
        <v>0</v>
      </c>
      <c r="T619" s="62">
        <f t="shared" si="44"/>
        <v>0</v>
      </c>
      <c r="U619" s="62">
        <f t="shared" si="44"/>
        <v>0</v>
      </c>
      <c r="V619" s="62">
        <f t="shared" si="43"/>
        <v>1</v>
      </c>
    </row>
    <row r="620" spans="1:22" ht="19.5">
      <c r="A620" s="10" t="s">
        <v>643</v>
      </c>
      <c r="B620" s="10" t="s">
        <v>740</v>
      </c>
      <c r="C620" s="10" t="s">
        <v>13</v>
      </c>
      <c r="J620" s="10" t="s">
        <v>643</v>
      </c>
      <c r="K620" s="62">
        <f t="shared" si="41"/>
        <v>0</v>
      </c>
      <c r="L620" s="62">
        <f t="shared" si="41"/>
        <v>0</v>
      </c>
      <c r="M620" s="62">
        <f t="shared" si="41"/>
        <v>0</v>
      </c>
      <c r="N620" s="62">
        <f t="shared" si="41"/>
        <v>0</v>
      </c>
      <c r="O620" s="62">
        <f t="shared" si="42"/>
        <v>1</v>
      </c>
      <c r="P620" s="62">
        <f t="shared" si="42"/>
        <v>0</v>
      </c>
      <c r="Q620" s="62">
        <f t="shared" si="42"/>
        <v>0</v>
      </c>
      <c r="R620" s="62">
        <f t="shared" si="42"/>
        <v>0</v>
      </c>
      <c r="S620" s="62">
        <f t="shared" si="45"/>
        <v>0</v>
      </c>
      <c r="T620" s="62">
        <f t="shared" si="44"/>
        <v>0</v>
      </c>
      <c r="U620" s="62">
        <f t="shared" si="44"/>
        <v>0</v>
      </c>
      <c r="V620" s="62">
        <f t="shared" si="43"/>
        <v>1</v>
      </c>
    </row>
    <row r="621" spans="1:22" ht="19.5">
      <c r="A621" s="10" t="s">
        <v>644</v>
      </c>
      <c r="B621" s="10" t="s">
        <v>628</v>
      </c>
      <c r="C621" s="10" t="s">
        <v>20</v>
      </c>
      <c r="J621" s="10" t="s">
        <v>644</v>
      </c>
      <c r="K621" s="62">
        <f t="shared" si="41"/>
        <v>0</v>
      </c>
      <c r="L621" s="62">
        <f t="shared" si="41"/>
        <v>0</v>
      </c>
      <c r="M621" s="62">
        <f t="shared" si="41"/>
        <v>0</v>
      </c>
      <c r="N621" s="62">
        <f t="shared" si="41"/>
        <v>0</v>
      </c>
      <c r="O621" s="62">
        <f t="shared" si="42"/>
        <v>0</v>
      </c>
      <c r="P621" s="62">
        <f t="shared" si="42"/>
        <v>0</v>
      </c>
      <c r="Q621" s="62">
        <f t="shared" si="42"/>
        <v>1</v>
      </c>
      <c r="R621" s="62">
        <f t="shared" si="42"/>
        <v>0</v>
      </c>
      <c r="S621" s="62">
        <f t="shared" si="45"/>
        <v>0</v>
      </c>
      <c r="T621" s="62">
        <f t="shared" si="44"/>
        <v>0</v>
      </c>
      <c r="U621" s="62">
        <f t="shared" si="44"/>
        <v>0</v>
      </c>
      <c r="V621" s="62">
        <f t="shared" si="43"/>
        <v>0</v>
      </c>
    </row>
    <row r="622" spans="1:22" ht="19.5">
      <c r="A622" s="10" t="s">
        <v>645</v>
      </c>
      <c r="B622" s="10" t="s">
        <v>628</v>
      </c>
      <c r="C622" s="10" t="s">
        <v>20</v>
      </c>
      <c r="J622" s="10" t="s">
        <v>645</v>
      </c>
      <c r="K622" s="62">
        <f t="shared" si="41"/>
        <v>0</v>
      </c>
      <c r="L622" s="62">
        <f t="shared" si="41"/>
        <v>0</v>
      </c>
      <c r="M622" s="62">
        <f t="shared" si="41"/>
        <v>0</v>
      </c>
      <c r="N622" s="62">
        <f t="shared" si="41"/>
        <v>0</v>
      </c>
      <c r="O622" s="62">
        <f t="shared" si="42"/>
        <v>0</v>
      </c>
      <c r="P622" s="62">
        <f t="shared" si="42"/>
        <v>0</v>
      </c>
      <c r="Q622" s="62">
        <f t="shared" si="42"/>
        <v>1</v>
      </c>
      <c r="R622" s="62">
        <f t="shared" si="42"/>
        <v>0</v>
      </c>
      <c r="S622" s="62">
        <f t="shared" si="45"/>
        <v>0</v>
      </c>
      <c r="T622" s="62">
        <f t="shared" si="44"/>
        <v>0</v>
      </c>
      <c r="U622" s="62">
        <f t="shared" si="44"/>
        <v>0</v>
      </c>
      <c r="V622" s="62">
        <f t="shared" si="43"/>
        <v>0</v>
      </c>
    </row>
    <row r="623" spans="1:22" ht="19.5">
      <c r="A623" s="10" t="s">
        <v>646</v>
      </c>
      <c r="B623" s="10" t="s">
        <v>628</v>
      </c>
      <c r="C623" s="10" t="s">
        <v>20</v>
      </c>
      <c r="J623" s="10" t="s">
        <v>646</v>
      </c>
      <c r="K623" s="62">
        <f t="shared" si="41"/>
        <v>0</v>
      </c>
      <c r="L623" s="62">
        <f t="shared" si="41"/>
        <v>0</v>
      </c>
      <c r="M623" s="62">
        <f t="shared" si="41"/>
        <v>0</v>
      </c>
      <c r="N623" s="62">
        <f t="shared" si="41"/>
        <v>0</v>
      </c>
      <c r="O623" s="62">
        <f t="shared" si="42"/>
        <v>0</v>
      </c>
      <c r="P623" s="62">
        <f t="shared" si="42"/>
        <v>0</v>
      </c>
      <c r="Q623" s="62">
        <f t="shared" si="42"/>
        <v>1</v>
      </c>
      <c r="R623" s="62">
        <f t="shared" si="42"/>
        <v>0</v>
      </c>
      <c r="S623" s="62">
        <f t="shared" si="45"/>
        <v>0</v>
      </c>
      <c r="T623" s="62">
        <f t="shared" si="44"/>
        <v>0</v>
      </c>
      <c r="U623" s="62">
        <f t="shared" si="44"/>
        <v>0</v>
      </c>
      <c r="V623" s="62">
        <f t="shared" si="43"/>
        <v>0</v>
      </c>
    </row>
    <row r="624" spans="1:22" ht="19.5">
      <c r="A624" s="10" t="s">
        <v>647</v>
      </c>
      <c r="B624" s="10" t="s">
        <v>628</v>
      </c>
      <c r="C624" s="10" t="s">
        <v>13</v>
      </c>
      <c r="J624" s="10" t="s">
        <v>647</v>
      </c>
      <c r="K624" s="62">
        <f t="shared" si="41"/>
        <v>0</v>
      </c>
      <c r="L624" s="62">
        <f t="shared" si="41"/>
        <v>0</v>
      </c>
      <c r="M624" s="62">
        <f t="shared" si="41"/>
        <v>0</v>
      </c>
      <c r="N624" s="62">
        <f t="shared" si="41"/>
        <v>0</v>
      </c>
      <c r="O624" s="62">
        <f t="shared" si="42"/>
        <v>0</v>
      </c>
      <c r="P624" s="62">
        <f t="shared" si="42"/>
        <v>0</v>
      </c>
      <c r="Q624" s="62">
        <f t="shared" si="42"/>
        <v>1</v>
      </c>
      <c r="R624" s="62">
        <f t="shared" si="42"/>
        <v>0</v>
      </c>
      <c r="S624" s="62">
        <f t="shared" si="45"/>
        <v>0</v>
      </c>
      <c r="T624" s="62">
        <f t="shared" si="44"/>
        <v>0</v>
      </c>
      <c r="U624" s="62">
        <f t="shared" si="44"/>
        <v>0</v>
      </c>
      <c r="V624" s="62">
        <f t="shared" si="43"/>
        <v>1</v>
      </c>
    </row>
    <row r="625" spans="1:22" ht="19.5">
      <c r="A625" s="10" t="s">
        <v>648</v>
      </c>
      <c r="B625" s="10" t="s">
        <v>740</v>
      </c>
      <c r="C625" s="10" t="s">
        <v>13</v>
      </c>
      <c r="J625" s="10" t="s">
        <v>648</v>
      </c>
      <c r="K625" s="62">
        <f t="shared" si="41"/>
        <v>0</v>
      </c>
      <c r="L625" s="62">
        <f t="shared" si="41"/>
        <v>0</v>
      </c>
      <c r="M625" s="62">
        <f t="shared" si="41"/>
        <v>0</v>
      </c>
      <c r="N625" s="62">
        <f t="shared" si="41"/>
        <v>0</v>
      </c>
      <c r="O625" s="62">
        <f t="shared" si="42"/>
        <v>1</v>
      </c>
      <c r="P625" s="62">
        <f t="shared" si="42"/>
        <v>0</v>
      </c>
      <c r="Q625" s="62">
        <f t="shared" si="42"/>
        <v>0</v>
      </c>
      <c r="R625" s="62">
        <f t="shared" si="42"/>
        <v>0</v>
      </c>
      <c r="S625" s="62">
        <f t="shared" si="45"/>
        <v>0</v>
      </c>
      <c r="T625" s="62">
        <f t="shared" si="44"/>
        <v>0</v>
      </c>
      <c r="U625" s="62">
        <f t="shared" si="44"/>
        <v>0</v>
      </c>
      <c r="V625" s="62">
        <f t="shared" si="43"/>
        <v>1</v>
      </c>
    </row>
    <row r="626" spans="1:22" ht="19.5">
      <c r="A626" s="10" t="s">
        <v>649</v>
      </c>
      <c r="B626" s="10" t="s">
        <v>734</v>
      </c>
      <c r="C626" s="10" t="s">
        <v>13</v>
      </c>
      <c r="J626" s="10" t="s">
        <v>649</v>
      </c>
      <c r="K626" s="62">
        <f t="shared" si="41"/>
        <v>0</v>
      </c>
      <c r="L626" s="62">
        <f t="shared" si="41"/>
        <v>0</v>
      </c>
      <c r="M626" s="62">
        <f t="shared" si="41"/>
        <v>0</v>
      </c>
      <c r="N626" s="62">
        <f t="shared" si="41"/>
        <v>0</v>
      </c>
      <c r="O626" s="62">
        <f t="shared" si="42"/>
        <v>0</v>
      </c>
      <c r="P626" s="62">
        <f t="shared" si="42"/>
        <v>0</v>
      </c>
      <c r="Q626" s="62">
        <f t="shared" si="42"/>
        <v>0</v>
      </c>
      <c r="R626" s="62">
        <f t="shared" si="42"/>
        <v>0</v>
      </c>
      <c r="S626" s="62">
        <f t="shared" si="45"/>
        <v>1</v>
      </c>
      <c r="T626" s="62">
        <f t="shared" si="44"/>
        <v>0</v>
      </c>
      <c r="U626" s="62">
        <f t="shared" si="44"/>
        <v>0</v>
      </c>
      <c r="V626" s="62">
        <f t="shared" si="43"/>
        <v>1</v>
      </c>
    </row>
    <row r="627" spans="1:22" ht="19.5">
      <c r="A627" s="10" t="s">
        <v>651</v>
      </c>
      <c r="B627" s="10" t="s">
        <v>628</v>
      </c>
      <c r="C627" s="10" t="s">
        <v>20</v>
      </c>
      <c r="J627" s="10" t="s">
        <v>651</v>
      </c>
      <c r="K627" s="62">
        <f t="shared" si="41"/>
        <v>0</v>
      </c>
      <c r="L627" s="62">
        <f t="shared" si="41"/>
        <v>0</v>
      </c>
      <c r="M627" s="62">
        <f t="shared" si="41"/>
        <v>0</v>
      </c>
      <c r="N627" s="62">
        <f t="shared" si="41"/>
        <v>0</v>
      </c>
      <c r="O627" s="62">
        <f t="shared" si="42"/>
        <v>0</v>
      </c>
      <c r="P627" s="62">
        <f t="shared" si="42"/>
        <v>0</v>
      </c>
      <c r="Q627" s="62">
        <f t="shared" si="42"/>
        <v>1</v>
      </c>
      <c r="R627" s="62">
        <f t="shared" si="42"/>
        <v>0</v>
      </c>
      <c r="S627" s="62">
        <f t="shared" si="45"/>
        <v>0</v>
      </c>
      <c r="T627" s="62">
        <f t="shared" si="44"/>
        <v>0</v>
      </c>
      <c r="U627" s="62">
        <f t="shared" si="44"/>
        <v>0</v>
      </c>
      <c r="V627" s="62">
        <f t="shared" si="43"/>
        <v>0</v>
      </c>
    </row>
    <row r="628" spans="1:22" ht="19.5">
      <c r="A628" s="10" t="s">
        <v>652</v>
      </c>
      <c r="B628" s="10" t="s">
        <v>740</v>
      </c>
      <c r="C628" s="10" t="s">
        <v>13</v>
      </c>
      <c r="J628" s="10" t="s">
        <v>652</v>
      </c>
      <c r="K628" s="62">
        <f t="shared" si="41"/>
        <v>0</v>
      </c>
      <c r="L628" s="62">
        <f t="shared" si="41"/>
        <v>0</v>
      </c>
      <c r="M628" s="62">
        <f t="shared" si="41"/>
        <v>0</v>
      </c>
      <c r="N628" s="62">
        <f t="shared" si="41"/>
        <v>0</v>
      </c>
      <c r="O628" s="62">
        <f t="shared" si="42"/>
        <v>1</v>
      </c>
      <c r="P628" s="62">
        <f t="shared" si="42"/>
        <v>0</v>
      </c>
      <c r="Q628" s="62">
        <f t="shared" si="42"/>
        <v>0</v>
      </c>
      <c r="R628" s="62">
        <f t="shared" si="42"/>
        <v>0</v>
      </c>
      <c r="S628" s="62">
        <f t="shared" si="45"/>
        <v>0</v>
      </c>
      <c r="T628" s="62">
        <f t="shared" si="44"/>
        <v>0</v>
      </c>
      <c r="U628" s="62">
        <f t="shared" si="44"/>
        <v>0</v>
      </c>
      <c r="V628" s="62">
        <f t="shared" si="43"/>
        <v>1</v>
      </c>
    </row>
    <row r="629" spans="1:22" ht="19.5">
      <c r="A629" s="10" t="s">
        <v>653</v>
      </c>
      <c r="B629" s="10" t="s">
        <v>628</v>
      </c>
      <c r="C629" s="10" t="s">
        <v>13</v>
      </c>
      <c r="J629" s="10" t="s">
        <v>653</v>
      </c>
      <c r="K629" s="62">
        <f t="shared" si="41"/>
        <v>0</v>
      </c>
      <c r="L629" s="62">
        <f t="shared" si="41"/>
        <v>0</v>
      </c>
      <c r="M629" s="62">
        <f t="shared" si="41"/>
        <v>0</v>
      </c>
      <c r="N629" s="62">
        <f t="shared" si="41"/>
        <v>0</v>
      </c>
      <c r="O629" s="62">
        <f t="shared" si="42"/>
        <v>0</v>
      </c>
      <c r="P629" s="62">
        <f t="shared" si="42"/>
        <v>0</v>
      </c>
      <c r="Q629" s="62">
        <f t="shared" si="42"/>
        <v>1</v>
      </c>
      <c r="R629" s="62">
        <f t="shared" si="42"/>
        <v>0</v>
      </c>
      <c r="S629" s="62">
        <f t="shared" si="45"/>
        <v>0</v>
      </c>
      <c r="T629" s="62">
        <f t="shared" si="44"/>
        <v>0</v>
      </c>
      <c r="U629" s="62">
        <f t="shared" si="44"/>
        <v>0</v>
      </c>
      <c r="V629" s="62">
        <f t="shared" si="43"/>
        <v>1</v>
      </c>
    </row>
    <row r="630" spans="1:22" ht="19.5">
      <c r="A630" s="10" t="s">
        <v>654</v>
      </c>
      <c r="B630" s="10" t="s">
        <v>628</v>
      </c>
      <c r="C630" s="10" t="s">
        <v>20</v>
      </c>
      <c r="J630" s="10" t="s">
        <v>654</v>
      </c>
      <c r="K630" s="62">
        <f t="shared" si="41"/>
        <v>0</v>
      </c>
      <c r="L630" s="62">
        <f t="shared" si="41"/>
        <v>0</v>
      </c>
      <c r="M630" s="62">
        <f t="shared" si="41"/>
        <v>0</v>
      </c>
      <c r="N630" s="62">
        <f t="shared" si="41"/>
        <v>0</v>
      </c>
      <c r="O630" s="62">
        <f t="shared" si="42"/>
        <v>0</v>
      </c>
      <c r="P630" s="62">
        <f t="shared" si="42"/>
        <v>0</v>
      </c>
      <c r="Q630" s="62">
        <f t="shared" si="42"/>
        <v>1</v>
      </c>
      <c r="R630" s="62">
        <f t="shared" si="42"/>
        <v>0</v>
      </c>
      <c r="S630" s="62">
        <f t="shared" si="45"/>
        <v>0</v>
      </c>
      <c r="T630" s="62">
        <f t="shared" si="44"/>
        <v>0</v>
      </c>
      <c r="U630" s="62">
        <f t="shared" si="44"/>
        <v>0</v>
      </c>
      <c r="V630" s="62">
        <f t="shared" si="43"/>
        <v>0</v>
      </c>
    </row>
    <row r="631" spans="1:22" ht="19.5">
      <c r="A631" s="10" t="s">
        <v>655</v>
      </c>
      <c r="B631" s="10" t="s">
        <v>740</v>
      </c>
      <c r="C631" s="10" t="s">
        <v>13</v>
      </c>
      <c r="J631" s="10" t="s">
        <v>655</v>
      </c>
      <c r="K631" s="62">
        <f t="shared" si="41"/>
        <v>0</v>
      </c>
      <c r="L631" s="62">
        <f t="shared" si="41"/>
        <v>0</v>
      </c>
      <c r="M631" s="62">
        <f t="shared" si="41"/>
        <v>0</v>
      </c>
      <c r="N631" s="62">
        <f t="shared" si="41"/>
        <v>0</v>
      </c>
      <c r="O631" s="62">
        <f t="shared" si="42"/>
        <v>1</v>
      </c>
      <c r="P631" s="62">
        <f t="shared" si="42"/>
        <v>0</v>
      </c>
      <c r="Q631" s="62">
        <f t="shared" si="42"/>
        <v>0</v>
      </c>
      <c r="R631" s="62">
        <f t="shared" si="42"/>
        <v>0</v>
      </c>
      <c r="S631" s="62">
        <f t="shared" si="45"/>
        <v>0</v>
      </c>
      <c r="T631" s="62">
        <f t="shared" si="44"/>
        <v>0</v>
      </c>
      <c r="U631" s="62">
        <f t="shared" si="44"/>
        <v>0</v>
      </c>
      <c r="V631" s="62">
        <f t="shared" si="43"/>
        <v>1</v>
      </c>
    </row>
    <row r="632" spans="1:22" ht="19.5">
      <c r="A632" s="10" t="s">
        <v>656</v>
      </c>
      <c r="B632" s="10" t="s">
        <v>628</v>
      </c>
      <c r="C632" s="10" t="s">
        <v>13</v>
      </c>
      <c r="J632" s="10" t="s">
        <v>656</v>
      </c>
      <c r="K632" s="62">
        <f t="shared" si="41"/>
        <v>0</v>
      </c>
      <c r="L632" s="62">
        <f t="shared" si="41"/>
        <v>0</v>
      </c>
      <c r="M632" s="62">
        <f t="shared" si="41"/>
        <v>0</v>
      </c>
      <c r="N632" s="62">
        <f t="shared" si="41"/>
        <v>0</v>
      </c>
      <c r="O632" s="62">
        <f t="shared" si="42"/>
        <v>0</v>
      </c>
      <c r="P632" s="62">
        <f t="shared" si="42"/>
        <v>0</v>
      </c>
      <c r="Q632" s="62">
        <f t="shared" si="42"/>
        <v>1</v>
      </c>
      <c r="R632" s="62">
        <f t="shared" si="42"/>
        <v>0</v>
      </c>
      <c r="S632" s="62">
        <f t="shared" si="45"/>
        <v>0</v>
      </c>
      <c r="T632" s="62">
        <f t="shared" si="44"/>
        <v>0</v>
      </c>
      <c r="U632" s="62">
        <f t="shared" si="44"/>
        <v>0</v>
      </c>
      <c r="V632" s="62">
        <f t="shared" si="43"/>
        <v>1</v>
      </c>
    </row>
    <row r="633" spans="1:22" ht="19.5">
      <c r="A633" s="10" t="s">
        <v>657</v>
      </c>
      <c r="B633" s="10" t="s">
        <v>734</v>
      </c>
      <c r="C633" s="10" t="s">
        <v>13</v>
      </c>
      <c r="J633" s="10" t="s">
        <v>657</v>
      </c>
      <c r="K633" s="62">
        <f t="shared" si="41"/>
        <v>0</v>
      </c>
      <c r="L633" s="62">
        <f t="shared" si="41"/>
        <v>0</v>
      </c>
      <c r="M633" s="62">
        <f t="shared" si="41"/>
        <v>0</v>
      </c>
      <c r="N633" s="62">
        <f t="shared" si="41"/>
        <v>0</v>
      </c>
      <c r="O633" s="62">
        <f t="shared" si="42"/>
        <v>0</v>
      </c>
      <c r="P633" s="62">
        <f t="shared" si="42"/>
        <v>0</v>
      </c>
      <c r="Q633" s="62">
        <f t="shared" si="42"/>
        <v>0</v>
      </c>
      <c r="R633" s="62">
        <f t="shared" si="42"/>
        <v>0</v>
      </c>
      <c r="S633" s="62">
        <f t="shared" si="45"/>
        <v>1</v>
      </c>
      <c r="T633" s="62">
        <f t="shared" si="44"/>
        <v>0</v>
      </c>
      <c r="U633" s="62">
        <f t="shared" si="44"/>
        <v>0</v>
      </c>
      <c r="V633" s="62">
        <f t="shared" si="43"/>
        <v>1</v>
      </c>
    </row>
    <row r="634" spans="1:22" ht="19.5">
      <c r="A634" s="10" t="s">
        <v>658</v>
      </c>
      <c r="B634" s="10" t="s">
        <v>628</v>
      </c>
      <c r="C634" s="10" t="s">
        <v>13</v>
      </c>
      <c r="J634" s="10" t="s">
        <v>658</v>
      </c>
      <c r="K634" s="62">
        <f t="shared" si="41"/>
        <v>0</v>
      </c>
      <c r="L634" s="62">
        <f t="shared" si="41"/>
        <v>0</v>
      </c>
      <c r="M634" s="62">
        <f t="shared" si="41"/>
        <v>0</v>
      </c>
      <c r="N634" s="62">
        <f t="shared" si="41"/>
        <v>0</v>
      </c>
      <c r="O634" s="62">
        <f t="shared" si="42"/>
        <v>0</v>
      </c>
      <c r="P634" s="62">
        <f t="shared" si="42"/>
        <v>0</v>
      </c>
      <c r="Q634" s="62">
        <f t="shared" si="42"/>
        <v>1</v>
      </c>
      <c r="R634" s="62">
        <f t="shared" si="42"/>
        <v>0</v>
      </c>
      <c r="S634" s="62">
        <f t="shared" si="45"/>
        <v>0</v>
      </c>
      <c r="T634" s="62">
        <f t="shared" si="44"/>
        <v>0</v>
      </c>
      <c r="U634" s="62">
        <f t="shared" si="44"/>
        <v>0</v>
      </c>
      <c r="V634" s="62">
        <f t="shared" si="43"/>
        <v>1</v>
      </c>
    </row>
    <row r="635" spans="1:22" ht="19.5">
      <c r="A635" s="10" t="s">
        <v>659</v>
      </c>
      <c r="B635" s="10" t="s">
        <v>628</v>
      </c>
      <c r="C635" s="10" t="s">
        <v>20</v>
      </c>
      <c r="J635" s="10" t="s">
        <v>659</v>
      </c>
      <c r="K635" s="62">
        <f t="shared" si="41"/>
        <v>0</v>
      </c>
      <c r="L635" s="62">
        <f t="shared" si="41"/>
        <v>0</v>
      </c>
      <c r="M635" s="62">
        <f t="shared" si="41"/>
        <v>0</v>
      </c>
      <c r="N635" s="62">
        <f t="shared" si="41"/>
        <v>0</v>
      </c>
      <c r="O635" s="62">
        <f t="shared" si="42"/>
        <v>0</v>
      </c>
      <c r="P635" s="62">
        <f t="shared" si="42"/>
        <v>0</v>
      </c>
      <c r="Q635" s="62">
        <f t="shared" si="42"/>
        <v>1</v>
      </c>
      <c r="R635" s="62">
        <f t="shared" si="42"/>
        <v>0</v>
      </c>
      <c r="S635" s="62">
        <f t="shared" si="45"/>
        <v>0</v>
      </c>
      <c r="T635" s="62">
        <f t="shared" si="44"/>
        <v>0</v>
      </c>
      <c r="U635" s="62">
        <f t="shared" si="44"/>
        <v>0</v>
      </c>
      <c r="V635" s="62">
        <f t="shared" si="43"/>
        <v>0</v>
      </c>
    </row>
    <row r="636" spans="1:22" ht="19.5">
      <c r="A636" s="10" t="s">
        <v>660</v>
      </c>
      <c r="B636" s="10" t="s">
        <v>628</v>
      </c>
      <c r="C636" s="10" t="s">
        <v>20</v>
      </c>
      <c r="J636" s="10" t="s">
        <v>660</v>
      </c>
      <c r="K636" s="62">
        <f t="shared" si="41"/>
        <v>0</v>
      </c>
      <c r="L636" s="62">
        <f t="shared" si="41"/>
        <v>0</v>
      </c>
      <c r="M636" s="62">
        <f t="shared" si="41"/>
        <v>0</v>
      </c>
      <c r="N636" s="62">
        <f t="shared" si="41"/>
        <v>0</v>
      </c>
      <c r="O636" s="62">
        <f t="shared" si="42"/>
        <v>0</v>
      </c>
      <c r="P636" s="62">
        <f t="shared" si="42"/>
        <v>0</v>
      </c>
      <c r="Q636" s="62">
        <f t="shared" si="42"/>
        <v>1</v>
      </c>
      <c r="R636" s="62">
        <f t="shared" si="42"/>
        <v>0</v>
      </c>
      <c r="S636" s="62">
        <f t="shared" si="45"/>
        <v>0</v>
      </c>
      <c r="T636" s="62">
        <f t="shared" si="44"/>
        <v>0</v>
      </c>
      <c r="U636" s="62">
        <f t="shared" si="44"/>
        <v>0</v>
      </c>
      <c r="V636" s="62">
        <f t="shared" si="43"/>
        <v>0</v>
      </c>
    </row>
    <row r="637" spans="1:22" ht="19.5">
      <c r="A637" s="10" t="s">
        <v>661</v>
      </c>
      <c r="B637" s="10" t="s">
        <v>628</v>
      </c>
      <c r="C637" s="10" t="s">
        <v>13</v>
      </c>
      <c r="J637" s="10" t="s">
        <v>661</v>
      </c>
      <c r="K637" s="62">
        <f t="shared" si="41"/>
        <v>0</v>
      </c>
      <c r="L637" s="62">
        <f t="shared" si="41"/>
        <v>0</v>
      </c>
      <c r="M637" s="62">
        <f t="shared" si="41"/>
        <v>0</v>
      </c>
      <c r="N637" s="62">
        <f t="shared" si="41"/>
        <v>0</v>
      </c>
      <c r="O637" s="62">
        <f t="shared" si="42"/>
        <v>0</v>
      </c>
      <c r="P637" s="62">
        <f t="shared" si="42"/>
        <v>0</v>
      </c>
      <c r="Q637" s="62">
        <f t="shared" si="42"/>
        <v>1</v>
      </c>
      <c r="R637" s="62">
        <f t="shared" si="42"/>
        <v>0</v>
      </c>
      <c r="S637" s="62">
        <f t="shared" si="45"/>
        <v>0</v>
      </c>
      <c r="T637" s="62">
        <f t="shared" si="44"/>
        <v>0</v>
      </c>
      <c r="U637" s="62">
        <f t="shared" si="44"/>
        <v>0</v>
      </c>
      <c r="V637" s="62">
        <f t="shared" si="43"/>
        <v>1</v>
      </c>
    </row>
    <row r="638" spans="1:22" ht="19.5">
      <c r="A638" s="10" t="s">
        <v>662</v>
      </c>
      <c r="B638" s="10" t="s">
        <v>734</v>
      </c>
      <c r="C638" s="10" t="s">
        <v>13</v>
      </c>
      <c r="J638" s="10" t="s">
        <v>662</v>
      </c>
      <c r="K638" s="62">
        <f t="shared" si="41"/>
        <v>0</v>
      </c>
      <c r="L638" s="62">
        <f t="shared" si="41"/>
        <v>0</v>
      </c>
      <c r="M638" s="62">
        <f t="shared" si="41"/>
        <v>0</v>
      </c>
      <c r="N638" s="62">
        <f t="shared" si="41"/>
        <v>0</v>
      </c>
      <c r="O638" s="62">
        <f t="shared" si="42"/>
        <v>0</v>
      </c>
      <c r="P638" s="62">
        <f t="shared" si="42"/>
        <v>0</v>
      </c>
      <c r="Q638" s="62">
        <f t="shared" si="42"/>
        <v>0</v>
      </c>
      <c r="R638" s="62">
        <f t="shared" si="42"/>
        <v>0</v>
      </c>
      <c r="S638" s="62">
        <f t="shared" si="45"/>
        <v>1</v>
      </c>
      <c r="T638" s="62">
        <f t="shared" si="44"/>
        <v>0</v>
      </c>
      <c r="U638" s="62">
        <f t="shared" si="44"/>
        <v>0</v>
      </c>
      <c r="V638" s="62">
        <f t="shared" si="43"/>
        <v>1</v>
      </c>
    </row>
    <row r="639" spans="1:22" ht="19.5">
      <c r="A639" s="10" t="s">
        <v>663</v>
      </c>
      <c r="B639" s="10" t="s">
        <v>628</v>
      </c>
      <c r="C639" s="10" t="s">
        <v>13</v>
      </c>
      <c r="J639" s="10" t="s">
        <v>663</v>
      </c>
      <c r="K639" s="62">
        <f t="shared" si="41"/>
        <v>0</v>
      </c>
      <c r="L639" s="62">
        <f t="shared" si="41"/>
        <v>0</v>
      </c>
      <c r="M639" s="62">
        <f t="shared" si="41"/>
        <v>0</v>
      </c>
      <c r="N639" s="62">
        <f t="shared" si="41"/>
        <v>0</v>
      </c>
      <c r="O639" s="62">
        <f t="shared" si="42"/>
        <v>0</v>
      </c>
      <c r="P639" s="62">
        <f t="shared" si="42"/>
        <v>0</v>
      </c>
      <c r="Q639" s="62">
        <f t="shared" si="42"/>
        <v>1</v>
      </c>
      <c r="R639" s="62">
        <f t="shared" si="42"/>
        <v>0</v>
      </c>
      <c r="S639" s="62">
        <f t="shared" si="45"/>
        <v>0</v>
      </c>
      <c r="T639" s="62">
        <f t="shared" si="44"/>
        <v>0</v>
      </c>
      <c r="U639" s="62">
        <f t="shared" si="44"/>
        <v>0</v>
      </c>
      <c r="V639" s="62">
        <f t="shared" si="43"/>
        <v>1</v>
      </c>
    </row>
    <row r="640" spans="1:22" ht="19.5">
      <c r="A640" s="10" t="s">
        <v>664</v>
      </c>
      <c r="B640" s="10" t="s">
        <v>740</v>
      </c>
      <c r="C640" s="10" t="s">
        <v>20</v>
      </c>
      <c r="J640" s="10" t="s">
        <v>664</v>
      </c>
      <c r="K640" s="62">
        <f t="shared" si="41"/>
        <v>0</v>
      </c>
      <c r="L640" s="62">
        <f t="shared" si="41"/>
        <v>0</v>
      </c>
      <c r="M640" s="62">
        <f t="shared" si="41"/>
        <v>0</v>
      </c>
      <c r="N640" s="62">
        <f t="shared" si="41"/>
        <v>0</v>
      </c>
      <c r="O640" s="62">
        <f t="shared" si="42"/>
        <v>1</v>
      </c>
      <c r="P640" s="62">
        <f t="shared" si="42"/>
        <v>0</v>
      </c>
      <c r="Q640" s="62">
        <f t="shared" si="42"/>
        <v>0</v>
      </c>
      <c r="R640" s="62">
        <f t="shared" si="42"/>
        <v>0</v>
      </c>
      <c r="S640" s="62">
        <f t="shared" si="45"/>
        <v>0</v>
      </c>
      <c r="T640" s="62">
        <f t="shared" si="44"/>
        <v>0</v>
      </c>
      <c r="U640" s="62">
        <f t="shared" si="44"/>
        <v>0</v>
      </c>
      <c r="V640" s="62">
        <f t="shared" si="43"/>
        <v>0</v>
      </c>
    </row>
    <row r="641" spans="1:22" ht="19.5">
      <c r="A641" s="10" t="s">
        <v>665</v>
      </c>
      <c r="B641" s="10" t="s">
        <v>740</v>
      </c>
      <c r="C641" s="10" t="s">
        <v>13</v>
      </c>
      <c r="J641" s="10" t="s">
        <v>665</v>
      </c>
      <c r="K641" s="62">
        <f t="shared" si="41"/>
        <v>0</v>
      </c>
      <c r="L641" s="62">
        <f t="shared" si="41"/>
        <v>0</v>
      </c>
      <c r="M641" s="62">
        <f t="shared" si="41"/>
        <v>0</v>
      </c>
      <c r="N641" s="62">
        <f t="shared" si="41"/>
        <v>0</v>
      </c>
      <c r="O641" s="62">
        <f t="shared" si="42"/>
        <v>1</v>
      </c>
      <c r="P641" s="62">
        <f t="shared" si="42"/>
        <v>0</v>
      </c>
      <c r="Q641" s="62">
        <f t="shared" si="42"/>
        <v>0</v>
      </c>
      <c r="R641" s="62">
        <f t="shared" si="42"/>
        <v>0</v>
      </c>
      <c r="S641" s="62">
        <f t="shared" si="45"/>
        <v>0</v>
      </c>
      <c r="T641" s="62">
        <f t="shared" si="44"/>
        <v>0</v>
      </c>
      <c r="U641" s="62">
        <f t="shared" si="44"/>
        <v>0</v>
      </c>
      <c r="V641" s="62">
        <f t="shared" si="43"/>
        <v>1</v>
      </c>
    </row>
    <row r="642" spans="1:22" ht="19.5">
      <c r="A642" s="10" t="s">
        <v>666</v>
      </c>
      <c r="B642" s="10" t="s">
        <v>628</v>
      </c>
      <c r="C642" s="10" t="s">
        <v>13</v>
      </c>
      <c r="J642" s="10" t="s">
        <v>666</v>
      </c>
      <c r="K642" s="62">
        <f t="shared" si="41"/>
        <v>0</v>
      </c>
      <c r="L642" s="62">
        <f t="shared" si="41"/>
        <v>0</v>
      </c>
      <c r="M642" s="62">
        <f t="shared" si="41"/>
        <v>0</v>
      </c>
      <c r="N642" s="62">
        <f t="shared" ref="N642:T683" si="46">IF($B642=Z$9, 1, 0)</f>
        <v>0</v>
      </c>
      <c r="O642" s="62">
        <f t="shared" si="42"/>
        <v>0</v>
      </c>
      <c r="P642" s="62">
        <f t="shared" si="42"/>
        <v>0</v>
      </c>
      <c r="Q642" s="62">
        <f t="shared" si="42"/>
        <v>1</v>
      </c>
      <c r="R642" s="62">
        <f t="shared" si="42"/>
        <v>0</v>
      </c>
      <c r="S642" s="62">
        <f t="shared" si="45"/>
        <v>0</v>
      </c>
      <c r="T642" s="62">
        <f t="shared" si="44"/>
        <v>0</v>
      </c>
      <c r="U642" s="62">
        <f t="shared" si="44"/>
        <v>0</v>
      </c>
      <c r="V642" s="62">
        <f t="shared" si="43"/>
        <v>1</v>
      </c>
    </row>
    <row r="643" spans="1:22" ht="19.5">
      <c r="A643" s="10" t="s">
        <v>667</v>
      </c>
      <c r="B643" s="10" t="s">
        <v>740</v>
      </c>
      <c r="C643" s="10" t="s">
        <v>13</v>
      </c>
      <c r="J643" s="10" t="s">
        <v>667</v>
      </c>
      <c r="K643" s="62">
        <f t="shared" ref="K643:M683" si="47">IF($B643=W$9, 1, 0)</f>
        <v>0</v>
      </c>
      <c r="L643" s="62">
        <f t="shared" si="47"/>
        <v>0</v>
      </c>
      <c r="M643" s="62">
        <f t="shared" si="47"/>
        <v>0</v>
      </c>
      <c r="N643" s="62">
        <f t="shared" si="46"/>
        <v>0</v>
      </c>
      <c r="O643" s="62">
        <f t="shared" si="46"/>
        <v>1</v>
      </c>
      <c r="P643" s="62">
        <f t="shared" si="46"/>
        <v>0</v>
      </c>
      <c r="Q643" s="62">
        <f t="shared" si="46"/>
        <v>0</v>
      </c>
      <c r="R643" s="62">
        <f t="shared" si="46"/>
        <v>0</v>
      </c>
      <c r="S643" s="62">
        <f t="shared" si="45"/>
        <v>0</v>
      </c>
      <c r="T643" s="62">
        <f t="shared" si="44"/>
        <v>0</v>
      </c>
      <c r="U643" s="62">
        <f t="shared" si="44"/>
        <v>0</v>
      </c>
      <c r="V643" s="62">
        <f t="shared" ref="V643:V683" si="48">IF($C643=$V$1, 1, 0)</f>
        <v>1</v>
      </c>
    </row>
    <row r="644" spans="1:22" ht="19.5">
      <c r="A644" s="10" t="s">
        <v>668</v>
      </c>
      <c r="B644" s="10" t="s">
        <v>734</v>
      </c>
      <c r="C644" s="10" t="s">
        <v>20</v>
      </c>
      <c r="J644" s="10" t="s">
        <v>668</v>
      </c>
      <c r="K644" s="62">
        <f t="shared" si="47"/>
        <v>0</v>
      </c>
      <c r="L644" s="62">
        <f t="shared" si="47"/>
        <v>0</v>
      </c>
      <c r="M644" s="62">
        <f t="shared" si="47"/>
        <v>0</v>
      </c>
      <c r="N644" s="62">
        <f t="shared" si="46"/>
        <v>0</v>
      </c>
      <c r="O644" s="62">
        <f t="shared" si="46"/>
        <v>0</v>
      </c>
      <c r="P644" s="62">
        <f t="shared" si="46"/>
        <v>0</v>
      </c>
      <c r="Q644" s="62">
        <f t="shared" si="46"/>
        <v>0</v>
      </c>
      <c r="R644" s="62">
        <f t="shared" si="46"/>
        <v>0</v>
      </c>
      <c r="S644" s="62">
        <f t="shared" si="45"/>
        <v>1</v>
      </c>
      <c r="T644" s="62">
        <f t="shared" si="44"/>
        <v>0</v>
      </c>
      <c r="U644" s="62">
        <f t="shared" si="44"/>
        <v>0</v>
      </c>
      <c r="V644" s="62">
        <f t="shared" si="48"/>
        <v>0</v>
      </c>
    </row>
    <row r="645" spans="1:22" ht="19.5">
      <c r="A645" s="10" t="s">
        <v>669</v>
      </c>
      <c r="B645" s="10" t="s">
        <v>734</v>
      </c>
      <c r="C645" s="10" t="s">
        <v>13</v>
      </c>
      <c r="J645" s="10" t="s">
        <v>669</v>
      </c>
      <c r="K645" s="62">
        <f t="shared" si="47"/>
        <v>0</v>
      </c>
      <c r="L645" s="62">
        <f t="shared" si="47"/>
        <v>0</v>
      </c>
      <c r="M645" s="62">
        <f t="shared" si="47"/>
        <v>0</v>
      </c>
      <c r="N645" s="62">
        <f t="shared" si="46"/>
        <v>0</v>
      </c>
      <c r="O645" s="62">
        <f t="shared" si="46"/>
        <v>0</v>
      </c>
      <c r="P645" s="62">
        <f t="shared" si="46"/>
        <v>0</v>
      </c>
      <c r="Q645" s="62">
        <f t="shared" si="46"/>
        <v>0</v>
      </c>
      <c r="R645" s="62">
        <f t="shared" si="46"/>
        <v>0</v>
      </c>
      <c r="S645" s="62">
        <f t="shared" si="45"/>
        <v>1</v>
      </c>
      <c r="T645" s="62">
        <f t="shared" si="45"/>
        <v>0</v>
      </c>
      <c r="U645" s="62">
        <f t="shared" si="45"/>
        <v>0</v>
      </c>
      <c r="V645" s="62">
        <f t="shared" si="48"/>
        <v>1</v>
      </c>
    </row>
    <row r="646" spans="1:22" ht="19.5">
      <c r="A646" s="10" t="s">
        <v>670</v>
      </c>
      <c r="B646" s="10" t="s">
        <v>628</v>
      </c>
      <c r="C646" s="10" t="s">
        <v>13</v>
      </c>
      <c r="J646" s="10" t="s">
        <v>670</v>
      </c>
      <c r="K646" s="62">
        <f t="shared" si="47"/>
        <v>0</v>
      </c>
      <c r="L646" s="62">
        <f t="shared" si="47"/>
        <v>0</v>
      </c>
      <c r="M646" s="62">
        <f t="shared" si="47"/>
        <v>0</v>
      </c>
      <c r="N646" s="62">
        <f t="shared" si="46"/>
        <v>0</v>
      </c>
      <c r="O646" s="62">
        <f t="shared" si="46"/>
        <v>0</v>
      </c>
      <c r="P646" s="62">
        <f t="shared" si="46"/>
        <v>0</v>
      </c>
      <c r="Q646" s="62">
        <f t="shared" si="46"/>
        <v>1</v>
      </c>
      <c r="R646" s="62">
        <f t="shared" si="46"/>
        <v>0</v>
      </c>
      <c r="S646" s="62">
        <f t="shared" si="46"/>
        <v>0</v>
      </c>
      <c r="T646" s="62">
        <f t="shared" si="46"/>
        <v>0</v>
      </c>
      <c r="U646" s="62">
        <f t="shared" ref="U646:U683" si="49">IF($B646=AG$9, 1, 0)</f>
        <v>0</v>
      </c>
      <c r="V646" s="62">
        <f t="shared" si="48"/>
        <v>1</v>
      </c>
    </row>
    <row r="647" spans="1:22" ht="19.5">
      <c r="A647" s="10" t="s">
        <v>671</v>
      </c>
      <c r="B647" s="10" t="s">
        <v>628</v>
      </c>
      <c r="C647" s="10" t="s">
        <v>13</v>
      </c>
      <c r="J647" s="10" t="s">
        <v>671</v>
      </c>
      <c r="K647" s="62">
        <f t="shared" si="47"/>
        <v>0</v>
      </c>
      <c r="L647" s="62">
        <f t="shared" si="47"/>
        <v>0</v>
      </c>
      <c r="M647" s="62">
        <f t="shared" si="47"/>
        <v>0</v>
      </c>
      <c r="N647" s="62">
        <f t="shared" si="46"/>
        <v>0</v>
      </c>
      <c r="O647" s="62">
        <f t="shared" si="46"/>
        <v>0</v>
      </c>
      <c r="P647" s="62">
        <f t="shared" si="46"/>
        <v>0</v>
      </c>
      <c r="Q647" s="62">
        <f t="shared" si="46"/>
        <v>1</v>
      </c>
      <c r="R647" s="62">
        <f t="shared" si="46"/>
        <v>0</v>
      </c>
      <c r="S647" s="62">
        <f t="shared" si="46"/>
        <v>0</v>
      </c>
      <c r="T647" s="62">
        <f t="shared" si="46"/>
        <v>0</v>
      </c>
      <c r="U647" s="62">
        <f t="shared" si="49"/>
        <v>0</v>
      </c>
      <c r="V647" s="62">
        <f t="shared" si="48"/>
        <v>1</v>
      </c>
    </row>
    <row r="648" spans="1:22" ht="19.5">
      <c r="A648" s="10" t="s">
        <v>672</v>
      </c>
      <c r="B648" s="10" t="s">
        <v>740</v>
      </c>
      <c r="C648" s="10" t="s">
        <v>20</v>
      </c>
      <c r="J648" s="10" t="s">
        <v>672</v>
      </c>
      <c r="K648" s="62">
        <f t="shared" si="47"/>
        <v>0</v>
      </c>
      <c r="L648" s="62">
        <f t="shared" si="47"/>
        <v>0</v>
      </c>
      <c r="M648" s="62">
        <f t="shared" si="47"/>
        <v>0</v>
      </c>
      <c r="N648" s="62">
        <f t="shared" si="46"/>
        <v>0</v>
      </c>
      <c r="O648" s="62">
        <f t="shared" si="46"/>
        <v>1</v>
      </c>
      <c r="P648" s="62">
        <f t="shared" si="46"/>
        <v>0</v>
      </c>
      <c r="Q648" s="62">
        <f t="shared" si="46"/>
        <v>0</v>
      </c>
      <c r="R648" s="62">
        <f t="shared" si="46"/>
        <v>0</v>
      </c>
      <c r="S648" s="62">
        <f t="shared" si="46"/>
        <v>0</v>
      </c>
      <c r="T648" s="62">
        <f t="shared" si="46"/>
        <v>0</v>
      </c>
      <c r="U648" s="62">
        <f t="shared" si="49"/>
        <v>0</v>
      </c>
      <c r="V648" s="62">
        <f t="shared" si="48"/>
        <v>0</v>
      </c>
    </row>
    <row r="649" spans="1:22" ht="19.5">
      <c r="A649" s="10" t="s">
        <v>673</v>
      </c>
      <c r="B649" s="10" t="s">
        <v>740</v>
      </c>
      <c r="C649" s="10" t="s">
        <v>13</v>
      </c>
      <c r="J649" s="10" t="s">
        <v>673</v>
      </c>
      <c r="K649" s="62">
        <f t="shared" si="47"/>
        <v>0</v>
      </c>
      <c r="L649" s="62">
        <f t="shared" si="47"/>
        <v>0</v>
      </c>
      <c r="M649" s="62">
        <f t="shared" si="47"/>
        <v>0</v>
      </c>
      <c r="N649" s="62">
        <f t="shared" si="46"/>
        <v>0</v>
      </c>
      <c r="O649" s="62">
        <f t="shared" si="46"/>
        <v>1</v>
      </c>
      <c r="P649" s="62">
        <f t="shared" si="46"/>
        <v>0</v>
      </c>
      <c r="Q649" s="62">
        <f t="shared" si="46"/>
        <v>0</v>
      </c>
      <c r="R649" s="62">
        <f t="shared" si="46"/>
        <v>0</v>
      </c>
      <c r="S649" s="62">
        <f t="shared" si="46"/>
        <v>0</v>
      </c>
      <c r="T649" s="62">
        <f t="shared" si="46"/>
        <v>0</v>
      </c>
      <c r="U649" s="62">
        <f t="shared" si="49"/>
        <v>0</v>
      </c>
      <c r="V649" s="62">
        <f t="shared" si="48"/>
        <v>1</v>
      </c>
    </row>
    <row r="650" spans="1:22" ht="19.5">
      <c r="A650" s="10" t="s">
        <v>674</v>
      </c>
      <c r="B650" s="10" t="s">
        <v>734</v>
      </c>
      <c r="C650" s="10" t="s">
        <v>13</v>
      </c>
      <c r="J650" s="10" t="s">
        <v>674</v>
      </c>
      <c r="K650" s="62">
        <f t="shared" si="47"/>
        <v>0</v>
      </c>
      <c r="L650" s="62">
        <f t="shared" si="47"/>
        <v>0</v>
      </c>
      <c r="M650" s="62">
        <f t="shared" si="47"/>
        <v>0</v>
      </c>
      <c r="N650" s="62">
        <f t="shared" si="46"/>
        <v>0</v>
      </c>
      <c r="O650" s="62">
        <f t="shared" si="46"/>
        <v>0</v>
      </c>
      <c r="P650" s="62">
        <f t="shared" si="46"/>
        <v>0</v>
      </c>
      <c r="Q650" s="62">
        <f t="shared" si="46"/>
        <v>0</v>
      </c>
      <c r="R650" s="62">
        <f t="shared" si="46"/>
        <v>0</v>
      </c>
      <c r="S650" s="62">
        <f t="shared" si="46"/>
        <v>1</v>
      </c>
      <c r="T650" s="62">
        <f t="shared" si="46"/>
        <v>0</v>
      </c>
      <c r="U650" s="62">
        <f t="shared" si="49"/>
        <v>0</v>
      </c>
      <c r="V650" s="62">
        <f t="shared" si="48"/>
        <v>1</v>
      </c>
    </row>
    <row r="651" spans="1:22" ht="19.5">
      <c r="A651" s="10" t="s">
        <v>675</v>
      </c>
      <c r="B651" s="10" t="s">
        <v>628</v>
      </c>
      <c r="C651" s="10" t="s">
        <v>13</v>
      </c>
      <c r="J651" s="10" t="s">
        <v>675</v>
      </c>
      <c r="K651" s="62">
        <f t="shared" si="47"/>
        <v>0</v>
      </c>
      <c r="L651" s="62">
        <f t="shared" si="47"/>
        <v>0</v>
      </c>
      <c r="M651" s="62">
        <f t="shared" si="47"/>
        <v>0</v>
      </c>
      <c r="N651" s="62">
        <f t="shared" si="46"/>
        <v>0</v>
      </c>
      <c r="O651" s="62">
        <f t="shared" si="46"/>
        <v>0</v>
      </c>
      <c r="P651" s="62">
        <f t="shared" si="46"/>
        <v>0</v>
      </c>
      <c r="Q651" s="62">
        <f t="shared" si="46"/>
        <v>1</v>
      </c>
      <c r="R651" s="62">
        <f t="shared" si="46"/>
        <v>0</v>
      </c>
      <c r="S651" s="62">
        <f t="shared" si="46"/>
        <v>0</v>
      </c>
      <c r="T651" s="62">
        <f t="shared" si="46"/>
        <v>0</v>
      </c>
      <c r="U651" s="62">
        <f t="shared" si="49"/>
        <v>0</v>
      </c>
      <c r="V651" s="62">
        <f t="shared" si="48"/>
        <v>1</v>
      </c>
    </row>
    <row r="652" spans="1:22" ht="19.5">
      <c r="A652" s="10" t="s">
        <v>676</v>
      </c>
      <c r="B652" s="10" t="s">
        <v>734</v>
      </c>
      <c r="C652" s="10" t="s">
        <v>13</v>
      </c>
      <c r="J652" s="10" t="s">
        <v>676</v>
      </c>
      <c r="K652" s="62">
        <f t="shared" si="47"/>
        <v>0</v>
      </c>
      <c r="L652" s="62">
        <f t="shared" si="47"/>
        <v>0</v>
      </c>
      <c r="M652" s="62">
        <f t="shared" si="47"/>
        <v>0</v>
      </c>
      <c r="N652" s="62">
        <f t="shared" si="46"/>
        <v>0</v>
      </c>
      <c r="O652" s="62">
        <f t="shared" si="46"/>
        <v>0</v>
      </c>
      <c r="P652" s="62">
        <f t="shared" si="46"/>
        <v>0</v>
      </c>
      <c r="Q652" s="62">
        <f t="shared" si="46"/>
        <v>0</v>
      </c>
      <c r="R652" s="62">
        <f t="shared" si="46"/>
        <v>0</v>
      </c>
      <c r="S652" s="62">
        <f t="shared" si="46"/>
        <v>1</v>
      </c>
      <c r="T652" s="62">
        <f t="shared" si="46"/>
        <v>0</v>
      </c>
      <c r="U652" s="62">
        <f t="shared" si="49"/>
        <v>0</v>
      </c>
      <c r="V652" s="62">
        <f t="shared" si="48"/>
        <v>1</v>
      </c>
    </row>
    <row r="653" spans="1:22" ht="19.5">
      <c r="A653" s="10" t="s">
        <v>677</v>
      </c>
      <c r="B653" s="10" t="s">
        <v>628</v>
      </c>
      <c r="C653" s="10" t="s">
        <v>13</v>
      </c>
      <c r="J653" s="10" t="s">
        <v>677</v>
      </c>
      <c r="K653" s="62">
        <f t="shared" si="47"/>
        <v>0</v>
      </c>
      <c r="L653" s="62">
        <f t="shared" si="47"/>
        <v>0</v>
      </c>
      <c r="M653" s="62">
        <f t="shared" si="47"/>
        <v>0</v>
      </c>
      <c r="N653" s="62">
        <f t="shared" si="46"/>
        <v>0</v>
      </c>
      <c r="O653" s="62">
        <f t="shared" si="46"/>
        <v>0</v>
      </c>
      <c r="P653" s="62">
        <f t="shared" si="46"/>
        <v>0</v>
      </c>
      <c r="Q653" s="62">
        <f t="shared" si="46"/>
        <v>1</v>
      </c>
      <c r="R653" s="62">
        <f t="shared" si="46"/>
        <v>0</v>
      </c>
      <c r="S653" s="62">
        <f t="shared" si="46"/>
        <v>0</v>
      </c>
      <c r="T653" s="62">
        <f t="shared" si="46"/>
        <v>0</v>
      </c>
      <c r="U653" s="62">
        <f t="shared" si="49"/>
        <v>0</v>
      </c>
      <c r="V653" s="62">
        <f t="shared" si="48"/>
        <v>1</v>
      </c>
    </row>
    <row r="654" spans="1:22" ht="19.5">
      <c r="A654" s="10" t="s">
        <v>678</v>
      </c>
      <c r="B654" s="10" t="s">
        <v>740</v>
      </c>
      <c r="C654" s="10" t="s">
        <v>13</v>
      </c>
      <c r="J654" s="10" t="s">
        <v>678</v>
      </c>
      <c r="K654" s="62">
        <f t="shared" si="47"/>
        <v>0</v>
      </c>
      <c r="L654" s="62">
        <f t="shared" si="47"/>
        <v>0</v>
      </c>
      <c r="M654" s="62">
        <f t="shared" si="47"/>
        <v>0</v>
      </c>
      <c r="N654" s="62">
        <f t="shared" si="46"/>
        <v>0</v>
      </c>
      <c r="O654" s="62">
        <f t="shared" si="46"/>
        <v>1</v>
      </c>
      <c r="P654" s="62">
        <f t="shared" si="46"/>
        <v>0</v>
      </c>
      <c r="Q654" s="62">
        <f t="shared" si="46"/>
        <v>0</v>
      </c>
      <c r="R654" s="62">
        <f t="shared" si="46"/>
        <v>0</v>
      </c>
      <c r="S654" s="62">
        <f t="shared" si="46"/>
        <v>0</v>
      </c>
      <c r="T654" s="62">
        <f t="shared" si="46"/>
        <v>0</v>
      </c>
      <c r="U654" s="62">
        <f t="shared" si="49"/>
        <v>0</v>
      </c>
      <c r="V654" s="62">
        <f t="shared" si="48"/>
        <v>1</v>
      </c>
    </row>
    <row r="655" spans="1:22" ht="19.5">
      <c r="A655" s="10" t="s">
        <v>679</v>
      </c>
      <c r="B655" s="10" t="s">
        <v>734</v>
      </c>
      <c r="C655" s="10" t="s">
        <v>13</v>
      </c>
      <c r="J655" s="10" t="s">
        <v>679</v>
      </c>
      <c r="K655" s="62">
        <f t="shared" si="47"/>
        <v>0</v>
      </c>
      <c r="L655" s="62">
        <f t="shared" si="47"/>
        <v>0</v>
      </c>
      <c r="M655" s="62">
        <f t="shared" si="47"/>
        <v>0</v>
      </c>
      <c r="N655" s="62">
        <f t="shared" si="46"/>
        <v>0</v>
      </c>
      <c r="O655" s="62">
        <f t="shared" si="46"/>
        <v>0</v>
      </c>
      <c r="P655" s="62">
        <f t="shared" si="46"/>
        <v>0</v>
      </c>
      <c r="Q655" s="62">
        <f t="shared" si="46"/>
        <v>0</v>
      </c>
      <c r="R655" s="62">
        <f t="shared" si="46"/>
        <v>0</v>
      </c>
      <c r="S655" s="62">
        <f t="shared" si="46"/>
        <v>1</v>
      </c>
      <c r="T655" s="62">
        <f t="shared" si="46"/>
        <v>0</v>
      </c>
      <c r="U655" s="62">
        <f t="shared" si="49"/>
        <v>0</v>
      </c>
      <c r="V655" s="62">
        <f t="shared" si="48"/>
        <v>1</v>
      </c>
    </row>
    <row r="656" spans="1:22" ht="19.5">
      <c r="A656" s="10" t="s">
        <v>680</v>
      </c>
      <c r="B656" s="10" t="s">
        <v>734</v>
      </c>
      <c r="C656" s="10" t="s">
        <v>13</v>
      </c>
      <c r="J656" s="10" t="s">
        <v>680</v>
      </c>
      <c r="K656" s="62">
        <f t="shared" si="47"/>
        <v>0</v>
      </c>
      <c r="L656" s="62">
        <f t="shared" si="47"/>
        <v>0</v>
      </c>
      <c r="M656" s="62">
        <f t="shared" si="47"/>
        <v>0</v>
      </c>
      <c r="N656" s="62">
        <f t="shared" si="46"/>
        <v>0</v>
      </c>
      <c r="O656" s="62">
        <f t="shared" si="46"/>
        <v>0</v>
      </c>
      <c r="P656" s="62">
        <f t="shared" si="46"/>
        <v>0</v>
      </c>
      <c r="Q656" s="62">
        <f t="shared" si="46"/>
        <v>0</v>
      </c>
      <c r="R656" s="62">
        <f t="shared" si="46"/>
        <v>0</v>
      </c>
      <c r="S656" s="62">
        <f t="shared" si="46"/>
        <v>1</v>
      </c>
      <c r="T656" s="62">
        <f t="shared" si="46"/>
        <v>0</v>
      </c>
      <c r="U656" s="62">
        <f t="shared" si="49"/>
        <v>0</v>
      </c>
      <c r="V656" s="62">
        <f t="shared" si="48"/>
        <v>1</v>
      </c>
    </row>
    <row r="657" spans="1:22" ht="19.5">
      <c r="A657" s="10" t="s">
        <v>681</v>
      </c>
      <c r="B657" s="10" t="s">
        <v>628</v>
      </c>
      <c r="C657" s="10" t="s">
        <v>13</v>
      </c>
      <c r="J657" s="10" t="s">
        <v>681</v>
      </c>
      <c r="K657" s="62">
        <f t="shared" si="47"/>
        <v>0</v>
      </c>
      <c r="L657" s="62">
        <f t="shared" si="47"/>
        <v>0</v>
      </c>
      <c r="M657" s="62">
        <f t="shared" si="47"/>
        <v>0</v>
      </c>
      <c r="N657" s="62">
        <f t="shared" si="46"/>
        <v>0</v>
      </c>
      <c r="O657" s="62">
        <f t="shared" si="46"/>
        <v>0</v>
      </c>
      <c r="P657" s="62">
        <f t="shared" si="46"/>
        <v>0</v>
      </c>
      <c r="Q657" s="62">
        <f t="shared" si="46"/>
        <v>1</v>
      </c>
      <c r="R657" s="62">
        <f t="shared" si="46"/>
        <v>0</v>
      </c>
      <c r="S657" s="62">
        <f t="shared" si="46"/>
        <v>0</v>
      </c>
      <c r="T657" s="62">
        <f t="shared" ref="T657:T683" si="50">IF($B657=AF$9, 1, 0)</f>
        <v>0</v>
      </c>
      <c r="U657" s="62">
        <f t="shared" si="49"/>
        <v>0</v>
      </c>
      <c r="V657" s="62">
        <f t="shared" si="48"/>
        <v>1</v>
      </c>
    </row>
    <row r="658" spans="1:22" ht="19.5">
      <c r="A658" s="10" t="s">
        <v>682</v>
      </c>
      <c r="B658" s="10" t="s">
        <v>628</v>
      </c>
      <c r="C658" s="10" t="s">
        <v>13</v>
      </c>
      <c r="J658" s="10" t="s">
        <v>682</v>
      </c>
      <c r="K658" s="62">
        <f t="shared" si="47"/>
        <v>0</v>
      </c>
      <c r="L658" s="62">
        <f t="shared" si="47"/>
        <v>0</v>
      </c>
      <c r="M658" s="62">
        <f t="shared" si="47"/>
        <v>0</v>
      </c>
      <c r="N658" s="62">
        <f t="shared" si="46"/>
        <v>0</v>
      </c>
      <c r="O658" s="62">
        <f t="shared" si="46"/>
        <v>0</v>
      </c>
      <c r="P658" s="62">
        <f t="shared" si="46"/>
        <v>0</v>
      </c>
      <c r="Q658" s="62">
        <f t="shared" si="46"/>
        <v>1</v>
      </c>
      <c r="R658" s="62">
        <f t="shared" si="46"/>
        <v>0</v>
      </c>
      <c r="S658" s="62">
        <f t="shared" si="46"/>
        <v>0</v>
      </c>
      <c r="T658" s="62">
        <f t="shared" si="50"/>
        <v>0</v>
      </c>
      <c r="U658" s="62">
        <f t="shared" si="49"/>
        <v>0</v>
      </c>
      <c r="V658" s="62">
        <f t="shared" si="48"/>
        <v>1</v>
      </c>
    </row>
    <row r="659" spans="1:22" ht="19.5">
      <c r="A659" s="10" t="s">
        <v>683</v>
      </c>
      <c r="B659" s="10" t="s">
        <v>734</v>
      </c>
      <c r="C659" s="10" t="s">
        <v>13</v>
      </c>
      <c r="J659" s="10" t="s">
        <v>683</v>
      </c>
      <c r="K659" s="62">
        <f t="shared" si="47"/>
        <v>0</v>
      </c>
      <c r="L659" s="62">
        <f t="shared" si="47"/>
        <v>0</v>
      </c>
      <c r="M659" s="62">
        <f t="shared" si="47"/>
        <v>0</v>
      </c>
      <c r="N659" s="62">
        <f t="shared" si="46"/>
        <v>0</v>
      </c>
      <c r="O659" s="62">
        <f t="shared" si="46"/>
        <v>0</v>
      </c>
      <c r="P659" s="62">
        <f t="shared" si="46"/>
        <v>0</v>
      </c>
      <c r="Q659" s="62">
        <f t="shared" si="46"/>
        <v>0</v>
      </c>
      <c r="R659" s="62">
        <f t="shared" si="46"/>
        <v>0</v>
      </c>
      <c r="S659" s="62">
        <f t="shared" si="46"/>
        <v>1</v>
      </c>
      <c r="T659" s="62">
        <f t="shared" si="50"/>
        <v>0</v>
      </c>
      <c r="U659" s="62">
        <f t="shared" si="49"/>
        <v>0</v>
      </c>
      <c r="V659" s="62">
        <f t="shared" si="48"/>
        <v>1</v>
      </c>
    </row>
    <row r="660" spans="1:22" ht="19.5">
      <c r="A660" s="10" t="s">
        <v>684</v>
      </c>
      <c r="B660" s="10" t="s">
        <v>734</v>
      </c>
      <c r="C660" s="10" t="s">
        <v>13</v>
      </c>
      <c r="J660" s="10" t="s">
        <v>684</v>
      </c>
      <c r="K660" s="62">
        <f t="shared" si="47"/>
        <v>0</v>
      </c>
      <c r="L660" s="62">
        <f t="shared" si="47"/>
        <v>0</v>
      </c>
      <c r="M660" s="62">
        <f t="shared" si="47"/>
        <v>0</v>
      </c>
      <c r="N660" s="62">
        <f t="shared" si="46"/>
        <v>0</v>
      </c>
      <c r="O660" s="62">
        <f t="shared" si="46"/>
        <v>0</v>
      </c>
      <c r="P660" s="62">
        <f t="shared" si="46"/>
        <v>0</v>
      </c>
      <c r="Q660" s="62">
        <f t="shared" si="46"/>
        <v>0</v>
      </c>
      <c r="R660" s="62">
        <f t="shared" si="46"/>
        <v>0</v>
      </c>
      <c r="S660" s="62">
        <f t="shared" si="46"/>
        <v>1</v>
      </c>
      <c r="T660" s="62">
        <f t="shared" si="50"/>
        <v>0</v>
      </c>
      <c r="U660" s="62">
        <f t="shared" si="49"/>
        <v>0</v>
      </c>
      <c r="V660" s="62">
        <f t="shared" si="48"/>
        <v>1</v>
      </c>
    </row>
    <row r="661" spans="1:22" ht="19.5">
      <c r="A661" s="10" t="s">
        <v>685</v>
      </c>
      <c r="B661" s="10" t="s">
        <v>628</v>
      </c>
      <c r="C661" s="10" t="s">
        <v>13</v>
      </c>
      <c r="J661" s="10" t="s">
        <v>685</v>
      </c>
      <c r="K661" s="62">
        <f t="shared" si="47"/>
        <v>0</v>
      </c>
      <c r="L661" s="62">
        <f t="shared" si="47"/>
        <v>0</v>
      </c>
      <c r="M661" s="62">
        <f t="shared" si="47"/>
        <v>0</v>
      </c>
      <c r="N661" s="62">
        <f t="shared" si="46"/>
        <v>0</v>
      </c>
      <c r="O661" s="62">
        <f t="shared" si="46"/>
        <v>0</v>
      </c>
      <c r="P661" s="62">
        <f t="shared" si="46"/>
        <v>0</v>
      </c>
      <c r="Q661" s="62">
        <f t="shared" si="46"/>
        <v>1</v>
      </c>
      <c r="R661" s="62">
        <f t="shared" si="46"/>
        <v>0</v>
      </c>
      <c r="S661" s="62">
        <f t="shared" si="46"/>
        <v>0</v>
      </c>
      <c r="T661" s="62">
        <f t="shared" si="50"/>
        <v>0</v>
      </c>
      <c r="U661" s="62">
        <f t="shared" si="49"/>
        <v>0</v>
      </c>
      <c r="V661" s="62">
        <f t="shared" si="48"/>
        <v>1</v>
      </c>
    </row>
    <row r="662" spans="1:22" ht="19.5">
      <c r="A662" s="10" t="s">
        <v>686</v>
      </c>
      <c r="B662" s="10" t="s">
        <v>740</v>
      </c>
      <c r="C662" s="10" t="s">
        <v>13</v>
      </c>
      <c r="J662" s="10" t="s">
        <v>686</v>
      </c>
      <c r="K662" s="62">
        <f t="shared" si="47"/>
        <v>0</v>
      </c>
      <c r="L662" s="62">
        <f t="shared" si="47"/>
        <v>0</v>
      </c>
      <c r="M662" s="62">
        <f t="shared" si="47"/>
        <v>0</v>
      </c>
      <c r="N662" s="62">
        <f t="shared" si="46"/>
        <v>0</v>
      </c>
      <c r="O662" s="62">
        <f t="shared" si="46"/>
        <v>1</v>
      </c>
      <c r="P662" s="62">
        <f t="shared" si="46"/>
        <v>0</v>
      </c>
      <c r="Q662" s="62">
        <f t="shared" si="46"/>
        <v>0</v>
      </c>
      <c r="R662" s="62">
        <f t="shared" si="46"/>
        <v>0</v>
      </c>
      <c r="S662" s="62">
        <f t="shared" si="46"/>
        <v>0</v>
      </c>
      <c r="T662" s="62">
        <f t="shared" si="50"/>
        <v>0</v>
      </c>
      <c r="U662" s="62">
        <f t="shared" si="49"/>
        <v>0</v>
      </c>
      <c r="V662" s="62">
        <f t="shared" si="48"/>
        <v>1</v>
      </c>
    </row>
    <row r="663" spans="1:22" ht="19.5">
      <c r="A663" s="10" t="s">
        <v>687</v>
      </c>
      <c r="B663" s="10" t="s">
        <v>628</v>
      </c>
      <c r="C663" s="10" t="s">
        <v>13</v>
      </c>
      <c r="J663" s="10" t="s">
        <v>687</v>
      </c>
      <c r="K663" s="62">
        <f t="shared" si="47"/>
        <v>0</v>
      </c>
      <c r="L663" s="62">
        <f t="shared" si="47"/>
        <v>0</v>
      </c>
      <c r="M663" s="62">
        <f t="shared" si="47"/>
        <v>0</v>
      </c>
      <c r="N663" s="62">
        <f t="shared" si="46"/>
        <v>0</v>
      </c>
      <c r="O663" s="62">
        <f t="shared" si="46"/>
        <v>0</v>
      </c>
      <c r="P663" s="62">
        <f t="shared" si="46"/>
        <v>0</v>
      </c>
      <c r="Q663" s="62">
        <f t="shared" si="46"/>
        <v>1</v>
      </c>
      <c r="R663" s="62">
        <f t="shared" si="46"/>
        <v>0</v>
      </c>
      <c r="S663" s="62">
        <f t="shared" si="46"/>
        <v>0</v>
      </c>
      <c r="T663" s="62">
        <f t="shared" si="50"/>
        <v>0</v>
      </c>
      <c r="U663" s="62">
        <f t="shared" si="49"/>
        <v>0</v>
      </c>
      <c r="V663" s="62">
        <f t="shared" si="48"/>
        <v>1</v>
      </c>
    </row>
    <row r="664" spans="1:22" ht="19.5">
      <c r="A664" s="10" t="s">
        <v>688</v>
      </c>
      <c r="B664" s="10" t="s">
        <v>734</v>
      </c>
      <c r="C664" s="10" t="s">
        <v>20</v>
      </c>
      <c r="J664" s="10" t="s">
        <v>688</v>
      </c>
      <c r="K664" s="62">
        <f t="shared" si="47"/>
        <v>0</v>
      </c>
      <c r="L664" s="62">
        <f t="shared" si="47"/>
        <v>0</v>
      </c>
      <c r="M664" s="62">
        <f t="shared" si="47"/>
        <v>0</v>
      </c>
      <c r="N664" s="62">
        <f t="shared" si="46"/>
        <v>0</v>
      </c>
      <c r="O664" s="62">
        <f t="shared" si="46"/>
        <v>0</v>
      </c>
      <c r="P664" s="62">
        <f t="shared" si="46"/>
        <v>0</v>
      </c>
      <c r="Q664" s="62">
        <f t="shared" si="46"/>
        <v>0</v>
      </c>
      <c r="R664" s="62">
        <f t="shared" si="46"/>
        <v>0</v>
      </c>
      <c r="S664" s="62">
        <f t="shared" si="46"/>
        <v>1</v>
      </c>
      <c r="T664" s="62">
        <f t="shared" si="50"/>
        <v>0</v>
      </c>
      <c r="U664" s="62">
        <f t="shared" si="49"/>
        <v>0</v>
      </c>
      <c r="V664" s="62">
        <f t="shared" si="48"/>
        <v>0</v>
      </c>
    </row>
    <row r="665" spans="1:22" ht="19.5">
      <c r="A665" s="10" t="s">
        <v>689</v>
      </c>
      <c r="B665" s="10" t="s">
        <v>628</v>
      </c>
      <c r="C665" s="10" t="s">
        <v>13</v>
      </c>
      <c r="J665" s="10" t="s">
        <v>689</v>
      </c>
      <c r="K665" s="62">
        <f t="shared" si="47"/>
        <v>0</v>
      </c>
      <c r="L665" s="62">
        <f t="shared" si="47"/>
        <v>0</v>
      </c>
      <c r="M665" s="62">
        <f t="shared" si="47"/>
        <v>0</v>
      </c>
      <c r="N665" s="62">
        <f t="shared" si="46"/>
        <v>0</v>
      </c>
      <c r="O665" s="62">
        <f t="shared" si="46"/>
        <v>0</v>
      </c>
      <c r="P665" s="62">
        <f t="shared" si="46"/>
        <v>0</v>
      </c>
      <c r="Q665" s="62">
        <f t="shared" si="46"/>
        <v>1</v>
      </c>
      <c r="R665" s="62">
        <f t="shared" si="46"/>
        <v>0</v>
      </c>
      <c r="S665" s="62">
        <f t="shared" si="46"/>
        <v>0</v>
      </c>
      <c r="T665" s="62">
        <f t="shared" si="50"/>
        <v>0</v>
      </c>
      <c r="U665" s="62">
        <f t="shared" si="49"/>
        <v>0</v>
      </c>
      <c r="V665" s="62">
        <f t="shared" si="48"/>
        <v>1</v>
      </c>
    </row>
    <row r="666" spans="1:22" ht="19.5">
      <c r="A666" s="10" t="s">
        <v>690</v>
      </c>
      <c r="B666" s="10" t="s">
        <v>734</v>
      </c>
      <c r="C666" s="10" t="s">
        <v>20</v>
      </c>
      <c r="J666" s="10" t="s">
        <v>690</v>
      </c>
      <c r="K666" s="62">
        <f t="shared" si="47"/>
        <v>0</v>
      </c>
      <c r="L666" s="62">
        <f t="shared" si="47"/>
        <v>0</v>
      </c>
      <c r="M666" s="62">
        <f t="shared" si="47"/>
        <v>0</v>
      </c>
      <c r="N666" s="62">
        <f t="shared" si="46"/>
        <v>0</v>
      </c>
      <c r="O666" s="62">
        <f t="shared" si="46"/>
        <v>0</v>
      </c>
      <c r="P666" s="62">
        <f t="shared" si="46"/>
        <v>0</v>
      </c>
      <c r="Q666" s="62">
        <f t="shared" si="46"/>
        <v>0</v>
      </c>
      <c r="R666" s="62">
        <f t="shared" si="46"/>
        <v>0</v>
      </c>
      <c r="S666" s="62">
        <f t="shared" si="46"/>
        <v>1</v>
      </c>
      <c r="T666" s="62">
        <f t="shared" si="50"/>
        <v>0</v>
      </c>
      <c r="U666" s="62">
        <f t="shared" si="49"/>
        <v>0</v>
      </c>
      <c r="V666" s="62">
        <f t="shared" si="48"/>
        <v>0</v>
      </c>
    </row>
    <row r="667" spans="1:22" ht="19.5">
      <c r="A667" s="10" t="s">
        <v>691</v>
      </c>
      <c r="B667" s="10" t="s">
        <v>734</v>
      </c>
      <c r="C667" s="10" t="s">
        <v>13</v>
      </c>
      <c r="J667" s="10" t="s">
        <v>691</v>
      </c>
      <c r="K667" s="62">
        <f t="shared" si="47"/>
        <v>0</v>
      </c>
      <c r="L667" s="62">
        <f t="shared" si="47"/>
        <v>0</v>
      </c>
      <c r="M667" s="62">
        <f t="shared" si="47"/>
        <v>0</v>
      </c>
      <c r="N667" s="62">
        <f t="shared" si="46"/>
        <v>0</v>
      </c>
      <c r="O667" s="62">
        <f t="shared" si="46"/>
        <v>0</v>
      </c>
      <c r="P667" s="62">
        <f t="shared" si="46"/>
        <v>0</v>
      </c>
      <c r="Q667" s="62">
        <f t="shared" si="46"/>
        <v>0</v>
      </c>
      <c r="R667" s="62">
        <f t="shared" si="46"/>
        <v>0</v>
      </c>
      <c r="S667" s="62">
        <f t="shared" si="46"/>
        <v>1</v>
      </c>
      <c r="T667" s="62">
        <f t="shared" si="50"/>
        <v>0</v>
      </c>
      <c r="U667" s="62">
        <f t="shared" si="49"/>
        <v>0</v>
      </c>
      <c r="V667" s="62">
        <f t="shared" si="48"/>
        <v>1</v>
      </c>
    </row>
    <row r="668" spans="1:22" ht="19.5">
      <c r="A668" s="10" t="s">
        <v>692</v>
      </c>
      <c r="B668" s="10" t="s">
        <v>628</v>
      </c>
      <c r="C668" s="10" t="s">
        <v>13</v>
      </c>
      <c r="J668" s="10" t="s">
        <v>692</v>
      </c>
      <c r="K668" s="62">
        <f t="shared" si="47"/>
        <v>0</v>
      </c>
      <c r="L668" s="62">
        <f t="shared" si="47"/>
        <v>0</v>
      </c>
      <c r="M668" s="62">
        <f t="shared" si="47"/>
        <v>0</v>
      </c>
      <c r="N668" s="62">
        <f t="shared" si="46"/>
        <v>0</v>
      </c>
      <c r="O668" s="62">
        <f t="shared" si="46"/>
        <v>0</v>
      </c>
      <c r="P668" s="62">
        <f t="shared" si="46"/>
        <v>0</v>
      </c>
      <c r="Q668" s="62">
        <f t="shared" si="46"/>
        <v>1</v>
      </c>
      <c r="R668" s="62">
        <f t="shared" si="46"/>
        <v>0</v>
      </c>
      <c r="S668" s="62">
        <f t="shared" si="46"/>
        <v>0</v>
      </c>
      <c r="T668" s="62">
        <f t="shared" si="50"/>
        <v>0</v>
      </c>
      <c r="U668" s="62">
        <f t="shared" si="49"/>
        <v>0</v>
      </c>
      <c r="V668" s="62">
        <f t="shared" si="48"/>
        <v>1</v>
      </c>
    </row>
    <row r="669" spans="1:22" ht="19.5">
      <c r="A669" s="10" t="s">
        <v>693</v>
      </c>
      <c r="B669" s="10" t="s">
        <v>734</v>
      </c>
      <c r="C669" s="10" t="s">
        <v>13</v>
      </c>
      <c r="J669" s="10" t="s">
        <v>693</v>
      </c>
      <c r="K669" s="62">
        <f t="shared" si="47"/>
        <v>0</v>
      </c>
      <c r="L669" s="62">
        <f t="shared" si="47"/>
        <v>0</v>
      </c>
      <c r="M669" s="62">
        <f t="shared" si="47"/>
        <v>0</v>
      </c>
      <c r="N669" s="62">
        <f t="shared" si="46"/>
        <v>0</v>
      </c>
      <c r="O669" s="62">
        <f t="shared" si="46"/>
        <v>0</v>
      </c>
      <c r="P669" s="62">
        <f t="shared" si="46"/>
        <v>0</v>
      </c>
      <c r="Q669" s="62">
        <f t="shared" si="46"/>
        <v>0</v>
      </c>
      <c r="R669" s="62">
        <f t="shared" si="46"/>
        <v>0</v>
      </c>
      <c r="S669" s="62">
        <f t="shared" si="46"/>
        <v>1</v>
      </c>
      <c r="T669" s="62">
        <f t="shared" si="50"/>
        <v>0</v>
      </c>
      <c r="U669" s="62">
        <f t="shared" si="49"/>
        <v>0</v>
      </c>
      <c r="V669" s="62">
        <f t="shared" si="48"/>
        <v>1</v>
      </c>
    </row>
    <row r="670" spans="1:22" ht="19.5">
      <c r="A670" s="10" t="s">
        <v>694</v>
      </c>
      <c r="B670" s="10" t="s">
        <v>734</v>
      </c>
      <c r="C670" s="10" t="s">
        <v>13</v>
      </c>
      <c r="J670" s="10" t="s">
        <v>694</v>
      </c>
      <c r="K670" s="62">
        <f t="shared" si="47"/>
        <v>0</v>
      </c>
      <c r="L670" s="62">
        <f t="shared" si="47"/>
        <v>0</v>
      </c>
      <c r="M670" s="62">
        <f t="shared" si="47"/>
        <v>0</v>
      </c>
      <c r="N670" s="62">
        <f t="shared" si="46"/>
        <v>0</v>
      </c>
      <c r="O670" s="62">
        <f t="shared" si="46"/>
        <v>0</v>
      </c>
      <c r="P670" s="62">
        <f t="shared" si="46"/>
        <v>0</v>
      </c>
      <c r="Q670" s="62">
        <f t="shared" si="46"/>
        <v>0</v>
      </c>
      <c r="R670" s="62">
        <f t="shared" si="46"/>
        <v>0</v>
      </c>
      <c r="S670" s="62">
        <f t="shared" si="46"/>
        <v>1</v>
      </c>
      <c r="T670" s="62">
        <f t="shared" si="50"/>
        <v>0</v>
      </c>
      <c r="U670" s="62">
        <f t="shared" si="49"/>
        <v>0</v>
      </c>
      <c r="V670" s="62">
        <f t="shared" si="48"/>
        <v>1</v>
      </c>
    </row>
    <row r="671" spans="1:22" ht="19.5">
      <c r="A671" s="10" t="s">
        <v>695</v>
      </c>
      <c r="B671" s="10" t="s">
        <v>734</v>
      </c>
      <c r="C671" s="10" t="s">
        <v>20</v>
      </c>
      <c r="J671" s="10" t="s">
        <v>695</v>
      </c>
      <c r="K671" s="62">
        <f t="shared" si="47"/>
        <v>0</v>
      </c>
      <c r="L671" s="62">
        <f t="shared" si="47"/>
        <v>0</v>
      </c>
      <c r="M671" s="62">
        <f t="shared" si="47"/>
        <v>0</v>
      </c>
      <c r="N671" s="62">
        <f t="shared" si="46"/>
        <v>0</v>
      </c>
      <c r="O671" s="62">
        <f t="shared" si="46"/>
        <v>0</v>
      </c>
      <c r="P671" s="62">
        <f t="shared" si="46"/>
        <v>0</v>
      </c>
      <c r="Q671" s="62">
        <f t="shared" si="46"/>
        <v>0</v>
      </c>
      <c r="R671" s="62">
        <f t="shared" si="46"/>
        <v>0</v>
      </c>
      <c r="S671" s="62">
        <f t="shared" si="46"/>
        <v>1</v>
      </c>
      <c r="T671" s="62">
        <f t="shared" si="50"/>
        <v>0</v>
      </c>
      <c r="U671" s="62">
        <f t="shared" si="49"/>
        <v>0</v>
      </c>
      <c r="V671" s="62">
        <f t="shared" si="48"/>
        <v>0</v>
      </c>
    </row>
    <row r="672" spans="1:22" ht="19.5">
      <c r="A672" s="10" t="s">
        <v>696</v>
      </c>
      <c r="B672" s="10" t="s">
        <v>628</v>
      </c>
      <c r="C672" s="10" t="s">
        <v>13</v>
      </c>
      <c r="J672" s="10" t="s">
        <v>696</v>
      </c>
      <c r="K672" s="62">
        <f t="shared" si="47"/>
        <v>0</v>
      </c>
      <c r="L672" s="62">
        <f t="shared" si="47"/>
        <v>0</v>
      </c>
      <c r="M672" s="62">
        <f t="shared" si="47"/>
        <v>0</v>
      </c>
      <c r="N672" s="62">
        <f t="shared" si="46"/>
        <v>0</v>
      </c>
      <c r="O672" s="62">
        <f t="shared" si="46"/>
        <v>0</v>
      </c>
      <c r="P672" s="62">
        <f t="shared" si="46"/>
        <v>0</v>
      </c>
      <c r="Q672" s="62">
        <f t="shared" si="46"/>
        <v>1</v>
      </c>
      <c r="R672" s="62">
        <f t="shared" si="46"/>
        <v>0</v>
      </c>
      <c r="S672" s="62">
        <f t="shared" si="46"/>
        <v>0</v>
      </c>
      <c r="T672" s="62">
        <f t="shared" si="50"/>
        <v>0</v>
      </c>
      <c r="U672" s="62">
        <f t="shared" si="49"/>
        <v>0</v>
      </c>
      <c r="V672" s="62">
        <f t="shared" si="48"/>
        <v>1</v>
      </c>
    </row>
    <row r="673" spans="1:22" ht="19.5">
      <c r="A673" s="10" t="s">
        <v>697</v>
      </c>
      <c r="B673" s="10" t="s">
        <v>734</v>
      </c>
      <c r="C673" s="10" t="s">
        <v>13</v>
      </c>
      <c r="J673" s="10" t="s">
        <v>697</v>
      </c>
      <c r="K673" s="62">
        <f t="shared" si="47"/>
        <v>0</v>
      </c>
      <c r="L673" s="62">
        <f t="shared" si="47"/>
        <v>0</v>
      </c>
      <c r="M673" s="62">
        <f t="shared" si="47"/>
        <v>0</v>
      </c>
      <c r="N673" s="62">
        <f t="shared" si="46"/>
        <v>0</v>
      </c>
      <c r="O673" s="62">
        <f t="shared" si="46"/>
        <v>0</v>
      </c>
      <c r="P673" s="62">
        <f t="shared" si="46"/>
        <v>0</v>
      </c>
      <c r="Q673" s="62">
        <f t="shared" si="46"/>
        <v>0</v>
      </c>
      <c r="R673" s="62">
        <f t="shared" si="46"/>
        <v>0</v>
      </c>
      <c r="S673" s="62">
        <f t="shared" si="46"/>
        <v>1</v>
      </c>
      <c r="T673" s="62">
        <f t="shared" si="50"/>
        <v>0</v>
      </c>
      <c r="U673" s="62">
        <f t="shared" si="49"/>
        <v>0</v>
      </c>
      <c r="V673" s="62">
        <f t="shared" si="48"/>
        <v>1</v>
      </c>
    </row>
    <row r="674" spans="1:22" ht="19.5">
      <c r="A674" s="10" t="s">
        <v>698</v>
      </c>
      <c r="B674" s="10" t="s">
        <v>628</v>
      </c>
      <c r="C674" s="10" t="s">
        <v>20</v>
      </c>
      <c r="J674" s="10" t="s">
        <v>698</v>
      </c>
      <c r="K674" s="62">
        <f t="shared" si="47"/>
        <v>0</v>
      </c>
      <c r="L674" s="62">
        <f t="shared" si="47"/>
        <v>0</v>
      </c>
      <c r="M674" s="62">
        <f t="shared" si="47"/>
        <v>0</v>
      </c>
      <c r="N674" s="62">
        <f t="shared" si="46"/>
        <v>0</v>
      </c>
      <c r="O674" s="62">
        <f t="shared" si="46"/>
        <v>0</v>
      </c>
      <c r="P674" s="62">
        <f t="shared" si="46"/>
        <v>0</v>
      </c>
      <c r="Q674" s="62">
        <f t="shared" si="46"/>
        <v>1</v>
      </c>
      <c r="R674" s="62">
        <f t="shared" si="46"/>
        <v>0</v>
      </c>
      <c r="S674" s="62">
        <f t="shared" si="46"/>
        <v>0</v>
      </c>
      <c r="T674" s="62">
        <f t="shared" si="50"/>
        <v>0</v>
      </c>
      <c r="U674" s="62">
        <f t="shared" si="49"/>
        <v>0</v>
      </c>
      <c r="V674" s="62">
        <f t="shared" si="48"/>
        <v>0</v>
      </c>
    </row>
    <row r="675" spans="1:22" ht="19.5">
      <c r="A675" s="10" t="s">
        <v>699</v>
      </c>
      <c r="B675" s="10" t="s">
        <v>734</v>
      </c>
      <c r="C675" s="10" t="s">
        <v>13</v>
      </c>
      <c r="J675" s="10" t="s">
        <v>699</v>
      </c>
      <c r="K675" s="62">
        <f t="shared" si="47"/>
        <v>0</v>
      </c>
      <c r="L675" s="62">
        <f t="shared" si="47"/>
        <v>0</v>
      </c>
      <c r="M675" s="62">
        <f t="shared" si="47"/>
        <v>0</v>
      </c>
      <c r="N675" s="62">
        <f t="shared" si="46"/>
        <v>0</v>
      </c>
      <c r="O675" s="62">
        <f t="shared" si="46"/>
        <v>0</v>
      </c>
      <c r="P675" s="62">
        <f t="shared" si="46"/>
        <v>0</v>
      </c>
      <c r="Q675" s="62">
        <f t="shared" si="46"/>
        <v>0</v>
      </c>
      <c r="R675" s="62">
        <f t="shared" si="46"/>
        <v>0</v>
      </c>
      <c r="S675" s="62">
        <f t="shared" si="46"/>
        <v>1</v>
      </c>
      <c r="T675" s="62">
        <f t="shared" si="50"/>
        <v>0</v>
      </c>
      <c r="U675" s="62">
        <f t="shared" si="49"/>
        <v>0</v>
      </c>
      <c r="V675" s="62">
        <f t="shared" si="48"/>
        <v>1</v>
      </c>
    </row>
    <row r="676" spans="1:22" ht="19.5">
      <c r="A676" s="10" t="s">
        <v>700</v>
      </c>
      <c r="B676" s="10" t="s">
        <v>628</v>
      </c>
      <c r="C676" s="10" t="s">
        <v>13</v>
      </c>
      <c r="J676" s="10" t="s">
        <v>700</v>
      </c>
      <c r="K676" s="62">
        <f t="shared" si="47"/>
        <v>0</v>
      </c>
      <c r="L676" s="62">
        <f t="shared" si="47"/>
        <v>0</v>
      </c>
      <c r="M676" s="62">
        <f t="shared" si="47"/>
        <v>0</v>
      </c>
      <c r="N676" s="62">
        <f t="shared" si="46"/>
        <v>0</v>
      </c>
      <c r="O676" s="62">
        <f t="shared" si="46"/>
        <v>0</v>
      </c>
      <c r="P676" s="62">
        <f t="shared" si="46"/>
        <v>0</v>
      </c>
      <c r="Q676" s="62">
        <f t="shared" si="46"/>
        <v>1</v>
      </c>
      <c r="R676" s="62">
        <f t="shared" si="46"/>
        <v>0</v>
      </c>
      <c r="S676" s="62">
        <f t="shared" si="46"/>
        <v>0</v>
      </c>
      <c r="T676" s="62">
        <f t="shared" si="50"/>
        <v>0</v>
      </c>
      <c r="U676" s="62">
        <f t="shared" si="49"/>
        <v>0</v>
      </c>
      <c r="V676" s="62">
        <f t="shared" si="48"/>
        <v>1</v>
      </c>
    </row>
    <row r="677" spans="1:22" ht="19.5">
      <c r="A677" s="10" t="s">
        <v>701</v>
      </c>
      <c r="B677" s="10" t="s">
        <v>734</v>
      </c>
      <c r="C677" s="10" t="s">
        <v>13</v>
      </c>
      <c r="J677" s="10" t="s">
        <v>701</v>
      </c>
      <c r="K677" s="62">
        <f t="shared" si="47"/>
        <v>0</v>
      </c>
      <c r="L677" s="62">
        <f t="shared" si="47"/>
        <v>0</v>
      </c>
      <c r="M677" s="62">
        <f t="shared" si="47"/>
        <v>0</v>
      </c>
      <c r="N677" s="62">
        <f t="shared" si="46"/>
        <v>0</v>
      </c>
      <c r="O677" s="62">
        <f t="shared" si="46"/>
        <v>0</v>
      </c>
      <c r="P677" s="62">
        <f t="shared" si="46"/>
        <v>0</v>
      </c>
      <c r="Q677" s="62">
        <f t="shared" si="46"/>
        <v>0</v>
      </c>
      <c r="R677" s="62">
        <f t="shared" si="46"/>
        <v>0</v>
      </c>
      <c r="S677" s="62">
        <f t="shared" si="46"/>
        <v>1</v>
      </c>
      <c r="T677" s="62">
        <f t="shared" si="50"/>
        <v>0</v>
      </c>
      <c r="U677" s="62">
        <f t="shared" si="49"/>
        <v>0</v>
      </c>
      <c r="V677" s="62">
        <f t="shared" si="48"/>
        <v>1</v>
      </c>
    </row>
    <row r="678" spans="1:22" ht="19.5">
      <c r="A678" s="10" t="s">
        <v>702</v>
      </c>
      <c r="B678" s="10" t="s">
        <v>734</v>
      </c>
      <c r="C678" s="10" t="s">
        <v>20</v>
      </c>
      <c r="J678" s="10" t="s">
        <v>702</v>
      </c>
      <c r="K678" s="62">
        <f t="shared" si="47"/>
        <v>0</v>
      </c>
      <c r="L678" s="62">
        <f t="shared" si="47"/>
        <v>0</v>
      </c>
      <c r="M678" s="62">
        <f t="shared" si="47"/>
        <v>0</v>
      </c>
      <c r="N678" s="62">
        <f t="shared" si="46"/>
        <v>0</v>
      </c>
      <c r="O678" s="62">
        <f t="shared" si="46"/>
        <v>0</v>
      </c>
      <c r="P678" s="62">
        <f t="shared" si="46"/>
        <v>0</v>
      </c>
      <c r="Q678" s="62">
        <f t="shared" si="46"/>
        <v>0</v>
      </c>
      <c r="R678" s="62">
        <f t="shared" si="46"/>
        <v>0</v>
      </c>
      <c r="S678" s="62">
        <f t="shared" si="46"/>
        <v>1</v>
      </c>
      <c r="T678" s="62">
        <f t="shared" si="50"/>
        <v>0</v>
      </c>
      <c r="U678" s="62">
        <f t="shared" si="49"/>
        <v>0</v>
      </c>
      <c r="V678" s="62">
        <f t="shared" si="48"/>
        <v>0</v>
      </c>
    </row>
    <row r="679" spans="1:22" ht="19.5">
      <c r="A679" s="10" t="s">
        <v>703</v>
      </c>
      <c r="B679" s="10" t="s">
        <v>734</v>
      </c>
      <c r="C679" s="10" t="s">
        <v>20</v>
      </c>
      <c r="J679" s="10" t="s">
        <v>703</v>
      </c>
      <c r="K679" s="62">
        <f t="shared" si="47"/>
        <v>0</v>
      </c>
      <c r="L679" s="62">
        <f t="shared" si="47"/>
        <v>0</v>
      </c>
      <c r="M679" s="62">
        <f t="shared" si="47"/>
        <v>0</v>
      </c>
      <c r="N679" s="62">
        <f t="shared" si="46"/>
        <v>0</v>
      </c>
      <c r="O679" s="62">
        <f t="shared" si="46"/>
        <v>0</v>
      </c>
      <c r="P679" s="62">
        <f t="shared" si="46"/>
        <v>0</v>
      </c>
      <c r="Q679" s="62">
        <f t="shared" si="46"/>
        <v>0</v>
      </c>
      <c r="R679" s="62">
        <f t="shared" si="46"/>
        <v>0</v>
      </c>
      <c r="S679" s="62">
        <f t="shared" si="46"/>
        <v>1</v>
      </c>
      <c r="T679" s="62">
        <f t="shared" si="50"/>
        <v>0</v>
      </c>
      <c r="U679" s="62">
        <f t="shared" si="49"/>
        <v>0</v>
      </c>
      <c r="V679" s="62">
        <f t="shared" si="48"/>
        <v>0</v>
      </c>
    </row>
    <row r="680" spans="1:22" ht="19.5">
      <c r="A680" s="10" t="s">
        <v>704</v>
      </c>
      <c r="B680" s="10" t="s">
        <v>734</v>
      </c>
      <c r="C680" s="10" t="s">
        <v>13</v>
      </c>
      <c r="J680" s="10" t="s">
        <v>704</v>
      </c>
      <c r="K680" s="62">
        <f t="shared" si="47"/>
        <v>0</v>
      </c>
      <c r="L680" s="62">
        <f t="shared" si="47"/>
        <v>0</v>
      </c>
      <c r="M680" s="62">
        <f t="shared" si="47"/>
        <v>0</v>
      </c>
      <c r="N680" s="62">
        <f t="shared" si="46"/>
        <v>0</v>
      </c>
      <c r="O680" s="62">
        <f t="shared" si="46"/>
        <v>0</v>
      </c>
      <c r="P680" s="62">
        <f t="shared" si="46"/>
        <v>0</v>
      </c>
      <c r="Q680" s="62">
        <f t="shared" si="46"/>
        <v>0</v>
      </c>
      <c r="R680" s="62">
        <f t="shared" si="46"/>
        <v>0</v>
      </c>
      <c r="S680" s="62">
        <f t="shared" si="46"/>
        <v>1</v>
      </c>
      <c r="T680" s="62">
        <f t="shared" si="50"/>
        <v>0</v>
      </c>
      <c r="U680" s="62">
        <f t="shared" si="49"/>
        <v>0</v>
      </c>
      <c r="V680" s="62">
        <f t="shared" si="48"/>
        <v>1</v>
      </c>
    </row>
    <row r="681" spans="1:22" ht="19.5">
      <c r="A681" s="10" t="s">
        <v>705</v>
      </c>
      <c r="B681" s="10" t="s">
        <v>628</v>
      </c>
      <c r="C681" s="10" t="s">
        <v>13</v>
      </c>
      <c r="J681" s="10" t="s">
        <v>705</v>
      </c>
      <c r="K681" s="62">
        <f t="shared" si="47"/>
        <v>0</v>
      </c>
      <c r="L681" s="62">
        <f t="shared" si="47"/>
        <v>0</v>
      </c>
      <c r="M681" s="62">
        <f t="shared" si="47"/>
        <v>0</v>
      </c>
      <c r="N681" s="62">
        <f t="shared" si="46"/>
        <v>0</v>
      </c>
      <c r="O681" s="62">
        <f t="shared" si="46"/>
        <v>0</v>
      </c>
      <c r="P681" s="62">
        <f t="shared" si="46"/>
        <v>0</v>
      </c>
      <c r="Q681" s="62">
        <f t="shared" si="46"/>
        <v>1</v>
      </c>
      <c r="R681" s="62">
        <f t="shared" si="46"/>
        <v>0</v>
      </c>
      <c r="S681" s="62">
        <f t="shared" si="46"/>
        <v>0</v>
      </c>
      <c r="T681" s="62">
        <f t="shared" si="50"/>
        <v>0</v>
      </c>
      <c r="U681" s="62">
        <f t="shared" si="49"/>
        <v>0</v>
      </c>
      <c r="V681" s="62">
        <f t="shared" si="48"/>
        <v>1</v>
      </c>
    </row>
    <row r="682" spans="1:22" ht="19.5">
      <c r="A682" s="10" t="s">
        <v>706</v>
      </c>
      <c r="B682" s="10" t="s">
        <v>628</v>
      </c>
      <c r="C682" s="10" t="s">
        <v>13</v>
      </c>
      <c r="J682" s="10" t="s">
        <v>706</v>
      </c>
      <c r="K682" s="62">
        <f t="shared" si="47"/>
        <v>0</v>
      </c>
      <c r="L682" s="62">
        <f t="shared" si="47"/>
        <v>0</v>
      </c>
      <c r="M682" s="62">
        <f t="shared" si="47"/>
        <v>0</v>
      </c>
      <c r="N682" s="62">
        <f t="shared" si="46"/>
        <v>0</v>
      </c>
      <c r="O682" s="62">
        <f t="shared" si="46"/>
        <v>0</v>
      </c>
      <c r="P682" s="62">
        <f t="shared" si="46"/>
        <v>0</v>
      </c>
      <c r="Q682" s="62">
        <f t="shared" si="46"/>
        <v>1</v>
      </c>
      <c r="R682" s="62">
        <f t="shared" si="46"/>
        <v>0</v>
      </c>
      <c r="S682" s="62">
        <f t="shared" si="46"/>
        <v>0</v>
      </c>
      <c r="T682" s="62">
        <f t="shared" si="50"/>
        <v>0</v>
      </c>
      <c r="U682" s="62">
        <f t="shared" si="49"/>
        <v>0</v>
      </c>
      <c r="V682" s="62">
        <f t="shared" si="48"/>
        <v>1</v>
      </c>
    </row>
    <row r="683" spans="1:22" ht="19.5">
      <c r="A683" s="10" t="s">
        <v>707</v>
      </c>
      <c r="B683" s="10" t="s">
        <v>628</v>
      </c>
      <c r="C683" s="10" t="s">
        <v>20</v>
      </c>
      <c r="J683" s="10" t="s">
        <v>707</v>
      </c>
      <c r="K683" s="62">
        <f t="shared" si="47"/>
        <v>0</v>
      </c>
      <c r="L683" s="62">
        <f t="shared" si="47"/>
        <v>0</v>
      </c>
      <c r="M683" s="62">
        <f t="shared" si="47"/>
        <v>0</v>
      </c>
      <c r="N683" s="62">
        <f t="shared" si="46"/>
        <v>0</v>
      </c>
      <c r="O683" s="62">
        <f t="shared" si="46"/>
        <v>0</v>
      </c>
      <c r="P683" s="62">
        <f t="shared" si="46"/>
        <v>0</v>
      </c>
      <c r="Q683" s="62">
        <f t="shared" si="46"/>
        <v>1</v>
      </c>
      <c r="R683" s="62">
        <f t="shared" si="46"/>
        <v>0</v>
      </c>
      <c r="S683" s="62">
        <f t="shared" si="46"/>
        <v>0</v>
      </c>
      <c r="T683" s="62">
        <f t="shared" si="50"/>
        <v>0</v>
      </c>
      <c r="U683" s="62">
        <f t="shared" si="49"/>
        <v>0</v>
      </c>
      <c r="V683" s="62">
        <f t="shared" si="48"/>
        <v>0</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07AB-1CFF-42CC-9B0D-FCB8679A5F41}">
  <sheetPr>
    <tabColor rgb="FFFF0000"/>
  </sheetPr>
  <dimension ref="A1:C21"/>
  <sheetViews>
    <sheetView workbookViewId="0">
      <selection activeCell="B21" sqref="B21"/>
    </sheetView>
  </sheetViews>
  <sheetFormatPr defaultRowHeight="18.75"/>
  <cols>
    <col min="1" max="23" width="3.625" customWidth="1"/>
  </cols>
  <sheetData>
    <row r="1" spans="1:3">
      <c r="A1">
        <v>1</v>
      </c>
      <c r="B1" t="s">
        <v>915</v>
      </c>
    </row>
    <row r="2" spans="1:3">
      <c r="B2" t="s">
        <v>916</v>
      </c>
    </row>
    <row r="3" spans="1:3">
      <c r="B3" t="s">
        <v>919</v>
      </c>
    </row>
    <row r="4" spans="1:3">
      <c r="C4" t="s">
        <v>917</v>
      </c>
    </row>
    <row r="5" spans="1:3">
      <c r="C5" t="s">
        <v>918</v>
      </c>
    </row>
    <row r="6" spans="1:3">
      <c r="B6" t="s">
        <v>920</v>
      </c>
    </row>
    <row r="7" spans="1:3">
      <c r="B7" t="s">
        <v>921</v>
      </c>
    </row>
    <row r="9" spans="1:3">
      <c r="A9">
        <v>2</v>
      </c>
      <c r="B9" t="s">
        <v>943</v>
      </c>
    </row>
    <row r="10" spans="1:3">
      <c r="B10" t="s">
        <v>944</v>
      </c>
    </row>
    <row r="11" spans="1:3">
      <c r="B11" t="s">
        <v>945</v>
      </c>
    </row>
    <row r="12" spans="1:3">
      <c r="B12" t="s">
        <v>946</v>
      </c>
    </row>
    <row r="14" spans="1:3">
      <c r="A14">
        <v>3</v>
      </c>
      <c r="B14" t="s">
        <v>959</v>
      </c>
    </row>
    <row r="15" spans="1:3">
      <c r="B15" t="s">
        <v>962</v>
      </c>
    </row>
    <row r="16" spans="1:3">
      <c r="B16" t="s">
        <v>960</v>
      </c>
    </row>
    <row r="17" spans="1:2">
      <c r="B17" t="s">
        <v>961</v>
      </c>
    </row>
    <row r="18" spans="1:2">
      <c r="B18" t="s">
        <v>963</v>
      </c>
    </row>
    <row r="20" spans="1:2">
      <c r="A20">
        <v>4</v>
      </c>
      <c r="B20" t="s">
        <v>964</v>
      </c>
    </row>
    <row r="21" spans="1:2">
      <c r="B21" t="s">
        <v>969</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86FF-8884-4A73-BBCE-663AF09455C1}">
  <dimension ref="A1:M678"/>
  <sheetViews>
    <sheetView topLeftCell="A12" workbookViewId="0">
      <selection activeCell="E39" sqref="E39"/>
    </sheetView>
  </sheetViews>
  <sheetFormatPr defaultColWidth="12.25" defaultRowHeight="18.75"/>
  <cols>
    <col min="1" max="1" width="10.75" style="10" bestFit="1" customWidth="1"/>
    <col min="2" max="3" width="12.625" style="10" bestFit="1" customWidth="1"/>
    <col min="4" max="8" width="12.25" style="10"/>
    <col min="9" max="9" width="14.625" style="10" bestFit="1" customWidth="1"/>
    <col min="10" max="16384" width="12.25" style="10"/>
  </cols>
  <sheetData>
    <row r="1" spans="1:3">
      <c r="A1" s="10" t="s">
        <v>3</v>
      </c>
      <c r="B1" s="10" t="s">
        <v>9</v>
      </c>
      <c r="C1" s="10" t="s">
        <v>10</v>
      </c>
    </row>
    <row r="2" spans="1:3">
      <c r="A2" s="10" t="s">
        <v>11</v>
      </c>
      <c r="B2" s="10">
        <v>120</v>
      </c>
      <c r="C2" s="10">
        <v>22</v>
      </c>
    </row>
    <row r="3" spans="1:3">
      <c r="A3" s="10" t="s">
        <v>15</v>
      </c>
      <c r="B3" s="10">
        <v>208</v>
      </c>
      <c r="C3" s="10">
        <v>19</v>
      </c>
    </row>
    <row r="4" spans="1:3">
      <c r="A4" s="10" t="s">
        <v>17</v>
      </c>
      <c r="B4" s="10">
        <v>142</v>
      </c>
      <c r="C4" s="10">
        <v>14</v>
      </c>
    </row>
    <row r="5" spans="1:3">
      <c r="A5" s="10" t="s">
        <v>18</v>
      </c>
      <c r="B5" s="10">
        <v>127</v>
      </c>
      <c r="C5" s="10">
        <v>19</v>
      </c>
    </row>
    <row r="6" spans="1:3">
      <c r="A6" s="10" t="s">
        <v>19</v>
      </c>
      <c r="B6" s="10">
        <v>157</v>
      </c>
      <c r="C6" s="10">
        <v>25</v>
      </c>
    </row>
    <row r="7" spans="1:3">
      <c r="A7" s="10" t="s">
        <v>21</v>
      </c>
      <c r="B7" s="10">
        <v>129</v>
      </c>
      <c r="C7" s="10">
        <v>27</v>
      </c>
    </row>
    <row r="8" spans="1:3">
      <c r="A8" s="10" t="s">
        <v>23</v>
      </c>
      <c r="B8" s="10">
        <v>149</v>
      </c>
      <c r="C8" s="10">
        <v>33</v>
      </c>
    </row>
    <row r="9" spans="1:3">
      <c r="A9" s="10" t="s">
        <v>24</v>
      </c>
      <c r="B9" s="10">
        <v>195</v>
      </c>
      <c r="C9" s="10">
        <v>14</v>
      </c>
    </row>
    <row r="10" spans="1:3">
      <c r="A10" s="10" t="s">
        <v>25</v>
      </c>
      <c r="B10" s="10">
        <v>150</v>
      </c>
      <c r="C10" s="10">
        <v>25</v>
      </c>
    </row>
    <row r="11" spans="1:3">
      <c r="A11" s="10" t="s">
        <v>26</v>
      </c>
      <c r="B11" s="10">
        <v>108</v>
      </c>
      <c r="C11" s="10">
        <v>34</v>
      </c>
    </row>
    <row r="12" spans="1:3">
      <c r="A12" s="10" t="s">
        <v>27</v>
      </c>
      <c r="B12" s="10">
        <v>150</v>
      </c>
      <c r="C12" s="10">
        <v>21</v>
      </c>
    </row>
    <row r="13" spans="1:3">
      <c r="A13" s="10" t="s">
        <v>28</v>
      </c>
      <c r="B13" s="10">
        <v>130</v>
      </c>
      <c r="C13" s="10">
        <v>26</v>
      </c>
    </row>
    <row r="14" spans="1:3">
      <c r="A14" s="10" t="s">
        <v>29</v>
      </c>
      <c r="B14" s="10">
        <v>163</v>
      </c>
      <c r="C14" s="10">
        <v>15</v>
      </c>
    </row>
    <row r="15" spans="1:3">
      <c r="A15" s="10" t="s">
        <v>30</v>
      </c>
      <c r="B15" s="10">
        <v>137</v>
      </c>
      <c r="C15" s="10">
        <v>18</v>
      </c>
    </row>
    <row r="16" spans="1:3">
      <c r="A16" s="10" t="s">
        <v>33</v>
      </c>
      <c r="B16" s="10">
        <v>155</v>
      </c>
      <c r="C16" s="10">
        <v>26</v>
      </c>
    </row>
    <row r="17" spans="1:13">
      <c r="A17" s="10" t="s">
        <v>35</v>
      </c>
      <c r="B17" s="10">
        <v>162</v>
      </c>
      <c r="C17" s="10">
        <v>23</v>
      </c>
      <c r="E17" t="s">
        <v>922</v>
      </c>
      <c r="F17"/>
      <c r="G17"/>
      <c r="H17"/>
      <c r="I17"/>
      <c r="J17"/>
      <c r="K17"/>
      <c r="L17"/>
      <c r="M17"/>
    </row>
    <row r="18" spans="1:13" ht="19.5" thickBot="1">
      <c r="A18" s="10" t="s">
        <v>36</v>
      </c>
      <c r="B18" s="10">
        <v>211</v>
      </c>
      <c r="C18" s="10">
        <v>21</v>
      </c>
      <c r="E18"/>
      <c r="F18"/>
      <c r="G18"/>
      <c r="H18"/>
      <c r="I18"/>
      <c r="J18"/>
      <c r="K18"/>
      <c r="L18"/>
      <c r="M18"/>
    </row>
    <row r="19" spans="1:13">
      <c r="A19" s="10" t="s">
        <v>38</v>
      </c>
      <c r="B19" s="10">
        <v>126</v>
      </c>
      <c r="C19" s="10">
        <v>36</v>
      </c>
      <c r="E19" s="9" t="s">
        <v>923</v>
      </c>
      <c r="F19" s="9"/>
      <c r="G19"/>
      <c r="H19"/>
      <c r="I19"/>
      <c r="J19"/>
      <c r="K19"/>
      <c r="L19"/>
      <c r="M19"/>
    </row>
    <row r="20" spans="1:13">
      <c r="A20" s="10" t="s">
        <v>40</v>
      </c>
      <c r="B20" s="10">
        <v>167</v>
      </c>
      <c r="C20" s="10">
        <v>24</v>
      </c>
      <c r="E20" t="s">
        <v>924</v>
      </c>
      <c r="F20">
        <v>0.59975584772606327</v>
      </c>
      <c r="G20"/>
      <c r="H20"/>
      <c r="I20"/>
      <c r="J20"/>
      <c r="K20"/>
      <c r="L20"/>
      <c r="M20"/>
    </row>
    <row r="21" spans="1:13">
      <c r="A21" s="10" t="s">
        <v>41</v>
      </c>
      <c r="B21" s="10">
        <v>142</v>
      </c>
      <c r="C21" s="10">
        <v>35</v>
      </c>
      <c r="E21" t="s">
        <v>925</v>
      </c>
      <c r="F21">
        <v>0.3597070768816088</v>
      </c>
      <c r="G21"/>
      <c r="H21"/>
      <c r="I21"/>
      <c r="J21"/>
      <c r="K21"/>
      <c r="L21"/>
      <c r="M21"/>
    </row>
    <row r="22" spans="1:13">
      <c r="A22" s="10" t="s">
        <v>43</v>
      </c>
      <c r="B22" s="10">
        <v>129</v>
      </c>
      <c r="C22" s="10">
        <v>18</v>
      </c>
      <c r="E22" t="s">
        <v>926</v>
      </c>
      <c r="F22">
        <v>0.35875849477328525</v>
      </c>
      <c r="G22"/>
      <c r="H22"/>
      <c r="I22"/>
      <c r="J22"/>
      <c r="K22"/>
      <c r="L22"/>
      <c r="M22"/>
    </row>
    <row r="23" spans="1:13">
      <c r="A23" s="10" t="s">
        <v>44</v>
      </c>
      <c r="B23" s="10">
        <v>199</v>
      </c>
      <c r="C23" s="10">
        <v>25</v>
      </c>
      <c r="E23" t="s">
        <v>718</v>
      </c>
      <c r="F23">
        <v>7.7724761909664668</v>
      </c>
      <c r="G23"/>
      <c r="H23"/>
      <c r="I23"/>
      <c r="J23"/>
      <c r="K23"/>
      <c r="L23"/>
      <c r="M23"/>
    </row>
    <row r="24" spans="1:13" ht="19.5" thickBot="1">
      <c r="A24" s="10" t="s">
        <v>45</v>
      </c>
      <c r="B24" s="10">
        <v>176</v>
      </c>
      <c r="C24" s="10">
        <v>31</v>
      </c>
      <c r="E24" s="7" t="s">
        <v>868</v>
      </c>
      <c r="F24" s="7">
        <v>677</v>
      </c>
      <c r="G24"/>
      <c r="H24"/>
      <c r="I24"/>
      <c r="J24"/>
      <c r="K24"/>
      <c r="L24"/>
      <c r="M24"/>
    </row>
    <row r="25" spans="1:13">
      <c r="A25" s="10" t="s">
        <v>46</v>
      </c>
      <c r="B25" s="10">
        <v>158</v>
      </c>
      <c r="C25" s="10">
        <v>33</v>
      </c>
      <c r="E25"/>
      <c r="F25"/>
      <c r="G25"/>
      <c r="H25"/>
      <c r="I25"/>
      <c r="J25"/>
      <c r="K25"/>
      <c r="L25"/>
      <c r="M25"/>
    </row>
    <row r="26" spans="1:13" ht="19.5" thickBot="1">
      <c r="A26" s="10" t="s">
        <v>47</v>
      </c>
      <c r="B26" s="10">
        <v>206</v>
      </c>
      <c r="C26" s="10">
        <v>15</v>
      </c>
      <c r="E26" t="s">
        <v>927</v>
      </c>
      <c r="F26"/>
      <c r="G26"/>
      <c r="H26"/>
      <c r="I26"/>
      <c r="J26"/>
      <c r="K26"/>
      <c r="L26"/>
      <c r="M26"/>
    </row>
    <row r="27" spans="1:13">
      <c r="A27" s="10" t="s">
        <v>48</v>
      </c>
      <c r="B27" s="10">
        <v>152</v>
      </c>
      <c r="C27" s="10">
        <v>24</v>
      </c>
      <c r="E27" s="8"/>
      <c r="F27" s="8" t="s">
        <v>870</v>
      </c>
      <c r="G27" s="8" t="s">
        <v>931</v>
      </c>
      <c r="H27" s="8" t="s">
        <v>722</v>
      </c>
      <c r="I27" s="8" t="s">
        <v>932</v>
      </c>
      <c r="J27" s="8" t="s">
        <v>933</v>
      </c>
      <c r="K27"/>
      <c r="L27"/>
      <c r="M27"/>
    </row>
    <row r="28" spans="1:13">
      <c r="A28" s="10" t="s">
        <v>49</v>
      </c>
      <c r="B28" s="10">
        <v>112</v>
      </c>
      <c r="C28" s="10">
        <v>26</v>
      </c>
      <c r="E28" t="s">
        <v>928</v>
      </c>
      <c r="F28">
        <v>1</v>
      </c>
      <c r="G28">
        <v>22908.299585031382</v>
      </c>
      <c r="H28">
        <v>22908.299585031382</v>
      </c>
      <c r="I28">
        <v>379.2049984131894</v>
      </c>
      <c r="J28">
        <v>2.2952509575006184E-67</v>
      </c>
      <c r="K28"/>
      <c r="L28"/>
      <c r="M28"/>
    </row>
    <row r="29" spans="1:13">
      <c r="A29" s="10" t="s">
        <v>51</v>
      </c>
      <c r="B29" s="10">
        <v>177</v>
      </c>
      <c r="C29" s="10">
        <v>25</v>
      </c>
      <c r="E29" t="s">
        <v>929</v>
      </c>
      <c r="F29">
        <v>675</v>
      </c>
      <c r="G29">
        <v>40777.685643919904</v>
      </c>
      <c r="H29">
        <v>60.411386139140596</v>
      </c>
      <c r="I29"/>
      <c r="J29"/>
      <c r="K29"/>
      <c r="L29"/>
      <c r="M29"/>
    </row>
    <row r="30" spans="1:13" ht="19.5" thickBot="1">
      <c r="A30" s="10" t="s">
        <v>52</v>
      </c>
      <c r="B30" s="10">
        <v>112</v>
      </c>
      <c r="C30" s="10">
        <v>30</v>
      </c>
      <c r="E30" s="7" t="s">
        <v>728</v>
      </c>
      <c r="F30" s="7">
        <v>676</v>
      </c>
      <c r="G30" s="7">
        <v>63685.985228951286</v>
      </c>
      <c r="H30" s="7"/>
      <c r="I30" s="7"/>
      <c r="J30" s="7"/>
      <c r="K30"/>
      <c r="L30"/>
      <c r="M30"/>
    </row>
    <row r="31" spans="1:13" ht="19.5" thickBot="1">
      <c r="A31" s="10" t="s">
        <v>53</v>
      </c>
      <c r="B31" s="10">
        <v>160</v>
      </c>
      <c r="C31" s="10">
        <v>37</v>
      </c>
      <c r="E31"/>
      <c r="F31"/>
      <c r="G31"/>
      <c r="H31"/>
      <c r="I31"/>
      <c r="J31"/>
      <c r="K31"/>
      <c r="L31"/>
      <c r="M31"/>
    </row>
    <row r="32" spans="1:13">
      <c r="A32" s="10" t="s">
        <v>54</v>
      </c>
      <c r="B32" s="10">
        <v>168</v>
      </c>
      <c r="C32" s="10">
        <v>38</v>
      </c>
      <c r="E32" s="8"/>
      <c r="F32" s="8" t="s">
        <v>934</v>
      </c>
      <c r="G32" s="8" t="s">
        <v>718</v>
      </c>
      <c r="H32" s="8" t="s">
        <v>871</v>
      </c>
      <c r="I32" s="8" t="s">
        <v>935</v>
      </c>
      <c r="J32" s="8" t="s">
        <v>936</v>
      </c>
      <c r="K32" s="8" t="s">
        <v>937</v>
      </c>
      <c r="L32" s="8" t="s">
        <v>938</v>
      </c>
      <c r="M32" s="8" t="s">
        <v>939</v>
      </c>
    </row>
    <row r="33" spans="1:13">
      <c r="A33" s="10" t="s">
        <v>55</v>
      </c>
      <c r="B33" s="10">
        <v>134</v>
      </c>
      <c r="C33" s="10">
        <v>25</v>
      </c>
      <c r="E33" t="s">
        <v>930</v>
      </c>
      <c r="F33">
        <v>55.465622176465217</v>
      </c>
      <c r="G33">
        <v>1.4575293593857852</v>
      </c>
      <c r="H33">
        <v>38.054548829012191</v>
      </c>
      <c r="I33">
        <v>4.0183486744147855E-170</v>
      </c>
      <c r="J33">
        <v>52.603785632653057</v>
      </c>
      <c r="K33">
        <v>58.327458720277377</v>
      </c>
      <c r="L33">
        <v>52.603785632653057</v>
      </c>
      <c r="M33">
        <v>58.327458720277377</v>
      </c>
    </row>
    <row r="34" spans="1:13" ht="19.5" thickBot="1">
      <c r="A34" s="10" t="s">
        <v>56</v>
      </c>
      <c r="B34" s="10">
        <v>155</v>
      </c>
      <c r="C34" s="10">
        <v>17</v>
      </c>
      <c r="E34" s="7" t="s">
        <v>9</v>
      </c>
      <c r="F34" s="7">
        <v>-0.18128670091926155</v>
      </c>
      <c r="G34" s="7">
        <v>9.3095549358161705E-3</v>
      </c>
      <c r="H34" s="7">
        <v>-19.47318665275894</v>
      </c>
      <c r="I34" s="7">
        <v>2.2952509575007495E-67</v>
      </c>
      <c r="J34" s="7">
        <v>-0.1995658692601126</v>
      </c>
      <c r="K34" s="7">
        <v>-0.1630075325784105</v>
      </c>
      <c r="L34" s="7">
        <v>-0.1995658692601126</v>
      </c>
      <c r="M34" s="7">
        <v>-0.1630075325784105</v>
      </c>
    </row>
    <row r="35" spans="1:13">
      <c r="A35" s="10" t="s">
        <v>57</v>
      </c>
      <c r="B35" s="10">
        <v>135</v>
      </c>
      <c r="C35" s="10">
        <v>30</v>
      </c>
      <c r="E35"/>
      <c r="F35"/>
      <c r="G35"/>
      <c r="H35"/>
      <c r="I35"/>
      <c r="J35"/>
      <c r="K35"/>
      <c r="L35"/>
      <c r="M35"/>
    </row>
    <row r="36" spans="1:13">
      <c r="A36" s="10" t="s">
        <v>58</v>
      </c>
      <c r="B36" s="10">
        <v>170</v>
      </c>
      <c r="C36" s="10">
        <v>25</v>
      </c>
      <c r="E36" t="s">
        <v>940</v>
      </c>
      <c r="F36"/>
      <c r="G36"/>
      <c r="H36"/>
      <c r="I36"/>
      <c r="J36"/>
      <c r="K36"/>
      <c r="L36"/>
      <c r="M36"/>
    </row>
    <row r="37" spans="1:13">
      <c r="A37" s="10" t="s">
        <v>59</v>
      </c>
      <c r="B37" s="10">
        <v>191</v>
      </c>
      <c r="C37" s="10">
        <v>24</v>
      </c>
      <c r="E37" t="s">
        <v>941</v>
      </c>
      <c r="F37"/>
      <c r="G37"/>
      <c r="H37"/>
      <c r="I37"/>
      <c r="J37"/>
      <c r="K37"/>
      <c r="L37"/>
      <c r="M37"/>
    </row>
    <row r="38" spans="1:13">
      <c r="A38" s="10" t="s">
        <v>60</v>
      </c>
      <c r="B38" s="10">
        <v>127</v>
      </c>
      <c r="C38" s="10">
        <v>36</v>
      </c>
      <c r="E38" s="10" t="s">
        <v>942</v>
      </c>
    </row>
    <row r="39" spans="1:13">
      <c r="A39" s="10" t="s">
        <v>61</v>
      </c>
      <c r="B39" s="10">
        <v>97</v>
      </c>
      <c r="C39" s="10">
        <v>40</v>
      </c>
    </row>
    <row r="40" spans="1:13">
      <c r="A40" s="10" t="s">
        <v>62</v>
      </c>
      <c r="B40" s="10">
        <v>146</v>
      </c>
      <c r="C40" s="10">
        <v>37</v>
      </c>
    </row>
    <row r="41" spans="1:13">
      <c r="A41" s="10" t="s">
        <v>63</v>
      </c>
      <c r="B41" s="10">
        <v>107</v>
      </c>
      <c r="C41" s="10">
        <v>39</v>
      </c>
    </row>
    <row r="42" spans="1:13">
      <c r="A42" s="10" t="s">
        <v>64</v>
      </c>
      <c r="B42" s="10">
        <v>210</v>
      </c>
      <c r="C42" s="10">
        <v>19</v>
      </c>
    </row>
    <row r="43" spans="1:13">
      <c r="A43" s="10" t="s">
        <v>65</v>
      </c>
      <c r="B43" s="10">
        <v>176</v>
      </c>
      <c r="C43" s="10">
        <v>19</v>
      </c>
    </row>
    <row r="44" spans="1:13">
      <c r="A44" s="10" t="s">
        <v>66</v>
      </c>
      <c r="B44" s="10">
        <v>120</v>
      </c>
      <c r="C44" s="10">
        <v>33</v>
      </c>
    </row>
    <row r="45" spans="1:13">
      <c r="A45" s="10" t="s">
        <v>67</v>
      </c>
      <c r="B45" s="10">
        <v>155</v>
      </c>
      <c r="C45" s="10">
        <v>33</v>
      </c>
    </row>
    <row r="46" spans="1:13">
      <c r="A46" s="10" t="s">
        <v>68</v>
      </c>
      <c r="B46" s="10">
        <v>192</v>
      </c>
      <c r="C46" s="10">
        <v>27</v>
      </c>
    </row>
    <row r="47" spans="1:13">
      <c r="A47" s="10" t="s">
        <v>69</v>
      </c>
      <c r="B47" s="10">
        <v>178</v>
      </c>
      <c r="C47" s="10">
        <v>23</v>
      </c>
    </row>
    <row r="48" spans="1:13">
      <c r="A48" s="10" t="s">
        <v>70</v>
      </c>
      <c r="B48" s="10">
        <v>118</v>
      </c>
      <c r="C48" s="10">
        <v>27</v>
      </c>
    </row>
    <row r="49" spans="1:3">
      <c r="A49" s="10" t="s">
        <v>71</v>
      </c>
      <c r="B49" s="10">
        <v>168</v>
      </c>
      <c r="C49" s="10">
        <v>30</v>
      </c>
    </row>
    <row r="50" spans="1:3">
      <c r="A50" s="10" t="s">
        <v>72</v>
      </c>
      <c r="B50" s="10">
        <v>103</v>
      </c>
      <c r="C50" s="10">
        <v>42</v>
      </c>
    </row>
    <row r="51" spans="1:3">
      <c r="A51" s="10" t="s">
        <v>73</v>
      </c>
      <c r="B51" s="10">
        <v>136</v>
      </c>
      <c r="C51" s="10">
        <v>28</v>
      </c>
    </row>
    <row r="52" spans="1:3">
      <c r="A52" s="10" t="s">
        <v>74</v>
      </c>
      <c r="B52" s="10">
        <v>169</v>
      </c>
      <c r="C52" s="10">
        <v>22</v>
      </c>
    </row>
    <row r="53" spans="1:3">
      <c r="A53" s="10" t="s">
        <v>75</v>
      </c>
      <c r="B53" s="10">
        <v>150</v>
      </c>
      <c r="C53" s="10">
        <v>29</v>
      </c>
    </row>
    <row r="54" spans="1:3">
      <c r="A54" s="10" t="s">
        <v>76</v>
      </c>
      <c r="B54" s="10">
        <v>168</v>
      </c>
      <c r="C54" s="10">
        <v>33</v>
      </c>
    </row>
    <row r="55" spans="1:3">
      <c r="A55" s="10" t="s">
        <v>77</v>
      </c>
      <c r="B55" s="10">
        <v>220</v>
      </c>
      <c r="C55" s="10">
        <v>16</v>
      </c>
    </row>
    <row r="56" spans="1:3">
      <c r="A56" s="10" t="s">
        <v>78</v>
      </c>
      <c r="B56" s="10">
        <v>138</v>
      </c>
      <c r="C56" s="10">
        <v>35</v>
      </c>
    </row>
    <row r="57" spans="1:3">
      <c r="A57" s="10" t="s">
        <v>79</v>
      </c>
      <c r="B57" s="10">
        <v>177</v>
      </c>
      <c r="C57" s="10">
        <v>24</v>
      </c>
    </row>
    <row r="58" spans="1:3">
      <c r="A58" s="10" t="s">
        <v>80</v>
      </c>
      <c r="B58" s="10">
        <v>177</v>
      </c>
      <c r="C58" s="10">
        <v>31</v>
      </c>
    </row>
    <row r="59" spans="1:3">
      <c r="A59" s="10" t="s">
        <v>81</v>
      </c>
      <c r="B59" s="10">
        <v>141</v>
      </c>
      <c r="C59" s="10">
        <v>38</v>
      </c>
    </row>
    <row r="60" spans="1:3">
      <c r="A60" s="10" t="s">
        <v>82</v>
      </c>
      <c r="B60" s="10">
        <v>186</v>
      </c>
      <c r="C60" s="10">
        <v>26</v>
      </c>
    </row>
    <row r="61" spans="1:3">
      <c r="A61" s="10" t="s">
        <v>83</v>
      </c>
      <c r="B61" s="10">
        <v>221</v>
      </c>
      <c r="C61" s="10">
        <v>16</v>
      </c>
    </row>
    <row r="62" spans="1:3">
      <c r="A62" s="10" t="s">
        <v>84</v>
      </c>
      <c r="B62" s="10">
        <v>210</v>
      </c>
      <c r="C62" s="10">
        <v>18</v>
      </c>
    </row>
    <row r="63" spans="1:3">
      <c r="A63" s="10" t="s">
        <v>85</v>
      </c>
      <c r="B63" s="10">
        <v>198</v>
      </c>
      <c r="C63" s="10">
        <v>21</v>
      </c>
    </row>
    <row r="64" spans="1:3">
      <c r="A64" s="10" t="s">
        <v>86</v>
      </c>
      <c r="B64" s="10">
        <v>170</v>
      </c>
      <c r="C64" s="10">
        <v>19</v>
      </c>
    </row>
    <row r="65" spans="1:3">
      <c r="A65" s="10" t="s">
        <v>87</v>
      </c>
      <c r="B65" s="10">
        <v>102</v>
      </c>
      <c r="C65" s="10">
        <v>32</v>
      </c>
    </row>
    <row r="66" spans="1:3">
      <c r="A66" s="10" t="s">
        <v>88</v>
      </c>
      <c r="B66" s="10">
        <v>129</v>
      </c>
      <c r="C66" s="10">
        <v>28</v>
      </c>
    </row>
    <row r="67" spans="1:3">
      <c r="A67" s="10" t="s">
        <v>89</v>
      </c>
      <c r="B67" s="10">
        <v>141</v>
      </c>
      <c r="C67" s="10">
        <v>46</v>
      </c>
    </row>
    <row r="68" spans="1:3">
      <c r="A68" s="10" t="s">
        <v>90</v>
      </c>
      <c r="B68" s="10">
        <v>148</v>
      </c>
      <c r="C68" s="10">
        <v>22</v>
      </c>
    </row>
    <row r="69" spans="1:3">
      <c r="A69" s="10" t="s">
        <v>91</v>
      </c>
      <c r="B69" s="10">
        <v>162</v>
      </c>
      <c r="C69" s="10">
        <v>16</v>
      </c>
    </row>
    <row r="70" spans="1:3">
      <c r="A70" s="10" t="s">
        <v>92</v>
      </c>
      <c r="B70" s="10">
        <v>134</v>
      </c>
      <c r="C70" s="10">
        <v>26</v>
      </c>
    </row>
    <row r="71" spans="1:3">
      <c r="A71" s="10" t="s">
        <v>93</v>
      </c>
      <c r="B71" s="10">
        <v>154</v>
      </c>
      <c r="C71" s="10">
        <v>37</v>
      </c>
    </row>
    <row r="72" spans="1:3">
      <c r="A72" s="10" t="s">
        <v>94</v>
      </c>
      <c r="B72" s="10">
        <v>116</v>
      </c>
      <c r="C72" s="10">
        <v>32</v>
      </c>
    </row>
    <row r="73" spans="1:3">
      <c r="A73" s="10" t="s">
        <v>95</v>
      </c>
      <c r="B73" s="10">
        <v>104</v>
      </c>
      <c r="C73" s="10">
        <v>46</v>
      </c>
    </row>
    <row r="74" spans="1:3">
      <c r="A74" s="10" t="s">
        <v>96</v>
      </c>
      <c r="B74" s="10">
        <v>178</v>
      </c>
      <c r="C74" s="10">
        <v>20</v>
      </c>
    </row>
    <row r="75" spans="1:3">
      <c r="A75" s="10" t="s">
        <v>97</v>
      </c>
      <c r="B75" s="10">
        <v>145</v>
      </c>
      <c r="C75" s="10">
        <v>45</v>
      </c>
    </row>
    <row r="76" spans="1:3">
      <c r="A76" s="10" t="s">
        <v>98</v>
      </c>
      <c r="B76" s="10">
        <v>119</v>
      </c>
      <c r="C76" s="10">
        <v>34</v>
      </c>
    </row>
    <row r="77" spans="1:3">
      <c r="A77" s="10" t="s">
        <v>99</v>
      </c>
      <c r="B77" s="10">
        <v>128</v>
      </c>
      <c r="C77" s="10">
        <v>30</v>
      </c>
    </row>
    <row r="78" spans="1:3">
      <c r="A78" s="10" t="s">
        <v>100</v>
      </c>
      <c r="B78" s="10">
        <v>142</v>
      </c>
      <c r="C78" s="10">
        <v>19</v>
      </c>
    </row>
    <row r="79" spans="1:3">
      <c r="A79" s="10" t="s">
        <v>101</v>
      </c>
      <c r="B79" s="10">
        <v>150</v>
      </c>
      <c r="C79" s="10">
        <v>24</v>
      </c>
    </row>
    <row r="80" spans="1:3">
      <c r="A80" s="10" t="s">
        <v>102</v>
      </c>
      <c r="B80" s="10">
        <v>142</v>
      </c>
      <c r="C80" s="10">
        <v>11</v>
      </c>
    </row>
    <row r="81" spans="1:3">
      <c r="A81" s="10" t="s">
        <v>103</v>
      </c>
      <c r="B81" s="10">
        <v>156</v>
      </c>
      <c r="C81" s="10">
        <v>33</v>
      </c>
    </row>
    <row r="82" spans="1:3">
      <c r="A82" s="10" t="s">
        <v>104</v>
      </c>
      <c r="B82" s="10">
        <v>191</v>
      </c>
      <c r="C82" s="10">
        <v>21</v>
      </c>
    </row>
    <row r="83" spans="1:3">
      <c r="A83" s="10" t="s">
        <v>105</v>
      </c>
      <c r="B83" s="10">
        <v>116</v>
      </c>
      <c r="C83" s="10">
        <v>42</v>
      </c>
    </row>
    <row r="84" spans="1:3">
      <c r="A84" s="10" t="s">
        <v>106</v>
      </c>
      <c r="B84" s="10">
        <v>170</v>
      </c>
      <c r="C84" s="10">
        <v>27</v>
      </c>
    </row>
    <row r="85" spans="1:3">
      <c r="A85" s="10" t="s">
        <v>107</v>
      </c>
      <c r="B85" s="10">
        <v>119</v>
      </c>
      <c r="C85" s="10">
        <v>27</v>
      </c>
    </row>
    <row r="86" spans="1:3">
      <c r="A86" s="10" t="s">
        <v>108</v>
      </c>
      <c r="B86" s="10">
        <v>216</v>
      </c>
      <c r="C86" s="10">
        <v>18</v>
      </c>
    </row>
    <row r="87" spans="1:3">
      <c r="A87" s="10" t="s">
        <v>109</v>
      </c>
      <c r="B87" s="10">
        <v>182</v>
      </c>
      <c r="C87" s="10">
        <v>30</v>
      </c>
    </row>
    <row r="88" spans="1:3">
      <c r="A88" s="10" t="s">
        <v>110</v>
      </c>
      <c r="B88" s="10">
        <v>154</v>
      </c>
      <c r="C88" s="10">
        <v>18</v>
      </c>
    </row>
    <row r="89" spans="1:3">
      <c r="A89" s="10" t="s">
        <v>111</v>
      </c>
      <c r="B89" s="10">
        <v>195</v>
      </c>
      <c r="C89" s="10">
        <v>20</v>
      </c>
    </row>
    <row r="90" spans="1:3">
      <c r="A90" s="10" t="s">
        <v>112</v>
      </c>
      <c r="B90" s="10">
        <v>175</v>
      </c>
      <c r="C90" s="10">
        <v>26</v>
      </c>
    </row>
    <row r="91" spans="1:3">
      <c r="A91" s="10" t="s">
        <v>113</v>
      </c>
      <c r="B91" s="10">
        <v>154</v>
      </c>
      <c r="C91" s="10">
        <v>19</v>
      </c>
    </row>
    <row r="92" spans="1:3">
      <c r="A92" s="10" t="s">
        <v>114</v>
      </c>
      <c r="B92" s="10">
        <v>169</v>
      </c>
      <c r="C92" s="10">
        <v>26</v>
      </c>
    </row>
    <row r="93" spans="1:3">
      <c r="A93" s="10" t="s">
        <v>115</v>
      </c>
      <c r="B93" s="10">
        <v>170</v>
      </c>
      <c r="C93" s="10">
        <v>23</v>
      </c>
    </row>
    <row r="94" spans="1:3">
      <c r="A94" s="10" t="s">
        <v>116</v>
      </c>
      <c r="B94" s="10">
        <v>128</v>
      </c>
      <c r="C94" s="10">
        <v>20</v>
      </c>
    </row>
    <row r="95" spans="1:3">
      <c r="A95" s="10" t="s">
        <v>117</v>
      </c>
      <c r="B95" s="10">
        <v>159</v>
      </c>
      <c r="C95" s="10">
        <v>17</v>
      </c>
    </row>
    <row r="96" spans="1:3">
      <c r="A96" s="10" t="s">
        <v>118</v>
      </c>
      <c r="B96" s="10">
        <v>137</v>
      </c>
      <c r="C96" s="10">
        <v>15</v>
      </c>
    </row>
    <row r="97" spans="1:3">
      <c r="A97" s="10" t="s">
        <v>119</v>
      </c>
      <c r="B97" s="10">
        <v>109</v>
      </c>
      <c r="C97" s="10">
        <v>39</v>
      </c>
    </row>
    <row r="98" spans="1:3">
      <c r="A98" s="10" t="s">
        <v>120</v>
      </c>
      <c r="B98" s="10">
        <v>128</v>
      </c>
      <c r="C98" s="10">
        <v>30</v>
      </c>
    </row>
    <row r="99" spans="1:3">
      <c r="A99" s="10" t="s">
        <v>121</v>
      </c>
      <c r="B99" s="10">
        <v>133</v>
      </c>
      <c r="C99" s="10">
        <v>37</v>
      </c>
    </row>
    <row r="100" spans="1:3">
      <c r="A100" s="10" t="s">
        <v>122</v>
      </c>
      <c r="B100" s="10">
        <v>146</v>
      </c>
      <c r="C100" s="10">
        <v>31</v>
      </c>
    </row>
    <row r="101" spans="1:3">
      <c r="A101" s="10" t="s">
        <v>123</v>
      </c>
      <c r="B101" s="10">
        <v>164</v>
      </c>
      <c r="C101" s="10">
        <v>15</v>
      </c>
    </row>
    <row r="102" spans="1:3">
      <c r="A102" s="10" t="s">
        <v>124</v>
      </c>
      <c r="B102" s="10">
        <v>149</v>
      </c>
      <c r="C102" s="10">
        <v>33</v>
      </c>
    </row>
    <row r="103" spans="1:3">
      <c r="A103" s="10" t="s">
        <v>125</v>
      </c>
      <c r="B103" s="10">
        <v>168</v>
      </c>
      <c r="C103" s="10">
        <v>32</v>
      </c>
    </row>
    <row r="104" spans="1:3">
      <c r="A104" s="10" t="s">
        <v>126</v>
      </c>
      <c r="B104" s="10">
        <v>130</v>
      </c>
      <c r="C104" s="10">
        <v>33</v>
      </c>
    </row>
    <row r="105" spans="1:3">
      <c r="A105" s="10" t="s">
        <v>127</v>
      </c>
      <c r="B105" s="10">
        <v>126</v>
      </c>
      <c r="C105" s="10">
        <v>24</v>
      </c>
    </row>
    <row r="106" spans="1:3">
      <c r="A106" s="10" t="s">
        <v>128</v>
      </c>
      <c r="B106" s="10">
        <v>115</v>
      </c>
      <c r="C106" s="10">
        <v>25</v>
      </c>
    </row>
    <row r="107" spans="1:3">
      <c r="A107" s="10" t="s">
        <v>129</v>
      </c>
      <c r="B107" s="10">
        <v>136</v>
      </c>
      <c r="C107" s="10">
        <v>23</v>
      </c>
    </row>
    <row r="108" spans="1:3">
      <c r="A108" s="10" t="s">
        <v>130</v>
      </c>
      <c r="B108" s="10">
        <v>161</v>
      </c>
      <c r="C108" s="10">
        <v>27</v>
      </c>
    </row>
    <row r="109" spans="1:3">
      <c r="A109" s="10" t="s">
        <v>131</v>
      </c>
      <c r="B109" s="10">
        <v>108</v>
      </c>
      <c r="C109" s="10">
        <v>33</v>
      </c>
    </row>
    <row r="110" spans="1:3">
      <c r="A110" s="10" t="s">
        <v>132</v>
      </c>
      <c r="B110" s="10">
        <v>198</v>
      </c>
      <c r="C110" s="10">
        <v>11</v>
      </c>
    </row>
    <row r="111" spans="1:3">
      <c r="A111" s="10" t="s">
        <v>133</v>
      </c>
      <c r="B111" s="10">
        <v>203</v>
      </c>
      <c r="C111" s="10">
        <v>11</v>
      </c>
    </row>
    <row r="112" spans="1:3">
      <c r="A112" s="10" t="s">
        <v>134</v>
      </c>
      <c r="B112" s="10">
        <v>109</v>
      </c>
      <c r="C112" s="10">
        <v>29</v>
      </c>
    </row>
    <row r="113" spans="1:3">
      <c r="A113" s="10" t="s">
        <v>135</v>
      </c>
      <c r="B113" s="10">
        <v>109</v>
      </c>
      <c r="C113" s="10">
        <v>38</v>
      </c>
    </row>
    <row r="114" spans="1:3">
      <c r="A114" s="10" t="s">
        <v>136</v>
      </c>
      <c r="B114" s="10">
        <v>140</v>
      </c>
      <c r="C114" s="10">
        <v>26</v>
      </c>
    </row>
    <row r="115" spans="1:3">
      <c r="A115" s="10" t="s">
        <v>137</v>
      </c>
      <c r="B115" s="10">
        <v>102</v>
      </c>
      <c r="C115" s="10">
        <v>36</v>
      </c>
    </row>
    <row r="116" spans="1:3">
      <c r="A116" s="10" t="s">
        <v>138</v>
      </c>
      <c r="B116" s="10">
        <v>142</v>
      </c>
      <c r="C116" s="10">
        <v>32</v>
      </c>
    </row>
    <row r="117" spans="1:3">
      <c r="A117" s="10" t="s">
        <v>139</v>
      </c>
      <c r="B117" s="10">
        <v>171</v>
      </c>
      <c r="C117" s="10">
        <v>18</v>
      </c>
    </row>
    <row r="118" spans="1:3">
      <c r="A118" s="10" t="s">
        <v>140</v>
      </c>
      <c r="B118" s="10">
        <v>212</v>
      </c>
      <c r="C118" s="10">
        <v>21</v>
      </c>
    </row>
    <row r="119" spans="1:3">
      <c r="A119" s="10" t="s">
        <v>141</v>
      </c>
      <c r="B119" s="10">
        <v>141</v>
      </c>
      <c r="C119" s="10">
        <v>12</v>
      </c>
    </row>
    <row r="120" spans="1:3">
      <c r="A120" s="10" t="s">
        <v>142</v>
      </c>
      <c r="B120" s="10">
        <v>184</v>
      </c>
      <c r="C120" s="10">
        <v>12</v>
      </c>
    </row>
    <row r="121" spans="1:3">
      <c r="A121" s="10" t="s">
        <v>143</v>
      </c>
      <c r="B121" s="10">
        <v>164</v>
      </c>
      <c r="C121" s="10">
        <v>32</v>
      </c>
    </row>
    <row r="122" spans="1:3">
      <c r="A122" s="10" t="s">
        <v>144</v>
      </c>
      <c r="B122" s="10">
        <v>179</v>
      </c>
      <c r="C122" s="10">
        <v>23</v>
      </c>
    </row>
    <row r="123" spans="1:3">
      <c r="A123" s="10" t="s">
        <v>145</v>
      </c>
      <c r="B123" s="10">
        <v>159</v>
      </c>
      <c r="C123" s="10">
        <v>26</v>
      </c>
    </row>
    <row r="124" spans="1:3">
      <c r="A124" s="10" t="s">
        <v>146</v>
      </c>
      <c r="B124" s="10">
        <v>140</v>
      </c>
      <c r="C124" s="10">
        <v>30</v>
      </c>
    </row>
    <row r="125" spans="1:3">
      <c r="A125" s="10" t="s">
        <v>147</v>
      </c>
      <c r="B125" s="10">
        <v>175</v>
      </c>
      <c r="C125" s="10">
        <v>13</v>
      </c>
    </row>
    <row r="126" spans="1:3">
      <c r="A126" s="10" t="s">
        <v>148</v>
      </c>
      <c r="B126" s="10">
        <v>161</v>
      </c>
      <c r="C126" s="10">
        <v>16</v>
      </c>
    </row>
    <row r="127" spans="1:3">
      <c r="A127" s="10" t="s">
        <v>150</v>
      </c>
      <c r="B127" s="10">
        <v>173</v>
      </c>
      <c r="C127" s="10">
        <v>34</v>
      </c>
    </row>
    <row r="128" spans="1:3">
      <c r="A128" s="10" t="s">
        <v>151</v>
      </c>
      <c r="B128" s="10">
        <v>186</v>
      </c>
      <c r="C128" s="10">
        <v>32</v>
      </c>
    </row>
    <row r="129" spans="1:3">
      <c r="A129" s="10" t="s">
        <v>152</v>
      </c>
      <c r="B129" s="10">
        <v>187</v>
      </c>
      <c r="C129" s="10">
        <v>31</v>
      </c>
    </row>
    <row r="130" spans="1:3">
      <c r="A130" s="10" t="s">
        <v>153</v>
      </c>
      <c r="B130" s="10">
        <v>130</v>
      </c>
      <c r="C130" s="10">
        <v>36</v>
      </c>
    </row>
    <row r="131" spans="1:3">
      <c r="A131" s="10" t="s">
        <v>154</v>
      </c>
      <c r="B131" s="10">
        <v>112</v>
      </c>
      <c r="C131" s="10">
        <v>48</v>
      </c>
    </row>
    <row r="132" spans="1:3">
      <c r="A132" s="10" t="s">
        <v>155</v>
      </c>
      <c r="B132" s="10">
        <v>183</v>
      </c>
      <c r="C132" s="10">
        <v>23</v>
      </c>
    </row>
    <row r="133" spans="1:3">
      <c r="A133" s="10" t="s">
        <v>156</v>
      </c>
      <c r="B133" s="10">
        <v>175</v>
      </c>
      <c r="C133" s="10">
        <v>24</v>
      </c>
    </row>
    <row r="134" spans="1:3">
      <c r="A134" s="10" t="s">
        <v>157</v>
      </c>
      <c r="B134" s="10">
        <v>140</v>
      </c>
      <c r="C134" s="10">
        <v>41</v>
      </c>
    </row>
    <row r="135" spans="1:3">
      <c r="A135" s="10" t="s">
        <v>158</v>
      </c>
      <c r="B135" s="10">
        <v>177</v>
      </c>
      <c r="C135" s="10">
        <v>20</v>
      </c>
    </row>
    <row r="136" spans="1:3">
      <c r="A136" s="10" t="s">
        <v>159</v>
      </c>
      <c r="B136" s="10">
        <v>139</v>
      </c>
      <c r="C136" s="10">
        <v>24</v>
      </c>
    </row>
    <row r="137" spans="1:3">
      <c r="A137" s="10" t="s">
        <v>160</v>
      </c>
      <c r="B137" s="10">
        <v>186</v>
      </c>
      <c r="C137" s="10">
        <v>20</v>
      </c>
    </row>
    <row r="138" spans="1:3">
      <c r="A138" s="10" t="s">
        <v>161</v>
      </c>
      <c r="B138" s="10">
        <v>173</v>
      </c>
      <c r="C138" s="10">
        <v>19</v>
      </c>
    </row>
    <row r="139" spans="1:3">
      <c r="A139" s="10" t="s">
        <v>162</v>
      </c>
      <c r="B139" s="10">
        <v>176</v>
      </c>
      <c r="C139" s="10">
        <v>24</v>
      </c>
    </row>
    <row r="140" spans="1:3">
      <c r="A140" s="10" t="s">
        <v>163</v>
      </c>
      <c r="B140" s="10">
        <v>144</v>
      </c>
      <c r="C140" s="10">
        <v>20</v>
      </c>
    </row>
    <row r="141" spans="1:3">
      <c r="A141" s="10" t="s">
        <v>164</v>
      </c>
      <c r="B141" s="10">
        <v>146</v>
      </c>
      <c r="C141" s="10">
        <v>32</v>
      </c>
    </row>
    <row r="142" spans="1:3">
      <c r="A142" s="10" t="s">
        <v>165</v>
      </c>
      <c r="B142" s="10">
        <v>184</v>
      </c>
      <c r="C142" s="10">
        <v>32</v>
      </c>
    </row>
    <row r="143" spans="1:3">
      <c r="A143" s="10" t="s">
        <v>166</v>
      </c>
      <c r="B143" s="10">
        <v>185</v>
      </c>
      <c r="C143" s="10">
        <v>12</v>
      </c>
    </row>
    <row r="144" spans="1:3">
      <c r="A144" s="10" t="s">
        <v>167</v>
      </c>
      <c r="B144" s="10">
        <v>124</v>
      </c>
      <c r="C144" s="10">
        <v>25</v>
      </c>
    </row>
    <row r="145" spans="1:3">
      <c r="A145" s="10" t="s">
        <v>168</v>
      </c>
      <c r="B145" s="10">
        <v>146</v>
      </c>
      <c r="C145" s="10">
        <v>10</v>
      </c>
    </row>
    <row r="146" spans="1:3">
      <c r="A146" s="10" t="s">
        <v>169</v>
      </c>
      <c r="B146" s="10">
        <v>97</v>
      </c>
      <c r="C146" s="10">
        <v>39</v>
      </c>
    </row>
    <row r="147" spans="1:3">
      <c r="A147" s="10" t="s">
        <v>170</v>
      </c>
      <c r="B147" s="10">
        <v>152</v>
      </c>
      <c r="C147" s="10">
        <v>43</v>
      </c>
    </row>
    <row r="148" spans="1:3">
      <c r="A148" s="10" t="s">
        <v>171</v>
      </c>
      <c r="B148" s="10">
        <v>178</v>
      </c>
      <c r="C148" s="10">
        <v>20</v>
      </c>
    </row>
    <row r="149" spans="1:3">
      <c r="A149" s="10" t="s">
        <v>172</v>
      </c>
      <c r="B149" s="10">
        <v>166</v>
      </c>
      <c r="C149" s="10">
        <v>16</v>
      </c>
    </row>
    <row r="150" spans="1:3">
      <c r="A150" s="10" t="s">
        <v>173</v>
      </c>
      <c r="B150" s="10">
        <v>101</v>
      </c>
      <c r="C150" s="10">
        <v>41</v>
      </c>
    </row>
    <row r="151" spans="1:3">
      <c r="A151" s="10" t="s">
        <v>174</v>
      </c>
      <c r="B151" s="10">
        <v>102</v>
      </c>
      <c r="C151" s="10">
        <v>30</v>
      </c>
    </row>
    <row r="152" spans="1:3">
      <c r="A152" s="10" t="s">
        <v>175</v>
      </c>
      <c r="B152" s="10">
        <v>72</v>
      </c>
      <c r="C152" s="10">
        <v>50</v>
      </c>
    </row>
    <row r="153" spans="1:3">
      <c r="A153" s="10" t="s">
        <v>176</v>
      </c>
      <c r="B153" s="10">
        <v>100</v>
      </c>
      <c r="C153" s="10">
        <v>53</v>
      </c>
    </row>
    <row r="154" spans="1:3">
      <c r="A154" s="10" t="s">
        <v>177</v>
      </c>
      <c r="B154" s="10">
        <v>104</v>
      </c>
      <c r="C154" s="10">
        <v>32</v>
      </c>
    </row>
    <row r="155" spans="1:3">
      <c r="A155" s="10" t="s">
        <v>178</v>
      </c>
      <c r="B155" s="10">
        <v>104</v>
      </c>
      <c r="C155" s="10">
        <v>35</v>
      </c>
    </row>
    <row r="156" spans="1:3">
      <c r="A156" s="10" t="s">
        <v>179</v>
      </c>
      <c r="B156" s="10">
        <v>128</v>
      </c>
      <c r="C156" s="10">
        <v>29</v>
      </c>
    </row>
    <row r="157" spans="1:3">
      <c r="A157" s="10" t="s">
        <v>180</v>
      </c>
      <c r="B157" s="10">
        <v>189</v>
      </c>
      <c r="C157" s="10">
        <v>26</v>
      </c>
    </row>
    <row r="158" spans="1:3">
      <c r="A158" s="10" t="s">
        <v>181</v>
      </c>
      <c r="B158" s="10">
        <v>198</v>
      </c>
      <c r="C158" s="10">
        <v>22</v>
      </c>
    </row>
    <row r="159" spans="1:3">
      <c r="A159" s="10" t="s">
        <v>182</v>
      </c>
      <c r="B159" s="10">
        <v>124</v>
      </c>
      <c r="C159" s="10">
        <v>23</v>
      </c>
    </row>
    <row r="160" spans="1:3">
      <c r="A160" s="10" t="s">
        <v>183</v>
      </c>
      <c r="B160" s="10">
        <v>134</v>
      </c>
      <c r="C160" s="10">
        <v>52</v>
      </c>
    </row>
    <row r="161" spans="1:3">
      <c r="A161" s="10" t="s">
        <v>184</v>
      </c>
      <c r="B161" s="10">
        <v>137</v>
      </c>
      <c r="C161" s="10">
        <v>24</v>
      </c>
    </row>
    <row r="162" spans="1:3">
      <c r="A162" s="10" t="s">
        <v>185</v>
      </c>
      <c r="B162" s="10">
        <v>135</v>
      </c>
      <c r="C162" s="10">
        <v>42</v>
      </c>
    </row>
    <row r="163" spans="1:3">
      <c r="A163" s="10" t="s">
        <v>186</v>
      </c>
      <c r="B163" s="10">
        <v>140</v>
      </c>
      <c r="C163" s="10">
        <v>36</v>
      </c>
    </row>
    <row r="164" spans="1:3">
      <c r="A164" s="10" t="s">
        <v>187</v>
      </c>
      <c r="B164" s="10">
        <v>174</v>
      </c>
      <c r="C164" s="10">
        <v>16</v>
      </c>
    </row>
    <row r="165" spans="1:3">
      <c r="A165" s="10" t="s">
        <v>188</v>
      </c>
      <c r="B165" s="10">
        <v>112</v>
      </c>
      <c r="C165" s="10">
        <v>26</v>
      </c>
    </row>
    <row r="166" spans="1:3">
      <c r="A166" s="10" t="s">
        <v>189</v>
      </c>
      <c r="B166" s="10">
        <v>133</v>
      </c>
      <c r="C166" s="10">
        <v>28</v>
      </c>
    </row>
    <row r="167" spans="1:3">
      <c r="A167" s="10" t="s">
        <v>190</v>
      </c>
      <c r="B167" s="10">
        <v>145</v>
      </c>
      <c r="C167" s="10">
        <v>22</v>
      </c>
    </row>
    <row r="168" spans="1:3">
      <c r="A168" s="10" t="s">
        <v>191</v>
      </c>
      <c r="B168" s="10">
        <v>107</v>
      </c>
      <c r="C168" s="10">
        <v>36</v>
      </c>
    </row>
    <row r="169" spans="1:3">
      <c r="A169" s="10" t="s">
        <v>192</v>
      </c>
      <c r="B169" s="10">
        <v>186</v>
      </c>
      <c r="C169" s="10">
        <v>25</v>
      </c>
    </row>
    <row r="170" spans="1:3">
      <c r="A170" s="10" t="s">
        <v>193</v>
      </c>
      <c r="B170" s="10">
        <v>147</v>
      </c>
      <c r="C170" s="10">
        <v>17</v>
      </c>
    </row>
    <row r="171" spans="1:3">
      <c r="A171" s="10" t="s">
        <v>194</v>
      </c>
      <c r="B171" s="10">
        <v>181</v>
      </c>
      <c r="C171" s="10">
        <v>27</v>
      </c>
    </row>
    <row r="172" spans="1:3">
      <c r="A172" s="10" t="s">
        <v>195</v>
      </c>
      <c r="B172" s="10">
        <v>162</v>
      </c>
      <c r="C172" s="10">
        <v>31</v>
      </c>
    </row>
    <row r="173" spans="1:3">
      <c r="A173" s="10" t="s">
        <v>196</v>
      </c>
      <c r="B173" s="10">
        <v>118</v>
      </c>
      <c r="C173" s="10">
        <v>28</v>
      </c>
    </row>
    <row r="174" spans="1:3">
      <c r="A174" s="10" t="s">
        <v>197</v>
      </c>
      <c r="B174" s="10">
        <v>120</v>
      </c>
      <c r="C174" s="10">
        <v>41</v>
      </c>
    </row>
    <row r="175" spans="1:3">
      <c r="A175" s="10" t="s">
        <v>198</v>
      </c>
      <c r="B175" s="10">
        <v>193</v>
      </c>
      <c r="C175" s="10">
        <v>18</v>
      </c>
    </row>
    <row r="176" spans="1:3">
      <c r="A176" s="10" t="s">
        <v>199</v>
      </c>
      <c r="B176" s="10">
        <v>196</v>
      </c>
      <c r="C176" s="10">
        <v>16</v>
      </c>
    </row>
    <row r="177" spans="1:3">
      <c r="A177" s="10" t="s">
        <v>200</v>
      </c>
      <c r="B177" s="10">
        <v>178</v>
      </c>
      <c r="C177" s="10">
        <v>26</v>
      </c>
    </row>
    <row r="178" spans="1:3">
      <c r="A178" s="10" t="s">
        <v>201</v>
      </c>
      <c r="B178" s="10">
        <v>177</v>
      </c>
      <c r="C178" s="10">
        <v>14</v>
      </c>
    </row>
    <row r="179" spans="1:3">
      <c r="A179" s="10" t="s">
        <v>202</v>
      </c>
      <c r="B179" s="10">
        <v>84</v>
      </c>
      <c r="C179" s="10">
        <v>43</v>
      </c>
    </row>
    <row r="180" spans="1:3">
      <c r="A180" s="10" t="s">
        <v>203</v>
      </c>
      <c r="B180" s="10">
        <v>200</v>
      </c>
      <c r="C180" s="10">
        <v>23</v>
      </c>
    </row>
    <row r="181" spans="1:3">
      <c r="A181" s="10" t="s">
        <v>204</v>
      </c>
      <c r="B181" s="10">
        <v>194</v>
      </c>
      <c r="C181" s="10">
        <v>20</v>
      </c>
    </row>
    <row r="182" spans="1:3">
      <c r="A182" s="10" t="s">
        <v>205</v>
      </c>
      <c r="B182" s="10">
        <v>125</v>
      </c>
      <c r="C182" s="10">
        <v>31</v>
      </c>
    </row>
    <row r="183" spans="1:3">
      <c r="A183" s="10" t="s">
        <v>206</v>
      </c>
      <c r="B183" s="10">
        <v>163</v>
      </c>
      <c r="C183" s="10">
        <v>38</v>
      </c>
    </row>
    <row r="184" spans="1:3">
      <c r="A184" s="10" t="s">
        <v>207</v>
      </c>
      <c r="B184" s="10">
        <v>155</v>
      </c>
      <c r="C184" s="10">
        <v>33</v>
      </c>
    </row>
    <row r="185" spans="1:3">
      <c r="A185" s="10" t="s">
        <v>208</v>
      </c>
      <c r="B185" s="10">
        <v>113</v>
      </c>
      <c r="C185" s="10">
        <v>27</v>
      </c>
    </row>
    <row r="186" spans="1:3">
      <c r="A186" s="10" t="s">
        <v>209</v>
      </c>
      <c r="B186" s="10">
        <v>133</v>
      </c>
      <c r="C186" s="10">
        <v>24</v>
      </c>
    </row>
    <row r="187" spans="1:3">
      <c r="A187" s="10" t="s">
        <v>210</v>
      </c>
      <c r="B187" s="10">
        <v>119</v>
      </c>
      <c r="C187" s="10">
        <v>38</v>
      </c>
    </row>
    <row r="188" spans="1:3">
      <c r="A188" s="10" t="s">
        <v>211</v>
      </c>
      <c r="B188" s="10">
        <v>106</v>
      </c>
      <c r="C188" s="10">
        <v>47</v>
      </c>
    </row>
    <row r="189" spans="1:3">
      <c r="A189" s="10" t="s">
        <v>212</v>
      </c>
      <c r="B189" s="10">
        <v>146</v>
      </c>
      <c r="C189" s="10">
        <v>31</v>
      </c>
    </row>
    <row r="190" spans="1:3">
      <c r="A190" s="10" t="s">
        <v>213</v>
      </c>
      <c r="B190" s="10">
        <v>140</v>
      </c>
      <c r="C190" s="10">
        <v>20</v>
      </c>
    </row>
    <row r="191" spans="1:3">
      <c r="A191" s="10" t="s">
        <v>214</v>
      </c>
      <c r="B191" s="10">
        <v>226</v>
      </c>
      <c r="C191" s="10">
        <v>19</v>
      </c>
    </row>
    <row r="192" spans="1:3">
      <c r="A192" s="10" t="s">
        <v>215</v>
      </c>
      <c r="B192" s="10">
        <v>151</v>
      </c>
      <c r="C192" s="10">
        <v>45</v>
      </c>
    </row>
    <row r="193" spans="1:3">
      <c r="A193" s="10" t="s">
        <v>216</v>
      </c>
      <c r="B193" s="10">
        <v>110</v>
      </c>
      <c r="C193" s="10">
        <v>38</v>
      </c>
    </row>
    <row r="194" spans="1:3">
      <c r="A194" s="10" t="s">
        <v>217</v>
      </c>
      <c r="B194" s="10">
        <v>192</v>
      </c>
      <c r="C194" s="10">
        <v>18</v>
      </c>
    </row>
    <row r="195" spans="1:3">
      <c r="A195" s="10" t="s">
        <v>218</v>
      </c>
      <c r="B195" s="10">
        <v>168</v>
      </c>
      <c r="C195" s="10">
        <v>14</v>
      </c>
    </row>
    <row r="196" spans="1:3">
      <c r="A196" s="10" t="s">
        <v>219</v>
      </c>
      <c r="B196" s="10">
        <v>135</v>
      </c>
      <c r="C196" s="10">
        <v>42</v>
      </c>
    </row>
    <row r="197" spans="1:3">
      <c r="A197" s="10" t="s">
        <v>220</v>
      </c>
      <c r="B197" s="10">
        <v>157</v>
      </c>
      <c r="C197" s="10">
        <v>33</v>
      </c>
    </row>
    <row r="198" spans="1:3">
      <c r="A198" s="10" t="s">
        <v>221</v>
      </c>
      <c r="B198" s="10">
        <v>152</v>
      </c>
      <c r="C198" s="10">
        <v>34</v>
      </c>
    </row>
    <row r="199" spans="1:3">
      <c r="A199" s="10" t="s">
        <v>222</v>
      </c>
      <c r="B199" s="10">
        <v>206</v>
      </c>
      <c r="C199" s="10">
        <v>15</v>
      </c>
    </row>
    <row r="200" spans="1:3">
      <c r="A200" s="10" t="s">
        <v>223</v>
      </c>
      <c r="B200" s="10">
        <v>192</v>
      </c>
      <c r="C200" s="10">
        <v>22</v>
      </c>
    </row>
    <row r="201" spans="1:3">
      <c r="A201" s="10" t="s">
        <v>224</v>
      </c>
      <c r="B201" s="10">
        <v>166</v>
      </c>
      <c r="C201" s="10">
        <v>30</v>
      </c>
    </row>
    <row r="202" spans="1:3">
      <c r="A202" s="10" t="s">
        <v>225</v>
      </c>
      <c r="B202" s="10">
        <v>124</v>
      </c>
      <c r="C202" s="10">
        <v>25</v>
      </c>
    </row>
    <row r="203" spans="1:3">
      <c r="A203" s="10" t="s">
        <v>226</v>
      </c>
      <c r="B203" s="10">
        <v>156</v>
      </c>
      <c r="C203" s="10">
        <v>26</v>
      </c>
    </row>
    <row r="204" spans="1:3">
      <c r="A204" s="10" t="s">
        <v>227</v>
      </c>
      <c r="B204" s="10">
        <v>186</v>
      </c>
      <c r="C204" s="10">
        <v>11</v>
      </c>
    </row>
    <row r="205" spans="1:3">
      <c r="A205" s="10" t="s">
        <v>228</v>
      </c>
      <c r="B205" s="10">
        <v>137</v>
      </c>
      <c r="C205" s="10">
        <v>28</v>
      </c>
    </row>
    <row r="206" spans="1:3">
      <c r="A206" s="10" t="s">
        <v>229</v>
      </c>
      <c r="B206" s="10">
        <v>176</v>
      </c>
      <c r="C206" s="10">
        <v>22</v>
      </c>
    </row>
    <row r="207" spans="1:3">
      <c r="A207" s="10" t="s">
        <v>230</v>
      </c>
      <c r="B207" s="10">
        <v>89</v>
      </c>
      <c r="C207" s="10">
        <v>37</v>
      </c>
    </row>
    <row r="208" spans="1:3">
      <c r="A208" s="10" t="s">
        <v>231</v>
      </c>
      <c r="B208" s="10">
        <v>169</v>
      </c>
      <c r="C208" s="10">
        <v>31</v>
      </c>
    </row>
    <row r="209" spans="1:3">
      <c r="A209" s="10" t="s">
        <v>232</v>
      </c>
      <c r="B209" s="10">
        <v>160</v>
      </c>
      <c r="C209" s="10">
        <v>19</v>
      </c>
    </row>
    <row r="210" spans="1:3">
      <c r="A210" s="10" t="s">
        <v>233</v>
      </c>
      <c r="B210" s="10">
        <v>175</v>
      </c>
      <c r="C210" s="10">
        <v>32</v>
      </c>
    </row>
    <row r="211" spans="1:3">
      <c r="A211" s="10" t="s">
        <v>234</v>
      </c>
      <c r="B211" s="10">
        <v>135</v>
      </c>
      <c r="C211" s="10">
        <v>27</v>
      </c>
    </row>
    <row r="212" spans="1:3">
      <c r="A212" s="10" t="s">
        <v>235</v>
      </c>
      <c r="B212" s="10">
        <v>202</v>
      </c>
      <c r="C212" s="10">
        <v>13</v>
      </c>
    </row>
    <row r="213" spans="1:3">
      <c r="A213" s="10" t="s">
        <v>236</v>
      </c>
      <c r="B213" s="10">
        <v>189</v>
      </c>
      <c r="C213" s="10">
        <v>31</v>
      </c>
    </row>
    <row r="214" spans="1:3">
      <c r="A214" s="10" t="s">
        <v>237</v>
      </c>
      <c r="B214" s="10">
        <v>132</v>
      </c>
      <c r="C214" s="10">
        <v>20</v>
      </c>
    </row>
    <row r="215" spans="1:3">
      <c r="A215" s="10" t="s">
        <v>238</v>
      </c>
      <c r="B215" s="10">
        <v>138</v>
      </c>
      <c r="C215" s="10">
        <v>26</v>
      </c>
    </row>
    <row r="216" spans="1:3">
      <c r="A216" s="10" t="s">
        <v>239</v>
      </c>
      <c r="B216" s="10">
        <v>170</v>
      </c>
      <c r="C216" s="10">
        <v>42</v>
      </c>
    </row>
    <row r="217" spans="1:3">
      <c r="A217" s="10" t="s">
        <v>240</v>
      </c>
      <c r="B217" s="10">
        <v>186</v>
      </c>
      <c r="C217" s="10">
        <v>24</v>
      </c>
    </row>
    <row r="218" spans="1:3">
      <c r="A218" s="10" t="s">
        <v>241</v>
      </c>
      <c r="B218" s="10">
        <v>89</v>
      </c>
      <c r="C218" s="10">
        <v>50</v>
      </c>
    </row>
    <row r="219" spans="1:3">
      <c r="A219" s="10" t="s">
        <v>242</v>
      </c>
      <c r="B219" s="10">
        <v>105</v>
      </c>
      <c r="C219" s="10">
        <v>41</v>
      </c>
    </row>
    <row r="220" spans="1:3">
      <c r="A220" s="10" t="s">
        <v>244</v>
      </c>
      <c r="B220" s="10">
        <v>189</v>
      </c>
      <c r="C220" s="10">
        <v>29</v>
      </c>
    </row>
    <row r="221" spans="1:3">
      <c r="A221" s="10" t="s">
        <v>245</v>
      </c>
      <c r="B221" s="10">
        <v>152</v>
      </c>
      <c r="C221" s="10">
        <v>23</v>
      </c>
    </row>
    <row r="222" spans="1:3">
      <c r="A222" s="10" t="s">
        <v>246</v>
      </c>
      <c r="B222" s="10">
        <v>226</v>
      </c>
      <c r="C222" s="10">
        <v>13</v>
      </c>
    </row>
    <row r="223" spans="1:3">
      <c r="A223" s="10" t="s">
        <v>247</v>
      </c>
      <c r="B223" s="10">
        <v>146</v>
      </c>
      <c r="C223" s="10">
        <v>32</v>
      </c>
    </row>
    <row r="224" spans="1:3">
      <c r="A224" s="10" t="s">
        <v>248</v>
      </c>
      <c r="B224" s="10">
        <v>197</v>
      </c>
      <c r="C224" s="10">
        <v>24</v>
      </c>
    </row>
    <row r="225" spans="1:3">
      <c r="A225" s="10" t="s">
        <v>249</v>
      </c>
      <c r="B225" s="10">
        <v>188</v>
      </c>
      <c r="C225" s="10">
        <v>33</v>
      </c>
    </row>
    <row r="226" spans="1:3">
      <c r="A226" s="10" t="s">
        <v>250</v>
      </c>
      <c r="B226" s="10">
        <v>151</v>
      </c>
      <c r="C226" s="10">
        <v>29</v>
      </c>
    </row>
    <row r="227" spans="1:3">
      <c r="A227" s="10" t="s">
        <v>251</v>
      </c>
      <c r="B227" s="10">
        <v>207</v>
      </c>
      <c r="C227" s="10">
        <v>24</v>
      </c>
    </row>
    <row r="228" spans="1:3">
      <c r="A228" s="10" t="s">
        <v>252</v>
      </c>
      <c r="B228" s="10">
        <v>104</v>
      </c>
      <c r="C228" s="10">
        <v>40</v>
      </c>
    </row>
    <row r="229" spans="1:3">
      <c r="A229" s="10" t="s">
        <v>253</v>
      </c>
      <c r="B229" s="10">
        <v>188</v>
      </c>
      <c r="C229" s="10">
        <v>16</v>
      </c>
    </row>
    <row r="230" spans="1:3">
      <c r="A230" s="10" t="s">
        <v>254</v>
      </c>
      <c r="B230" s="10">
        <v>234</v>
      </c>
      <c r="C230" s="10">
        <v>11</v>
      </c>
    </row>
    <row r="231" spans="1:3">
      <c r="A231" s="10" t="s">
        <v>255</v>
      </c>
      <c r="B231" s="10">
        <v>202</v>
      </c>
      <c r="C231" s="10">
        <v>19</v>
      </c>
    </row>
    <row r="232" spans="1:3">
      <c r="A232" s="10" t="s">
        <v>256</v>
      </c>
      <c r="B232" s="10">
        <v>126</v>
      </c>
      <c r="C232" s="10">
        <v>42</v>
      </c>
    </row>
    <row r="233" spans="1:3">
      <c r="A233" s="10" t="s">
        <v>257</v>
      </c>
      <c r="B233" s="10">
        <v>144</v>
      </c>
      <c r="C233" s="10">
        <v>27</v>
      </c>
    </row>
    <row r="234" spans="1:3">
      <c r="A234" s="10" t="s">
        <v>258</v>
      </c>
      <c r="B234" s="10">
        <v>180</v>
      </c>
      <c r="C234" s="10">
        <v>24</v>
      </c>
    </row>
    <row r="235" spans="1:3">
      <c r="A235" s="10" t="s">
        <v>259</v>
      </c>
      <c r="B235" s="10">
        <v>138</v>
      </c>
      <c r="C235" s="10">
        <v>27</v>
      </c>
    </row>
    <row r="236" spans="1:3">
      <c r="A236" s="10" t="s">
        <v>260</v>
      </c>
      <c r="B236" s="10">
        <v>220</v>
      </c>
      <c r="C236" s="10">
        <v>14</v>
      </c>
    </row>
    <row r="237" spans="1:3">
      <c r="A237" s="10" t="s">
        <v>261</v>
      </c>
      <c r="B237" s="10">
        <v>204</v>
      </c>
      <c r="C237" s="10">
        <v>12</v>
      </c>
    </row>
    <row r="238" spans="1:3">
      <c r="A238" s="10" t="s">
        <v>262</v>
      </c>
      <c r="B238" s="10">
        <v>153</v>
      </c>
      <c r="C238" s="10">
        <v>23</v>
      </c>
    </row>
    <row r="239" spans="1:3">
      <c r="A239" s="10" t="s">
        <v>263</v>
      </c>
      <c r="B239" s="10">
        <v>114</v>
      </c>
      <c r="C239" s="10">
        <v>40</v>
      </c>
    </row>
    <row r="240" spans="1:3">
      <c r="A240" s="10" t="s">
        <v>264</v>
      </c>
      <c r="B240" s="10">
        <v>130</v>
      </c>
      <c r="C240" s="10">
        <v>33</v>
      </c>
    </row>
    <row r="241" spans="1:3">
      <c r="A241" s="10" t="s">
        <v>265</v>
      </c>
      <c r="B241" s="10">
        <v>146</v>
      </c>
      <c r="C241" s="10">
        <v>33</v>
      </c>
    </row>
    <row r="242" spans="1:3">
      <c r="A242" s="10" t="s">
        <v>266</v>
      </c>
      <c r="B242" s="10">
        <v>179</v>
      </c>
      <c r="C242" s="10">
        <v>30</v>
      </c>
    </row>
    <row r="243" spans="1:3">
      <c r="A243" s="10" t="s">
        <v>267</v>
      </c>
      <c r="B243" s="10">
        <v>148</v>
      </c>
      <c r="C243" s="10">
        <v>35</v>
      </c>
    </row>
    <row r="244" spans="1:3">
      <c r="A244" s="10" t="s">
        <v>268</v>
      </c>
      <c r="B244" s="10">
        <v>133</v>
      </c>
      <c r="C244" s="10">
        <v>26</v>
      </c>
    </row>
    <row r="245" spans="1:3">
      <c r="A245" s="10" t="s">
        <v>269</v>
      </c>
      <c r="B245" s="10">
        <v>210</v>
      </c>
      <c r="C245" s="10">
        <v>6</v>
      </c>
    </row>
    <row r="246" spans="1:3">
      <c r="A246" s="10" t="s">
        <v>270</v>
      </c>
      <c r="B246" s="10">
        <v>153</v>
      </c>
      <c r="C246" s="10">
        <v>17</v>
      </c>
    </row>
    <row r="247" spans="1:3">
      <c r="A247" s="10" t="s">
        <v>271</v>
      </c>
      <c r="B247" s="10">
        <v>99</v>
      </c>
      <c r="C247" s="10">
        <v>41</v>
      </c>
    </row>
    <row r="248" spans="1:3">
      <c r="A248" s="10" t="s">
        <v>272</v>
      </c>
      <c r="B248" s="10">
        <v>148</v>
      </c>
      <c r="C248" s="10">
        <v>33</v>
      </c>
    </row>
    <row r="249" spans="1:3">
      <c r="A249" s="10" t="s">
        <v>273</v>
      </c>
      <c r="B249" s="10">
        <v>134</v>
      </c>
      <c r="C249" s="10">
        <v>39</v>
      </c>
    </row>
    <row r="250" spans="1:3">
      <c r="A250" s="10" t="s">
        <v>274</v>
      </c>
      <c r="B250" s="10">
        <v>172</v>
      </c>
      <c r="C250" s="10">
        <v>17</v>
      </c>
    </row>
    <row r="251" spans="1:3">
      <c r="A251" s="10" t="s">
        <v>275</v>
      </c>
      <c r="B251" s="10">
        <v>116</v>
      </c>
      <c r="C251" s="10">
        <v>24</v>
      </c>
    </row>
    <row r="252" spans="1:3">
      <c r="A252" s="10" t="s">
        <v>276</v>
      </c>
      <c r="B252" s="10">
        <v>115</v>
      </c>
      <c r="C252" s="10">
        <v>35</v>
      </c>
    </row>
    <row r="253" spans="1:3">
      <c r="A253" s="10" t="s">
        <v>277</v>
      </c>
      <c r="B253" s="10">
        <v>157</v>
      </c>
      <c r="C253" s="10">
        <v>18</v>
      </c>
    </row>
    <row r="254" spans="1:3">
      <c r="A254" s="10" t="s">
        <v>278</v>
      </c>
      <c r="B254" s="10">
        <v>208</v>
      </c>
      <c r="C254" s="10">
        <v>20</v>
      </c>
    </row>
    <row r="255" spans="1:3">
      <c r="A255" s="10" t="s">
        <v>279</v>
      </c>
      <c r="B255" s="10">
        <v>145</v>
      </c>
      <c r="C255" s="10">
        <v>24</v>
      </c>
    </row>
    <row r="256" spans="1:3">
      <c r="A256" s="10" t="s">
        <v>280</v>
      </c>
      <c r="B256" s="10">
        <v>130</v>
      </c>
      <c r="C256" s="10">
        <v>40</v>
      </c>
    </row>
    <row r="257" spans="1:3">
      <c r="A257" s="10" t="s">
        <v>281</v>
      </c>
      <c r="B257" s="10">
        <v>222</v>
      </c>
      <c r="C257" s="10">
        <v>13</v>
      </c>
    </row>
    <row r="258" spans="1:3">
      <c r="A258" s="10" t="s">
        <v>282</v>
      </c>
      <c r="B258" s="10">
        <v>194</v>
      </c>
      <c r="C258" s="10">
        <v>32</v>
      </c>
    </row>
    <row r="259" spans="1:3">
      <c r="A259" s="10" t="s">
        <v>283</v>
      </c>
      <c r="B259" s="10">
        <v>113</v>
      </c>
      <c r="C259" s="10">
        <v>34</v>
      </c>
    </row>
    <row r="260" spans="1:3">
      <c r="A260" s="10" t="s">
        <v>284</v>
      </c>
      <c r="B260" s="10">
        <v>145</v>
      </c>
      <c r="C260" s="10">
        <v>34</v>
      </c>
    </row>
    <row r="261" spans="1:3">
      <c r="A261" s="10" t="s">
        <v>285</v>
      </c>
      <c r="B261" s="10">
        <v>154</v>
      </c>
      <c r="C261" s="10">
        <v>31</v>
      </c>
    </row>
    <row r="262" spans="1:3">
      <c r="A262" s="10" t="s">
        <v>286</v>
      </c>
      <c r="B262" s="10">
        <v>126</v>
      </c>
      <c r="C262" s="10">
        <v>47</v>
      </c>
    </row>
    <row r="263" spans="1:3">
      <c r="A263" s="10" t="s">
        <v>287</v>
      </c>
      <c r="B263" s="10">
        <v>108</v>
      </c>
      <c r="C263" s="10">
        <v>43</v>
      </c>
    </row>
    <row r="264" spans="1:3">
      <c r="A264" s="10" t="s">
        <v>288</v>
      </c>
      <c r="B264" s="10">
        <v>120</v>
      </c>
      <c r="C264" s="10">
        <v>27</v>
      </c>
    </row>
    <row r="265" spans="1:3">
      <c r="A265" s="10" t="s">
        <v>289</v>
      </c>
      <c r="B265" s="10">
        <v>172</v>
      </c>
      <c r="C265" s="10">
        <v>11</v>
      </c>
    </row>
    <row r="266" spans="1:3">
      <c r="A266" s="10" t="s">
        <v>290</v>
      </c>
      <c r="B266" s="10">
        <v>126</v>
      </c>
      <c r="C266" s="10">
        <v>37</v>
      </c>
    </row>
    <row r="267" spans="1:3">
      <c r="A267" s="10" t="s">
        <v>291</v>
      </c>
      <c r="B267" s="10">
        <v>180</v>
      </c>
      <c r="C267" s="10">
        <v>26</v>
      </c>
    </row>
    <row r="268" spans="1:3">
      <c r="A268" s="10" t="s">
        <v>292</v>
      </c>
      <c r="B268" s="10">
        <v>195</v>
      </c>
      <c r="C268" s="10">
        <v>27</v>
      </c>
    </row>
    <row r="269" spans="1:3">
      <c r="A269" s="10" t="s">
        <v>293</v>
      </c>
      <c r="B269" s="10">
        <v>179</v>
      </c>
      <c r="C269" s="10">
        <v>21</v>
      </c>
    </row>
    <row r="270" spans="1:3">
      <c r="A270" s="10" t="s">
        <v>294</v>
      </c>
      <c r="B270" s="10">
        <v>126</v>
      </c>
      <c r="C270" s="10">
        <v>35</v>
      </c>
    </row>
    <row r="271" spans="1:3">
      <c r="A271" s="10" t="s">
        <v>295</v>
      </c>
      <c r="B271" s="10">
        <v>206</v>
      </c>
      <c r="C271" s="10">
        <v>25</v>
      </c>
    </row>
    <row r="272" spans="1:3">
      <c r="A272" s="10" t="s">
        <v>296</v>
      </c>
      <c r="B272" s="10">
        <v>151</v>
      </c>
      <c r="C272" s="10">
        <v>28</v>
      </c>
    </row>
    <row r="273" spans="1:3">
      <c r="A273" s="10" t="s">
        <v>297</v>
      </c>
      <c r="B273" s="10">
        <v>163</v>
      </c>
      <c r="C273" s="10">
        <v>21</v>
      </c>
    </row>
    <row r="274" spans="1:3">
      <c r="A274" s="10" t="s">
        <v>298</v>
      </c>
      <c r="B274" s="10">
        <v>169</v>
      </c>
      <c r="C274" s="10">
        <v>24</v>
      </c>
    </row>
    <row r="275" spans="1:3">
      <c r="A275" s="10" t="s">
        <v>299</v>
      </c>
      <c r="B275" s="10">
        <v>187</v>
      </c>
      <c r="C275" s="10">
        <v>19</v>
      </c>
    </row>
    <row r="276" spans="1:3">
      <c r="A276" s="10" t="s">
        <v>300</v>
      </c>
      <c r="B276" s="10">
        <v>158</v>
      </c>
      <c r="C276" s="10">
        <v>25</v>
      </c>
    </row>
    <row r="277" spans="1:3">
      <c r="A277" s="10" t="s">
        <v>302</v>
      </c>
      <c r="B277" s="10">
        <v>130</v>
      </c>
      <c r="C277" s="10">
        <v>33</v>
      </c>
    </row>
    <row r="278" spans="1:3">
      <c r="A278" s="10" t="s">
        <v>303</v>
      </c>
      <c r="B278" s="10">
        <v>172</v>
      </c>
      <c r="C278" s="10">
        <v>26</v>
      </c>
    </row>
    <row r="279" spans="1:3">
      <c r="A279" s="10" t="s">
        <v>304</v>
      </c>
      <c r="B279" s="10">
        <v>137</v>
      </c>
      <c r="C279" s="10">
        <v>31</v>
      </c>
    </row>
    <row r="280" spans="1:3">
      <c r="A280" s="10" t="s">
        <v>305</v>
      </c>
      <c r="B280" s="10">
        <v>162</v>
      </c>
      <c r="C280" s="10">
        <v>33</v>
      </c>
    </row>
    <row r="281" spans="1:3">
      <c r="A281" s="10" t="s">
        <v>307</v>
      </c>
      <c r="B281" s="10">
        <v>162</v>
      </c>
      <c r="C281" s="10">
        <v>26</v>
      </c>
    </row>
    <row r="282" spans="1:3">
      <c r="A282" s="10" t="s">
        <v>308</v>
      </c>
      <c r="B282" s="10">
        <v>202</v>
      </c>
      <c r="C282" s="10">
        <v>23</v>
      </c>
    </row>
    <row r="283" spans="1:3">
      <c r="A283" s="10" t="s">
        <v>309</v>
      </c>
      <c r="B283" s="10">
        <v>130</v>
      </c>
      <c r="C283" s="10">
        <v>28</v>
      </c>
    </row>
    <row r="284" spans="1:3">
      <c r="A284" s="10" t="s">
        <v>310</v>
      </c>
      <c r="B284" s="10">
        <v>148</v>
      </c>
      <c r="C284" s="10">
        <v>18</v>
      </c>
    </row>
    <row r="285" spans="1:3">
      <c r="A285" s="10" t="s">
        <v>311</v>
      </c>
      <c r="B285" s="10">
        <v>130</v>
      </c>
      <c r="C285" s="10">
        <v>39</v>
      </c>
    </row>
    <row r="286" spans="1:3">
      <c r="A286" s="10" t="s">
        <v>312</v>
      </c>
      <c r="B286" s="10">
        <v>162</v>
      </c>
      <c r="C286" s="10">
        <v>28</v>
      </c>
    </row>
    <row r="287" spans="1:3">
      <c r="A287" s="10" t="s">
        <v>313</v>
      </c>
      <c r="B287" s="10">
        <v>162</v>
      </c>
      <c r="C287" s="10">
        <v>47</v>
      </c>
    </row>
    <row r="288" spans="1:3">
      <c r="A288" s="10" t="s">
        <v>314</v>
      </c>
      <c r="B288" s="10">
        <v>159</v>
      </c>
      <c r="C288" s="10">
        <v>41</v>
      </c>
    </row>
    <row r="289" spans="1:3">
      <c r="A289" s="10" t="s">
        <v>315</v>
      </c>
      <c r="B289" s="10">
        <v>149</v>
      </c>
      <c r="C289" s="10">
        <v>11</v>
      </c>
    </row>
    <row r="290" spans="1:3">
      <c r="A290" s="10" t="s">
        <v>316</v>
      </c>
      <c r="B290" s="10">
        <v>212</v>
      </c>
      <c r="C290" s="10">
        <v>26</v>
      </c>
    </row>
    <row r="291" spans="1:3">
      <c r="A291" s="10" t="s">
        <v>317</v>
      </c>
      <c r="B291" s="10">
        <v>138</v>
      </c>
      <c r="C291" s="10">
        <v>24</v>
      </c>
    </row>
    <row r="292" spans="1:3">
      <c r="A292" s="10" t="s">
        <v>318</v>
      </c>
      <c r="B292" s="10">
        <v>221</v>
      </c>
      <c r="C292" s="10">
        <v>14</v>
      </c>
    </row>
    <row r="293" spans="1:3">
      <c r="A293" s="10" t="s">
        <v>319</v>
      </c>
      <c r="B293" s="10">
        <v>110</v>
      </c>
      <c r="C293" s="10">
        <v>34</v>
      </c>
    </row>
    <row r="294" spans="1:3">
      <c r="A294" s="10" t="s">
        <v>320</v>
      </c>
      <c r="B294" s="10">
        <v>76</v>
      </c>
      <c r="C294" s="10">
        <v>46</v>
      </c>
    </row>
    <row r="295" spans="1:3">
      <c r="A295" s="10" t="s">
        <v>321</v>
      </c>
      <c r="B295" s="10">
        <v>139</v>
      </c>
      <c r="C295" s="10">
        <v>24</v>
      </c>
    </row>
    <row r="296" spans="1:3">
      <c r="A296" s="10" t="s">
        <v>322</v>
      </c>
      <c r="B296" s="10">
        <v>189</v>
      </c>
      <c r="C296" s="10">
        <v>22</v>
      </c>
    </row>
    <row r="297" spans="1:3">
      <c r="A297" s="10" t="s">
        <v>323</v>
      </c>
      <c r="B297" s="10">
        <v>106</v>
      </c>
      <c r="C297" s="10">
        <v>41</v>
      </c>
    </row>
    <row r="298" spans="1:3">
      <c r="A298" s="10" t="s">
        <v>324</v>
      </c>
      <c r="B298" s="10">
        <v>192</v>
      </c>
      <c r="C298" s="10">
        <v>3</v>
      </c>
    </row>
    <row r="299" spans="1:3">
      <c r="A299" s="10" t="s">
        <v>325</v>
      </c>
      <c r="B299" s="10">
        <v>134</v>
      </c>
      <c r="C299" s="10">
        <v>24</v>
      </c>
    </row>
    <row r="300" spans="1:3">
      <c r="A300" s="10" t="s">
        <v>326</v>
      </c>
      <c r="B300" s="10">
        <v>130</v>
      </c>
      <c r="C300" s="10">
        <v>19</v>
      </c>
    </row>
    <row r="301" spans="1:3">
      <c r="A301" s="10" t="s">
        <v>327</v>
      </c>
      <c r="B301" s="10">
        <v>148</v>
      </c>
      <c r="C301" s="10">
        <v>39</v>
      </c>
    </row>
    <row r="302" spans="1:3">
      <c r="A302" s="10" t="s">
        <v>328</v>
      </c>
      <c r="B302" s="10">
        <v>125</v>
      </c>
      <c r="C302" s="10">
        <v>28</v>
      </c>
    </row>
    <row r="303" spans="1:3">
      <c r="A303" s="10" t="s">
        <v>329</v>
      </c>
      <c r="B303" s="10">
        <v>158</v>
      </c>
      <c r="C303" s="10">
        <v>32</v>
      </c>
    </row>
    <row r="304" spans="1:3">
      <c r="A304" s="10" t="s">
        <v>330</v>
      </c>
      <c r="B304" s="10">
        <v>159</v>
      </c>
      <c r="C304" s="10">
        <v>25</v>
      </c>
    </row>
    <row r="305" spans="1:3">
      <c r="A305" s="10" t="s">
        <v>331</v>
      </c>
      <c r="B305" s="10">
        <v>135</v>
      </c>
      <c r="C305" s="10">
        <v>29</v>
      </c>
    </row>
    <row r="306" spans="1:3">
      <c r="A306" s="10" t="s">
        <v>332</v>
      </c>
      <c r="B306" s="10">
        <v>145</v>
      </c>
      <c r="C306" s="10">
        <v>25</v>
      </c>
    </row>
    <row r="307" spans="1:3">
      <c r="A307" s="10" t="s">
        <v>333</v>
      </c>
      <c r="B307" s="10">
        <v>194</v>
      </c>
      <c r="C307" s="10">
        <v>21</v>
      </c>
    </row>
    <row r="308" spans="1:3">
      <c r="A308" s="10" t="s">
        <v>334</v>
      </c>
      <c r="B308" s="10">
        <v>125</v>
      </c>
      <c r="C308" s="10">
        <v>31</v>
      </c>
    </row>
    <row r="309" spans="1:3">
      <c r="A309" s="10" t="s">
        <v>335</v>
      </c>
      <c r="B309" s="10">
        <v>117</v>
      </c>
      <c r="C309" s="10">
        <v>25</v>
      </c>
    </row>
    <row r="310" spans="1:3">
      <c r="A310" s="10" t="s">
        <v>336</v>
      </c>
      <c r="B310" s="10">
        <v>190</v>
      </c>
      <c r="C310" s="10">
        <v>14</v>
      </c>
    </row>
    <row r="311" spans="1:3">
      <c r="A311" s="10" t="s">
        <v>337</v>
      </c>
      <c r="B311" s="10">
        <v>185</v>
      </c>
      <c r="C311" s="10">
        <v>21</v>
      </c>
    </row>
    <row r="312" spans="1:3">
      <c r="A312" s="10" t="s">
        <v>338</v>
      </c>
      <c r="B312" s="10">
        <v>126</v>
      </c>
      <c r="C312" s="10">
        <v>24</v>
      </c>
    </row>
    <row r="313" spans="1:3">
      <c r="A313" s="10" t="s">
        <v>339</v>
      </c>
      <c r="B313" s="10">
        <v>194</v>
      </c>
      <c r="C313" s="10">
        <v>25</v>
      </c>
    </row>
    <row r="314" spans="1:3">
      <c r="A314" s="10" t="s">
        <v>340</v>
      </c>
      <c r="B314" s="10">
        <v>118</v>
      </c>
      <c r="C314" s="10">
        <v>42</v>
      </c>
    </row>
    <row r="315" spans="1:3">
      <c r="A315" s="10" t="s">
        <v>341</v>
      </c>
      <c r="B315" s="10">
        <v>196</v>
      </c>
      <c r="C315" s="10">
        <v>20</v>
      </c>
    </row>
    <row r="316" spans="1:3">
      <c r="A316" s="10" t="s">
        <v>342</v>
      </c>
      <c r="B316" s="10">
        <v>122</v>
      </c>
      <c r="C316" s="10">
        <v>22</v>
      </c>
    </row>
    <row r="317" spans="1:3">
      <c r="A317" s="10" t="s">
        <v>343</v>
      </c>
      <c r="B317" s="10">
        <v>180</v>
      </c>
      <c r="C317" s="10">
        <v>36</v>
      </c>
    </row>
    <row r="318" spans="1:3">
      <c r="A318" s="10" t="s">
        <v>344</v>
      </c>
      <c r="B318" s="10">
        <v>159</v>
      </c>
      <c r="C318" s="10">
        <v>38</v>
      </c>
    </row>
    <row r="319" spans="1:3">
      <c r="A319" s="10" t="s">
        <v>345</v>
      </c>
      <c r="B319" s="10">
        <v>144</v>
      </c>
      <c r="C319" s="10">
        <v>18</v>
      </c>
    </row>
    <row r="320" spans="1:3">
      <c r="A320" s="10" t="s">
        <v>346</v>
      </c>
      <c r="B320" s="10">
        <v>205</v>
      </c>
      <c r="C320" s="10">
        <v>16</v>
      </c>
    </row>
    <row r="321" spans="1:3">
      <c r="A321" s="10" t="s">
        <v>347</v>
      </c>
      <c r="B321" s="10">
        <v>174</v>
      </c>
      <c r="C321" s="10">
        <v>31</v>
      </c>
    </row>
    <row r="322" spans="1:3">
      <c r="A322" s="10" t="s">
        <v>348</v>
      </c>
      <c r="B322" s="10">
        <v>169</v>
      </c>
      <c r="C322" s="10">
        <v>28</v>
      </c>
    </row>
    <row r="323" spans="1:3">
      <c r="A323" s="10" t="s">
        <v>349</v>
      </c>
      <c r="B323" s="10">
        <v>108</v>
      </c>
      <c r="C323" s="10">
        <v>34</v>
      </c>
    </row>
    <row r="324" spans="1:3">
      <c r="A324" s="10" t="s">
        <v>350</v>
      </c>
      <c r="B324" s="10">
        <v>165</v>
      </c>
      <c r="C324" s="10">
        <v>48</v>
      </c>
    </row>
    <row r="325" spans="1:3">
      <c r="A325" s="10" t="s">
        <v>351</v>
      </c>
      <c r="B325" s="10">
        <v>100</v>
      </c>
      <c r="C325" s="10">
        <v>35</v>
      </c>
    </row>
    <row r="326" spans="1:3">
      <c r="A326" s="10" t="s">
        <v>352</v>
      </c>
      <c r="B326" s="10">
        <v>122</v>
      </c>
      <c r="C326" s="10">
        <v>24</v>
      </c>
    </row>
    <row r="327" spans="1:3">
      <c r="A327" s="10" t="s">
        <v>353</v>
      </c>
      <c r="B327" s="10">
        <v>212</v>
      </c>
      <c r="C327" s="10">
        <v>25</v>
      </c>
    </row>
    <row r="328" spans="1:3">
      <c r="A328" s="10" t="s">
        <v>354</v>
      </c>
      <c r="B328" s="10">
        <v>177</v>
      </c>
      <c r="C328" s="10">
        <v>32</v>
      </c>
    </row>
    <row r="329" spans="1:3">
      <c r="A329" s="10" t="s">
        <v>355</v>
      </c>
      <c r="B329" s="10">
        <v>102</v>
      </c>
      <c r="C329" s="10">
        <v>33</v>
      </c>
    </row>
    <row r="330" spans="1:3">
      <c r="A330" s="10" t="s">
        <v>356</v>
      </c>
      <c r="B330" s="10">
        <v>153</v>
      </c>
      <c r="C330" s="10">
        <v>19</v>
      </c>
    </row>
    <row r="331" spans="1:3">
      <c r="A331" s="10" t="s">
        <v>357</v>
      </c>
      <c r="B331" s="10">
        <v>223</v>
      </c>
      <c r="C331" s="10">
        <v>7</v>
      </c>
    </row>
    <row r="332" spans="1:3">
      <c r="A332" s="10" t="s">
        <v>358</v>
      </c>
      <c r="B332" s="10">
        <v>102</v>
      </c>
      <c r="C332" s="10">
        <v>36</v>
      </c>
    </row>
    <row r="333" spans="1:3">
      <c r="A333" s="10" t="s">
        <v>359</v>
      </c>
      <c r="B333" s="10">
        <v>119</v>
      </c>
      <c r="C333" s="10">
        <v>44</v>
      </c>
    </row>
    <row r="334" spans="1:3">
      <c r="A334" s="10" t="s">
        <v>360</v>
      </c>
      <c r="B334" s="10">
        <v>160</v>
      </c>
      <c r="C334" s="10">
        <v>35</v>
      </c>
    </row>
    <row r="335" spans="1:3">
      <c r="A335" s="10" t="s">
        <v>361</v>
      </c>
      <c r="B335" s="10">
        <v>231</v>
      </c>
      <c r="C335" s="10">
        <v>11</v>
      </c>
    </row>
    <row r="336" spans="1:3">
      <c r="A336" s="10" t="s">
        <v>362</v>
      </c>
      <c r="B336" s="10">
        <v>97</v>
      </c>
      <c r="C336" s="10">
        <v>43</v>
      </c>
    </row>
    <row r="337" spans="1:3">
      <c r="A337" s="10" t="s">
        <v>363</v>
      </c>
      <c r="B337" s="10">
        <v>139</v>
      </c>
      <c r="C337" s="10">
        <v>22</v>
      </c>
    </row>
    <row r="338" spans="1:3">
      <c r="A338" s="10" t="s">
        <v>364</v>
      </c>
      <c r="B338" s="10">
        <v>148</v>
      </c>
      <c r="C338" s="10">
        <v>49</v>
      </c>
    </row>
    <row r="339" spans="1:3">
      <c r="A339" s="10" t="s">
        <v>365</v>
      </c>
      <c r="B339" s="10">
        <v>92</v>
      </c>
      <c r="C339" s="10">
        <v>37</v>
      </c>
    </row>
    <row r="340" spans="1:3">
      <c r="A340" s="10" t="s">
        <v>366</v>
      </c>
      <c r="B340" s="10">
        <v>124</v>
      </c>
      <c r="C340" s="10">
        <v>26</v>
      </c>
    </row>
    <row r="341" spans="1:3">
      <c r="A341" s="10" t="s">
        <v>367</v>
      </c>
      <c r="B341" s="10">
        <v>152</v>
      </c>
      <c r="C341" s="10">
        <v>19</v>
      </c>
    </row>
    <row r="342" spans="1:3">
      <c r="A342" s="10" t="s">
        <v>368</v>
      </c>
      <c r="B342" s="10">
        <v>179</v>
      </c>
      <c r="C342" s="10">
        <v>20</v>
      </c>
    </row>
    <row r="343" spans="1:3">
      <c r="A343" s="10" t="s">
        <v>369</v>
      </c>
      <c r="B343" s="10">
        <v>100</v>
      </c>
      <c r="C343" s="10">
        <v>36</v>
      </c>
    </row>
    <row r="344" spans="1:3">
      <c r="A344" s="10" t="s">
        <v>370</v>
      </c>
      <c r="B344" s="10">
        <v>133</v>
      </c>
      <c r="C344" s="10">
        <v>39</v>
      </c>
    </row>
    <row r="345" spans="1:3">
      <c r="A345" s="10" t="s">
        <v>371</v>
      </c>
      <c r="B345" s="10">
        <v>165</v>
      </c>
      <c r="C345" s="10">
        <v>10</v>
      </c>
    </row>
    <row r="346" spans="1:3">
      <c r="A346" s="10" t="s">
        <v>372</v>
      </c>
      <c r="B346" s="10">
        <v>150</v>
      </c>
      <c r="C346" s="10">
        <v>24</v>
      </c>
    </row>
    <row r="347" spans="1:3">
      <c r="A347" s="10" t="s">
        <v>373</v>
      </c>
      <c r="B347" s="10">
        <v>148</v>
      </c>
      <c r="C347" s="10">
        <v>35</v>
      </c>
    </row>
    <row r="348" spans="1:3">
      <c r="A348" s="10" t="s">
        <v>374</v>
      </c>
      <c r="B348" s="10">
        <v>161</v>
      </c>
      <c r="C348" s="10">
        <v>32</v>
      </c>
    </row>
    <row r="349" spans="1:3">
      <c r="A349" s="10" t="s">
        <v>375</v>
      </c>
      <c r="B349" s="10">
        <v>180</v>
      </c>
      <c r="C349" s="10">
        <v>20</v>
      </c>
    </row>
    <row r="350" spans="1:3">
      <c r="A350" s="10" t="s">
        <v>376</v>
      </c>
      <c r="B350" s="10">
        <v>168</v>
      </c>
      <c r="C350" s="10">
        <v>34</v>
      </c>
    </row>
    <row r="351" spans="1:3">
      <c r="A351" s="10" t="s">
        <v>377</v>
      </c>
      <c r="B351" s="10">
        <v>110</v>
      </c>
      <c r="C351" s="10">
        <v>29</v>
      </c>
    </row>
    <row r="352" spans="1:3">
      <c r="A352" s="10" t="s">
        <v>378</v>
      </c>
      <c r="B352" s="10">
        <v>197</v>
      </c>
      <c r="C352" s="10">
        <v>26</v>
      </c>
    </row>
    <row r="353" spans="1:3">
      <c r="A353" s="10" t="s">
        <v>379</v>
      </c>
      <c r="B353" s="10">
        <v>146</v>
      </c>
      <c r="C353" s="10">
        <v>25</v>
      </c>
    </row>
    <row r="354" spans="1:3">
      <c r="A354" s="10" t="s">
        <v>380</v>
      </c>
      <c r="B354" s="10">
        <v>94</v>
      </c>
      <c r="C354" s="10">
        <v>44</v>
      </c>
    </row>
    <row r="355" spans="1:3">
      <c r="A355" s="10" t="s">
        <v>381</v>
      </c>
      <c r="B355" s="10">
        <v>164</v>
      </c>
      <c r="C355" s="10">
        <v>28</v>
      </c>
    </row>
    <row r="356" spans="1:3">
      <c r="A356" s="10" t="s">
        <v>382</v>
      </c>
      <c r="B356" s="10">
        <v>113</v>
      </c>
      <c r="C356" s="10">
        <v>35</v>
      </c>
    </row>
    <row r="357" spans="1:3">
      <c r="A357" s="10" t="s">
        <v>383</v>
      </c>
      <c r="B357" s="10">
        <v>170</v>
      </c>
      <c r="C357" s="10">
        <v>30</v>
      </c>
    </row>
    <row r="358" spans="1:3">
      <c r="A358" s="10" t="s">
        <v>384</v>
      </c>
      <c r="B358" s="10">
        <v>141</v>
      </c>
      <c r="C358" s="10">
        <v>24</v>
      </c>
    </row>
    <row r="359" spans="1:3">
      <c r="A359" s="10" t="s">
        <v>385</v>
      </c>
      <c r="B359" s="10">
        <v>152</v>
      </c>
      <c r="C359" s="10">
        <v>18</v>
      </c>
    </row>
    <row r="360" spans="1:3">
      <c r="A360" s="10" t="s">
        <v>386</v>
      </c>
      <c r="B360" s="10">
        <v>193</v>
      </c>
      <c r="C360" s="10">
        <v>34</v>
      </c>
    </row>
    <row r="361" spans="1:3">
      <c r="A361" s="10" t="s">
        <v>387</v>
      </c>
      <c r="B361" s="10">
        <v>131</v>
      </c>
      <c r="C361" s="10">
        <v>20</v>
      </c>
    </row>
    <row r="362" spans="1:3">
      <c r="A362" s="10" t="s">
        <v>388</v>
      </c>
      <c r="B362" s="10">
        <v>163</v>
      </c>
      <c r="C362" s="10">
        <v>24</v>
      </c>
    </row>
    <row r="363" spans="1:3">
      <c r="A363" s="10" t="s">
        <v>389</v>
      </c>
      <c r="B363" s="10">
        <v>126</v>
      </c>
      <c r="C363" s="10">
        <v>41</v>
      </c>
    </row>
    <row r="364" spans="1:3">
      <c r="A364" s="10" t="s">
        <v>390</v>
      </c>
      <c r="B364" s="10">
        <v>181</v>
      </c>
      <c r="C364" s="10">
        <v>26</v>
      </c>
    </row>
    <row r="365" spans="1:3">
      <c r="A365" s="10" t="s">
        <v>391</v>
      </c>
      <c r="B365" s="10">
        <v>99</v>
      </c>
      <c r="C365" s="10">
        <v>53</v>
      </c>
    </row>
    <row r="366" spans="1:3">
      <c r="A366" s="10" t="s">
        <v>392</v>
      </c>
      <c r="B366" s="10">
        <v>150</v>
      </c>
      <c r="C366" s="10">
        <v>35</v>
      </c>
    </row>
    <row r="367" spans="1:3">
      <c r="A367" s="10" t="s">
        <v>393</v>
      </c>
      <c r="B367" s="10">
        <v>245</v>
      </c>
      <c r="C367" s="10">
        <v>5</v>
      </c>
    </row>
    <row r="368" spans="1:3">
      <c r="A368" s="10" t="s">
        <v>394</v>
      </c>
      <c r="B368" s="10">
        <v>156</v>
      </c>
      <c r="C368" s="10">
        <v>23</v>
      </c>
    </row>
    <row r="369" spans="1:3">
      <c r="A369" s="10" t="s">
        <v>395</v>
      </c>
      <c r="B369" s="10">
        <v>166</v>
      </c>
      <c r="C369" s="10">
        <v>21</v>
      </c>
    </row>
    <row r="370" spans="1:3">
      <c r="A370" s="10" t="s">
        <v>396</v>
      </c>
      <c r="B370" s="10">
        <v>186</v>
      </c>
      <c r="C370" s="10">
        <v>27</v>
      </c>
    </row>
    <row r="371" spans="1:3">
      <c r="A371" s="10" t="s">
        <v>397</v>
      </c>
      <c r="B371" s="10">
        <v>142</v>
      </c>
      <c r="C371" s="10">
        <v>44</v>
      </c>
    </row>
    <row r="372" spans="1:3">
      <c r="A372" s="10" t="s">
        <v>398</v>
      </c>
      <c r="B372" s="10">
        <v>125</v>
      </c>
      <c r="C372" s="10">
        <v>28</v>
      </c>
    </row>
    <row r="373" spans="1:3">
      <c r="A373" s="10" t="s">
        <v>399</v>
      </c>
      <c r="B373" s="10">
        <v>97</v>
      </c>
      <c r="C373" s="10">
        <v>34</v>
      </c>
    </row>
    <row r="374" spans="1:3">
      <c r="A374" s="10" t="s">
        <v>400</v>
      </c>
      <c r="B374" s="10">
        <v>180</v>
      </c>
      <c r="C374" s="10">
        <v>11</v>
      </c>
    </row>
    <row r="375" spans="1:3">
      <c r="A375" s="10" t="s">
        <v>401</v>
      </c>
      <c r="B375" s="10">
        <v>212</v>
      </c>
      <c r="C375" s="10">
        <v>22</v>
      </c>
    </row>
    <row r="376" spans="1:3">
      <c r="A376" s="10" t="s">
        <v>402</v>
      </c>
      <c r="B376" s="10">
        <v>164</v>
      </c>
      <c r="C376" s="10">
        <v>29</v>
      </c>
    </row>
    <row r="377" spans="1:3">
      <c r="A377" s="10" t="s">
        <v>403</v>
      </c>
      <c r="B377" s="10">
        <v>166</v>
      </c>
      <c r="C377" s="10">
        <v>31</v>
      </c>
    </row>
    <row r="378" spans="1:3">
      <c r="A378" s="10" t="s">
        <v>404</v>
      </c>
      <c r="B378" s="10">
        <v>159</v>
      </c>
      <c r="C378" s="10">
        <v>25</v>
      </c>
    </row>
    <row r="379" spans="1:3">
      <c r="A379" s="10" t="s">
        <v>405</v>
      </c>
      <c r="B379" s="10">
        <v>134</v>
      </c>
      <c r="C379" s="10">
        <v>46</v>
      </c>
    </row>
    <row r="380" spans="1:3">
      <c r="A380" s="10" t="s">
        <v>406</v>
      </c>
      <c r="B380" s="10">
        <v>171</v>
      </c>
      <c r="C380" s="10">
        <v>27</v>
      </c>
    </row>
    <row r="381" spans="1:3">
      <c r="A381" s="10" t="s">
        <v>407</v>
      </c>
      <c r="B381" s="10">
        <v>156</v>
      </c>
      <c r="C381" s="10">
        <v>36</v>
      </c>
    </row>
    <row r="382" spans="1:3">
      <c r="A382" s="10" t="s">
        <v>408</v>
      </c>
      <c r="B382" s="10">
        <v>127</v>
      </c>
      <c r="C382" s="10">
        <v>36</v>
      </c>
    </row>
    <row r="383" spans="1:3">
      <c r="A383" s="10" t="s">
        <v>409</v>
      </c>
      <c r="B383" s="10">
        <v>231</v>
      </c>
      <c r="C383" s="10">
        <v>12</v>
      </c>
    </row>
    <row r="384" spans="1:3">
      <c r="A384" s="10" t="s">
        <v>410</v>
      </c>
      <c r="B384" s="10">
        <v>154</v>
      </c>
      <c r="C384" s="10">
        <v>33</v>
      </c>
    </row>
    <row r="385" spans="1:3">
      <c r="A385" s="10" t="s">
        <v>411</v>
      </c>
      <c r="B385" s="10">
        <v>170</v>
      </c>
      <c r="C385" s="10">
        <v>29</v>
      </c>
    </row>
    <row r="386" spans="1:3">
      <c r="A386" s="10" t="s">
        <v>412</v>
      </c>
      <c r="B386" s="10">
        <v>128</v>
      </c>
      <c r="C386" s="10">
        <v>24</v>
      </c>
    </row>
    <row r="387" spans="1:3">
      <c r="A387" s="10" t="s">
        <v>413</v>
      </c>
      <c r="B387" s="10">
        <v>187</v>
      </c>
      <c r="C387" s="10">
        <v>17</v>
      </c>
    </row>
    <row r="388" spans="1:3">
      <c r="A388" s="10" t="s">
        <v>414</v>
      </c>
      <c r="B388" s="10">
        <v>142</v>
      </c>
      <c r="C388" s="10">
        <v>18</v>
      </c>
    </row>
    <row r="389" spans="1:3">
      <c r="A389" s="10" t="s">
        <v>415</v>
      </c>
      <c r="B389" s="10">
        <v>158</v>
      </c>
      <c r="C389" s="10">
        <v>37</v>
      </c>
    </row>
    <row r="390" spans="1:3">
      <c r="A390" s="10" t="s">
        <v>416</v>
      </c>
      <c r="B390" s="10">
        <v>174</v>
      </c>
      <c r="C390" s="10">
        <v>32</v>
      </c>
    </row>
    <row r="391" spans="1:3">
      <c r="A391" s="10" t="s">
        <v>417</v>
      </c>
      <c r="B391" s="10">
        <v>136</v>
      </c>
      <c r="C391" s="10">
        <v>36</v>
      </c>
    </row>
    <row r="392" spans="1:3">
      <c r="A392" s="10" t="s">
        <v>418</v>
      </c>
      <c r="B392" s="10">
        <v>131</v>
      </c>
      <c r="C392" s="10">
        <v>31</v>
      </c>
    </row>
    <row r="393" spans="1:3">
      <c r="A393" s="10" t="s">
        <v>419</v>
      </c>
      <c r="B393" s="10">
        <v>184</v>
      </c>
      <c r="C393" s="10">
        <v>35</v>
      </c>
    </row>
    <row r="394" spans="1:3">
      <c r="A394" s="10" t="s">
        <v>420</v>
      </c>
      <c r="B394" s="10">
        <v>127</v>
      </c>
      <c r="C394" s="10">
        <v>23</v>
      </c>
    </row>
    <row r="395" spans="1:3">
      <c r="A395" s="10" t="s">
        <v>421</v>
      </c>
      <c r="B395" s="10">
        <v>193</v>
      </c>
      <c r="C395" s="10">
        <v>14</v>
      </c>
    </row>
    <row r="396" spans="1:3">
      <c r="A396" s="10" t="s">
        <v>422</v>
      </c>
      <c r="B396" s="10">
        <v>146</v>
      </c>
      <c r="C396" s="10">
        <v>30</v>
      </c>
    </row>
    <row r="397" spans="1:3">
      <c r="A397" s="10" t="s">
        <v>423</v>
      </c>
      <c r="B397" s="10">
        <v>108</v>
      </c>
      <c r="C397" s="10">
        <v>43</v>
      </c>
    </row>
    <row r="398" spans="1:3">
      <c r="A398" s="10" t="s">
        <v>424</v>
      </c>
      <c r="B398" s="10">
        <v>126</v>
      </c>
      <c r="C398" s="10">
        <v>39</v>
      </c>
    </row>
    <row r="399" spans="1:3">
      <c r="A399" s="10" t="s">
        <v>425</v>
      </c>
      <c r="B399" s="10">
        <v>143</v>
      </c>
      <c r="C399" s="10">
        <v>16</v>
      </c>
    </row>
    <row r="400" spans="1:3">
      <c r="A400" s="10" t="s">
        <v>426</v>
      </c>
      <c r="B400" s="10">
        <v>139</v>
      </c>
      <c r="C400" s="10">
        <v>34</v>
      </c>
    </row>
    <row r="401" spans="1:3">
      <c r="A401" s="10" t="s">
        <v>427</v>
      </c>
      <c r="B401" s="10">
        <v>132</v>
      </c>
      <c r="C401" s="10">
        <v>16</v>
      </c>
    </row>
    <row r="402" spans="1:3">
      <c r="A402" s="10" t="s">
        <v>428</v>
      </c>
      <c r="B402" s="10">
        <v>170</v>
      </c>
      <c r="C402" s="10">
        <v>27</v>
      </c>
    </row>
    <row r="403" spans="1:3">
      <c r="A403" s="10" t="s">
        <v>429</v>
      </c>
      <c r="B403" s="10">
        <v>172</v>
      </c>
      <c r="C403" s="10">
        <v>37</v>
      </c>
    </row>
    <row r="404" spans="1:3">
      <c r="A404" s="10" t="s">
        <v>430</v>
      </c>
      <c r="B404" s="10">
        <v>142</v>
      </c>
      <c r="C404" s="10">
        <v>21</v>
      </c>
    </row>
    <row r="405" spans="1:3">
      <c r="A405" s="10" t="s">
        <v>431</v>
      </c>
      <c r="B405" s="10">
        <v>116</v>
      </c>
      <c r="C405" s="10">
        <v>29</v>
      </c>
    </row>
    <row r="406" spans="1:3">
      <c r="A406" s="10" t="s">
        <v>432</v>
      </c>
      <c r="B406" s="10">
        <v>122</v>
      </c>
      <c r="C406" s="10">
        <v>34</v>
      </c>
    </row>
    <row r="407" spans="1:3">
      <c r="A407" s="10" t="s">
        <v>433</v>
      </c>
      <c r="B407" s="10">
        <v>152</v>
      </c>
      <c r="C407" s="10">
        <v>28</v>
      </c>
    </row>
    <row r="408" spans="1:3">
      <c r="A408" s="10" t="s">
        <v>434</v>
      </c>
      <c r="B408" s="10">
        <v>168</v>
      </c>
      <c r="C408" s="10">
        <v>24</v>
      </c>
    </row>
    <row r="409" spans="1:3">
      <c r="A409" s="10" t="s">
        <v>436</v>
      </c>
      <c r="B409" s="10">
        <v>190</v>
      </c>
      <c r="C409" s="10">
        <v>17</v>
      </c>
    </row>
    <row r="410" spans="1:3">
      <c r="A410" s="10" t="s">
        <v>437</v>
      </c>
      <c r="B410" s="10">
        <v>196</v>
      </c>
      <c r="C410" s="10">
        <v>28</v>
      </c>
    </row>
    <row r="411" spans="1:3">
      <c r="A411" s="10" t="s">
        <v>438</v>
      </c>
      <c r="B411" s="10">
        <v>169</v>
      </c>
      <c r="C411" s="10">
        <v>20</v>
      </c>
    </row>
    <row r="412" spans="1:3">
      <c r="A412" s="10" t="s">
        <v>439</v>
      </c>
      <c r="B412" s="10">
        <v>139</v>
      </c>
      <c r="C412" s="10">
        <v>38</v>
      </c>
    </row>
    <row r="413" spans="1:3">
      <c r="A413" s="10" t="s">
        <v>440</v>
      </c>
      <c r="B413" s="10">
        <v>189</v>
      </c>
      <c r="C413" s="10">
        <v>18</v>
      </c>
    </row>
    <row r="414" spans="1:3">
      <c r="A414" s="10" t="s">
        <v>441</v>
      </c>
      <c r="B414" s="10">
        <v>154</v>
      </c>
      <c r="C414" s="10">
        <v>22</v>
      </c>
    </row>
    <row r="415" spans="1:3">
      <c r="A415" s="10" t="s">
        <v>442</v>
      </c>
      <c r="B415" s="10">
        <v>211</v>
      </c>
      <c r="C415" s="10">
        <v>21</v>
      </c>
    </row>
    <row r="416" spans="1:3">
      <c r="A416" s="10" t="s">
        <v>443</v>
      </c>
      <c r="B416" s="10">
        <v>168</v>
      </c>
      <c r="C416" s="10">
        <v>25</v>
      </c>
    </row>
    <row r="417" spans="1:3">
      <c r="A417" s="10" t="s">
        <v>444</v>
      </c>
      <c r="B417" s="10">
        <v>103</v>
      </c>
      <c r="C417" s="10">
        <v>31</v>
      </c>
    </row>
    <row r="418" spans="1:3">
      <c r="A418" s="10" t="s">
        <v>445</v>
      </c>
      <c r="B418" s="10">
        <v>197</v>
      </c>
      <c r="C418" s="10">
        <v>32</v>
      </c>
    </row>
    <row r="419" spans="1:3">
      <c r="A419" s="10" t="s">
        <v>446</v>
      </c>
      <c r="B419" s="10">
        <v>117</v>
      </c>
      <c r="C419" s="10">
        <v>33</v>
      </c>
    </row>
    <row r="420" spans="1:3">
      <c r="A420" s="10" t="s">
        <v>447</v>
      </c>
      <c r="B420" s="10">
        <v>182</v>
      </c>
      <c r="C420" s="10">
        <v>8</v>
      </c>
    </row>
    <row r="421" spans="1:3">
      <c r="A421" s="10" t="s">
        <v>448</v>
      </c>
      <c r="B421" s="10">
        <v>212</v>
      </c>
      <c r="C421" s="10">
        <v>15</v>
      </c>
    </row>
    <row r="422" spans="1:3">
      <c r="A422" s="10" t="s">
        <v>449</v>
      </c>
      <c r="B422" s="10">
        <v>173</v>
      </c>
      <c r="C422" s="10">
        <v>26</v>
      </c>
    </row>
    <row r="423" spans="1:3">
      <c r="A423" s="10" t="s">
        <v>450</v>
      </c>
      <c r="B423" s="10">
        <v>160</v>
      </c>
      <c r="C423" s="10">
        <v>20</v>
      </c>
    </row>
    <row r="424" spans="1:3">
      <c r="A424" s="10" t="s">
        <v>451</v>
      </c>
      <c r="B424" s="10">
        <v>130</v>
      </c>
      <c r="C424" s="10">
        <v>26</v>
      </c>
    </row>
    <row r="425" spans="1:3">
      <c r="A425" s="10" t="s">
        <v>452</v>
      </c>
      <c r="B425" s="10">
        <v>122</v>
      </c>
      <c r="C425" s="10">
        <v>33</v>
      </c>
    </row>
    <row r="426" spans="1:3">
      <c r="A426" s="10" t="s">
        <v>453</v>
      </c>
      <c r="B426" s="10">
        <v>145</v>
      </c>
      <c r="C426" s="10">
        <v>23</v>
      </c>
    </row>
    <row r="427" spans="1:3">
      <c r="A427" s="10" t="s">
        <v>454</v>
      </c>
      <c r="B427" s="10">
        <v>146</v>
      </c>
      <c r="C427" s="10">
        <v>21</v>
      </c>
    </row>
    <row r="428" spans="1:3">
      <c r="A428" s="10" t="s">
        <v>455</v>
      </c>
      <c r="B428" s="10">
        <v>127</v>
      </c>
      <c r="C428" s="10">
        <v>43</v>
      </c>
    </row>
    <row r="429" spans="1:3">
      <c r="A429" s="10" t="s">
        <v>456</v>
      </c>
      <c r="B429" s="10">
        <v>101</v>
      </c>
      <c r="C429" s="10">
        <v>36</v>
      </c>
    </row>
    <row r="430" spans="1:3">
      <c r="A430" s="10" t="s">
        <v>457</v>
      </c>
      <c r="B430" s="10">
        <v>188</v>
      </c>
      <c r="C430" s="10">
        <v>34</v>
      </c>
    </row>
    <row r="431" spans="1:3">
      <c r="A431" s="10" t="s">
        <v>458</v>
      </c>
      <c r="B431" s="10">
        <v>177</v>
      </c>
      <c r="C431" s="10">
        <v>25</v>
      </c>
    </row>
    <row r="432" spans="1:3">
      <c r="A432" s="10" t="s">
        <v>459</v>
      </c>
      <c r="B432" s="10">
        <v>213</v>
      </c>
      <c r="C432" s="10">
        <v>14</v>
      </c>
    </row>
    <row r="433" spans="1:3">
      <c r="A433" s="10" t="s">
        <v>460</v>
      </c>
      <c r="B433" s="10">
        <v>175</v>
      </c>
      <c r="C433" s="10">
        <v>24</v>
      </c>
    </row>
    <row r="434" spans="1:3">
      <c r="A434" s="10" t="s">
        <v>461</v>
      </c>
      <c r="B434" s="10">
        <v>113</v>
      </c>
      <c r="C434" s="10">
        <v>38</v>
      </c>
    </row>
    <row r="435" spans="1:3">
      <c r="A435" s="10" t="s">
        <v>462</v>
      </c>
      <c r="B435" s="10">
        <v>61</v>
      </c>
      <c r="C435" s="10">
        <v>61</v>
      </c>
    </row>
    <row r="436" spans="1:3">
      <c r="A436" s="10" t="s">
        <v>463</v>
      </c>
      <c r="B436" s="10">
        <v>138</v>
      </c>
      <c r="C436" s="10">
        <v>30</v>
      </c>
    </row>
    <row r="437" spans="1:3">
      <c r="A437" s="10" t="s">
        <v>464</v>
      </c>
      <c r="B437" s="10">
        <v>167</v>
      </c>
      <c r="C437" s="10">
        <v>41</v>
      </c>
    </row>
    <row r="438" spans="1:3">
      <c r="A438" s="10" t="s">
        <v>465</v>
      </c>
      <c r="B438" s="10">
        <v>162</v>
      </c>
      <c r="C438" s="10">
        <v>28</v>
      </c>
    </row>
    <row r="439" spans="1:3">
      <c r="A439" s="10" t="s">
        <v>466</v>
      </c>
      <c r="B439" s="10">
        <v>144</v>
      </c>
      <c r="C439" s="10">
        <v>27</v>
      </c>
    </row>
    <row r="440" spans="1:3">
      <c r="A440" s="10" t="s">
        <v>467</v>
      </c>
      <c r="B440" s="10">
        <v>120</v>
      </c>
      <c r="C440" s="10">
        <v>28</v>
      </c>
    </row>
    <row r="441" spans="1:3">
      <c r="A441" s="10" t="s">
        <v>468</v>
      </c>
      <c r="B441" s="10">
        <v>188</v>
      </c>
      <c r="C441" s="10">
        <v>14</v>
      </c>
    </row>
    <row r="442" spans="1:3">
      <c r="A442" s="10" t="s">
        <v>469</v>
      </c>
      <c r="B442" s="10">
        <v>112</v>
      </c>
      <c r="C442" s="10">
        <v>30</v>
      </c>
    </row>
    <row r="443" spans="1:3">
      <c r="A443" s="10" t="s">
        <v>470</v>
      </c>
      <c r="B443" s="10">
        <v>171</v>
      </c>
      <c r="C443" s="10">
        <v>13</v>
      </c>
    </row>
    <row r="444" spans="1:3">
      <c r="A444" s="10" t="s">
        <v>471</v>
      </c>
      <c r="B444" s="10">
        <v>78</v>
      </c>
      <c r="C444" s="10">
        <v>45</v>
      </c>
    </row>
    <row r="445" spans="1:3">
      <c r="A445" s="10" t="s">
        <v>472</v>
      </c>
      <c r="B445" s="10">
        <v>203</v>
      </c>
      <c r="C445" s="10">
        <v>11</v>
      </c>
    </row>
    <row r="446" spans="1:3">
      <c r="A446" s="10" t="s">
        <v>473</v>
      </c>
      <c r="B446" s="10">
        <v>126</v>
      </c>
      <c r="C446" s="10">
        <v>36</v>
      </c>
    </row>
    <row r="447" spans="1:3">
      <c r="A447" s="10" t="s">
        <v>474</v>
      </c>
      <c r="B447" s="10">
        <v>128</v>
      </c>
      <c r="C447" s="10">
        <v>27</v>
      </c>
    </row>
    <row r="448" spans="1:3">
      <c r="A448" s="10" t="s">
        <v>475</v>
      </c>
      <c r="B448" s="10">
        <v>130</v>
      </c>
      <c r="C448" s="10">
        <v>41</v>
      </c>
    </row>
    <row r="449" spans="1:3">
      <c r="A449" s="10" t="s">
        <v>476</v>
      </c>
      <c r="B449" s="10">
        <v>121</v>
      </c>
      <c r="C449" s="10">
        <v>34</v>
      </c>
    </row>
    <row r="450" spans="1:3">
      <c r="A450" s="10" t="s">
        <v>477</v>
      </c>
      <c r="B450" s="10">
        <v>79</v>
      </c>
      <c r="C450" s="10">
        <v>51</v>
      </c>
    </row>
    <row r="451" spans="1:3">
      <c r="A451" s="10" t="s">
        <v>478</v>
      </c>
      <c r="B451" s="10">
        <v>150</v>
      </c>
      <c r="C451" s="10">
        <v>38</v>
      </c>
    </row>
    <row r="452" spans="1:3">
      <c r="A452" s="10" t="s">
        <v>479</v>
      </c>
      <c r="B452" s="10">
        <v>135</v>
      </c>
      <c r="C452" s="10">
        <v>19</v>
      </c>
    </row>
    <row r="453" spans="1:3">
      <c r="A453" s="10" t="s">
        <v>480</v>
      </c>
      <c r="B453" s="10">
        <v>226</v>
      </c>
      <c r="C453" s="10">
        <v>9</v>
      </c>
    </row>
    <row r="454" spans="1:3">
      <c r="A454" s="10" t="s">
        <v>481</v>
      </c>
      <c r="B454" s="10">
        <v>176</v>
      </c>
      <c r="C454" s="10">
        <v>19</v>
      </c>
    </row>
    <row r="455" spans="1:3">
      <c r="A455" s="10" t="s">
        <v>482</v>
      </c>
      <c r="B455" s="10">
        <v>158</v>
      </c>
      <c r="C455" s="10">
        <v>24</v>
      </c>
    </row>
    <row r="456" spans="1:3">
      <c r="A456" s="10" t="s">
        <v>483</v>
      </c>
      <c r="B456" s="10">
        <v>136</v>
      </c>
      <c r="C456" s="10">
        <v>29</v>
      </c>
    </row>
    <row r="457" spans="1:3">
      <c r="A457" s="10" t="s">
        <v>484</v>
      </c>
      <c r="B457" s="10">
        <v>134</v>
      </c>
      <c r="C457" s="10">
        <v>30</v>
      </c>
    </row>
    <row r="458" spans="1:3">
      <c r="A458" s="10" t="s">
        <v>485</v>
      </c>
      <c r="B458" s="10">
        <v>171</v>
      </c>
      <c r="C458" s="10">
        <v>25</v>
      </c>
    </row>
    <row r="459" spans="1:3">
      <c r="A459" s="10" t="s">
        <v>486</v>
      </c>
      <c r="B459" s="10">
        <v>192</v>
      </c>
      <c r="C459" s="10">
        <v>10</v>
      </c>
    </row>
    <row r="460" spans="1:3">
      <c r="A460" s="10" t="s">
        <v>487</v>
      </c>
      <c r="B460" s="10">
        <v>184</v>
      </c>
      <c r="C460" s="10">
        <v>35</v>
      </c>
    </row>
    <row r="461" spans="1:3">
      <c r="A461" s="10" t="s">
        <v>488</v>
      </c>
      <c r="B461" s="10">
        <v>137</v>
      </c>
      <c r="C461" s="10">
        <v>43</v>
      </c>
    </row>
    <row r="462" spans="1:3">
      <c r="A462" s="10" t="s">
        <v>489</v>
      </c>
      <c r="B462" s="10">
        <v>161</v>
      </c>
      <c r="C462" s="10">
        <v>30</v>
      </c>
    </row>
    <row r="463" spans="1:3">
      <c r="A463" s="10" t="s">
        <v>490</v>
      </c>
      <c r="B463" s="10">
        <v>205</v>
      </c>
      <c r="C463" s="10">
        <v>13</v>
      </c>
    </row>
    <row r="464" spans="1:3">
      <c r="A464" s="10" t="s">
        <v>491</v>
      </c>
      <c r="B464" s="10">
        <v>146</v>
      </c>
      <c r="C464" s="10">
        <v>34</v>
      </c>
    </row>
    <row r="465" spans="1:3">
      <c r="A465" s="10" t="s">
        <v>492</v>
      </c>
      <c r="B465" s="10">
        <v>127</v>
      </c>
      <c r="C465" s="10">
        <v>42</v>
      </c>
    </row>
    <row r="466" spans="1:3">
      <c r="A466" s="10" t="s">
        <v>493</v>
      </c>
      <c r="B466" s="10">
        <v>182</v>
      </c>
      <c r="C466" s="10">
        <v>18</v>
      </c>
    </row>
    <row r="467" spans="1:3">
      <c r="A467" s="10" t="s">
        <v>494</v>
      </c>
      <c r="B467" s="10">
        <v>176</v>
      </c>
      <c r="C467" s="10">
        <v>18</v>
      </c>
    </row>
    <row r="468" spans="1:3">
      <c r="A468" s="10" t="s">
        <v>495</v>
      </c>
      <c r="B468" s="10">
        <v>177</v>
      </c>
      <c r="C468" s="10">
        <v>18</v>
      </c>
    </row>
    <row r="469" spans="1:3">
      <c r="A469" s="10" t="s">
        <v>496</v>
      </c>
      <c r="B469" s="10">
        <v>138</v>
      </c>
      <c r="C469" s="10">
        <v>28</v>
      </c>
    </row>
    <row r="470" spans="1:3">
      <c r="A470" s="10" t="s">
        <v>497</v>
      </c>
      <c r="B470" s="10">
        <v>133</v>
      </c>
      <c r="C470" s="10">
        <v>17</v>
      </c>
    </row>
    <row r="471" spans="1:3">
      <c r="A471" s="10" t="s">
        <v>498</v>
      </c>
      <c r="B471" s="10">
        <v>112</v>
      </c>
      <c r="C471" s="10">
        <v>36</v>
      </c>
    </row>
    <row r="472" spans="1:3">
      <c r="A472" s="10" t="s">
        <v>499</v>
      </c>
      <c r="B472" s="10">
        <v>144</v>
      </c>
      <c r="C472" s="10">
        <v>24</v>
      </c>
    </row>
    <row r="473" spans="1:3">
      <c r="A473" s="10" t="s">
        <v>500</v>
      </c>
      <c r="B473" s="10">
        <v>159</v>
      </c>
      <c r="C473" s="10">
        <v>21</v>
      </c>
    </row>
    <row r="474" spans="1:3">
      <c r="A474" s="10" t="s">
        <v>501</v>
      </c>
      <c r="B474" s="10">
        <v>165</v>
      </c>
      <c r="C474" s="10">
        <v>24</v>
      </c>
    </row>
    <row r="475" spans="1:3">
      <c r="A475" s="10" t="s">
        <v>502</v>
      </c>
      <c r="B475" s="10">
        <v>150</v>
      </c>
      <c r="C475" s="10">
        <v>25</v>
      </c>
    </row>
    <row r="476" spans="1:3">
      <c r="A476" s="10" t="s">
        <v>503</v>
      </c>
      <c r="B476" s="10">
        <v>141</v>
      </c>
      <c r="C476" s="10">
        <v>43</v>
      </c>
    </row>
    <row r="477" spans="1:3">
      <c r="A477" s="10" t="s">
        <v>504</v>
      </c>
      <c r="B477" s="10">
        <v>99</v>
      </c>
      <c r="C477" s="10">
        <v>32</v>
      </c>
    </row>
    <row r="478" spans="1:3">
      <c r="A478" s="10" t="s">
        <v>505</v>
      </c>
      <c r="B478" s="10">
        <v>170</v>
      </c>
      <c r="C478" s="10">
        <v>29</v>
      </c>
    </row>
    <row r="479" spans="1:3">
      <c r="A479" s="10" t="s">
        <v>506</v>
      </c>
      <c r="B479" s="10">
        <v>100</v>
      </c>
      <c r="C479" s="10">
        <v>36</v>
      </c>
    </row>
    <row r="480" spans="1:3">
      <c r="A480" s="10" t="s">
        <v>507</v>
      </c>
      <c r="B480" s="10">
        <v>129</v>
      </c>
      <c r="C480" s="10">
        <v>19</v>
      </c>
    </row>
    <row r="481" spans="1:3">
      <c r="A481" s="10" t="s">
        <v>508</v>
      </c>
      <c r="B481" s="10">
        <v>144</v>
      </c>
      <c r="C481" s="10">
        <v>46</v>
      </c>
    </row>
    <row r="482" spans="1:3">
      <c r="A482" s="10" t="s">
        <v>509</v>
      </c>
      <c r="B482" s="10">
        <v>200</v>
      </c>
      <c r="C482" s="10">
        <v>27</v>
      </c>
    </row>
    <row r="483" spans="1:3">
      <c r="A483" s="10" t="s">
        <v>510</v>
      </c>
      <c r="B483" s="10">
        <v>152</v>
      </c>
      <c r="C483" s="10">
        <v>32</v>
      </c>
    </row>
    <row r="484" spans="1:3">
      <c r="A484" s="10" t="s">
        <v>511</v>
      </c>
      <c r="B484" s="10">
        <v>154</v>
      </c>
      <c r="C484" s="10">
        <v>27</v>
      </c>
    </row>
    <row r="485" spans="1:3">
      <c r="A485" s="10" t="s">
        <v>512</v>
      </c>
      <c r="B485" s="10">
        <v>166</v>
      </c>
      <c r="C485" s="10">
        <v>13</v>
      </c>
    </row>
    <row r="486" spans="1:3">
      <c r="A486" s="10" t="s">
        <v>513</v>
      </c>
      <c r="B486" s="10">
        <v>142</v>
      </c>
      <c r="C486" s="10">
        <v>45</v>
      </c>
    </row>
    <row r="487" spans="1:3">
      <c r="A487" s="10" t="s">
        <v>514</v>
      </c>
      <c r="B487" s="10">
        <v>183</v>
      </c>
      <c r="C487" s="10">
        <v>14</v>
      </c>
    </row>
    <row r="488" spans="1:3">
      <c r="A488" s="10" t="s">
        <v>515</v>
      </c>
      <c r="B488" s="10">
        <v>151</v>
      </c>
      <c r="C488" s="10">
        <v>24</v>
      </c>
    </row>
    <row r="489" spans="1:3">
      <c r="A489" s="10" t="s">
        <v>516</v>
      </c>
      <c r="B489" s="10">
        <v>118</v>
      </c>
      <c r="C489" s="10">
        <v>42</v>
      </c>
    </row>
    <row r="490" spans="1:3">
      <c r="A490" s="10" t="s">
        <v>517</v>
      </c>
      <c r="B490" s="10">
        <v>142</v>
      </c>
      <c r="C490" s="10">
        <v>22</v>
      </c>
    </row>
    <row r="491" spans="1:3">
      <c r="A491" s="10" t="s">
        <v>518</v>
      </c>
      <c r="B491" s="10">
        <v>158</v>
      </c>
      <c r="C491" s="10">
        <v>17</v>
      </c>
    </row>
    <row r="492" spans="1:3">
      <c r="A492" s="10" t="s">
        <v>519</v>
      </c>
      <c r="B492" s="10">
        <v>130</v>
      </c>
      <c r="C492" s="10">
        <v>33</v>
      </c>
    </row>
    <row r="493" spans="1:3">
      <c r="A493" s="10" t="s">
        <v>520</v>
      </c>
      <c r="B493" s="10">
        <v>138</v>
      </c>
      <c r="C493" s="10">
        <v>18</v>
      </c>
    </row>
    <row r="494" spans="1:3">
      <c r="A494" s="10" t="s">
        <v>521</v>
      </c>
      <c r="B494" s="10">
        <v>76</v>
      </c>
      <c r="C494" s="10">
        <v>47</v>
      </c>
    </row>
    <row r="495" spans="1:3">
      <c r="A495" s="10" t="s">
        <v>522</v>
      </c>
      <c r="B495" s="10">
        <v>164</v>
      </c>
      <c r="C495" s="10">
        <v>22</v>
      </c>
    </row>
    <row r="496" spans="1:3">
      <c r="A496" s="10" t="s">
        <v>523</v>
      </c>
      <c r="B496" s="10">
        <v>102</v>
      </c>
      <c r="C496" s="10">
        <v>42</v>
      </c>
    </row>
    <row r="497" spans="1:3">
      <c r="A497" s="10" t="s">
        <v>524</v>
      </c>
      <c r="B497" s="10">
        <v>113</v>
      </c>
      <c r="C497" s="10">
        <v>40</v>
      </c>
    </row>
    <row r="498" spans="1:3">
      <c r="A498" s="10" t="s">
        <v>525</v>
      </c>
      <c r="B498" s="10">
        <v>161</v>
      </c>
      <c r="C498" s="10">
        <v>19</v>
      </c>
    </row>
    <row r="499" spans="1:3">
      <c r="A499" s="10" t="s">
        <v>526</v>
      </c>
      <c r="B499" s="10">
        <v>149</v>
      </c>
      <c r="C499" s="10">
        <v>25</v>
      </c>
    </row>
    <row r="500" spans="1:3">
      <c r="A500" s="10" t="s">
        <v>527</v>
      </c>
      <c r="B500" s="10">
        <v>184</v>
      </c>
      <c r="C500" s="10">
        <v>33</v>
      </c>
    </row>
    <row r="501" spans="1:3">
      <c r="A501" s="10" t="s">
        <v>528</v>
      </c>
      <c r="B501" s="10">
        <v>152</v>
      </c>
      <c r="C501" s="10">
        <v>16</v>
      </c>
    </row>
    <row r="502" spans="1:3">
      <c r="A502" s="10" t="s">
        <v>529</v>
      </c>
      <c r="B502" s="10">
        <v>224</v>
      </c>
      <c r="C502" s="10">
        <v>7</v>
      </c>
    </row>
    <row r="503" spans="1:3">
      <c r="A503" s="10" t="s">
        <v>530</v>
      </c>
      <c r="B503" s="10">
        <v>193</v>
      </c>
      <c r="C503" s="10">
        <v>9</v>
      </c>
    </row>
    <row r="504" spans="1:3">
      <c r="A504" s="10" t="s">
        <v>531</v>
      </c>
      <c r="B504" s="10">
        <v>167</v>
      </c>
      <c r="C504" s="10">
        <v>30</v>
      </c>
    </row>
    <row r="505" spans="1:3">
      <c r="A505" s="10" t="s">
        <v>532</v>
      </c>
      <c r="B505" s="10">
        <v>191</v>
      </c>
      <c r="C505" s="10">
        <v>19</v>
      </c>
    </row>
    <row r="506" spans="1:3">
      <c r="A506" s="10" t="s">
        <v>533</v>
      </c>
      <c r="B506" s="10">
        <v>181</v>
      </c>
      <c r="C506" s="10">
        <v>37</v>
      </c>
    </row>
    <row r="507" spans="1:3">
      <c r="A507" s="10" t="s">
        <v>534</v>
      </c>
      <c r="B507" s="10">
        <v>143</v>
      </c>
      <c r="C507" s="10">
        <v>21</v>
      </c>
    </row>
    <row r="508" spans="1:3">
      <c r="A508" s="10" t="s">
        <v>535</v>
      </c>
      <c r="B508" s="10">
        <v>123</v>
      </c>
      <c r="C508" s="10">
        <v>24</v>
      </c>
    </row>
    <row r="509" spans="1:3">
      <c r="A509" s="10" t="s">
        <v>536</v>
      </c>
      <c r="B509" s="10">
        <v>168</v>
      </c>
      <c r="C509" s="10">
        <v>26</v>
      </c>
    </row>
    <row r="510" spans="1:3">
      <c r="A510" s="10" t="s">
        <v>537</v>
      </c>
      <c r="B510" s="10">
        <v>188</v>
      </c>
      <c r="C510" s="10">
        <v>15</v>
      </c>
    </row>
    <row r="511" spans="1:3">
      <c r="A511" s="10" t="s">
        <v>538</v>
      </c>
      <c r="B511" s="10">
        <v>177</v>
      </c>
      <c r="C511" s="10">
        <v>22</v>
      </c>
    </row>
    <row r="512" spans="1:3">
      <c r="A512" s="10" t="s">
        <v>539</v>
      </c>
      <c r="B512" s="10">
        <v>173</v>
      </c>
      <c r="C512" s="10">
        <v>31</v>
      </c>
    </row>
    <row r="513" spans="1:3">
      <c r="A513" s="10" t="s">
        <v>540</v>
      </c>
      <c r="B513" s="10">
        <v>167</v>
      </c>
      <c r="C513" s="10">
        <v>24</v>
      </c>
    </row>
    <row r="514" spans="1:3">
      <c r="A514" s="10" t="s">
        <v>541</v>
      </c>
      <c r="B514" s="10">
        <v>204</v>
      </c>
      <c r="C514" s="10">
        <v>22</v>
      </c>
    </row>
    <row r="515" spans="1:3">
      <c r="A515" s="10" t="s">
        <v>542</v>
      </c>
      <c r="B515" s="10">
        <v>148</v>
      </c>
      <c r="C515" s="10">
        <v>39</v>
      </c>
    </row>
    <row r="516" spans="1:3">
      <c r="A516" s="10" t="s">
        <v>543</v>
      </c>
      <c r="B516" s="10">
        <v>162</v>
      </c>
      <c r="C516" s="10">
        <v>17</v>
      </c>
    </row>
    <row r="517" spans="1:3">
      <c r="A517" s="10" t="s">
        <v>544</v>
      </c>
      <c r="B517" s="10">
        <v>133</v>
      </c>
      <c r="C517" s="10">
        <v>17</v>
      </c>
    </row>
    <row r="518" spans="1:3">
      <c r="A518" s="10" t="s">
        <v>545</v>
      </c>
      <c r="B518" s="10">
        <v>134</v>
      </c>
      <c r="C518" s="10">
        <v>17</v>
      </c>
    </row>
    <row r="519" spans="1:3">
      <c r="A519" s="10" t="s">
        <v>546</v>
      </c>
      <c r="B519" s="10">
        <v>175</v>
      </c>
      <c r="C519" s="10">
        <v>24</v>
      </c>
    </row>
    <row r="520" spans="1:3">
      <c r="A520" s="10" t="s">
        <v>547</v>
      </c>
      <c r="B520" s="10">
        <v>165</v>
      </c>
      <c r="C520" s="10">
        <v>33</v>
      </c>
    </row>
    <row r="521" spans="1:3">
      <c r="A521" s="10" t="s">
        <v>548</v>
      </c>
      <c r="B521" s="10">
        <v>144</v>
      </c>
      <c r="C521" s="10">
        <v>16</v>
      </c>
    </row>
    <row r="522" spans="1:3">
      <c r="A522" s="10" t="s">
        <v>549</v>
      </c>
      <c r="B522" s="10">
        <v>185</v>
      </c>
      <c r="C522" s="10">
        <v>32</v>
      </c>
    </row>
    <row r="523" spans="1:3">
      <c r="A523" s="10" t="s">
        <v>550</v>
      </c>
      <c r="B523" s="10">
        <v>205</v>
      </c>
      <c r="C523" s="10">
        <v>4</v>
      </c>
    </row>
    <row r="524" spans="1:3">
      <c r="A524" s="10" t="s">
        <v>551</v>
      </c>
      <c r="B524" s="10">
        <v>180</v>
      </c>
      <c r="C524" s="10">
        <v>30</v>
      </c>
    </row>
    <row r="525" spans="1:3">
      <c r="A525" s="10" t="s">
        <v>552</v>
      </c>
      <c r="B525" s="10">
        <v>157</v>
      </c>
      <c r="C525" s="10">
        <v>24</v>
      </c>
    </row>
    <row r="526" spans="1:3">
      <c r="A526" s="10" t="s">
        <v>553</v>
      </c>
      <c r="B526" s="10">
        <v>188</v>
      </c>
      <c r="C526" s="10">
        <v>17</v>
      </c>
    </row>
    <row r="527" spans="1:3">
      <c r="A527" s="10" t="s">
        <v>554</v>
      </c>
      <c r="B527" s="10">
        <v>178</v>
      </c>
      <c r="C527" s="10">
        <v>22</v>
      </c>
    </row>
    <row r="528" spans="1:3">
      <c r="A528" s="10" t="s">
        <v>555</v>
      </c>
      <c r="B528" s="10">
        <v>128</v>
      </c>
      <c r="C528" s="10">
        <v>31</v>
      </c>
    </row>
    <row r="529" spans="1:3">
      <c r="A529" s="10" t="s">
        <v>556</v>
      </c>
      <c r="B529" s="10">
        <v>196</v>
      </c>
      <c r="C529" s="10">
        <v>23</v>
      </c>
    </row>
    <row r="530" spans="1:3">
      <c r="A530" s="10" t="s">
        <v>557</v>
      </c>
      <c r="B530" s="10">
        <v>151</v>
      </c>
      <c r="C530" s="10">
        <v>35</v>
      </c>
    </row>
    <row r="531" spans="1:3">
      <c r="A531" s="10" t="s">
        <v>558</v>
      </c>
      <c r="B531" s="10">
        <v>132</v>
      </c>
      <c r="C531" s="10">
        <v>39</v>
      </c>
    </row>
    <row r="532" spans="1:3">
      <c r="A532" s="10" t="s">
        <v>559</v>
      </c>
      <c r="B532" s="10">
        <v>90</v>
      </c>
      <c r="C532" s="10">
        <v>50</v>
      </c>
    </row>
    <row r="533" spans="1:3">
      <c r="A533" s="10" t="s">
        <v>560</v>
      </c>
      <c r="B533" s="10">
        <v>181</v>
      </c>
      <c r="C533" s="10">
        <v>26</v>
      </c>
    </row>
    <row r="534" spans="1:3">
      <c r="A534" s="10" t="s">
        <v>561</v>
      </c>
      <c r="B534" s="10">
        <v>139</v>
      </c>
      <c r="C534" s="10">
        <v>23</v>
      </c>
    </row>
    <row r="535" spans="1:3">
      <c r="A535" s="10" t="s">
        <v>562</v>
      </c>
      <c r="B535" s="10">
        <v>150</v>
      </c>
      <c r="C535" s="10">
        <v>37</v>
      </c>
    </row>
    <row r="536" spans="1:3">
      <c r="A536" s="10" t="s">
        <v>563</v>
      </c>
      <c r="B536" s="10">
        <v>84</v>
      </c>
      <c r="C536" s="10">
        <v>50</v>
      </c>
    </row>
    <row r="537" spans="1:3">
      <c r="A537" s="10" t="s">
        <v>564</v>
      </c>
      <c r="B537" s="10">
        <v>150</v>
      </c>
      <c r="C537" s="10">
        <v>31</v>
      </c>
    </row>
    <row r="538" spans="1:3">
      <c r="A538" s="10" t="s">
        <v>565</v>
      </c>
      <c r="B538" s="10">
        <v>196</v>
      </c>
      <c r="C538" s="10">
        <v>23</v>
      </c>
    </row>
    <row r="539" spans="1:3">
      <c r="A539" s="10" t="s">
        <v>566</v>
      </c>
      <c r="B539" s="10">
        <v>125</v>
      </c>
      <c r="C539" s="10">
        <v>34</v>
      </c>
    </row>
    <row r="540" spans="1:3">
      <c r="A540" s="10" t="s">
        <v>567</v>
      </c>
      <c r="B540" s="10">
        <v>164</v>
      </c>
      <c r="C540" s="10">
        <v>34</v>
      </c>
    </row>
    <row r="541" spans="1:3">
      <c r="A541" s="10" t="s">
        <v>568</v>
      </c>
      <c r="B541" s="10">
        <v>134</v>
      </c>
      <c r="C541" s="10">
        <v>33</v>
      </c>
    </row>
    <row r="542" spans="1:3">
      <c r="A542" s="10" t="s">
        <v>569</v>
      </c>
      <c r="B542" s="10">
        <v>139</v>
      </c>
      <c r="C542" s="10">
        <v>48</v>
      </c>
    </row>
    <row r="543" spans="1:3">
      <c r="A543" s="10" t="s">
        <v>570</v>
      </c>
      <c r="B543" s="10">
        <v>105</v>
      </c>
      <c r="C543" s="10">
        <v>29</v>
      </c>
    </row>
    <row r="544" spans="1:3">
      <c r="A544" s="10" t="s">
        <v>571</v>
      </c>
      <c r="B544" s="10">
        <v>185</v>
      </c>
      <c r="C544" s="10">
        <v>35</v>
      </c>
    </row>
    <row r="545" spans="1:3">
      <c r="A545" s="10" t="s">
        <v>572</v>
      </c>
      <c r="B545" s="10">
        <v>138</v>
      </c>
      <c r="C545" s="10">
        <v>28</v>
      </c>
    </row>
    <row r="546" spans="1:3">
      <c r="A546" s="10" t="s">
        <v>573</v>
      </c>
      <c r="B546" s="10">
        <v>158</v>
      </c>
      <c r="C546" s="10">
        <v>28</v>
      </c>
    </row>
    <row r="547" spans="1:3">
      <c r="A547" s="10" t="s">
        <v>574</v>
      </c>
      <c r="B547" s="10">
        <v>130</v>
      </c>
      <c r="C547" s="10">
        <v>19</v>
      </c>
    </row>
    <row r="548" spans="1:3">
      <c r="A548" s="10" t="s">
        <v>575</v>
      </c>
      <c r="B548" s="10">
        <v>162</v>
      </c>
      <c r="C548" s="10">
        <v>22</v>
      </c>
    </row>
    <row r="549" spans="1:3">
      <c r="A549" s="10" t="s">
        <v>576</v>
      </c>
      <c r="B549" s="10">
        <v>153</v>
      </c>
      <c r="C549" s="10">
        <v>26</v>
      </c>
    </row>
    <row r="550" spans="1:3">
      <c r="A550" s="10" t="s">
        <v>577</v>
      </c>
      <c r="B550" s="10">
        <v>154</v>
      </c>
      <c r="C550" s="10">
        <v>29</v>
      </c>
    </row>
    <row r="551" spans="1:3">
      <c r="A551" s="10" t="s">
        <v>578</v>
      </c>
      <c r="B551" s="10">
        <v>152</v>
      </c>
      <c r="C551" s="10">
        <v>35</v>
      </c>
    </row>
    <row r="552" spans="1:3">
      <c r="A552" s="10" t="s">
        <v>579</v>
      </c>
      <c r="B552" s="10">
        <v>174</v>
      </c>
      <c r="C552" s="10">
        <v>32</v>
      </c>
    </row>
    <row r="553" spans="1:3">
      <c r="A553" s="10" t="s">
        <v>580</v>
      </c>
      <c r="B553" s="10">
        <v>134</v>
      </c>
      <c r="C553" s="10">
        <v>44</v>
      </c>
    </row>
    <row r="554" spans="1:3">
      <c r="A554" s="10" t="s">
        <v>581</v>
      </c>
      <c r="B554" s="10">
        <v>170</v>
      </c>
      <c r="C554" s="10">
        <v>32</v>
      </c>
    </row>
    <row r="555" spans="1:3">
      <c r="A555" s="10" t="s">
        <v>582</v>
      </c>
      <c r="B555" s="10">
        <v>205</v>
      </c>
      <c r="C555" s="10">
        <v>8</v>
      </c>
    </row>
    <row r="556" spans="1:3">
      <c r="A556" s="10" t="s">
        <v>583</v>
      </c>
      <c r="B556" s="10">
        <v>148</v>
      </c>
      <c r="C556" s="10">
        <v>30</v>
      </c>
    </row>
    <row r="557" spans="1:3">
      <c r="A557" s="10" t="s">
        <v>584</v>
      </c>
      <c r="B557" s="10">
        <v>139</v>
      </c>
      <c r="C557" s="10">
        <v>42</v>
      </c>
    </row>
    <row r="558" spans="1:3">
      <c r="A558" s="10" t="s">
        <v>585</v>
      </c>
      <c r="B558" s="10">
        <v>140</v>
      </c>
      <c r="C558" s="10">
        <v>44</v>
      </c>
    </row>
    <row r="559" spans="1:3">
      <c r="A559" s="10" t="s">
        <v>586</v>
      </c>
      <c r="B559" s="10">
        <v>86</v>
      </c>
      <c r="C559" s="10">
        <v>41</v>
      </c>
    </row>
    <row r="560" spans="1:3">
      <c r="A560" s="10" t="s">
        <v>587</v>
      </c>
      <c r="B560" s="10">
        <v>169</v>
      </c>
      <c r="C560" s="10">
        <v>19</v>
      </c>
    </row>
    <row r="561" spans="1:3">
      <c r="A561" s="10" t="s">
        <v>588</v>
      </c>
      <c r="B561" s="10">
        <v>138</v>
      </c>
      <c r="C561" s="10">
        <v>42</v>
      </c>
    </row>
    <row r="562" spans="1:3">
      <c r="A562" s="10" t="s">
        <v>589</v>
      </c>
      <c r="B562" s="10">
        <v>167</v>
      </c>
      <c r="C562" s="10">
        <v>30</v>
      </c>
    </row>
    <row r="563" spans="1:3">
      <c r="A563" s="10" t="s">
        <v>590</v>
      </c>
      <c r="B563" s="10">
        <v>234</v>
      </c>
      <c r="C563" s="10">
        <v>13</v>
      </c>
    </row>
    <row r="564" spans="1:3">
      <c r="A564" s="10" t="s">
        <v>591</v>
      </c>
      <c r="B564" s="10">
        <v>171</v>
      </c>
      <c r="C564" s="10">
        <v>34</v>
      </c>
    </row>
    <row r="565" spans="1:3">
      <c r="A565" s="10" t="s">
        <v>592</v>
      </c>
      <c r="B565" s="10">
        <v>125</v>
      </c>
      <c r="C565" s="10">
        <v>38</v>
      </c>
    </row>
    <row r="566" spans="1:3">
      <c r="A566" s="10" t="s">
        <v>593</v>
      </c>
      <c r="B566" s="10">
        <v>181</v>
      </c>
      <c r="C566" s="10">
        <v>17</v>
      </c>
    </row>
    <row r="567" spans="1:3">
      <c r="A567" s="10" t="s">
        <v>594</v>
      </c>
      <c r="B567" s="10">
        <v>111</v>
      </c>
      <c r="C567" s="10">
        <v>37</v>
      </c>
    </row>
    <row r="568" spans="1:3">
      <c r="A568" s="10" t="s">
        <v>595</v>
      </c>
      <c r="B568" s="10">
        <v>184</v>
      </c>
      <c r="C568" s="10">
        <v>27</v>
      </c>
    </row>
    <row r="569" spans="1:3">
      <c r="A569" s="10" t="s">
        <v>596</v>
      </c>
      <c r="B569" s="10">
        <v>180</v>
      </c>
      <c r="C569" s="10">
        <v>36</v>
      </c>
    </row>
    <row r="570" spans="1:3">
      <c r="A570" s="10" t="s">
        <v>597</v>
      </c>
      <c r="B570" s="10">
        <v>195</v>
      </c>
      <c r="C570" s="10">
        <v>22</v>
      </c>
    </row>
    <row r="571" spans="1:3">
      <c r="A571" s="10" t="s">
        <v>598</v>
      </c>
      <c r="B571" s="10">
        <v>130</v>
      </c>
      <c r="C571" s="10">
        <v>30</v>
      </c>
    </row>
    <row r="572" spans="1:3">
      <c r="A572" s="10" t="s">
        <v>599</v>
      </c>
      <c r="B572" s="10">
        <v>168</v>
      </c>
      <c r="C572" s="10">
        <v>10</v>
      </c>
    </row>
    <row r="573" spans="1:3">
      <c r="A573" s="10" t="s">
        <v>600</v>
      </c>
      <c r="B573" s="10">
        <v>118</v>
      </c>
      <c r="C573" s="10">
        <v>28</v>
      </c>
    </row>
    <row r="574" spans="1:3">
      <c r="A574" s="10" t="s">
        <v>601</v>
      </c>
      <c r="B574" s="10">
        <v>153</v>
      </c>
      <c r="C574" s="10">
        <v>15</v>
      </c>
    </row>
    <row r="575" spans="1:3">
      <c r="A575" s="10" t="s">
        <v>602</v>
      </c>
      <c r="B575" s="10">
        <v>142</v>
      </c>
      <c r="C575" s="10">
        <v>35</v>
      </c>
    </row>
    <row r="576" spans="1:3">
      <c r="A576" s="10" t="s">
        <v>603</v>
      </c>
      <c r="B576" s="10">
        <v>135</v>
      </c>
      <c r="C576" s="10">
        <v>32</v>
      </c>
    </row>
    <row r="577" spans="1:3">
      <c r="A577" s="10" t="s">
        <v>604</v>
      </c>
      <c r="B577" s="10">
        <v>150</v>
      </c>
      <c r="C577" s="10">
        <v>23</v>
      </c>
    </row>
    <row r="578" spans="1:3">
      <c r="A578" s="10" t="s">
        <v>605</v>
      </c>
      <c r="B578" s="10">
        <v>179</v>
      </c>
      <c r="C578" s="10">
        <v>24</v>
      </c>
    </row>
    <row r="579" spans="1:3">
      <c r="A579" s="10" t="s">
        <v>606</v>
      </c>
      <c r="B579" s="10">
        <v>166</v>
      </c>
      <c r="C579" s="10">
        <v>27</v>
      </c>
    </row>
    <row r="580" spans="1:3">
      <c r="A580" s="10" t="s">
        <v>607</v>
      </c>
      <c r="B580" s="10">
        <v>161</v>
      </c>
      <c r="C580" s="10">
        <v>45</v>
      </c>
    </row>
    <row r="581" spans="1:3">
      <c r="A581" s="10" t="s">
        <v>608</v>
      </c>
      <c r="B581" s="10">
        <v>152</v>
      </c>
      <c r="C581" s="10">
        <v>25</v>
      </c>
    </row>
    <row r="582" spans="1:3">
      <c r="A582" s="10" t="s">
        <v>609</v>
      </c>
      <c r="B582" s="10">
        <v>143</v>
      </c>
      <c r="C582" s="10">
        <v>25</v>
      </c>
    </row>
    <row r="583" spans="1:3">
      <c r="A583" s="10" t="s">
        <v>610</v>
      </c>
      <c r="B583" s="10">
        <v>151</v>
      </c>
      <c r="C583" s="10">
        <v>33</v>
      </c>
    </row>
    <row r="584" spans="1:3">
      <c r="A584" s="10" t="s">
        <v>611</v>
      </c>
      <c r="B584" s="10">
        <v>184</v>
      </c>
      <c r="C584" s="10">
        <v>30</v>
      </c>
    </row>
    <row r="585" spans="1:3">
      <c r="A585" s="10" t="s">
        <v>612</v>
      </c>
      <c r="B585" s="10">
        <v>166</v>
      </c>
      <c r="C585" s="10">
        <v>30</v>
      </c>
    </row>
    <row r="586" spans="1:3">
      <c r="A586" s="10" t="s">
        <v>613</v>
      </c>
      <c r="B586" s="10">
        <v>156</v>
      </c>
      <c r="C586" s="10">
        <v>32</v>
      </c>
    </row>
    <row r="587" spans="1:3">
      <c r="A587" s="10" t="s">
        <v>614</v>
      </c>
      <c r="B587" s="10">
        <v>132</v>
      </c>
      <c r="C587" s="10">
        <v>30</v>
      </c>
    </row>
    <row r="588" spans="1:3">
      <c r="A588" s="10" t="s">
        <v>615</v>
      </c>
      <c r="B588" s="10">
        <v>140</v>
      </c>
      <c r="C588" s="10">
        <v>22</v>
      </c>
    </row>
    <row r="589" spans="1:3">
      <c r="A589" s="10" t="s">
        <v>616</v>
      </c>
      <c r="B589" s="10">
        <v>161</v>
      </c>
      <c r="C589" s="10">
        <v>29</v>
      </c>
    </row>
    <row r="590" spans="1:3">
      <c r="A590" s="10" t="s">
        <v>617</v>
      </c>
      <c r="B590" s="10">
        <v>163</v>
      </c>
      <c r="C590" s="10">
        <v>14</v>
      </c>
    </row>
    <row r="591" spans="1:3">
      <c r="A591" s="10" t="s">
        <v>618</v>
      </c>
      <c r="B591" s="10">
        <v>136</v>
      </c>
      <c r="C591" s="10">
        <v>18</v>
      </c>
    </row>
    <row r="592" spans="1:3">
      <c r="A592" s="10" t="s">
        <v>619</v>
      </c>
      <c r="B592" s="10">
        <v>178</v>
      </c>
      <c r="C592" s="10">
        <v>34</v>
      </c>
    </row>
    <row r="593" spans="1:3">
      <c r="A593" s="10" t="s">
        <v>620</v>
      </c>
      <c r="B593" s="10">
        <v>190</v>
      </c>
      <c r="C593" s="10">
        <v>24</v>
      </c>
    </row>
    <row r="594" spans="1:3">
      <c r="A594" s="10" t="s">
        <v>621</v>
      </c>
      <c r="B594" s="10">
        <v>159</v>
      </c>
      <c r="C594" s="10">
        <v>32</v>
      </c>
    </row>
    <row r="595" spans="1:3">
      <c r="A595" s="10" t="s">
        <v>622</v>
      </c>
      <c r="B595" s="10">
        <v>144</v>
      </c>
      <c r="C595" s="10">
        <v>22</v>
      </c>
    </row>
    <row r="596" spans="1:3">
      <c r="A596" s="10" t="s">
        <v>623</v>
      </c>
      <c r="B596" s="10">
        <v>117</v>
      </c>
      <c r="C596" s="10">
        <v>38</v>
      </c>
    </row>
    <row r="597" spans="1:3">
      <c r="A597" s="10" t="s">
        <v>624</v>
      </c>
      <c r="B597" s="10">
        <v>157</v>
      </c>
      <c r="C597" s="10">
        <v>28</v>
      </c>
    </row>
    <row r="598" spans="1:3">
      <c r="A598" s="10" t="s">
        <v>625</v>
      </c>
      <c r="B598" s="10">
        <v>179</v>
      </c>
      <c r="C598" s="10">
        <v>19</v>
      </c>
    </row>
    <row r="599" spans="1:3">
      <c r="A599" s="10" t="s">
        <v>626</v>
      </c>
      <c r="B599" s="10">
        <v>150</v>
      </c>
      <c r="C599" s="10">
        <v>29</v>
      </c>
    </row>
    <row r="600" spans="1:3">
      <c r="A600" s="10" t="s">
        <v>627</v>
      </c>
      <c r="B600" s="10">
        <v>158</v>
      </c>
      <c r="C600" s="10">
        <v>29</v>
      </c>
    </row>
    <row r="601" spans="1:3">
      <c r="A601" s="10" t="s">
        <v>629</v>
      </c>
      <c r="B601" s="10">
        <v>150</v>
      </c>
      <c r="C601" s="10">
        <v>37</v>
      </c>
    </row>
    <row r="602" spans="1:3">
      <c r="A602" s="10" t="s">
        <v>630</v>
      </c>
      <c r="B602" s="10">
        <v>222</v>
      </c>
      <c r="C602" s="10">
        <v>2</v>
      </c>
    </row>
    <row r="603" spans="1:3">
      <c r="A603" s="10" t="s">
        <v>631</v>
      </c>
      <c r="B603" s="10">
        <v>140</v>
      </c>
      <c r="C603" s="10">
        <v>26</v>
      </c>
    </row>
    <row r="604" spans="1:3">
      <c r="A604" s="10" t="s">
        <v>632</v>
      </c>
      <c r="B604" s="10">
        <v>102</v>
      </c>
      <c r="C604" s="10">
        <v>32</v>
      </c>
    </row>
    <row r="605" spans="1:3">
      <c r="A605" s="10" t="s">
        <v>633</v>
      </c>
      <c r="B605" s="10">
        <v>127</v>
      </c>
      <c r="C605" s="10">
        <v>21</v>
      </c>
    </row>
    <row r="606" spans="1:3">
      <c r="A606" s="10" t="s">
        <v>634</v>
      </c>
      <c r="B606" s="10">
        <v>154</v>
      </c>
      <c r="C606" s="10">
        <v>15</v>
      </c>
    </row>
    <row r="607" spans="1:3">
      <c r="A607" s="10" t="s">
        <v>635</v>
      </c>
      <c r="B607" s="10">
        <v>153</v>
      </c>
      <c r="C607" s="10">
        <v>33</v>
      </c>
    </row>
    <row r="608" spans="1:3">
      <c r="A608" s="10" t="s">
        <v>636</v>
      </c>
      <c r="B608" s="10">
        <v>154</v>
      </c>
      <c r="C608" s="10">
        <v>27</v>
      </c>
    </row>
    <row r="609" spans="1:3">
      <c r="A609" s="10" t="s">
        <v>637</v>
      </c>
      <c r="B609" s="10">
        <v>127</v>
      </c>
      <c r="C609" s="10">
        <v>29</v>
      </c>
    </row>
    <row r="610" spans="1:3">
      <c r="A610" s="10" t="s">
        <v>638</v>
      </c>
      <c r="B610" s="10">
        <v>81</v>
      </c>
      <c r="C610" s="10">
        <v>47</v>
      </c>
    </row>
    <row r="611" spans="1:3">
      <c r="A611" s="10" t="s">
        <v>639</v>
      </c>
      <c r="B611" s="10">
        <v>168</v>
      </c>
      <c r="C611" s="10">
        <v>19</v>
      </c>
    </row>
    <row r="612" spans="1:3">
      <c r="A612" s="10" t="s">
        <v>640</v>
      </c>
      <c r="B612" s="10">
        <v>149</v>
      </c>
      <c r="C612" s="10">
        <v>23</v>
      </c>
    </row>
    <row r="613" spans="1:3">
      <c r="A613" s="10" t="s">
        <v>641</v>
      </c>
      <c r="B613" s="10">
        <v>142</v>
      </c>
      <c r="C613" s="10">
        <v>26</v>
      </c>
    </row>
    <row r="614" spans="1:3">
      <c r="A614" s="10" t="s">
        <v>642</v>
      </c>
      <c r="B614" s="10">
        <v>126</v>
      </c>
      <c r="C614" s="10">
        <v>29</v>
      </c>
    </row>
    <row r="615" spans="1:3">
      <c r="A615" s="10" t="s">
        <v>643</v>
      </c>
      <c r="B615" s="10">
        <v>145</v>
      </c>
      <c r="C615" s="10">
        <v>17</v>
      </c>
    </row>
    <row r="616" spans="1:3">
      <c r="A616" s="10" t="s">
        <v>644</v>
      </c>
      <c r="B616" s="10">
        <v>161</v>
      </c>
      <c r="C616" s="10">
        <v>13</v>
      </c>
    </row>
    <row r="617" spans="1:3">
      <c r="A617" s="10" t="s">
        <v>645</v>
      </c>
      <c r="B617" s="10">
        <v>138</v>
      </c>
      <c r="C617" s="10">
        <v>45</v>
      </c>
    </row>
    <row r="618" spans="1:3">
      <c r="A618" s="10" t="s">
        <v>646</v>
      </c>
      <c r="B618" s="10">
        <v>111</v>
      </c>
      <c r="C618" s="10">
        <v>50</v>
      </c>
    </row>
    <row r="619" spans="1:3">
      <c r="A619" s="10" t="s">
        <v>647</v>
      </c>
      <c r="B619" s="10">
        <v>184</v>
      </c>
      <c r="C619" s="10">
        <v>12</v>
      </c>
    </row>
    <row r="620" spans="1:3">
      <c r="A620" s="10" t="s">
        <v>648</v>
      </c>
      <c r="B620" s="10">
        <v>111</v>
      </c>
      <c r="C620" s="10">
        <v>27</v>
      </c>
    </row>
    <row r="621" spans="1:3">
      <c r="A621" s="10" t="s">
        <v>649</v>
      </c>
      <c r="B621" s="10">
        <v>136</v>
      </c>
      <c r="C621" s="10">
        <v>50</v>
      </c>
    </row>
    <row r="622" spans="1:3">
      <c r="A622" s="10" t="s">
        <v>651</v>
      </c>
      <c r="B622" s="10">
        <v>96</v>
      </c>
      <c r="C622" s="10">
        <v>34</v>
      </c>
    </row>
    <row r="623" spans="1:3">
      <c r="A623" s="10" t="s">
        <v>652</v>
      </c>
      <c r="B623" s="10">
        <v>196</v>
      </c>
      <c r="C623" s="10">
        <v>7</v>
      </c>
    </row>
    <row r="624" spans="1:3">
      <c r="A624" s="10" t="s">
        <v>653</v>
      </c>
      <c r="B624" s="10">
        <v>126</v>
      </c>
      <c r="C624" s="10">
        <v>50</v>
      </c>
    </row>
    <row r="625" spans="1:3">
      <c r="A625" s="10" t="s">
        <v>654</v>
      </c>
      <c r="B625" s="10">
        <v>109</v>
      </c>
      <c r="C625" s="10">
        <v>35</v>
      </c>
    </row>
    <row r="626" spans="1:3">
      <c r="A626" s="10" t="s">
        <v>655</v>
      </c>
      <c r="B626" s="10">
        <v>145</v>
      </c>
      <c r="C626" s="10">
        <v>33</v>
      </c>
    </row>
    <row r="627" spans="1:3">
      <c r="A627" s="10" t="s">
        <v>656</v>
      </c>
      <c r="B627" s="10">
        <v>167</v>
      </c>
      <c r="C627" s="10">
        <v>24</v>
      </c>
    </row>
    <row r="628" spans="1:3">
      <c r="A628" s="10" t="s">
        <v>657</v>
      </c>
      <c r="B628" s="10">
        <v>178</v>
      </c>
      <c r="C628" s="10">
        <v>24</v>
      </c>
    </row>
    <row r="629" spans="1:3">
      <c r="A629" s="10" t="s">
        <v>658</v>
      </c>
      <c r="B629" s="10">
        <v>170</v>
      </c>
      <c r="C629" s="10">
        <v>24</v>
      </c>
    </row>
    <row r="630" spans="1:3">
      <c r="A630" s="10" t="s">
        <v>659</v>
      </c>
      <c r="B630" s="10">
        <v>165</v>
      </c>
      <c r="C630" s="10">
        <v>21</v>
      </c>
    </row>
    <row r="631" spans="1:3">
      <c r="A631" s="10" t="s">
        <v>660</v>
      </c>
      <c r="B631" s="10">
        <v>218</v>
      </c>
      <c r="C631" s="10">
        <v>14</v>
      </c>
    </row>
    <row r="632" spans="1:3">
      <c r="A632" s="10" t="s">
        <v>661</v>
      </c>
      <c r="B632" s="10">
        <v>176</v>
      </c>
      <c r="C632" s="10">
        <v>21</v>
      </c>
    </row>
    <row r="633" spans="1:3">
      <c r="A633" s="10" t="s">
        <v>662</v>
      </c>
      <c r="B633" s="10">
        <v>80</v>
      </c>
      <c r="C633" s="10">
        <v>57</v>
      </c>
    </row>
    <row r="634" spans="1:3">
      <c r="A634" s="10" t="s">
        <v>663</v>
      </c>
      <c r="B634" s="10">
        <v>120</v>
      </c>
      <c r="C634" s="10">
        <v>25</v>
      </c>
    </row>
    <row r="635" spans="1:3">
      <c r="A635" s="10" t="s">
        <v>664</v>
      </c>
      <c r="B635" s="10">
        <v>116</v>
      </c>
      <c r="C635" s="10">
        <v>32</v>
      </c>
    </row>
    <row r="636" spans="1:3">
      <c r="A636" s="10" t="s">
        <v>665</v>
      </c>
      <c r="B636" s="10">
        <v>139</v>
      </c>
      <c r="C636" s="10">
        <v>23</v>
      </c>
    </row>
    <row r="637" spans="1:3">
      <c r="A637" s="10" t="s">
        <v>666</v>
      </c>
      <c r="B637" s="10">
        <v>163</v>
      </c>
      <c r="C637" s="10">
        <v>28</v>
      </c>
    </row>
    <row r="638" spans="1:3">
      <c r="A638" s="10" t="s">
        <v>667</v>
      </c>
      <c r="B638" s="10">
        <v>178</v>
      </c>
      <c r="C638" s="10">
        <v>21</v>
      </c>
    </row>
    <row r="639" spans="1:3">
      <c r="A639" s="10" t="s">
        <v>668</v>
      </c>
      <c r="B639" s="10">
        <v>155</v>
      </c>
      <c r="C639" s="10">
        <v>26</v>
      </c>
    </row>
    <row r="640" spans="1:3">
      <c r="A640" s="10" t="s">
        <v>669</v>
      </c>
      <c r="B640" s="10">
        <v>177</v>
      </c>
      <c r="C640" s="10">
        <v>28</v>
      </c>
    </row>
    <row r="641" spans="1:3">
      <c r="A641" s="10" t="s">
        <v>670</v>
      </c>
      <c r="B641" s="10">
        <v>152</v>
      </c>
      <c r="C641" s="10">
        <v>10</v>
      </c>
    </row>
    <row r="642" spans="1:3">
      <c r="A642" s="10" t="s">
        <v>671</v>
      </c>
      <c r="B642" s="10">
        <v>131</v>
      </c>
      <c r="C642" s="10">
        <v>21</v>
      </c>
    </row>
    <row r="643" spans="1:3">
      <c r="A643" s="10" t="s">
        <v>672</v>
      </c>
      <c r="B643" s="10">
        <v>59</v>
      </c>
      <c r="C643" s="10">
        <v>56</v>
      </c>
    </row>
    <row r="644" spans="1:3">
      <c r="A644" s="10" t="s">
        <v>673</v>
      </c>
      <c r="B644" s="10">
        <v>148</v>
      </c>
      <c r="C644" s="10">
        <v>35</v>
      </c>
    </row>
    <row r="645" spans="1:3">
      <c r="A645" s="10" t="s">
        <v>674</v>
      </c>
      <c r="B645" s="10">
        <v>201</v>
      </c>
      <c r="C645" s="10">
        <v>23</v>
      </c>
    </row>
    <row r="646" spans="1:3">
      <c r="A646" s="10" t="s">
        <v>675</v>
      </c>
      <c r="B646" s="10">
        <v>186</v>
      </c>
      <c r="C646" s="10">
        <v>14</v>
      </c>
    </row>
    <row r="647" spans="1:3">
      <c r="A647" s="10" t="s">
        <v>676</v>
      </c>
      <c r="B647" s="10">
        <v>191</v>
      </c>
      <c r="C647" s="10">
        <v>29</v>
      </c>
    </row>
    <row r="648" spans="1:3">
      <c r="A648" s="10" t="s">
        <v>677</v>
      </c>
      <c r="B648" s="10">
        <v>166</v>
      </c>
      <c r="C648" s="10">
        <v>22</v>
      </c>
    </row>
    <row r="649" spans="1:3">
      <c r="A649" s="10" t="s">
        <v>678</v>
      </c>
      <c r="B649" s="10">
        <v>187</v>
      </c>
      <c r="C649" s="10">
        <v>25</v>
      </c>
    </row>
    <row r="650" spans="1:3">
      <c r="A650" s="10" t="s">
        <v>679</v>
      </c>
      <c r="B650" s="10">
        <v>143</v>
      </c>
      <c r="C650" s="10">
        <v>44</v>
      </c>
    </row>
    <row r="651" spans="1:3">
      <c r="A651" s="10" t="s">
        <v>680</v>
      </c>
      <c r="B651" s="10">
        <v>113</v>
      </c>
      <c r="C651" s="10">
        <v>32</v>
      </c>
    </row>
    <row r="652" spans="1:3">
      <c r="A652" s="10" t="s">
        <v>681</v>
      </c>
      <c r="B652" s="10">
        <v>106</v>
      </c>
      <c r="C652" s="10">
        <v>28</v>
      </c>
    </row>
    <row r="653" spans="1:3">
      <c r="A653" s="10" t="s">
        <v>682</v>
      </c>
      <c r="B653" s="10">
        <v>194</v>
      </c>
      <c r="C653" s="10">
        <v>17</v>
      </c>
    </row>
    <row r="654" spans="1:3">
      <c r="A654" s="10" t="s">
        <v>683</v>
      </c>
      <c r="B654" s="10">
        <v>216</v>
      </c>
      <c r="C654" s="10">
        <v>22</v>
      </c>
    </row>
    <row r="655" spans="1:3">
      <c r="A655" s="10" t="s">
        <v>684</v>
      </c>
      <c r="B655" s="10">
        <v>122</v>
      </c>
      <c r="C655" s="10">
        <v>32</v>
      </c>
    </row>
    <row r="656" spans="1:3">
      <c r="A656" s="10" t="s">
        <v>685</v>
      </c>
      <c r="B656" s="10">
        <v>159</v>
      </c>
      <c r="C656" s="10">
        <v>33</v>
      </c>
    </row>
    <row r="657" spans="1:3">
      <c r="A657" s="10" t="s">
        <v>686</v>
      </c>
      <c r="B657" s="10">
        <v>147</v>
      </c>
      <c r="C657" s="10">
        <v>18</v>
      </c>
    </row>
    <row r="658" spans="1:3">
      <c r="A658" s="10" t="s">
        <v>687</v>
      </c>
      <c r="B658" s="10">
        <v>100</v>
      </c>
      <c r="C658" s="10">
        <v>33</v>
      </c>
    </row>
    <row r="659" spans="1:3">
      <c r="A659" s="10" t="s">
        <v>688</v>
      </c>
      <c r="B659" s="10">
        <v>205</v>
      </c>
      <c r="C659" s="10">
        <v>29</v>
      </c>
    </row>
    <row r="660" spans="1:3">
      <c r="A660" s="10" t="s">
        <v>689</v>
      </c>
      <c r="B660" s="10">
        <v>170</v>
      </c>
      <c r="C660" s="10">
        <v>36</v>
      </c>
    </row>
    <row r="661" spans="1:3">
      <c r="A661" s="10" t="s">
        <v>690</v>
      </c>
      <c r="B661" s="10">
        <v>164</v>
      </c>
      <c r="C661" s="10">
        <v>33</v>
      </c>
    </row>
    <row r="662" spans="1:3">
      <c r="A662" s="10" t="s">
        <v>691</v>
      </c>
      <c r="B662" s="10">
        <v>114</v>
      </c>
      <c r="C662" s="10">
        <v>35</v>
      </c>
    </row>
    <row r="663" spans="1:3">
      <c r="A663" s="10" t="s">
        <v>692</v>
      </c>
      <c r="B663" s="10">
        <v>113</v>
      </c>
      <c r="C663" s="10">
        <v>27</v>
      </c>
    </row>
    <row r="664" spans="1:3">
      <c r="A664" s="10" t="s">
        <v>693</v>
      </c>
      <c r="B664" s="10">
        <v>186</v>
      </c>
      <c r="C664" s="10">
        <v>14</v>
      </c>
    </row>
    <row r="665" spans="1:3">
      <c r="A665" s="10" t="s">
        <v>694</v>
      </c>
      <c r="B665" s="10">
        <v>146</v>
      </c>
      <c r="C665" s="10">
        <v>43</v>
      </c>
    </row>
    <row r="666" spans="1:3">
      <c r="A666" s="10" t="s">
        <v>695</v>
      </c>
      <c r="B666" s="10">
        <v>157</v>
      </c>
      <c r="C666" s="10">
        <v>42</v>
      </c>
    </row>
    <row r="667" spans="1:3">
      <c r="A667" s="10" t="s">
        <v>696</v>
      </c>
      <c r="B667" s="10">
        <v>161</v>
      </c>
      <c r="C667" s="10">
        <v>34</v>
      </c>
    </row>
    <row r="668" spans="1:3">
      <c r="A668" s="10" t="s">
        <v>697</v>
      </c>
      <c r="B668" s="10">
        <v>204</v>
      </c>
      <c r="C668" s="10">
        <v>21</v>
      </c>
    </row>
    <row r="669" spans="1:3">
      <c r="A669" s="10" t="s">
        <v>698</v>
      </c>
      <c r="B669" s="10">
        <v>137</v>
      </c>
      <c r="C669" s="10">
        <v>14</v>
      </c>
    </row>
    <row r="670" spans="1:3">
      <c r="A670" s="10" t="s">
        <v>699</v>
      </c>
      <c r="B670" s="10">
        <v>171</v>
      </c>
      <c r="C670" s="10">
        <v>30</v>
      </c>
    </row>
    <row r="671" spans="1:3">
      <c r="A671" s="10" t="s">
        <v>700</v>
      </c>
      <c r="B671" s="10">
        <v>134</v>
      </c>
      <c r="C671" s="10">
        <v>27</v>
      </c>
    </row>
    <row r="672" spans="1:3">
      <c r="A672" s="10" t="s">
        <v>701</v>
      </c>
      <c r="B672" s="10">
        <v>190</v>
      </c>
      <c r="C672" s="10">
        <v>25</v>
      </c>
    </row>
    <row r="673" spans="1:3">
      <c r="A673" s="10" t="s">
        <v>702</v>
      </c>
      <c r="B673" s="10">
        <v>112</v>
      </c>
      <c r="C673" s="10">
        <v>34</v>
      </c>
    </row>
    <row r="674" spans="1:3">
      <c r="A674" s="10" t="s">
        <v>703</v>
      </c>
      <c r="B674" s="10">
        <v>150</v>
      </c>
      <c r="C674" s="10">
        <v>34</v>
      </c>
    </row>
    <row r="675" spans="1:3">
      <c r="A675" s="10" t="s">
        <v>704</v>
      </c>
      <c r="B675" s="10">
        <v>110</v>
      </c>
      <c r="C675" s="10">
        <v>55</v>
      </c>
    </row>
    <row r="676" spans="1:3">
      <c r="A676" s="10" t="s">
        <v>705</v>
      </c>
      <c r="B676" s="10">
        <v>130</v>
      </c>
      <c r="C676" s="10">
        <v>18</v>
      </c>
    </row>
    <row r="677" spans="1:3">
      <c r="A677" s="10" t="s">
        <v>706</v>
      </c>
      <c r="B677" s="10">
        <v>167</v>
      </c>
      <c r="C677" s="10">
        <v>16</v>
      </c>
    </row>
    <row r="678" spans="1:3">
      <c r="A678" s="10" t="s">
        <v>707</v>
      </c>
      <c r="B678" s="10">
        <v>160</v>
      </c>
      <c r="C678" s="10">
        <v>19</v>
      </c>
    </row>
  </sheetData>
  <phoneticPr fontId="2"/>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15E4-6F15-43C5-922B-B39EEF305A58}">
  <dimension ref="A1:AA678"/>
  <sheetViews>
    <sheetView topLeftCell="M1" workbookViewId="0">
      <selection activeCell="U17" sqref="U17"/>
    </sheetView>
  </sheetViews>
  <sheetFormatPr defaultColWidth="12.25" defaultRowHeight="18.75"/>
  <cols>
    <col min="1" max="1" width="11" style="10" bestFit="1" customWidth="1"/>
    <col min="2" max="2" width="6.5" style="10" bestFit="1" customWidth="1"/>
    <col min="3" max="3" width="9.5" style="10" bestFit="1" customWidth="1"/>
    <col min="4" max="4" width="10.375" style="10" bestFit="1" customWidth="1"/>
    <col min="5" max="5" width="22.25" style="10" bestFit="1" customWidth="1"/>
    <col min="6" max="6" width="17.75" style="10" bestFit="1" customWidth="1"/>
    <col min="7" max="7" width="13.5" style="10" bestFit="1" customWidth="1"/>
    <col min="8" max="8" width="15.5" style="10" bestFit="1" customWidth="1"/>
    <col min="9" max="9" width="13.5" style="10" bestFit="1" customWidth="1"/>
    <col min="10" max="10" width="24.5" style="10" bestFit="1" customWidth="1"/>
    <col min="11" max="11" width="15.5" style="10" bestFit="1" customWidth="1"/>
    <col min="12" max="12" width="22.25" style="10" bestFit="1" customWidth="1"/>
    <col min="13" max="15" width="15.5" style="10" bestFit="1" customWidth="1"/>
    <col min="16" max="16" width="10.375" style="10" bestFit="1" customWidth="1"/>
    <col min="17" max="17" width="12.25" style="10"/>
    <col min="18" max="18" width="24.5" style="10" bestFit="1" customWidth="1"/>
    <col min="19" max="21" width="12.25" style="10"/>
    <col min="22" max="22" width="16" style="10" bestFit="1" customWidth="1"/>
    <col min="23" max="16384" width="12.25" style="10"/>
  </cols>
  <sheetData>
    <row r="1" spans="1:27">
      <c r="A1" s="10" t="s">
        <v>3</v>
      </c>
      <c r="B1" s="10" t="s">
        <v>6</v>
      </c>
      <c r="C1" s="21" t="s">
        <v>7</v>
      </c>
      <c r="D1" s="10" t="s">
        <v>9</v>
      </c>
      <c r="E1" s="10" t="s">
        <v>947</v>
      </c>
      <c r="F1" s="10" t="s">
        <v>948</v>
      </c>
      <c r="G1" s="10" t="s">
        <v>949</v>
      </c>
      <c r="H1" s="10" t="s">
        <v>950</v>
      </c>
      <c r="I1" s="10" t="s">
        <v>951</v>
      </c>
      <c r="J1" s="10" t="s">
        <v>952</v>
      </c>
      <c r="K1" s="10" t="s">
        <v>953</v>
      </c>
      <c r="L1" s="10" t="s">
        <v>954</v>
      </c>
      <c r="M1" s="10" t="s">
        <v>955</v>
      </c>
      <c r="N1" s="10" t="s">
        <v>956</v>
      </c>
      <c r="O1" s="10" t="s">
        <v>957</v>
      </c>
      <c r="P1" s="10" t="s">
        <v>10</v>
      </c>
    </row>
    <row r="2" spans="1:27">
      <c r="A2" s="10" t="s">
        <v>11</v>
      </c>
      <c r="B2" s="10">
        <v>75</v>
      </c>
      <c r="C2" s="21">
        <v>4.2692590691069485E-4</v>
      </c>
      <c r="D2" s="10">
        <v>120</v>
      </c>
      <c r="E2" s="10">
        <v>0</v>
      </c>
      <c r="F2" s="10">
        <v>0</v>
      </c>
      <c r="G2" s="10">
        <v>0</v>
      </c>
      <c r="H2" s="10">
        <v>0</v>
      </c>
      <c r="I2" s="10">
        <v>0</v>
      </c>
      <c r="J2" s="10">
        <v>0</v>
      </c>
      <c r="K2" s="10">
        <v>0</v>
      </c>
      <c r="L2" s="10">
        <v>0</v>
      </c>
      <c r="M2" s="10">
        <v>1</v>
      </c>
      <c r="N2" s="10">
        <v>0</v>
      </c>
      <c r="O2" s="10">
        <v>0</v>
      </c>
      <c r="P2" s="10">
        <v>22</v>
      </c>
    </row>
    <row r="3" spans="1:27">
      <c r="A3" s="10" t="s">
        <v>15</v>
      </c>
      <c r="B3" s="10">
        <v>101</v>
      </c>
      <c r="C3" s="21">
        <v>4.2201445360469389E-3</v>
      </c>
      <c r="D3" s="10">
        <v>208</v>
      </c>
      <c r="E3" s="10">
        <v>0</v>
      </c>
      <c r="F3" s="10">
        <v>0</v>
      </c>
      <c r="G3" s="10">
        <v>0</v>
      </c>
      <c r="H3" s="10">
        <v>0</v>
      </c>
      <c r="I3" s="10">
        <v>0</v>
      </c>
      <c r="J3" s="10">
        <v>0</v>
      </c>
      <c r="K3" s="10">
        <v>0</v>
      </c>
      <c r="L3" s="10">
        <v>0</v>
      </c>
      <c r="M3" s="10">
        <v>1</v>
      </c>
      <c r="N3" s="10">
        <v>0</v>
      </c>
      <c r="O3" s="10">
        <v>1</v>
      </c>
      <c r="P3" s="10">
        <v>19</v>
      </c>
      <c r="S3" t="s">
        <v>922</v>
      </c>
      <c r="T3"/>
      <c r="U3"/>
      <c r="V3"/>
      <c r="W3"/>
      <c r="X3"/>
      <c r="Y3"/>
      <c r="Z3"/>
      <c r="AA3"/>
    </row>
    <row r="4" spans="1:27" ht="19.5" thickBot="1">
      <c r="A4" s="10" t="s">
        <v>17</v>
      </c>
      <c r="B4" s="10">
        <v>74</v>
      </c>
      <c r="C4" s="21">
        <v>3.5404367313607386E-4</v>
      </c>
      <c r="D4" s="10">
        <v>142</v>
      </c>
      <c r="E4" s="10">
        <v>0</v>
      </c>
      <c r="F4" s="10">
        <v>0</v>
      </c>
      <c r="G4" s="10">
        <v>0</v>
      </c>
      <c r="H4" s="10">
        <v>0</v>
      </c>
      <c r="I4" s="10">
        <v>0</v>
      </c>
      <c r="J4" s="10">
        <v>0</v>
      </c>
      <c r="K4" s="10">
        <v>0</v>
      </c>
      <c r="L4" s="10">
        <v>0</v>
      </c>
      <c r="M4" s="10">
        <v>1</v>
      </c>
      <c r="N4" s="10">
        <v>0</v>
      </c>
      <c r="O4" s="10">
        <v>0</v>
      </c>
      <c r="P4" s="10">
        <v>14</v>
      </c>
      <c r="S4"/>
      <c r="T4"/>
      <c r="U4"/>
      <c r="V4"/>
      <c r="W4"/>
      <c r="X4"/>
      <c r="Y4"/>
      <c r="Z4"/>
      <c r="AA4"/>
    </row>
    <row r="5" spans="1:27">
      <c r="A5" s="10" t="s">
        <v>18</v>
      </c>
      <c r="B5" s="10">
        <v>127</v>
      </c>
      <c r="C5" s="21">
        <v>1.3707360375521227E-3</v>
      </c>
      <c r="D5" s="10">
        <v>127</v>
      </c>
      <c r="E5" s="10">
        <v>0</v>
      </c>
      <c r="F5" s="10">
        <v>0</v>
      </c>
      <c r="G5" s="10">
        <v>0</v>
      </c>
      <c r="H5" s="10">
        <v>0</v>
      </c>
      <c r="I5" s="10">
        <v>0</v>
      </c>
      <c r="J5" s="10">
        <v>0</v>
      </c>
      <c r="K5" s="10">
        <v>0</v>
      </c>
      <c r="L5" s="10">
        <v>0</v>
      </c>
      <c r="M5" s="10">
        <v>1</v>
      </c>
      <c r="N5" s="10">
        <v>0</v>
      </c>
      <c r="O5" s="10">
        <v>0</v>
      </c>
      <c r="P5" s="10">
        <v>19</v>
      </c>
      <c r="R5" s="63"/>
      <c r="S5" s="9" t="s">
        <v>923</v>
      </c>
      <c r="T5" s="9"/>
      <c r="U5"/>
      <c r="V5"/>
      <c r="W5"/>
      <c r="X5"/>
      <c r="Y5"/>
      <c r="Z5"/>
      <c r="AA5"/>
    </row>
    <row r="6" spans="1:27">
      <c r="A6" s="10" t="s">
        <v>19</v>
      </c>
      <c r="B6" s="10">
        <v>88</v>
      </c>
      <c r="C6" s="21">
        <v>2.3751749290849417E-3</v>
      </c>
      <c r="D6" s="10">
        <v>157</v>
      </c>
      <c r="E6" s="10">
        <v>0</v>
      </c>
      <c r="F6" s="10">
        <v>0</v>
      </c>
      <c r="G6" s="10">
        <v>0</v>
      </c>
      <c r="H6" s="10">
        <v>0</v>
      </c>
      <c r="I6" s="10">
        <v>0</v>
      </c>
      <c r="J6" s="10">
        <v>0</v>
      </c>
      <c r="K6" s="10">
        <v>0</v>
      </c>
      <c r="L6" s="10">
        <v>0</v>
      </c>
      <c r="M6" s="10">
        <v>1</v>
      </c>
      <c r="N6" s="10">
        <v>0</v>
      </c>
      <c r="O6" s="10">
        <v>1</v>
      </c>
      <c r="P6" s="10">
        <v>25</v>
      </c>
      <c r="S6" t="s">
        <v>924</v>
      </c>
      <c r="T6">
        <v>0.75546331081958418</v>
      </c>
      <c r="U6"/>
      <c r="V6"/>
      <c r="W6"/>
      <c r="X6"/>
      <c r="Y6"/>
      <c r="Z6"/>
      <c r="AA6"/>
    </row>
    <row r="7" spans="1:27">
      <c r="A7" s="10" t="s">
        <v>21</v>
      </c>
      <c r="B7" s="10">
        <v>86</v>
      </c>
      <c r="C7" s="21">
        <v>1.1394207070318301E-3</v>
      </c>
      <c r="D7" s="10">
        <v>129</v>
      </c>
      <c r="E7" s="10">
        <v>0</v>
      </c>
      <c r="F7" s="10">
        <v>0</v>
      </c>
      <c r="G7" s="10">
        <v>0</v>
      </c>
      <c r="H7" s="10">
        <v>0</v>
      </c>
      <c r="I7" s="10">
        <v>0</v>
      </c>
      <c r="J7" s="10">
        <v>0</v>
      </c>
      <c r="K7" s="10">
        <v>0</v>
      </c>
      <c r="L7" s="10">
        <v>0</v>
      </c>
      <c r="M7" s="10">
        <v>1</v>
      </c>
      <c r="N7" s="10">
        <v>0</v>
      </c>
      <c r="O7" s="10">
        <v>0</v>
      </c>
      <c r="P7" s="10">
        <v>27</v>
      </c>
      <c r="S7" t="s">
        <v>925</v>
      </c>
      <c r="T7">
        <v>0.57072481399448771</v>
      </c>
      <c r="U7"/>
      <c r="V7"/>
      <c r="W7"/>
      <c r="X7"/>
      <c r="Y7"/>
      <c r="Z7"/>
      <c r="AA7"/>
    </row>
    <row r="8" spans="1:27">
      <c r="A8" s="10" t="s">
        <v>23</v>
      </c>
      <c r="B8" s="10">
        <v>120</v>
      </c>
      <c r="C8" s="21">
        <v>2.0862080444302299E-3</v>
      </c>
      <c r="D8" s="10">
        <v>149</v>
      </c>
      <c r="E8" s="10">
        <v>0</v>
      </c>
      <c r="F8" s="10">
        <v>0</v>
      </c>
      <c r="G8" s="10">
        <v>0</v>
      </c>
      <c r="H8" s="10">
        <v>0</v>
      </c>
      <c r="I8" s="10">
        <v>0</v>
      </c>
      <c r="J8" s="10">
        <v>0</v>
      </c>
      <c r="K8" s="10">
        <v>0</v>
      </c>
      <c r="L8" s="10">
        <v>0</v>
      </c>
      <c r="M8" s="10">
        <v>1</v>
      </c>
      <c r="N8" s="10">
        <v>0</v>
      </c>
      <c r="O8" s="10">
        <v>1</v>
      </c>
      <c r="P8" s="10">
        <v>33</v>
      </c>
      <c r="S8" t="s">
        <v>926</v>
      </c>
      <c r="T8">
        <v>0.56164648679799656</v>
      </c>
      <c r="U8"/>
      <c r="V8"/>
      <c r="W8"/>
      <c r="X8"/>
      <c r="Y8"/>
      <c r="Z8"/>
      <c r="AA8"/>
    </row>
    <row r="9" spans="1:27">
      <c r="A9" s="10" t="s">
        <v>24</v>
      </c>
      <c r="B9" s="10">
        <v>79</v>
      </c>
      <c r="C9" s="21">
        <v>1.0456175653593323E-3</v>
      </c>
      <c r="D9" s="10">
        <v>195</v>
      </c>
      <c r="E9" s="10">
        <v>0</v>
      </c>
      <c r="F9" s="10">
        <v>0</v>
      </c>
      <c r="G9" s="10">
        <v>0</v>
      </c>
      <c r="H9" s="10">
        <v>0</v>
      </c>
      <c r="I9" s="10">
        <v>0</v>
      </c>
      <c r="J9" s="10">
        <v>0</v>
      </c>
      <c r="K9" s="10">
        <v>0</v>
      </c>
      <c r="L9" s="10">
        <v>0</v>
      </c>
      <c r="M9" s="10">
        <v>1</v>
      </c>
      <c r="N9" s="10">
        <v>0</v>
      </c>
      <c r="O9" s="10">
        <v>0</v>
      </c>
      <c r="P9" s="10">
        <v>14</v>
      </c>
      <c r="S9" t="s">
        <v>718</v>
      </c>
      <c r="T9">
        <v>6.4262975995921021</v>
      </c>
      <c r="U9"/>
      <c r="V9"/>
      <c r="W9"/>
      <c r="X9"/>
      <c r="Y9"/>
      <c r="Z9"/>
      <c r="AA9"/>
    </row>
    <row r="10" spans="1:27" ht="19.5" thickBot="1">
      <c r="A10" s="10" t="s">
        <v>25</v>
      </c>
      <c r="B10" s="10">
        <v>94</v>
      </c>
      <c r="C10" s="21">
        <v>1.2934086414905417E-3</v>
      </c>
      <c r="D10" s="10">
        <v>150</v>
      </c>
      <c r="E10" s="10">
        <v>0</v>
      </c>
      <c r="F10" s="10">
        <v>0</v>
      </c>
      <c r="G10" s="10">
        <v>0</v>
      </c>
      <c r="H10" s="10">
        <v>0</v>
      </c>
      <c r="I10" s="10">
        <v>0</v>
      </c>
      <c r="J10" s="10">
        <v>0</v>
      </c>
      <c r="K10" s="10">
        <v>0</v>
      </c>
      <c r="L10" s="10">
        <v>0</v>
      </c>
      <c r="M10" s="10">
        <v>1</v>
      </c>
      <c r="N10" s="10">
        <v>0</v>
      </c>
      <c r="O10" s="10">
        <v>1</v>
      </c>
      <c r="P10" s="10">
        <v>25</v>
      </c>
      <c r="S10" s="7" t="s">
        <v>868</v>
      </c>
      <c r="T10" s="7">
        <v>677</v>
      </c>
      <c r="U10"/>
      <c r="V10"/>
      <c r="W10"/>
      <c r="X10"/>
      <c r="Y10"/>
      <c r="Z10"/>
      <c r="AA10"/>
    </row>
    <row r="11" spans="1:27">
      <c r="A11" s="10" t="s">
        <v>26</v>
      </c>
      <c r="B11" s="10">
        <v>96</v>
      </c>
      <c r="C11" s="21">
        <v>2.2437389010099575E-3</v>
      </c>
      <c r="D11" s="10">
        <v>108</v>
      </c>
      <c r="E11" s="10">
        <v>0</v>
      </c>
      <c r="F11" s="10">
        <v>0</v>
      </c>
      <c r="G11" s="10">
        <v>0</v>
      </c>
      <c r="H11" s="10">
        <v>0</v>
      </c>
      <c r="I11" s="10">
        <v>0</v>
      </c>
      <c r="J11" s="10">
        <v>0</v>
      </c>
      <c r="K11" s="10">
        <v>0</v>
      </c>
      <c r="L11" s="10">
        <v>0</v>
      </c>
      <c r="M11" s="10">
        <v>1</v>
      </c>
      <c r="N11" s="10">
        <v>0</v>
      </c>
      <c r="O11" s="10">
        <v>0</v>
      </c>
      <c r="P11" s="10">
        <v>34</v>
      </c>
      <c r="S11"/>
      <c r="T11"/>
      <c r="U11"/>
      <c r="V11"/>
      <c r="W11"/>
      <c r="X11"/>
      <c r="Y11"/>
      <c r="Z11"/>
      <c r="AA11"/>
    </row>
    <row r="12" spans="1:27" ht="19.5" thickBot="1">
      <c r="A12" s="10" t="s">
        <v>27</v>
      </c>
      <c r="B12" s="10">
        <v>78</v>
      </c>
      <c r="C12" s="21">
        <v>1.65056134154929E-3</v>
      </c>
      <c r="D12" s="10">
        <v>150</v>
      </c>
      <c r="E12" s="10">
        <v>0</v>
      </c>
      <c r="F12" s="10">
        <v>0</v>
      </c>
      <c r="G12" s="10">
        <v>0</v>
      </c>
      <c r="H12" s="10">
        <v>0</v>
      </c>
      <c r="I12" s="10">
        <v>0</v>
      </c>
      <c r="J12" s="10">
        <v>0</v>
      </c>
      <c r="K12" s="10">
        <v>0</v>
      </c>
      <c r="L12" s="10">
        <v>0</v>
      </c>
      <c r="M12" s="10">
        <v>1</v>
      </c>
      <c r="N12" s="10">
        <v>0</v>
      </c>
      <c r="O12" s="10">
        <v>0</v>
      </c>
      <c r="P12" s="10">
        <v>21</v>
      </c>
      <c r="S12" t="s">
        <v>927</v>
      </c>
      <c r="T12"/>
      <c r="U12"/>
      <c r="V12"/>
      <c r="W12"/>
      <c r="X12"/>
      <c r="Y12"/>
      <c r="Z12"/>
      <c r="AA12"/>
    </row>
    <row r="13" spans="1:27">
      <c r="A13" s="10" t="s">
        <v>28</v>
      </c>
      <c r="B13" s="10">
        <v>86</v>
      </c>
      <c r="C13" s="21">
        <v>1.268554239632496E-3</v>
      </c>
      <c r="D13" s="10">
        <v>130</v>
      </c>
      <c r="E13" s="10">
        <v>0</v>
      </c>
      <c r="F13" s="10">
        <v>0</v>
      </c>
      <c r="G13" s="10">
        <v>0</v>
      </c>
      <c r="H13" s="10">
        <v>0</v>
      </c>
      <c r="I13" s="10">
        <v>0</v>
      </c>
      <c r="J13" s="10">
        <v>0</v>
      </c>
      <c r="K13" s="10">
        <v>0</v>
      </c>
      <c r="L13" s="10">
        <v>0</v>
      </c>
      <c r="M13" s="10">
        <v>1</v>
      </c>
      <c r="N13" s="10">
        <v>0</v>
      </c>
      <c r="O13" s="10">
        <v>0</v>
      </c>
      <c r="P13" s="10">
        <v>26</v>
      </c>
      <c r="R13" s="22"/>
      <c r="S13" s="8"/>
      <c r="T13" s="8" t="s">
        <v>870</v>
      </c>
      <c r="U13" s="8" t="s">
        <v>931</v>
      </c>
      <c r="V13" s="8" t="s">
        <v>722</v>
      </c>
      <c r="W13" s="8" t="s">
        <v>932</v>
      </c>
      <c r="X13" s="8" t="s">
        <v>933</v>
      </c>
      <c r="Y13"/>
      <c r="Z13"/>
      <c r="AA13"/>
    </row>
    <row r="14" spans="1:27">
      <c r="A14" s="10" t="s">
        <v>29</v>
      </c>
      <c r="B14" s="10">
        <v>123</v>
      </c>
      <c r="C14" s="21">
        <v>1.6889598223240776E-3</v>
      </c>
      <c r="D14" s="10">
        <v>163</v>
      </c>
      <c r="E14" s="10">
        <v>0</v>
      </c>
      <c r="F14" s="10">
        <v>0</v>
      </c>
      <c r="G14" s="10">
        <v>0</v>
      </c>
      <c r="H14" s="10">
        <v>0</v>
      </c>
      <c r="I14" s="10">
        <v>0</v>
      </c>
      <c r="J14" s="10">
        <v>0</v>
      </c>
      <c r="K14" s="10">
        <v>0</v>
      </c>
      <c r="L14" s="10">
        <v>0</v>
      </c>
      <c r="M14" s="10">
        <v>1</v>
      </c>
      <c r="N14" s="10">
        <v>0</v>
      </c>
      <c r="O14" s="10">
        <v>0</v>
      </c>
      <c r="P14" s="10">
        <v>15</v>
      </c>
      <c r="S14" t="s">
        <v>928</v>
      </c>
      <c r="T14">
        <v>14</v>
      </c>
      <c r="U14">
        <v>36347.172073848917</v>
      </c>
      <c r="V14">
        <v>2596.2265767034942</v>
      </c>
      <c r="W14">
        <v>62.866737631474102</v>
      </c>
      <c r="X14">
        <v>1.858000075551092E-111</v>
      </c>
      <c r="Y14"/>
      <c r="Z14"/>
      <c r="AA14"/>
    </row>
    <row r="15" spans="1:27">
      <c r="A15" s="10" t="s">
        <v>30</v>
      </c>
      <c r="B15" s="10">
        <v>61</v>
      </c>
      <c r="C15" s="21">
        <v>1.0730189986418192E-3</v>
      </c>
      <c r="D15" s="10">
        <v>137</v>
      </c>
      <c r="E15" s="10">
        <v>0</v>
      </c>
      <c r="F15" s="10">
        <v>0</v>
      </c>
      <c r="G15" s="10">
        <v>1</v>
      </c>
      <c r="H15" s="10">
        <v>0</v>
      </c>
      <c r="I15" s="10">
        <v>0</v>
      </c>
      <c r="J15" s="10">
        <v>0</v>
      </c>
      <c r="K15" s="10">
        <v>0</v>
      </c>
      <c r="L15" s="10">
        <v>0</v>
      </c>
      <c r="M15" s="10">
        <v>0</v>
      </c>
      <c r="N15" s="10">
        <v>0</v>
      </c>
      <c r="O15" s="10">
        <v>0</v>
      </c>
      <c r="P15" s="10">
        <v>18</v>
      </c>
      <c r="S15" t="s">
        <v>929</v>
      </c>
      <c r="T15">
        <v>662</v>
      </c>
      <c r="U15">
        <v>27338.813155102369</v>
      </c>
      <c r="V15">
        <v>41.297300838523213</v>
      </c>
      <c r="W15"/>
      <c r="X15"/>
      <c r="Y15"/>
      <c r="Z15"/>
      <c r="AA15"/>
    </row>
    <row r="16" spans="1:27" ht="19.5" thickBot="1">
      <c r="A16" s="10" t="s">
        <v>33</v>
      </c>
      <c r="B16" s="10">
        <v>248</v>
      </c>
      <c r="C16" s="21">
        <v>1.4299549953371517E-3</v>
      </c>
      <c r="D16" s="10">
        <v>155</v>
      </c>
      <c r="E16" s="10">
        <v>0</v>
      </c>
      <c r="F16" s="10">
        <v>0</v>
      </c>
      <c r="G16" s="10">
        <v>0</v>
      </c>
      <c r="H16" s="10">
        <v>1</v>
      </c>
      <c r="I16" s="10">
        <v>0</v>
      </c>
      <c r="J16" s="10">
        <v>0</v>
      </c>
      <c r="K16" s="10">
        <v>0</v>
      </c>
      <c r="L16" s="10">
        <v>0</v>
      </c>
      <c r="M16" s="10">
        <v>0</v>
      </c>
      <c r="N16" s="10">
        <v>0</v>
      </c>
      <c r="O16" s="10">
        <v>0</v>
      </c>
      <c r="P16" s="10">
        <v>26</v>
      </c>
      <c r="S16" s="7" t="s">
        <v>728</v>
      </c>
      <c r="T16" s="7">
        <v>676</v>
      </c>
      <c r="U16" s="7">
        <v>63685.985228951286</v>
      </c>
      <c r="V16" s="7"/>
      <c r="W16" s="7"/>
      <c r="X16" s="7"/>
      <c r="Y16"/>
      <c r="Z16"/>
      <c r="AA16"/>
    </row>
    <row r="17" spans="1:27" ht="19.5" thickBot="1">
      <c r="A17" s="10" t="s">
        <v>35</v>
      </c>
      <c r="B17" s="10">
        <v>247</v>
      </c>
      <c r="C17" s="21">
        <v>1.695018637021452E-3</v>
      </c>
      <c r="D17" s="10">
        <v>162</v>
      </c>
      <c r="E17" s="10">
        <v>0</v>
      </c>
      <c r="F17" s="10">
        <v>0</v>
      </c>
      <c r="G17" s="10">
        <v>0</v>
      </c>
      <c r="H17" s="10">
        <v>1</v>
      </c>
      <c r="I17" s="10">
        <v>0</v>
      </c>
      <c r="J17" s="10">
        <v>0</v>
      </c>
      <c r="K17" s="10">
        <v>0</v>
      </c>
      <c r="L17" s="10">
        <v>0</v>
      </c>
      <c r="M17" s="10">
        <v>0</v>
      </c>
      <c r="N17" s="10">
        <v>0</v>
      </c>
      <c r="O17" s="10">
        <v>0</v>
      </c>
      <c r="P17" s="10">
        <v>23</v>
      </c>
      <c r="S17"/>
      <c r="T17"/>
      <c r="U17"/>
      <c r="V17"/>
      <c r="W17"/>
      <c r="X17"/>
      <c r="Y17"/>
      <c r="Z17"/>
      <c r="AA17"/>
    </row>
    <row r="18" spans="1:27">
      <c r="A18" s="10" t="s">
        <v>36</v>
      </c>
      <c r="B18" s="10">
        <v>97</v>
      </c>
      <c r="C18" s="21">
        <v>5.000370927470835E-4</v>
      </c>
      <c r="D18" s="10">
        <v>211</v>
      </c>
      <c r="E18" s="10">
        <v>0</v>
      </c>
      <c r="F18" s="10">
        <v>1</v>
      </c>
      <c r="G18" s="10">
        <v>0</v>
      </c>
      <c r="H18" s="10">
        <v>0</v>
      </c>
      <c r="I18" s="10">
        <v>0</v>
      </c>
      <c r="J18" s="10">
        <v>0</v>
      </c>
      <c r="K18" s="10">
        <v>0</v>
      </c>
      <c r="L18" s="10">
        <v>0</v>
      </c>
      <c r="M18" s="10">
        <v>0</v>
      </c>
      <c r="N18" s="10">
        <v>0</v>
      </c>
      <c r="O18" s="10">
        <v>0</v>
      </c>
      <c r="P18" s="10">
        <v>21</v>
      </c>
      <c r="R18" s="22"/>
      <c r="S18" s="8"/>
      <c r="T18" s="8" t="s">
        <v>934</v>
      </c>
      <c r="U18" s="8" t="s">
        <v>718</v>
      </c>
      <c r="V18" s="8" t="s">
        <v>871</v>
      </c>
      <c r="W18" s="8" t="s">
        <v>935</v>
      </c>
      <c r="X18" s="8" t="s">
        <v>936</v>
      </c>
      <c r="Y18" s="8" t="s">
        <v>937</v>
      </c>
      <c r="Z18" s="8" t="s">
        <v>938</v>
      </c>
      <c r="AA18" s="8" t="s">
        <v>939</v>
      </c>
    </row>
    <row r="19" spans="1:27">
      <c r="A19" s="10" t="s">
        <v>38</v>
      </c>
      <c r="B19" s="10">
        <v>386</v>
      </c>
      <c r="C19" s="21">
        <v>1.75568843201344E-3</v>
      </c>
      <c r="D19" s="10">
        <v>126</v>
      </c>
      <c r="E19" s="10">
        <v>0</v>
      </c>
      <c r="F19" s="10">
        <v>0</v>
      </c>
      <c r="G19" s="10">
        <v>0</v>
      </c>
      <c r="H19" s="10">
        <v>0</v>
      </c>
      <c r="I19" s="10">
        <v>0</v>
      </c>
      <c r="J19" s="10">
        <v>0</v>
      </c>
      <c r="K19" s="10">
        <v>0</v>
      </c>
      <c r="L19" s="10">
        <v>0</v>
      </c>
      <c r="M19" s="10">
        <v>0</v>
      </c>
      <c r="N19" s="10">
        <v>0</v>
      </c>
      <c r="O19" s="10">
        <v>0</v>
      </c>
      <c r="P19" s="10">
        <v>36</v>
      </c>
      <c r="S19" t="s">
        <v>930</v>
      </c>
      <c r="T19">
        <v>45.358501669596336</v>
      </c>
      <c r="U19">
        <v>2.652219925874971</v>
      </c>
      <c r="V19">
        <v>17.102089169559534</v>
      </c>
      <c r="W19">
        <v>1.4049715156380191E-54</v>
      </c>
      <c r="X19">
        <v>40.150724823875244</v>
      </c>
      <c r="Y19">
        <v>50.566278515317428</v>
      </c>
      <c r="Z19">
        <v>40.150724823875244</v>
      </c>
      <c r="AA19">
        <v>50.566278515317428</v>
      </c>
    </row>
    <row r="20" spans="1:27">
      <c r="A20" s="10" t="s">
        <v>40</v>
      </c>
      <c r="B20" s="10">
        <v>595</v>
      </c>
      <c r="C20" s="21">
        <v>1.080098476381605E-3</v>
      </c>
      <c r="D20" s="10">
        <v>167</v>
      </c>
      <c r="E20" s="10">
        <v>0</v>
      </c>
      <c r="F20" s="10">
        <v>0</v>
      </c>
      <c r="G20" s="10">
        <v>0</v>
      </c>
      <c r="H20" s="10">
        <v>0</v>
      </c>
      <c r="I20" s="10">
        <v>0</v>
      </c>
      <c r="J20" s="10">
        <v>0</v>
      </c>
      <c r="K20" s="10">
        <v>0</v>
      </c>
      <c r="L20" s="10">
        <v>0</v>
      </c>
      <c r="M20" s="10">
        <v>0</v>
      </c>
      <c r="N20" s="10">
        <v>0</v>
      </c>
      <c r="O20" s="10">
        <v>0</v>
      </c>
      <c r="P20" s="10">
        <v>24</v>
      </c>
      <c r="S20" t="s">
        <v>774</v>
      </c>
      <c r="T20">
        <v>-3.8590006316489242E-3</v>
      </c>
      <c r="U20">
        <v>4.0358771257380504E-3</v>
      </c>
      <c r="V20">
        <v>-0.95617396452406112</v>
      </c>
      <c r="W20">
        <v>0.33933338866467189</v>
      </c>
      <c r="X20">
        <v>-1.1783663003175357E-2</v>
      </c>
      <c r="Y20">
        <v>4.0656617398775099E-3</v>
      </c>
      <c r="Z20">
        <v>-1.1783663003175357E-2</v>
      </c>
      <c r="AA20">
        <v>4.0656617398775099E-3</v>
      </c>
    </row>
    <row r="21" spans="1:27">
      <c r="A21" s="10" t="s">
        <v>41</v>
      </c>
      <c r="B21" s="10">
        <v>120</v>
      </c>
      <c r="C21" s="21">
        <v>7.7436330778253939E-4</v>
      </c>
      <c r="D21" s="10">
        <v>142</v>
      </c>
      <c r="E21" s="10">
        <v>1</v>
      </c>
      <c r="F21" s="10">
        <v>0</v>
      </c>
      <c r="G21" s="10">
        <v>0</v>
      </c>
      <c r="H21" s="10">
        <v>0</v>
      </c>
      <c r="I21" s="10">
        <v>0</v>
      </c>
      <c r="J21" s="10">
        <v>0</v>
      </c>
      <c r="K21" s="10">
        <v>0</v>
      </c>
      <c r="L21" s="10">
        <v>0</v>
      </c>
      <c r="M21" s="10">
        <v>0</v>
      </c>
      <c r="N21" s="10">
        <v>0</v>
      </c>
      <c r="O21" s="10">
        <v>1</v>
      </c>
      <c r="P21" s="10">
        <v>35</v>
      </c>
      <c r="S21" t="s">
        <v>775</v>
      </c>
      <c r="T21">
        <v>4453.7365153364835</v>
      </c>
      <c r="U21">
        <v>319.36759402906898</v>
      </c>
      <c r="V21">
        <v>13.945486638607116</v>
      </c>
      <c r="W21">
        <v>6.1127439585827761E-39</v>
      </c>
      <c r="X21">
        <v>3826.6410225260415</v>
      </c>
      <c r="Y21">
        <v>5080.8320081469255</v>
      </c>
      <c r="Z21">
        <v>3826.6410225260415</v>
      </c>
      <c r="AA21">
        <v>5080.8320081469255</v>
      </c>
    </row>
    <row r="22" spans="1:27">
      <c r="A22" s="10" t="s">
        <v>43</v>
      </c>
      <c r="B22" s="10">
        <v>44</v>
      </c>
      <c r="C22" s="21">
        <v>3.6543728024486489E-4</v>
      </c>
      <c r="D22" s="10">
        <v>129</v>
      </c>
      <c r="E22" s="10">
        <v>0</v>
      </c>
      <c r="F22" s="10">
        <v>0</v>
      </c>
      <c r="G22" s="10">
        <v>1</v>
      </c>
      <c r="H22" s="10">
        <v>0</v>
      </c>
      <c r="I22" s="10">
        <v>0</v>
      </c>
      <c r="J22" s="10">
        <v>0</v>
      </c>
      <c r="K22" s="10">
        <v>0</v>
      </c>
      <c r="L22" s="10">
        <v>0</v>
      </c>
      <c r="M22" s="10">
        <v>0</v>
      </c>
      <c r="N22" s="10">
        <v>0</v>
      </c>
      <c r="O22" s="10">
        <v>0</v>
      </c>
      <c r="P22" s="10">
        <v>18</v>
      </c>
      <c r="S22" t="s">
        <v>9</v>
      </c>
      <c r="T22">
        <v>-0.14921643316945798</v>
      </c>
      <c r="U22">
        <v>8.2095758649224047E-3</v>
      </c>
      <c r="V22">
        <v>-18.175900390545735</v>
      </c>
      <c r="W22">
        <v>3.4266691065745784E-60</v>
      </c>
      <c r="X22">
        <v>-0.16533637808255908</v>
      </c>
      <c r="Y22">
        <v>-0.13309648825635689</v>
      </c>
      <c r="Z22">
        <v>-0.16533637808255908</v>
      </c>
      <c r="AA22">
        <v>-0.13309648825635689</v>
      </c>
    </row>
    <row r="23" spans="1:27">
      <c r="A23" s="10" t="s">
        <v>44</v>
      </c>
      <c r="B23" s="10">
        <v>153</v>
      </c>
      <c r="C23" s="21">
        <v>1.139370416200489E-3</v>
      </c>
      <c r="D23" s="10">
        <v>199</v>
      </c>
      <c r="E23" s="10">
        <v>0</v>
      </c>
      <c r="F23" s="10">
        <v>0</v>
      </c>
      <c r="G23" s="10">
        <v>0</v>
      </c>
      <c r="H23" s="10">
        <v>1</v>
      </c>
      <c r="I23" s="10">
        <v>0</v>
      </c>
      <c r="J23" s="10">
        <v>0</v>
      </c>
      <c r="K23" s="10">
        <v>0</v>
      </c>
      <c r="L23" s="10">
        <v>0</v>
      </c>
      <c r="M23" s="10">
        <v>0</v>
      </c>
      <c r="N23" s="10">
        <v>0</v>
      </c>
      <c r="O23" s="10">
        <v>0</v>
      </c>
      <c r="P23" s="10">
        <v>25</v>
      </c>
      <c r="S23" t="s">
        <v>947</v>
      </c>
      <c r="T23">
        <v>2.425061415243646</v>
      </c>
      <c r="U23">
        <v>1.7334728411105631</v>
      </c>
      <c r="V23">
        <v>1.3989612976514887</v>
      </c>
      <c r="W23">
        <v>0.16229292481945465</v>
      </c>
      <c r="X23">
        <v>-0.97870598599995517</v>
      </c>
      <c r="Y23">
        <v>5.8288288164872473</v>
      </c>
      <c r="Z23">
        <v>-0.97870598599995517</v>
      </c>
      <c r="AA23">
        <v>5.8288288164872473</v>
      </c>
    </row>
    <row r="24" spans="1:27">
      <c r="A24" s="10" t="s">
        <v>45</v>
      </c>
      <c r="B24" s="10">
        <v>88</v>
      </c>
      <c r="C24" s="21">
        <v>1.90589103227635E-3</v>
      </c>
      <c r="D24" s="10">
        <v>176</v>
      </c>
      <c r="E24" s="10">
        <v>0</v>
      </c>
      <c r="F24" s="10">
        <v>1</v>
      </c>
      <c r="G24" s="10">
        <v>0</v>
      </c>
      <c r="H24" s="10">
        <v>0</v>
      </c>
      <c r="I24" s="10">
        <v>0</v>
      </c>
      <c r="J24" s="10">
        <v>0</v>
      </c>
      <c r="K24" s="10">
        <v>0</v>
      </c>
      <c r="L24" s="10">
        <v>0</v>
      </c>
      <c r="M24" s="10">
        <v>0</v>
      </c>
      <c r="N24" s="10">
        <v>0</v>
      </c>
      <c r="O24" s="10">
        <v>0</v>
      </c>
      <c r="P24" s="10">
        <v>31</v>
      </c>
      <c r="S24" t="s">
        <v>948</v>
      </c>
      <c r="T24">
        <v>-3.0570733313765861</v>
      </c>
      <c r="U24">
        <v>1.7811772742894272</v>
      </c>
      <c r="V24">
        <v>-1.7163217695982325</v>
      </c>
      <c r="W24">
        <v>8.6570981740738434E-2</v>
      </c>
      <c r="X24">
        <v>-6.5545109596339515</v>
      </c>
      <c r="Y24">
        <v>0.44036429688077927</v>
      </c>
      <c r="Z24">
        <v>-6.5545109596339515</v>
      </c>
      <c r="AA24">
        <v>0.44036429688077927</v>
      </c>
    </row>
    <row r="25" spans="1:27">
      <c r="A25" s="10" t="s">
        <v>46</v>
      </c>
      <c r="B25" s="10">
        <v>364</v>
      </c>
      <c r="C25" s="21">
        <v>2.4503253327124806E-3</v>
      </c>
      <c r="D25" s="10">
        <v>158</v>
      </c>
      <c r="E25" s="10">
        <v>0</v>
      </c>
      <c r="F25" s="10">
        <v>0</v>
      </c>
      <c r="G25" s="10">
        <v>0</v>
      </c>
      <c r="H25" s="10">
        <v>0</v>
      </c>
      <c r="I25" s="10">
        <v>0</v>
      </c>
      <c r="J25" s="10">
        <v>0</v>
      </c>
      <c r="K25" s="10">
        <v>0</v>
      </c>
      <c r="L25" s="10">
        <v>0</v>
      </c>
      <c r="M25" s="10">
        <v>0</v>
      </c>
      <c r="N25" s="10">
        <v>0</v>
      </c>
      <c r="O25" s="10">
        <v>1</v>
      </c>
      <c r="P25" s="10">
        <v>33</v>
      </c>
      <c r="Q25" s="22"/>
      <c r="S25" t="s">
        <v>949</v>
      </c>
      <c r="T25">
        <v>-2.8552713098639382</v>
      </c>
      <c r="U25">
        <v>1.9951411555328391</v>
      </c>
      <c r="V25">
        <v>-1.4311124312913015</v>
      </c>
      <c r="W25">
        <v>0.15286987986150286</v>
      </c>
      <c r="X25">
        <v>-6.7728385569697318</v>
      </c>
      <c r="Y25">
        <v>1.0622959372418554</v>
      </c>
      <c r="Z25">
        <v>-6.7728385569697318</v>
      </c>
      <c r="AA25">
        <v>1.0622959372418554</v>
      </c>
    </row>
    <row r="26" spans="1:27">
      <c r="A26" s="10" t="s">
        <v>47</v>
      </c>
      <c r="B26" s="10">
        <v>191</v>
      </c>
      <c r="C26" s="21">
        <v>5.061177044290774E-4</v>
      </c>
      <c r="D26" s="10">
        <v>206</v>
      </c>
      <c r="E26" s="10">
        <v>0</v>
      </c>
      <c r="F26" s="10">
        <v>0</v>
      </c>
      <c r="G26" s="10">
        <v>0</v>
      </c>
      <c r="H26" s="10">
        <v>1</v>
      </c>
      <c r="I26" s="10">
        <v>0</v>
      </c>
      <c r="J26" s="10">
        <v>0</v>
      </c>
      <c r="K26" s="10">
        <v>0</v>
      </c>
      <c r="L26" s="10">
        <v>0</v>
      </c>
      <c r="M26" s="10">
        <v>0</v>
      </c>
      <c r="N26" s="10">
        <v>0</v>
      </c>
      <c r="O26" s="10">
        <v>0</v>
      </c>
      <c r="P26" s="10">
        <v>15</v>
      </c>
      <c r="S26" t="s">
        <v>950</v>
      </c>
      <c r="T26">
        <v>-2.0278580720887791</v>
      </c>
      <c r="U26">
        <v>1.5184070234630673</v>
      </c>
      <c r="V26">
        <v>-1.3355167888145001</v>
      </c>
      <c r="W26">
        <v>0.18216625656095797</v>
      </c>
      <c r="X26">
        <v>-5.009332142932486</v>
      </c>
      <c r="Y26">
        <v>0.95361599875492775</v>
      </c>
      <c r="Z26">
        <v>-5.009332142932486</v>
      </c>
      <c r="AA26">
        <v>0.95361599875492775</v>
      </c>
    </row>
    <row r="27" spans="1:27">
      <c r="A27" s="10" t="s">
        <v>48</v>
      </c>
      <c r="B27" s="10">
        <v>97</v>
      </c>
      <c r="C27" s="21">
        <v>5.896401655375239E-4</v>
      </c>
      <c r="D27" s="10">
        <v>152</v>
      </c>
      <c r="E27" s="10">
        <v>0</v>
      </c>
      <c r="F27" s="10">
        <v>1</v>
      </c>
      <c r="G27" s="10">
        <v>0</v>
      </c>
      <c r="H27" s="10">
        <v>0</v>
      </c>
      <c r="I27" s="10">
        <v>0</v>
      </c>
      <c r="J27" s="10">
        <v>0</v>
      </c>
      <c r="K27" s="10">
        <v>0</v>
      </c>
      <c r="L27" s="10">
        <v>0</v>
      </c>
      <c r="M27" s="10">
        <v>0</v>
      </c>
      <c r="N27" s="10">
        <v>0</v>
      </c>
      <c r="O27" s="10">
        <v>0</v>
      </c>
      <c r="P27" s="10">
        <v>24</v>
      </c>
      <c r="S27" t="s">
        <v>951</v>
      </c>
      <c r="T27">
        <v>-1.8016392812451048</v>
      </c>
      <c r="U27">
        <v>1.2666153722451303</v>
      </c>
      <c r="V27">
        <v>-1.422404402096922</v>
      </c>
      <c r="W27">
        <v>0.15537988937340355</v>
      </c>
      <c r="X27">
        <v>-4.2887068670285418</v>
      </c>
      <c r="Y27">
        <v>0.68542830453833226</v>
      </c>
      <c r="Z27">
        <v>-4.2887068670285418</v>
      </c>
      <c r="AA27">
        <v>0.68542830453833226</v>
      </c>
    </row>
    <row r="28" spans="1:27">
      <c r="A28" s="10" t="s">
        <v>49</v>
      </c>
      <c r="B28" s="10">
        <v>219</v>
      </c>
      <c r="C28" s="21">
        <v>1.4506981799446105E-3</v>
      </c>
      <c r="D28" s="10">
        <v>112</v>
      </c>
      <c r="E28" s="10">
        <v>0</v>
      </c>
      <c r="F28" s="10">
        <v>0</v>
      </c>
      <c r="G28" s="10">
        <v>0</v>
      </c>
      <c r="H28" s="10">
        <v>0</v>
      </c>
      <c r="I28" s="10">
        <v>1</v>
      </c>
      <c r="J28" s="10">
        <v>0</v>
      </c>
      <c r="K28" s="10">
        <v>0</v>
      </c>
      <c r="L28" s="10">
        <v>0</v>
      </c>
      <c r="M28" s="10">
        <v>0</v>
      </c>
      <c r="N28" s="10">
        <v>0</v>
      </c>
      <c r="O28" s="10">
        <v>0</v>
      </c>
      <c r="P28" s="10">
        <v>26</v>
      </c>
      <c r="S28" t="s">
        <v>952</v>
      </c>
      <c r="T28">
        <v>-4.6800841791328285</v>
      </c>
      <c r="U28">
        <v>1.8965680890683128</v>
      </c>
      <c r="V28">
        <v>-2.4676594561031107</v>
      </c>
      <c r="W28">
        <v>1.3851791287747424E-2</v>
      </c>
      <c r="X28">
        <v>-8.4040978946715406</v>
      </c>
      <c r="Y28">
        <v>-0.95607046359411729</v>
      </c>
      <c r="Z28">
        <v>-8.4040978946715406</v>
      </c>
      <c r="AA28">
        <v>-0.95607046359411729</v>
      </c>
    </row>
    <row r="29" spans="1:27">
      <c r="A29" s="10" t="s">
        <v>51</v>
      </c>
      <c r="B29" s="10">
        <v>450</v>
      </c>
      <c r="C29" s="21">
        <v>1.9150063838989024E-3</v>
      </c>
      <c r="D29" s="10">
        <v>177</v>
      </c>
      <c r="E29" s="10">
        <v>0</v>
      </c>
      <c r="F29" s="10">
        <v>0</v>
      </c>
      <c r="G29" s="10">
        <v>0</v>
      </c>
      <c r="H29" s="10">
        <v>0</v>
      </c>
      <c r="I29" s="10">
        <v>0</v>
      </c>
      <c r="J29" s="10">
        <v>0</v>
      </c>
      <c r="K29" s="10">
        <v>0</v>
      </c>
      <c r="L29" s="10">
        <v>0</v>
      </c>
      <c r="M29" s="10">
        <v>0</v>
      </c>
      <c r="N29" s="10">
        <v>0</v>
      </c>
      <c r="O29" s="10">
        <v>0</v>
      </c>
      <c r="P29" s="10">
        <v>25</v>
      </c>
      <c r="S29" t="s">
        <v>953</v>
      </c>
      <c r="T29">
        <v>-2.8690990419598656</v>
      </c>
      <c r="U29">
        <v>2.0302335021157707</v>
      </c>
      <c r="V29">
        <v>-1.4131867289993425</v>
      </c>
      <c r="W29">
        <v>0.15807083321276025</v>
      </c>
      <c r="X29">
        <v>-6.8555720039400843</v>
      </c>
      <c r="Y29">
        <v>1.1173739200203534</v>
      </c>
      <c r="Z29">
        <v>-6.8555720039400843</v>
      </c>
      <c r="AA29">
        <v>1.1173739200203534</v>
      </c>
    </row>
    <row r="30" spans="1:27">
      <c r="A30" s="10" t="s">
        <v>52</v>
      </c>
      <c r="B30" s="10">
        <v>673</v>
      </c>
      <c r="C30" s="21">
        <v>2.3475377967311201E-3</v>
      </c>
      <c r="D30" s="10">
        <v>112</v>
      </c>
      <c r="E30" s="10">
        <v>0</v>
      </c>
      <c r="F30" s="10">
        <v>0</v>
      </c>
      <c r="G30" s="10">
        <v>0</v>
      </c>
      <c r="H30" s="10">
        <v>0</v>
      </c>
      <c r="I30" s="10">
        <v>0</v>
      </c>
      <c r="J30" s="10">
        <v>0</v>
      </c>
      <c r="K30" s="10">
        <v>0</v>
      </c>
      <c r="L30" s="10">
        <v>0</v>
      </c>
      <c r="M30" s="10">
        <v>0</v>
      </c>
      <c r="N30" s="10">
        <v>0</v>
      </c>
      <c r="O30" s="10">
        <v>0</v>
      </c>
      <c r="P30" s="10">
        <v>30</v>
      </c>
      <c r="S30" t="s">
        <v>954</v>
      </c>
      <c r="T30">
        <v>5.4744275730209049</v>
      </c>
      <c r="U30">
        <v>2.2722562089721574</v>
      </c>
      <c r="V30">
        <v>2.409247492164289</v>
      </c>
      <c r="W30">
        <v>1.6257439859183532E-2</v>
      </c>
      <c r="X30">
        <v>1.0127299750257723</v>
      </c>
      <c r="Y30">
        <v>9.9361251710160374</v>
      </c>
      <c r="Z30">
        <v>1.0127299750257723</v>
      </c>
      <c r="AA30">
        <v>9.9361251710160374</v>
      </c>
    </row>
    <row r="31" spans="1:27">
      <c r="A31" s="10" t="s">
        <v>53</v>
      </c>
      <c r="B31" s="10">
        <v>134</v>
      </c>
      <c r="C31" s="21">
        <v>6.0939843889785148E-4</v>
      </c>
      <c r="D31" s="10">
        <v>160</v>
      </c>
      <c r="E31" s="10">
        <v>1</v>
      </c>
      <c r="F31" s="10">
        <v>0</v>
      </c>
      <c r="G31" s="10">
        <v>0</v>
      </c>
      <c r="H31" s="10">
        <v>0</v>
      </c>
      <c r="I31" s="10">
        <v>0</v>
      </c>
      <c r="J31" s="10">
        <v>0</v>
      </c>
      <c r="K31" s="10">
        <v>0</v>
      </c>
      <c r="L31" s="10">
        <v>0</v>
      </c>
      <c r="M31" s="10">
        <v>0</v>
      </c>
      <c r="N31" s="10">
        <v>0</v>
      </c>
      <c r="O31" s="10">
        <v>0</v>
      </c>
      <c r="P31" s="10">
        <v>37</v>
      </c>
      <c r="S31" t="s">
        <v>958</v>
      </c>
      <c r="T31">
        <v>-8.0077661075668178</v>
      </c>
      <c r="U31">
        <v>2.4408122611544374</v>
      </c>
      <c r="V31">
        <v>-3.2807792041241894</v>
      </c>
      <c r="W31">
        <v>1.0895209295310065E-3</v>
      </c>
      <c r="X31">
        <v>-12.800432603426422</v>
      </c>
      <c r="Y31">
        <v>-3.2150996117072124</v>
      </c>
      <c r="Z31">
        <v>-12.800432603426422</v>
      </c>
      <c r="AA31">
        <v>-3.2150996117072124</v>
      </c>
    </row>
    <row r="32" spans="1:27">
      <c r="A32" s="10" t="s">
        <v>54</v>
      </c>
      <c r="B32" s="10">
        <v>105</v>
      </c>
      <c r="C32" s="21">
        <v>2.0265383765274815E-3</v>
      </c>
      <c r="D32" s="10">
        <v>168</v>
      </c>
      <c r="E32" s="10">
        <v>1</v>
      </c>
      <c r="F32" s="10">
        <v>0</v>
      </c>
      <c r="G32" s="10">
        <v>0</v>
      </c>
      <c r="H32" s="10">
        <v>0</v>
      </c>
      <c r="I32" s="10">
        <v>0</v>
      </c>
      <c r="J32" s="10">
        <v>0</v>
      </c>
      <c r="K32" s="10">
        <v>0</v>
      </c>
      <c r="L32" s="10">
        <v>0</v>
      </c>
      <c r="M32" s="10">
        <v>0</v>
      </c>
      <c r="N32" s="10">
        <v>0</v>
      </c>
      <c r="O32" s="10">
        <v>0</v>
      </c>
      <c r="P32" s="10">
        <v>38</v>
      </c>
      <c r="S32" t="s">
        <v>956</v>
      </c>
      <c r="T32">
        <v>-4.9198723915102205</v>
      </c>
      <c r="U32">
        <v>2.9372032775430004</v>
      </c>
      <c r="V32">
        <v>-1.6750193727230696</v>
      </c>
      <c r="W32">
        <v>9.4402694719334976E-2</v>
      </c>
      <c r="X32">
        <v>-10.687229415991615</v>
      </c>
      <c r="Y32">
        <v>0.84748463297117382</v>
      </c>
      <c r="Z32">
        <v>-10.687229415991615</v>
      </c>
      <c r="AA32">
        <v>0.84748463297117382</v>
      </c>
    </row>
    <row r="33" spans="1:27" ht="19.5" thickBot="1">
      <c r="A33" s="10" t="s">
        <v>55</v>
      </c>
      <c r="B33" s="10">
        <v>53</v>
      </c>
      <c r="C33" s="21">
        <v>1.471275994124218E-3</v>
      </c>
      <c r="D33" s="10">
        <v>134</v>
      </c>
      <c r="E33" s="10">
        <v>0</v>
      </c>
      <c r="F33" s="10">
        <v>0</v>
      </c>
      <c r="G33" s="10">
        <v>1</v>
      </c>
      <c r="H33" s="10">
        <v>0</v>
      </c>
      <c r="I33" s="10">
        <v>0</v>
      </c>
      <c r="J33" s="10">
        <v>0</v>
      </c>
      <c r="K33" s="10">
        <v>0</v>
      </c>
      <c r="L33" s="10">
        <v>0</v>
      </c>
      <c r="M33" s="10">
        <v>0</v>
      </c>
      <c r="N33" s="10">
        <v>0</v>
      </c>
      <c r="O33" s="10">
        <v>0</v>
      </c>
      <c r="P33" s="10">
        <v>25</v>
      </c>
      <c r="S33" s="7" t="s">
        <v>957</v>
      </c>
      <c r="T33" s="7">
        <v>1.6520217651084363</v>
      </c>
      <c r="U33" s="7">
        <v>0.55909357886066813</v>
      </c>
      <c r="V33" s="7">
        <v>2.9548215675718521</v>
      </c>
      <c r="W33" s="7">
        <v>3.2396111576219922E-3</v>
      </c>
      <c r="X33" s="7">
        <v>0.55421137382975139</v>
      </c>
      <c r="Y33" s="7">
        <v>2.7498321563871215</v>
      </c>
      <c r="Z33" s="7">
        <v>0.55421137382975139</v>
      </c>
      <c r="AA33" s="7">
        <v>2.7498321563871215</v>
      </c>
    </row>
    <row r="34" spans="1:27">
      <c r="A34" s="10" t="s">
        <v>56</v>
      </c>
      <c r="B34" s="10">
        <v>171</v>
      </c>
      <c r="C34" s="21">
        <v>1.5046305561373834E-3</v>
      </c>
      <c r="D34" s="10">
        <v>155</v>
      </c>
      <c r="E34" s="10">
        <v>0</v>
      </c>
      <c r="F34" s="10">
        <v>0</v>
      </c>
      <c r="G34" s="10">
        <v>0</v>
      </c>
      <c r="H34" s="10">
        <v>1</v>
      </c>
      <c r="I34" s="10">
        <v>0</v>
      </c>
      <c r="J34" s="10">
        <v>0</v>
      </c>
      <c r="K34" s="10">
        <v>0</v>
      </c>
      <c r="L34" s="10">
        <v>0</v>
      </c>
      <c r="M34" s="10">
        <v>0</v>
      </c>
      <c r="N34" s="10">
        <v>0</v>
      </c>
      <c r="O34" s="10">
        <v>0</v>
      </c>
      <c r="P34" s="10">
        <v>17</v>
      </c>
      <c r="S34"/>
      <c r="T34"/>
      <c r="U34"/>
      <c r="V34"/>
      <c r="W34"/>
      <c r="X34"/>
      <c r="Y34"/>
      <c r="Z34"/>
      <c r="AA34"/>
    </row>
    <row r="35" spans="1:27">
      <c r="A35" s="10" t="s">
        <v>57</v>
      </c>
      <c r="B35" s="10">
        <v>138</v>
      </c>
      <c r="C35" s="21">
        <v>4.2651296564895601E-3</v>
      </c>
      <c r="D35" s="10">
        <v>135</v>
      </c>
      <c r="E35" s="10">
        <v>0</v>
      </c>
      <c r="F35" s="10">
        <v>0</v>
      </c>
      <c r="G35" s="10">
        <v>0</v>
      </c>
      <c r="H35" s="10">
        <v>1</v>
      </c>
      <c r="I35" s="10">
        <v>0</v>
      </c>
      <c r="J35" s="10">
        <v>0</v>
      </c>
      <c r="K35" s="10">
        <v>0</v>
      </c>
      <c r="L35" s="10">
        <v>0</v>
      </c>
      <c r="M35" s="10">
        <v>0</v>
      </c>
      <c r="N35" s="10">
        <v>0</v>
      </c>
      <c r="O35" s="10">
        <v>0</v>
      </c>
      <c r="P35" s="10">
        <v>30</v>
      </c>
      <c r="S35"/>
      <c r="T35"/>
      <c r="U35"/>
      <c r="V35"/>
      <c r="W35"/>
      <c r="X35"/>
      <c r="Y35"/>
      <c r="Z35"/>
      <c r="AA35"/>
    </row>
    <row r="36" spans="1:27">
      <c r="A36" s="10" t="s">
        <v>58</v>
      </c>
      <c r="B36" s="10">
        <v>101</v>
      </c>
      <c r="C36" s="21">
        <v>6.4309585632189945E-4</v>
      </c>
      <c r="D36" s="10">
        <v>170</v>
      </c>
      <c r="E36" s="10">
        <v>0</v>
      </c>
      <c r="F36" s="10">
        <v>1</v>
      </c>
      <c r="G36" s="10">
        <v>0</v>
      </c>
      <c r="H36" s="10">
        <v>0</v>
      </c>
      <c r="I36" s="10">
        <v>0</v>
      </c>
      <c r="J36" s="10">
        <v>0</v>
      </c>
      <c r="K36" s="10">
        <v>0</v>
      </c>
      <c r="L36" s="10">
        <v>0</v>
      </c>
      <c r="M36" s="10">
        <v>0</v>
      </c>
      <c r="N36" s="10">
        <v>0</v>
      </c>
      <c r="O36" s="10">
        <v>1</v>
      </c>
      <c r="P36" s="10">
        <v>25</v>
      </c>
      <c r="S36"/>
      <c r="T36"/>
      <c r="U36"/>
      <c r="V36"/>
      <c r="W36"/>
      <c r="X36"/>
      <c r="Y36"/>
      <c r="Z36"/>
      <c r="AA36"/>
    </row>
    <row r="37" spans="1:27">
      <c r="A37" s="10" t="s">
        <v>59</v>
      </c>
      <c r="B37" s="10">
        <v>581</v>
      </c>
      <c r="C37" s="21">
        <v>2.1115205364997647E-3</v>
      </c>
      <c r="D37" s="10">
        <v>191</v>
      </c>
      <c r="E37" s="10">
        <v>0</v>
      </c>
      <c r="F37" s="10">
        <v>0</v>
      </c>
      <c r="G37" s="10">
        <v>0</v>
      </c>
      <c r="H37" s="10">
        <v>0</v>
      </c>
      <c r="I37" s="10">
        <v>0</v>
      </c>
      <c r="J37" s="10">
        <v>0</v>
      </c>
      <c r="K37" s="10">
        <v>0</v>
      </c>
      <c r="L37" s="10">
        <v>0</v>
      </c>
      <c r="M37" s="10">
        <v>0</v>
      </c>
      <c r="N37" s="10">
        <v>0</v>
      </c>
      <c r="O37" s="10">
        <v>0</v>
      </c>
      <c r="P37" s="10">
        <v>24</v>
      </c>
    </row>
    <row r="38" spans="1:27">
      <c r="A38" s="10" t="s">
        <v>60</v>
      </c>
      <c r="B38" s="10">
        <v>649</v>
      </c>
      <c r="C38" s="21">
        <v>1.8760993935935653E-3</v>
      </c>
      <c r="D38" s="10">
        <v>127</v>
      </c>
      <c r="E38" s="10">
        <v>0</v>
      </c>
      <c r="F38" s="10">
        <v>0</v>
      </c>
      <c r="G38" s="10">
        <v>0</v>
      </c>
      <c r="H38" s="10">
        <v>0</v>
      </c>
      <c r="I38" s="10">
        <v>0</v>
      </c>
      <c r="J38" s="10">
        <v>0</v>
      </c>
      <c r="K38" s="10">
        <v>0</v>
      </c>
      <c r="L38" s="10">
        <v>0</v>
      </c>
      <c r="M38" s="10">
        <v>0</v>
      </c>
      <c r="N38" s="10">
        <v>0</v>
      </c>
      <c r="O38" s="10">
        <v>0</v>
      </c>
      <c r="P38" s="10">
        <v>36</v>
      </c>
    </row>
    <row r="39" spans="1:27">
      <c r="A39" s="10" t="s">
        <v>61</v>
      </c>
      <c r="B39" s="10">
        <v>57</v>
      </c>
      <c r="C39" s="21">
        <v>1.8907215483519439E-3</v>
      </c>
      <c r="D39" s="10">
        <v>97</v>
      </c>
      <c r="E39" s="10">
        <v>1</v>
      </c>
      <c r="F39" s="10">
        <v>0</v>
      </c>
      <c r="G39" s="10">
        <v>0</v>
      </c>
      <c r="H39" s="10">
        <v>0</v>
      </c>
      <c r="I39" s="10">
        <v>0</v>
      </c>
      <c r="J39" s="10">
        <v>0</v>
      </c>
      <c r="K39" s="10">
        <v>0</v>
      </c>
      <c r="L39" s="10">
        <v>0</v>
      </c>
      <c r="M39" s="10">
        <v>0</v>
      </c>
      <c r="N39" s="10">
        <v>0</v>
      </c>
      <c r="O39" s="10">
        <v>0</v>
      </c>
      <c r="P39" s="10">
        <v>40</v>
      </c>
    </row>
    <row r="40" spans="1:27">
      <c r="A40" s="10" t="s">
        <v>62</v>
      </c>
      <c r="B40" s="10">
        <v>39</v>
      </c>
      <c r="C40" s="21">
        <v>2.1217121063032327E-3</v>
      </c>
      <c r="D40" s="10">
        <v>146</v>
      </c>
      <c r="E40" s="10">
        <v>0</v>
      </c>
      <c r="F40" s="10">
        <v>0</v>
      </c>
      <c r="G40" s="10">
        <v>1</v>
      </c>
      <c r="H40" s="10">
        <v>0</v>
      </c>
      <c r="I40" s="10">
        <v>0</v>
      </c>
      <c r="J40" s="10">
        <v>0</v>
      </c>
      <c r="K40" s="10">
        <v>0</v>
      </c>
      <c r="L40" s="10">
        <v>0</v>
      </c>
      <c r="M40" s="10">
        <v>0</v>
      </c>
      <c r="N40" s="10">
        <v>0</v>
      </c>
      <c r="O40" s="10">
        <v>0</v>
      </c>
      <c r="P40" s="10">
        <v>37</v>
      </c>
    </row>
    <row r="41" spans="1:27">
      <c r="A41" s="10" t="s">
        <v>63</v>
      </c>
      <c r="B41" s="10">
        <v>208</v>
      </c>
      <c r="C41" s="21">
        <v>2.8521345769411295E-3</v>
      </c>
      <c r="D41" s="10">
        <v>107</v>
      </c>
      <c r="E41" s="10">
        <v>0</v>
      </c>
      <c r="F41" s="10">
        <v>0</v>
      </c>
      <c r="G41" s="10">
        <v>0</v>
      </c>
      <c r="H41" s="10">
        <v>1</v>
      </c>
      <c r="I41" s="10">
        <v>0</v>
      </c>
      <c r="J41" s="10">
        <v>0</v>
      </c>
      <c r="K41" s="10">
        <v>0</v>
      </c>
      <c r="L41" s="10">
        <v>0</v>
      </c>
      <c r="M41" s="10">
        <v>0</v>
      </c>
      <c r="N41" s="10">
        <v>0</v>
      </c>
      <c r="O41" s="10">
        <v>0</v>
      </c>
      <c r="P41" s="10">
        <v>39</v>
      </c>
    </row>
    <row r="42" spans="1:27">
      <c r="A42" s="10" t="s">
        <v>64</v>
      </c>
      <c r="B42" s="10">
        <v>77</v>
      </c>
      <c r="C42" s="21">
        <v>1.1009773674835353E-3</v>
      </c>
      <c r="D42" s="10">
        <v>210</v>
      </c>
      <c r="E42" s="10">
        <v>0</v>
      </c>
      <c r="F42" s="10">
        <v>1</v>
      </c>
      <c r="G42" s="10">
        <v>0</v>
      </c>
      <c r="H42" s="10">
        <v>0</v>
      </c>
      <c r="I42" s="10">
        <v>0</v>
      </c>
      <c r="J42" s="10">
        <v>0</v>
      </c>
      <c r="K42" s="10">
        <v>0</v>
      </c>
      <c r="L42" s="10">
        <v>0</v>
      </c>
      <c r="M42" s="10">
        <v>0</v>
      </c>
      <c r="N42" s="10">
        <v>0</v>
      </c>
      <c r="O42" s="10">
        <v>1</v>
      </c>
      <c r="P42" s="10">
        <v>19</v>
      </c>
    </row>
    <row r="43" spans="1:27">
      <c r="A43" s="10" t="s">
        <v>65</v>
      </c>
      <c r="B43" s="10">
        <v>233</v>
      </c>
      <c r="C43" s="21">
        <v>1.6483681236811897E-3</v>
      </c>
      <c r="D43" s="10">
        <v>176</v>
      </c>
      <c r="E43" s="10">
        <v>0</v>
      </c>
      <c r="F43" s="10">
        <v>0</v>
      </c>
      <c r="G43" s="10">
        <v>0</v>
      </c>
      <c r="H43" s="10">
        <v>0</v>
      </c>
      <c r="I43" s="10">
        <v>0</v>
      </c>
      <c r="J43" s="10">
        <v>0</v>
      </c>
      <c r="K43" s="10">
        <v>0</v>
      </c>
      <c r="L43" s="10">
        <v>0</v>
      </c>
      <c r="M43" s="10">
        <v>0</v>
      </c>
      <c r="N43" s="10">
        <v>0</v>
      </c>
      <c r="O43" s="10">
        <v>0</v>
      </c>
      <c r="P43" s="10">
        <v>19</v>
      </c>
    </row>
    <row r="44" spans="1:27">
      <c r="A44" s="10" t="s">
        <v>66</v>
      </c>
      <c r="B44" s="10">
        <v>42</v>
      </c>
      <c r="C44" s="21">
        <v>1.884697102983731E-3</v>
      </c>
      <c r="D44" s="10">
        <v>120</v>
      </c>
      <c r="E44" s="10">
        <v>0</v>
      </c>
      <c r="F44" s="10">
        <v>0</v>
      </c>
      <c r="G44" s="10">
        <v>1</v>
      </c>
      <c r="H44" s="10">
        <v>0</v>
      </c>
      <c r="I44" s="10">
        <v>0</v>
      </c>
      <c r="J44" s="10">
        <v>0</v>
      </c>
      <c r="K44" s="10">
        <v>0</v>
      </c>
      <c r="L44" s="10">
        <v>0</v>
      </c>
      <c r="M44" s="10">
        <v>0</v>
      </c>
      <c r="N44" s="10">
        <v>0</v>
      </c>
      <c r="O44" s="10">
        <v>1</v>
      </c>
      <c r="P44" s="10">
        <v>33</v>
      </c>
    </row>
    <row r="45" spans="1:27">
      <c r="A45" s="10" t="s">
        <v>67</v>
      </c>
      <c r="B45" s="10">
        <v>105</v>
      </c>
      <c r="C45" s="21">
        <v>2.1782385037017651E-3</v>
      </c>
      <c r="D45" s="10">
        <v>155</v>
      </c>
      <c r="E45" s="10">
        <v>0</v>
      </c>
      <c r="F45" s="10">
        <v>1</v>
      </c>
      <c r="G45" s="10">
        <v>0</v>
      </c>
      <c r="H45" s="10">
        <v>0</v>
      </c>
      <c r="I45" s="10">
        <v>0</v>
      </c>
      <c r="J45" s="10">
        <v>0</v>
      </c>
      <c r="K45" s="10">
        <v>0</v>
      </c>
      <c r="L45" s="10">
        <v>0</v>
      </c>
      <c r="M45" s="10">
        <v>0</v>
      </c>
      <c r="N45" s="10">
        <v>0</v>
      </c>
      <c r="O45" s="10">
        <v>0</v>
      </c>
      <c r="P45" s="10">
        <v>33</v>
      </c>
    </row>
    <row r="46" spans="1:27">
      <c r="A46" s="10" t="s">
        <v>68</v>
      </c>
      <c r="B46" s="10">
        <v>522</v>
      </c>
      <c r="C46" s="21">
        <v>1.4524864152080492E-3</v>
      </c>
      <c r="D46" s="10">
        <v>192</v>
      </c>
      <c r="E46" s="10">
        <v>0</v>
      </c>
      <c r="F46" s="10">
        <v>0</v>
      </c>
      <c r="G46" s="10">
        <v>0</v>
      </c>
      <c r="H46" s="10">
        <v>0</v>
      </c>
      <c r="I46" s="10">
        <v>0</v>
      </c>
      <c r="J46" s="10">
        <v>0</v>
      </c>
      <c r="K46" s="10">
        <v>0</v>
      </c>
      <c r="L46" s="10">
        <v>0</v>
      </c>
      <c r="M46" s="10">
        <v>0</v>
      </c>
      <c r="N46" s="10">
        <v>0</v>
      </c>
      <c r="O46" s="10">
        <v>0</v>
      </c>
      <c r="P46" s="10">
        <v>27</v>
      </c>
    </row>
    <row r="47" spans="1:27">
      <c r="A47" s="10" t="s">
        <v>69</v>
      </c>
      <c r="B47" s="10">
        <v>82</v>
      </c>
      <c r="C47" s="21">
        <v>3.4610937137621541E-4</v>
      </c>
      <c r="D47" s="10">
        <v>178</v>
      </c>
      <c r="E47" s="10">
        <v>1</v>
      </c>
      <c r="F47" s="10">
        <v>0</v>
      </c>
      <c r="G47" s="10">
        <v>0</v>
      </c>
      <c r="H47" s="10">
        <v>0</v>
      </c>
      <c r="I47" s="10">
        <v>0</v>
      </c>
      <c r="J47" s="10">
        <v>0</v>
      </c>
      <c r="K47" s="10">
        <v>0</v>
      </c>
      <c r="L47" s="10">
        <v>0</v>
      </c>
      <c r="M47" s="10">
        <v>0</v>
      </c>
      <c r="N47" s="10">
        <v>0</v>
      </c>
      <c r="O47" s="10">
        <v>0</v>
      </c>
      <c r="P47" s="10">
        <v>23</v>
      </c>
    </row>
    <row r="48" spans="1:27">
      <c r="A48" s="10" t="s">
        <v>70</v>
      </c>
      <c r="B48" s="10">
        <v>62</v>
      </c>
      <c r="C48" s="21">
        <v>8.9222664097469637E-4</v>
      </c>
      <c r="D48" s="10">
        <v>118</v>
      </c>
      <c r="E48" s="10">
        <v>0</v>
      </c>
      <c r="F48" s="10">
        <v>0</v>
      </c>
      <c r="G48" s="10">
        <v>1</v>
      </c>
      <c r="H48" s="10">
        <v>0</v>
      </c>
      <c r="I48" s="10">
        <v>0</v>
      </c>
      <c r="J48" s="10">
        <v>0</v>
      </c>
      <c r="K48" s="10">
        <v>0</v>
      </c>
      <c r="L48" s="10">
        <v>0</v>
      </c>
      <c r="M48" s="10">
        <v>0</v>
      </c>
      <c r="N48" s="10">
        <v>0</v>
      </c>
      <c r="O48" s="10">
        <v>1</v>
      </c>
      <c r="P48" s="10">
        <v>27</v>
      </c>
    </row>
    <row r="49" spans="1:16">
      <c r="A49" s="10" t="s">
        <v>71</v>
      </c>
      <c r="B49" s="10">
        <v>210</v>
      </c>
      <c r="C49" s="21">
        <v>1.8152784945139448E-3</v>
      </c>
      <c r="D49" s="10">
        <v>168</v>
      </c>
      <c r="E49" s="10">
        <v>0</v>
      </c>
      <c r="F49" s="10">
        <v>0</v>
      </c>
      <c r="G49" s="10">
        <v>0</v>
      </c>
      <c r="H49" s="10">
        <v>1</v>
      </c>
      <c r="I49" s="10">
        <v>0</v>
      </c>
      <c r="J49" s="10">
        <v>0</v>
      </c>
      <c r="K49" s="10">
        <v>0</v>
      </c>
      <c r="L49" s="10">
        <v>0</v>
      </c>
      <c r="M49" s="10">
        <v>0</v>
      </c>
      <c r="N49" s="10">
        <v>0</v>
      </c>
      <c r="O49" s="10">
        <v>0</v>
      </c>
      <c r="P49" s="10">
        <v>30</v>
      </c>
    </row>
    <row r="50" spans="1:16">
      <c r="A50" s="10" t="s">
        <v>72</v>
      </c>
      <c r="B50" s="10">
        <v>461</v>
      </c>
      <c r="C50" s="21">
        <v>2.2563940247787742E-3</v>
      </c>
      <c r="D50" s="10">
        <v>103</v>
      </c>
      <c r="E50" s="10">
        <v>0</v>
      </c>
      <c r="F50" s="10">
        <v>0</v>
      </c>
      <c r="G50" s="10">
        <v>0</v>
      </c>
      <c r="H50" s="10">
        <v>0</v>
      </c>
      <c r="I50" s="10">
        <v>0</v>
      </c>
      <c r="J50" s="10">
        <v>0</v>
      </c>
      <c r="K50" s="10">
        <v>0</v>
      </c>
      <c r="L50" s="10">
        <v>0</v>
      </c>
      <c r="M50" s="10">
        <v>0</v>
      </c>
      <c r="N50" s="10">
        <v>0</v>
      </c>
      <c r="O50" s="10">
        <v>1</v>
      </c>
      <c r="P50" s="10">
        <v>42</v>
      </c>
    </row>
    <row r="51" spans="1:16">
      <c r="A51" s="10" t="s">
        <v>73</v>
      </c>
      <c r="B51" s="10">
        <v>116</v>
      </c>
      <c r="C51" s="21">
        <v>1.0598640824486158E-3</v>
      </c>
      <c r="D51" s="10">
        <v>136</v>
      </c>
      <c r="E51" s="10">
        <v>1</v>
      </c>
      <c r="F51" s="10">
        <v>0</v>
      </c>
      <c r="G51" s="10">
        <v>0</v>
      </c>
      <c r="H51" s="10">
        <v>0</v>
      </c>
      <c r="I51" s="10">
        <v>0</v>
      </c>
      <c r="J51" s="10">
        <v>0</v>
      </c>
      <c r="K51" s="10">
        <v>0</v>
      </c>
      <c r="L51" s="10">
        <v>0</v>
      </c>
      <c r="M51" s="10">
        <v>0</v>
      </c>
      <c r="N51" s="10">
        <v>0</v>
      </c>
      <c r="O51" s="10">
        <v>1</v>
      </c>
      <c r="P51" s="10">
        <v>28</v>
      </c>
    </row>
    <row r="52" spans="1:16">
      <c r="A52" s="10" t="s">
        <v>74</v>
      </c>
      <c r="B52" s="10">
        <v>45</v>
      </c>
      <c r="C52" s="21">
        <v>1.4219316729648444E-3</v>
      </c>
      <c r="D52" s="10">
        <v>169</v>
      </c>
      <c r="E52" s="10">
        <v>0</v>
      </c>
      <c r="F52" s="10">
        <v>0</v>
      </c>
      <c r="G52" s="10">
        <v>1</v>
      </c>
      <c r="H52" s="10">
        <v>0</v>
      </c>
      <c r="I52" s="10">
        <v>0</v>
      </c>
      <c r="J52" s="10">
        <v>0</v>
      </c>
      <c r="K52" s="10">
        <v>0</v>
      </c>
      <c r="L52" s="10">
        <v>0</v>
      </c>
      <c r="M52" s="10">
        <v>0</v>
      </c>
      <c r="N52" s="10">
        <v>0</v>
      </c>
      <c r="O52" s="10">
        <v>0</v>
      </c>
      <c r="P52" s="10">
        <v>22</v>
      </c>
    </row>
    <row r="53" spans="1:16">
      <c r="A53" s="10" t="s">
        <v>75</v>
      </c>
      <c r="B53" s="10">
        <v>198</v>
      </c>
      <c r="C53" s="21">
        <v>1.6459847324278068E-3</v>
      </c>
      <c r="D53" s="10">
        <v>150</v>
      </c>
      <c r="E53" s="10">
        <v>0</v>
      </c>
      <c r="F53" s="10">
        <v>0</v>
      </c>
      <c r="G53" s="10">
        <v>0</v>
      </c>
      <c r="H53" s="10">
        <v>1</v>
      </c>
      <c r="I53" s="10">
        <v>0</v>
      </c>
      <c r="J53" s="10">
        <v>0</v>
      </c>
      <c r="K53" s="10">
        <v>0</v>
      </c>
      <c r="L53" s="10">
        <v>0</v>
      </c>
      <c r="M53" s="10">
        <v>0</v>
      </c>
      <c r="N53" s="10">
        <v>0</v>
      </c>
      <c r="O53" s="10">
        <v>0</v>
      </c>
      <c r="P53" s="10">
        <v>29</v>
      </c>
    </row>
    <row r="54" spans="1:16">
      <c r="A54" s="10" t="s">
        <v>76</v>
      </c>
      <c r="B54" s="10">
        <v>113</v>
      </c>
      <c r="C54" s="21">
        <v>1.8075703049277509E-3</v>
      </c>
      <c r="D54" s="10">
        <v>168</v>
      </c>
      <c r="E54" s="10">
        <v>0</v>
      </c>
      <c r="F54" s="10">
        <v>0</v>
      </c>
      <c r="G54" s="10">
        <v>0</v>
      </c>
      <c r="H54" s="10">
        <v>0</v>
      </c>
      <c r="I54" s="10">
        <v>0</v>
      </c>
      <c r="J54" s="10">
        <v>0</v>
      </c>
      <c r="K54" s="10">
        <v>0</v>
      </c>
      <c r="L54" s="10">
        <v>0</v>
      </c>
      <c r="M54" s="10">
        <v>0</v>
      </c>
      <c r="N54" s="10">
        <v>0</v>
      </c>
      <c r="O54" s="10">
        <v>1</v>
      </c>
      <c r="P54" s="10">
        <v>33</v>
      </c>
    </row>
    <row r="55" spans="1:16">
      <c r="A55" s="10" t="s">
        <v>77</v>
      </c>
      <c r="B55" s="10">
        <v>184</v>
      </c>
      <c r="C55" s="21">
        <v>6.2278300003531118E-4</v>
      </c>
      <c r="D55" s="10">
        <v>220</v>
      </c>
      <c r="E55" s="10">
        <v>0</v>
      </c>
      <c r="F55" s="10">
        <v>0</v>
      </c>
      <c r="G55" s="10">
        <v>0</v>
      </c>
      <c r="H55" s="10">
        <v>1</v>
      </c>
      <c r="I55" s="10">
        <v>0</v>
      </c>
      <c r="J55" s="10">
        <v>0</v>
      </c>
      <c r="K55" s="10">
        <v>0</v>
      </c>
      <c r="L55" s="10">
        <v>0</v>
      </c>
      <c r="M55" s="10">
        <v>0</v>
      </c>
      <c r="N55" s="10">
        <v>0</v>
      </c>
      <c r="O55" s="10">
        <v>1</v>
      </c>
      <c r="P55" s="10">
        <v>16</v>
      </c>
    </row>
    <row r="56" spans="1:16">
      <c r="A56" s="10" t="s">
        <v>78</v>
      </c>
      <c r="B56" s="10">
        <v>110</v>
      </c>
      <c r="C56" s="21">
        <v>2.9855096039994302E-3</v>
      </c>
      <c r="D56" s="10">
        <v>138</v>
      </c>
      <c r="E56" s="10">
        <v>0</v>
      </c>
      <c r="F56" s="10">
        <v>1</v>
      </c>
      <c r="G56" s="10">
        <v>0</v>
      </c>
      <c r="H56" s="10">
        <v>0</v>
      </c>
      <c r="I56" s="10">
        <v>0</v>
      </c>
      <c r="J56" s="10">
        <v>0</v>
      </c>
      <c r="K56" s="10">
        <v>0</v>
      </c>
      <c r="L56" s="10">
        <v>0</v>
      </c>
      <c r="M56" s="10">
        <v>0</v>
      </c>
      <c r="N56" s="10">
        <v>0</v>
      </c>
      <c r="O56" s="10">
        <v>0</v>
      </c>
      <c r="P56" s="10">
        <v>35</v>
      </c>
    </row>
    <row r="57" spans="1:16">
      <c r="A57" s="10" t="s">
        <v>79</v>
      </c>
      <c r="B57" s="10">
        <v>493</v>
      </c>
      <c r="C57" s="21">
        <v>1.2910990357404882E-3</v>
      </c>
      <c r="D57" s="10">
        <v>177</v>
      </c>
      <c r="E57" s="10">
        <v>0</v>
      </c>
      <c r="F57" s="10">
        <v>0</v>
      </c>
      <c r="G57" s="10">
        <v>0</v>
      </c>
      <c r="H57" s="10">
        <v>0</v>
      </c>
      <c r="I57" s="10">
        <v>0</v>
      </c>
      <c r="J57" s="10">
        <v>0</v>
      </c>
      <c r="K57" s="10">
        <v>0</v>
      </c>
      <c r="L57" s="10">
        <v>0</v>
      </c>
      <c r="M57" s="10">
        <v>0</v>
      </c>
      <c r="N57" s="10">
        <v>0</v>
      </c>
      <c r="O57" s="10">
        <v>0</v>
      </c>
      <c r="P57" s="10">
        <v>24</v>
      </c>
    </row>
    <row r="58" spans="1:16">
      <c r="A58" s="10" t="s">
        <v>80</v>
      </c>
      <c r="B58" s="10">
        <v>427</v>
      </c>
      <c r="C58" s="21">
        <v>1.8401442762877706E-3</v>
      </c>
      <c r="D58" s="10">
        <v>177</v>
      </c>
      <c r="E58" s="10">
        <v>0</v>
      </c>
      <c r="F58" s="10">
        <v>0</v>
      </c>
      <c r="G58" s="10">
        <v>0</v>
      </c>
      <c r="H58" s="10">
        <v>0</v>
      </c>
      <c r="I58" s="10">
        <v>0</v>
      </c>
      <c r="J58" s="10">
        <v>0</v>
      </c>
      <c r="K58" s="10">
        <v>0</v>
      </c>
      <c r="L58" s="10">
        <v>0</v>
      </c>
      <c r="M58" s="10">
        <v>0</v>
      </c>
      <c r="N58" s="10">
        <v>0</v>
      </c>
      <c r="O58" s="10">
        <v>0</v>
      </c>
      <c r="P58" s="10">
        <v>31</v>
      </c>
    </row>
    <row r="59" spans="1:16">
      <c r="A59" s="10" t="s">
        <v>81</v>
      </c>
      <c r="B59" s="10">
        <v>88</v>
      </c>
      <c r="C59" s="21">
        <v>1.9427476304190968E-3</v>
      </c>
      <c r="D59" s="10">
        <v>141</v>
      </c>
      <c r="E59" s="10">
        <v>1</v>
      </c>
      <c r="F59" s="10">
        <v>0</v>
      </c>
      <c r="G59" s="10">
        <v>0</v>
      </c>
      <c r="H59" s="10">
        <v>0</v>
      </c>
      <c r="I59" s="10">
        <v>0</v>
      </c>
      <c r="J59" s="10">
        <v>0</v>
      </c>
      <c r="K59" s="10">
        <v>0</v>
      </c>
      <c r="L59" s="10">
        <v>0</v>
      </c>
      <c r="M59" s="10">
        <v>0</v>
      </c>
      <c r="N59" s="10">
        <v>0</v>
      </c>
      <c r="O59" s="10">
        <v>0</v>
      </c>
      <c r="P59" s="10">
        <v>38</v>
      </c>
    </row>
    <row r="60" spans="1:16">
      <c r="A60" s="10" t="s">
        <v>82</v>
      </c>
      <c r="B60" s="10">
        <v>108</v>
      </c>
      <c r="C60" s="21">
        <v>1.1709065184826036E-3</v>
      </c>
      <c r="D60" s="10">
        <v>186</v>
      </c>
      <c r="E60" s="10">
        <v>1</v>
      </c>
      <c r="F60" s="10">
        <v>0</v>
      </c>
      <c r="G60" s="10">
        <v>0</v>
      </c>
      <c r="H60" s="10">
        <v>0</v>
      </c>
      <c r="I60" s="10">
        <v>0</v>
      </c>
      <c r="J60" s="10">
        <v>0</v>
      </c>
      <c r="K60" s="10">
        <v>0</v>
      </c>
      <c r="L60" s="10">
        <v>0</v>
      </c>
      <c r="M60" s="10">
        <v>0</v>
      </c>
      <c r="N60" s="10">
        <v>0</v>
      </c>
      <c r="O60" s="10">
        <v>1</v>
      </c>
      <c r="P60" s="10">
        <v>26</v>
      </c>
    </row>
    <row r="61" spans="1:16">
      <c r="A61" s="10" t="s">
        <v>83</v>
      </c>
      <c r="B61" s="10">
        <v>57</v>
      </c>
      <c r="C61" s="21">
        <v>9.8859371177487977E-4</v>
      </c>
      <c r="D61" s="10">
        <v>221</v>
      </c>
      <c r="E61" s="10">
        <v>0</v>
      </c>
      <c r="F61" s="10">
        <v>0</v>
      </c>
      <c r="G61" s="10">
        <v>1</v>
      </c>
      <c r="H61" s="10">
        <v>0</v>
      </c>
      <c r="I61" s="10">
        <v>0</v>
      </c>
      <c r="J61" s="10">
        <v>0</v>
      </c>
      <c r="K61" s="10">
        <v>0</v>
      </c>
      <c r="L61" s="10">
        <v>0</v>
      </c>
      <c r="M61" s="10">
        <v>0</v>
      </c>
      <c r="N61" s="10">
        <v>0</v>
      </c>
      <c r="O61" s="10">
        <v>0</v>
      </c>
      <c r="P61" s="10">
        <v>16</v>
      </c>
    </row>
    <row r="62" spans="1:16">
      <c r="A62" s="10" t="s">
        <v>84</v>
      </c>
      <c r="B62" s="10">
        <v>215</v>
      </c>
      <c r="C62" s="21">
        <v>1.0349331516544486E-3</v>
      </c>
      <c r="D62" s="10">
        <v>210</v>
      </c>
      <c r="E62" s="10">
        <v>0</v>
      </c>
      <c r="F62" s="10">
        <v>0</v>
      </c>
      <c r="G62" s="10">
        <v>0</v>
      </c>
      <c r="H62" s="10">
        <v>1</v>
      </c>
      <c r="I62" s="10">
        <v>0</v>
      </c>
      <c r="J62" s="10">
        <v>0</v>
      </c>
      <c r="K62" s="10">
        <v>0</v>
      </c>
      <c r="L62" s="10">
        <v>0</v>
      </c>
      <c r="M62" s="10">
        <v>0</v>
      </c>
      <c r="N62" s="10">
        <v>0</v>
      </c>
      <c r="O62" s="10">
        <v>0</v>
      </c>
      <c r="P62" s="10">
        <v>18</v>
      </c>
    </row>
    <row r="63" spans="1:16">
      <c r="A63" s="10" t="s">
        <v>85</v>
      </c>
      <c r="B63" s="10">
        <v>623</v>
      </c>
      <c r="C63" s="21">
        <v>1.9346922064213145E-3</v>
      </c>
      <c r="D63" s="10">
        <v>198</v>
      </c>
      <c r="E63" s="10">
        <v>0</v>
      </c>
      <c r="F63" s="10">
        <v>0</v>
      </c>
      <c r="G63" s="10">
        <v>0</v>
      </c>
      <c r="H63" s="10">
        <v>0</v>
      </c>
      <c r="I63" s="10">
        <v>0</v>
      </c>
      <c r="J63" s="10">
        <v>0</v>
      </c>
      <c r="K63" s="10">
        <v>0</v>
      </c>
      <c r="L63" s="10">
        <v>0</v>
      </c>
      <c r="M63" s="10">
        <v>0</v>
      </c>
      <c r="N63" s="10">
        <v>0</v>
      </c>
      <c r="O63" s="10">
        <v>0</v>
      </c>
      <c r="P63" s="10">
        <v>21</v>
      </c>
    </row>
    <row r="64" spans="1:16">
      <c r="A64" s="10" t="s">
        <v>86</v>
      </c>
      <c r="B64" s="10">
        <v>110</v>
      </c>
      <c r="C64" s="21">
        <v>1.4234438063633569E-3</v>
      </c>
      <c r="D64" s="10">
        <v>170</v>
      </c>
      <c r="E64" s="10">
        <v>1</v>
      </c>
      <c r="F64" s="10">
        <v>0</v>
      </c>
      <c r="G64" s="10">
        <v>0</v>
      </c>
      <c r="H64" s="10">
        <v>0</v>
      </c>
      <c r="I64" s="10">
        <v>0</v>
      </c>
      <c r="J64" s="10">
        <v>0</v>
      </c>
      <c r="K64" s="10">
        <v>0</v>
      </c>
      <c r="L64" s="10">
        <v>0</v>
      </c>
      <c r="M64" s="10">
        <v>0</v>
      </c>
      <c r="N64" s="10">
        <v>0</v>
      </c>
      <c r="O64" s="10">
        <v>0</v>
      </c>
      <c r="P64" s="10">
        <v>19</v>
      </c>
    </row>
    <row r="65" spans="1:16">
      <c r="A65" s="10" t="s">
        <v>87</v>
      </c>
      <c r="B65" s="10">
        <v>39</v>
      </c>
      <c r="C65" s="21">
        <v>9.3981656517807459E-4</v>
      </c>
      <c r="D65" s="10">
        <v>102</v>
      </c>
      <c r="E65" s="10">
        <v>0</v>
      </c>
      <c r="F65" s="10">
        <v>0</v>
      </c>
      <c r="G65" s="10">
        <v>1</v>
      </c>
      <c r="H65" s="10">
        <v>0</v>
      </c>
      <c r="I65" s="10">
        <v>0</v>
      </c>
      <c r="J65" s="10">
        <v>0</v>
      </c>
      <c r="K65" s="10">
        <v>0</v>
      </c>
      <c r="L65" s="10">
        <v>0</v>
      </c>
      <c r="M65" s="10">
        <v>0</v>
      </c>
      <c r="N65" s="10">
        <v>0</v>
      </c>
      <c r="O65" s="10">
        <v>1</v>
      </c>
      <c r="P65" s="10">
        <v>32</v>
      </c>
    </row>
    <row r="66" spans="1:16">
      <c r="A66" s="10" t="s">
        <v>88</v>
      </c>
      <c r="B66" s="10">
        <v>131</v>
      </c>
      <c r="C66" s="21">
        <v>1.4557219738284097E-3</v>
      </c>
      <c r="D66" s="10">
        <v>129</v>
      </c>
      <c r="E66" s="10">
        <v>0</v>
      </c>
      <c r="F66" s="10">
        <v>0</v>
      </c>
      <c r="G66" s="10">
        <v>0</v>
      </c>
      <c r="H66" s="10">
        <v>1</v>
      </c>
      <c r="I66" s="10">
        <v>0</v>
      </c>
      <c r="J66" s="10">
        <v>0</v>
      </c>
      <c r="K66" s="10">
        <v>0</v>
      </c>
      <c r="L66" s="10">
        <v>0</v>
      </c>
      <c r="M66" s="10">
        <v>0</v>
      </c>
      <c r="N66" s="10">
        <v>0</v>
      </c>
      <c r="O66" s="10">
        <v>0</v>
      </c>
      <c r="P66" s="10">
        <v>28</v>
      </c>
    </row>
    <row r="67" spans="1:16">
      <c r="A67" s="10" t="s">
        <v>89</v>
      </c>
      <c r="B67" s="10">
        <v>66</v>
      </c>
      <c r="C67" s="21">
        <v>2.6993255337543496E-3</v>
      </c>
      <c r="D67" s="10">
        <v>141</v>
      </c>
      <c r="E67" s="10">
        <v>0</v>
      </c>
      <c r="F67" s="10">
        <v>1</v>
      </c>
      <c r="G67" s="10">
        <v>0</v>
      </c>
      <c r="H67" s="10">
        <v>0</v>
      </c>
      <c r="I67" s="10">
        <v>0</v>
      </c>
      <c r="J67" s="10">
        <v>0</v>
      </c>
      <c r="K67" s="10">
        <v>0</v>
      </c>
      <c r="L67" s="10">
        <v>0</v>
      </c>
      <c r="M67" s="10">
        <v>0</v>
      </c>
      <c r="N67" s="10">
        <v>0</v>
      </c>
      <c r="O67" s="10">
        <v>0</v>
      </c>
      <c r="P67" s="10">
        <v>46</v>
      </c>
    </row>
    <row r="68" spans="1:16">
      <c r="A68" s="10" t="s">
        <v>90</v>
      </c>
      <c r="B68" s="10">
        <v>103</v>
      </c>
      <c r="C68" s="21">
        <v>1.151243488960453E-3</v>
      </c>
      <c r="D68" s="10">
        <v>148</v>
      </c>
      <c r="E68" s="10">
        <v>0</v>
      </c>
      <c r="F68" s="10">
        <v>1</v>
      </c>
      <c r="G68" s="10">
        <v>0</v>
      </c>
      <c r="H68" s="10">
        <v>0</v>
      </c>
      <c r="I68" s="10">
        <v>0</v>
      </c>
      <c r="J68" s="10">
        <v>0</v>
      </c>
      <c r="K68" s="10">
        <v>0</v>
      </c>
      <c r="L68" s="10">
        <v>0</v>
      </c>
      <c r="M68" s="10">
        <v>0</v>
      </c>
      <c r="N68" s="10">
        <v>0</v>
      </c>
      <c r="O68" s="10">
        <v>0</v>
      </c>
      <c r="P68" s="10">
        <v>22</v>
      </c>
    </row>
    <row r="69" spans="1:16">
      <c r="A69" s="10" t="s">
        <v>91</v>
      </c>
      <c r="B69" s="10">
        <v>75</v>
      </c>
      <c r="C69" s="21">
        <v>3.5951551190253049E-4</v>
      </c>
      <c r="D69" s="10">
        <v>162</v>
      </c>
      <c r="E69" s="10">
        <v>0</v>
      </c>
      <c r="F69" s="10">
        <v>1</v>
      </c>
      <c r="G69" s="10">
        <v>0</v>
      </c>
      <c r="H69" s="10">
        <v>0</v>
      </c>
      <c r="I69" s="10">
        <v>0</v>
      </c>
      <c r="J69" s="10">
        <v>0</v>
      </c>
      <c r="K69" s="10">
        <v>0</v>
      </c>
      <c r="L69" s="10">
        <v>0</v>
      </c>
      <c r="M69" s="10">
        <v>0</v>
      </c>
      <c r="N69" s="10">
        <v>0</v>
      </c>
      <c r="O69" s="10">
        <v>1</v>
      </c>
      <c r="P69" s="10">
        <v>16</v>
      </c>
    </row>
    <row r="70" spans="1:16">
      <c r="A70" s="10" t="s">
        <v>92</v>
      </c>
      <c r="B70" s="10">
        <v>523</v>
      </c>
      <c r="C70" s="21">
        <v>2.2414281809721306E-4</v>
      </c>
      <c r="D70" s="10">
        <v>134</v>
      </c>
      <c r="E70" s="10">
        <v>0</v>
      </c>
      <c r="F70" s="10">
        <v>0</v>
      </c>
      <c r="G70" s="10">
        <v>0</v>
      </c>
      <c r="H70" s="10">
        <v>0</v>
      </c>
      <c r="I70" s="10">
        <v>0</v>
      </c>
      <c r="J70" s="10">
        <v>0</v>
      </c>
      <c r="K70" s="10">
        <v>0</v>
      </c>
      <c r="L70" s="10">
        <v>0</v>
      </c>
      <c r="M70" s="10">
        <v>0</v>
      </c>
      <c r="N70" s="10">
        <v>0</v>
      </c>
      <c r="O70" s="10">
        <v>0</v>
      </c>
      <c r="P70" s="10">
        <v>26</v>
      </c>
    </row>
    <row r="71" spans="1:16">
      <c r="A71" s="10" t="s">
        <v>93</v>
      </c>
      <c r="B71" s="10">
        <v>353</v>
      </c>
      <c r="C71" s="21">
        <v>1.8884167134048657E-3</v>
      </c>
      <c r="D71" s="10">
        <v>154</v>
      </c>
      <c r="E71" s="10">
        <v>0</v>
      </c>
      <c r="F71" s="10">
        <v>0</v>
      </c>
      <c r="G71" s="10">
        <v>0</v>
      </c>
      <c r="H71" s="10">
        <v>0</v>
      </c>
      <c r="I71" s="10">
        <v>0</v>
      </c>
      <c r="J71" s="10">
        <v>0</v>
      </c>
      <c r="K71" s="10">
        <v>0</v>
      </c>
      <c r="L71" s="10">
        <v>0</v>
      </c>
      <c r="M71" s="10">
        <v>0</v>
      </c>
      <c r="N71" s="10">
        <v>0</v>
      </c>
      <c r="O71" s="10">
        <v>1</v>
      </c>
      <c r="P71" s="10">
        <v>37</v>
      </c>
    </row>
    <row r="72" spans="1:16">
      <c r="A72" s="10" t="s">
        <v>94</v>
      </c>
      <c r="B72" s="10">
        <v>106</v>
      </c>
      <c r="C72" s="21">
        <v>1.1284479740524009E-3</v>
      </c>
      <c r="D72" s="10">
        <v>116</v>
      </c>
      <c r="E72" s="10">
        <v>0</v>
      </c>
      <c r="F72" s="10">
        <v>1</v>
      </c>
      <c r="G72" s="10">
        <v>0</v>
      </c>
      <c r="H72" s="10">
        <v>0</v>
      </c>
      <c r="I72" s="10">
        <v>0</v>
      </c>
      <c r="J72" s="10">
        <v>0</v>
      </c>
      <c r="K72" s="10">
        <v>0</v>
      </c>
      <c r="L72" s="10">
        <v>0</v>
      </c>
      <c r="M72" s="10">
        <v>0</v>
      </c>
      <c r="N72" s="10">
        <v>0</v>
      </c>
      <c r="O72" s="10">
        <v>0</v>
      </c>
      <c r="P72" s="10">
        <v>32</v>
      </c>
    </row>
    <row r="73" spans="1:16">
      <c r="A73" s="10" t="s">
        <v>95</v>
      </c>
      <c r="B73" s="10">
        <v>564</v>
      </c>
      <c r="C73" s="21">
        <v>1.7132106167596364E-3</v>
      </c>
      <c r="D73" s="10">
        <v>104</v>
      </c>
      <c r="E73" s="10">
        <v>0</v>
      </c>
      <c r="F73" s="10">
        <v>0</v>
      </c>
      <c r="G73" s="10">
        <v>0</v>
      </c>
      <c r="H73" s="10">
        <v>0</v>
      </c>
      <c r="I73" s="10">
        <v>0</v>
      </c>
      <c r="J73" s="10">
        <v>0</v>
      </c>
      <c r="K73" s="10">
        <v>0</v>
      </c>
      <c r="L73" s="10">
        <v>0</v>
      </c>
      <c r="M73" s="10">
        <v>0</v>
      </c>
      <c r="N73" s="10">
        <v>0</v>
      </c>
      <c r="O73" s="10">
        <v>0</v>
      </c>
      <c r="P73" s="10">
        <v>46</v>
      </c>
    </row>
    <row r="74" spans="1:16">
      <c r="A74" s="10" t="s">
        <v>96</v>
      </c>
      <c r="B74" s="10">
        <v>428</v>
      </c>
      <c r="C74" s="21">
        <v>2.9265900039130127E-4</v>
      </c>
      <c r="D74" s="10">
        <v>178</v>
      </c>
      <c r="E74" s="10">
        <v>0</v>
      </c>
      <c r="F74" s="10">
        <v>0</v>
      </c>
      <c r="G74" s="10">
        <v>0</v>
      </c>
      <c r="H74" s="10">
        <v>0</v>
      </c>
      <c r="I74" s="10">
        <v>0</v>
      </c>
      <c r="J74" s="10">
        <v>0</v>
      </c>
      <c r="K74" s="10">
        <v>0</v>
      </c>
      <c r="L74" s="10">
        <v>0</v>
      </c>
      <c r="M74" s="10">
        <v>0</v>
      </c>
      <c r="N74" s="10">
        <v>0</v>
      </c>
      <c r="O74" s="10">
        <v>0</v>
      </c>
      <c r="P74" s="10">
        <v>20</v>
      </c>
    </row>
    <row r="75" spans="1:16">
      <c r="A75" s="10" t="s">
        <v>97</v>
      </c>
      <c r="B75" s="10">
        <v>114</v>
      </c>
      <c r="C75" s="21">
        <v>1.4607629280686642E-3</v>
      </c>
      <c r="D75" s="10">
        <v>145</v>
      </c>
      <c r="E75" s="10">
        <v>1</v>
      </c>
      <c r="F75" s="10">
        <v>0</v>
      </c>
      <c r="G75" s="10">
        <v>0</v>
      </c>
      <c r="H75" s="10">
        <v>0</v>
      </c>
      <c r="I75" s="10">
        <v>0</v>
      </c>
      <c r="J75" s="10">
        <v>0</v>
      </c>
      <c r="K75" s="10">
        <v>0</v>
      </c>
      <c r="L75" s="10">
        <v>0</v>
      </c>
      <c r="M75" s="10">
        <v>0</v>
      </c>
      <c r="N75" s="10">
        <v>0</v>
      </c>
      <c r="O75" s="10">
        <v>0</v>
      </c>
      <c r="P75" s="10">
        <v>45</v>
      </c>
    </row>
    <row r="76" spans="1:16">
      <c r="A76" s="10" t="s">
        <v>98</v>
      </c>
      <c r="B76" s="10">
        <v>41</v>
      </c>
      <c r="C76" s="21">
        <v>1.9317007556083406E-4</v>
      </c>
      <c r="D76" s="10">
        <v>119</v>
      </c>
      <c r="E76" s="10">
        <v>0</v>
      </c>
      <c r="F76" s="10">
        <v>0</v>
      </c>
      <c r="G76" s="10">
        <v>1</v>
      </c>
      <c r="H76" s="10">
        <v>0</v>
      </c>
      <c r="I76" s="10">
        <v>0</v>
      </c>
      <c r="J76" s="10">
        <v>0</v>
      </c>
      <c r="K76" s="10">
        <v>0</v>
      </c>
      <c r="L76" s="10">
        <v>0</v>
      </c>
      <c r="M76" s="10">
        <v>0</v>
      </c>
      <c r="N76" s="10">
        <v>0</v>
      </c>
      <c r="O76" s="10">
        <v>0</v>
      </c>
      <c r="P76" s="10">
        <v>34</v>
      </c>
    </row>
    <row r="77" spans="1:16">
      <c r="A77" s="10" t="s">
        <v>99</v>
      </c>
      <c r="B77" s="10">
        <v>115</v>
      </c>
      <c r="C77" s="21">
        <v>1.6017775407853412E-3</v>
      </c>
      <c r="D77" s="10">
        <v>128</v>
      </c>
      <c r="E77" s="10">
        <v>0</v>
      </c>
      <c r="F77" s="10">
        <v>1</v>
      </c>
      <c r="G77" s="10">
        <v>0</v>
      </c>
      <c r="H77" s="10">
        <v>0</v>
      </c>
      <c r="I77" s="10">
        <v>0</v>
      </c>
      <c r="J77" s="10">
        <v>0</v>
      </c>
      <c r="K77" s="10">
        <v>0</v>
      </c>
      <c r="L77" s="10">
        <v>0</v>
      </c>
      <c r="M77" s="10">
        <v>0</v>
      </c>
      <c r="N77" s="10">
        <v>0</v>
      </c>
      <c r="O77" s="10">
        <v>0</v>
      </c>
      <c r="P77" s="10">
        <v>30</v>
      </c>
    </row>
    <row r="78" spans="1:16">
      <c r="A78" s="10" t="s">
        <v>100</v>
      </c>
      <c r="B78" s="10">
        <v>120</v>
      </c>
      <c r="C78" s="21">
        <v>6.9934531102609776E-4</v>
      </c>
      <c r="D78" s="10">
        <v>142</v>
      </c>
      <c r="E78" s="10">
        <v>1</v>
      </c>
      <c r="F78" s="10">
        <v>0</v>
      </c>
      <c r="G78" s="10">
        <v>0</v>
      </c>
      <c r="H78" s="10">
        <v>0</v>
      </c>
      <c r="I78" s="10">
        <v>0</v>
      </c>
      <c r="J78" s="10">
        <v>0</v>
      </c>
      <c r="K78" s="10">
        <v>0</v>
      </c>
      <c r="L78" s="10">
        <v>0</v>
      </c>
      <c r="M78" s="10">
        <v>0</v>
      </c>
      <c r="N78" s="10">
        <v>0</v>
      </c>
      <c r="O78" s="10">
        <v>1</v>
      </c>
      <c r="P78" s="10">
        <v>19</v>
      </c>
    </row>
    <row r="79" spans="1:16">
      <c r="A79" s="10" t="s">
        <v>101</v>
      </c>
      <c r="B79" s="10">
        <v>121</v>
      </c>
      <c r="C79" s="21">
        <v>9.6469355869245371E-4</v>
      </c>
      <c r="D79" s="10">
        <v>150</v>
      </c>
      <c r="E79" s="10">
        <v>0</v>
      </c>
      <c r="F79" s="10">
        <v>1</v>
      </c>
      <c r="G79" s="10">
        <v>0</v>
      </c>
      <c r="H79" s="10">
        <v>0</v>
      </c>
      <c r="I79" s="10">
        <v>0</v>
      </c>
      <c r="J79" s="10">
        <v>0</v>
      </c>
      <c r="K79" s="10">
        <v>0</v>
      </c>
      <c r="L79" s="10">
        <v>0</v>
      </c>
      <c r="M79" s="10">
        <v>0</v>
      </c>
      <c r="N79" s="10">
        <v>0</v>
      </c>
      <c r="O79" s="10">
        <v>1</v>
      </c>
      <c r="P79" s="10">
        <v>24</v>
      </c>
    </row>
    <row r="80" spans="1:16">
      <c r="A80" s="10" t="s">
        <v>102</v>
      </c>
      <c r="B80" s="10">
        <v>613</v>
      </c>
      <c r="C80" s="21">
        <v>3.4990045853267401E-4</v>
      </c>
      <c r="D80" s="10">
        <v>142</v>
      </c>
      <c r="E80" s="10">
        <v>0</v>
      </c>
      <c r="F80" s="10">
        <v>0</v>
      </c>
      <c r="G80" s="10">
        <v>0</v>
      </c>
      <c r="H80" s="10">
        <v>0</v>
      </c>
      <c r="I80" s="10">
        <v>0</v>
      </c>
      <c r="J80" s="10">
        <v>0</v>
      </c>
      <c r="K80" s="10">
        <v>0</v>
      </c>
      <c r="L80" s="10">
        <v>0</v>
      </c>
      <c r="M80" s="10">
        <v>0</v>
      </c>
      <c r="N80" s="10">
        <v>0</v>
      </c>
      <c r="O80" s="10">
        <v>0</v>
      </c>
      <c r="P80" s="10">
        <v>11</v>
      </c>
    </row>
    <row r="81" spans="1:16">
      <c r="A81" s="10" t="s">
        <v>103</v>
      </c>
      <c r="B81" s="10">
        <v>457</v>
      </c>
      <c r="C81" s="21">
        <v>2.1805598363222509E-3</v>
      </c>
      <c r="D81" s="10">
        <v>156</v>
      </c>
      <c r="E81" s="10">
        <v>0</v>
      </c>
      <c r="F81" s="10">
        <v>0</v>
      </c>
      <c r="G81" s="10">
        <v>0</v>
      </c>
      <c r="H81" s="10">
        <v>0</v>
      </c>
      <c r="I81" s="10">
        <v>0</v>
      </c>
      <c r="J81" s="10">
        <v>0</v>
      </c>
      <c r="K81" s="10">
        <v>0</v>
      </c>
      <c r="L81" s="10">
        <v>0</v>
      </c>
      <c r="M81" s="10">
        <v>0</v>
      </c>
      <c r="N81" s="10">
        <v>0</v>
      </c>
      <c r="O81" s="10">
        <v>0</v>
      </c>
      <c r="P81" s="10">
        <v>33</v>
      </c>
    </row>
    <row r="82" spans="1:16">
      <c r="A82" s="10" t="s">
        <v>104</v>
      </c>
      <c r="B82" s="10">
        <v>121</v>
      </c>
      <c r="C82" s="21">
        <v>3.1637849816631645E-5</v>
      </c>
      <c r="D82" s="10">
        <v>191</v>
      </c>
      <c r="E82" s="10">
        <v>1</v>
      </c>
      <c r="F82" s="10">
        <v>0</v>
      </c>
      <c r="G82" s="10">
        <v>0</v>
      </c>
      <c r="H82" s="10">
        <v>0</v>
      </c>
      <c r="I82" s="10">
        <v>0</v>
      </c>
      <c r="J82" s="10">
        <v>0</v>
      </c>
      <c r="K82" s="10">
        <v>0</v>
      </c>
      <c r="L82" s="10">
        <v>0</v>
      </c>
      <c r="M82" s="10">
        <v>0</v>
      </c>
      <c r="N82" s="10">
        <v>0</v>
      </c>
      <c r="O82" s="10">
        <v>0</v>
      </c>
      <c r="P82" s="10">
        <v>21</v>
      </c>
    </row>
    <row r="83" spans="1:16">
      <c r="A83" s="10" t="s">
        <v>105</v>
      </c>
      <c r="B83" s="10">
        <v>534</v>
      </c>
      <c r="C83" s="21">
        <v>2.1554105081547318E-3</v>
      </c>
      <c r="D83" s="10">
        <v>116</v>
      </c>
      <c r="E83" s="10">
        <v>0</v>
      </c>
      <c r="F83" s="10">
        <v>0</v>
      </c>
      <c r="G83" s="10">
        <v>0</v>
      </c>
      <c r="H83" s="10">
        <v>0</v>
      </c>
      <c r="I83" s="10">
        <v>0</v>
      </c>
      <c r="J83" s="10">
        <v>0</v>
      </c>
      <c r="K83" s="10">
        <v>0</v>
      </c>
      <c r="L83" s="10">
        <v>0</v>
      </c>
      <c r="M83" s="10">
        <v>0</v>
      </c>
      <c r="N83" s="10">
        <v>0</v>
      </c>
      <c r="O83" s="10">
        <v>0</v>
      </c>
      <c r="P83" s="10">
        <v>42</v>
      </c>
    </row>
    <row r="84" spans="1:16">
      <c r="A84" s="10" t="s">
        <v>106</v>
      </c>
      <c r="B84" s="10">
        <v>69</v>
      </c>
      <c r="C84" s="21">
        <v>1.1360561773400694E-3</v>
      </c>
      <c r="D84" s="10">
        <v>170</v>
      </c>
      <c r="E84" s="10">
        <v>0</v>
      </c>
      <c r="F84" s="10">
        <v>0</v>
      </c>
      <c r="G84" s="10">
        <v>1</v>
      </c>
      <c r="H84" s="10">
        <v>0</v>
      </c>
      <c r="I84" s="10">
        <v>0</v>
      </c>
      <c r="J84" s="10">
        <v>0</v>
      </c>
      <c r="K84" s="10">
        <v>0</v>
      </c>
      <c r="L84" s="10">
        <v>0</v>
      </c>
      <c r="M84" s="10">
        <v>0</v>
      </c>
      <c r="N84" s="10">
        <v>0</v>
      </c>
      <c r="O84" s="10">
        <v>1</v>
      </c>
      <c r="P84" s="10">
        <v>27</v>
      </c>
    </row>
    <row r="85" spans="1:16">
      <c r="A85" s="10" t="s">
        <v>107</v>
      </c>
      <c r="B85" s="10">
        <v>106</v>
      </c>
      <c r="C85" s="21">
        <v>1.7974422909534718E-3</v>
      </c>
      <c r="D85" s="10">
        <v>119</v>
      </c>
      <c r="E85" s="10">
        <v>0</v>
      </c>
      <c r="F85" s="10">
        <v>1</v>
      </c>
      <c r="G85" s="10">
        <v>0</v>
      </c>
      <c r="H85" s="10">
        <v>0</v>
      </c>
      <c r="I85" s="10">
        <v>0</v>
      </c>
      <c r="J85" s="10">
        <v>0</v>
      </c>
      <c r="K85" s="10">
        <v>0</v>
      </c>
      <c r="L85" s="10">
        <v>0</v>
      </c>
      <c r="M85" s="10">
        <v>0</v>
      </c>
      <c r="N85" s="10">
        <v>0</v>
      </c>
      <c r="O85" s="10">
        <v>1</v>
      </c>
      <c r="P85" s="10">
        <v>27</v>
      </c>
    </row>
    <row r="86" spans="1:16">
      <c r="A86" s="10" t="s">
        <v>108</v>
      </c>
      <c r="B86" s="10">
        <v>118</v>
      </c>
      <c r="C86" s="21">
        <v>1.2817722431836917E-3</v>
      </c>
      <c r="D86" s="10">
        <v>216</v>
      </c>
      <c r="E86" s="10">
        <v>0</v>
      </c>
      <c r="F86" s="10">
        <v>1</v>
      </c>
      <c r="G86" s="10">
        <v>0</v>
      </c>
      <c r="H86" s="10">
        <v>0</v>
      </c>
      <c r="I86" s="10">
        <v>0</v>
      </c>
      <c r="J86" s="10">
        <v>0</v>
      </c>
      <c r="K86" s="10">
        <v>0</v>
      </c>
      <c r="L86" s="10">
        <v>0</v>
      </c>
      <c r="M86" s="10">
        <v>0</v>
      </c>
      <c r="N86" s="10">
        <v>0</v>
      </c>
      <c r="O86" s="10">
        <v>0</v>
      </c>
      <c r="P86" s="10">
        <v>18</v>
      </c>
    </row>
    <row r="87" spans="1:16">
      <c r="A87" s="10" t="s">
        <v>109</v>
      </c>
      <c r="B87" s="10">
        <v>344</v>
      </c>
      <c r="C87" s="21">
        <v>1.6138737946756101E-3</v>
      </c>
      <c r="D87" s="10">
        <v>182</v>
      </c>
      <c r="E87" s="10">
        <v>0</v>
      </c>
      <c r="F87" s="10">
        <v>0</v>
      </c>
      <c r="G87" s="10">
        <v>0</v>
      </c>
      <c r="H87" s="10">
        <v>0</v>
      </c>
      <c r="I87" s="10">
        <v>0</v>
      </c>
      <c r="J87" s="10">
        <v>0</v>
      </c>
      <c r="K87" s="10">
        <v>0</v>
      </c>
      <c r="L87" s="10">
        <v>0</v>
      </c>
      <c r="M87" s="10">
        <v>0</v>
      </c>
      <c r="N87" s="10">
        <v>0</v>
      </c>
      <c r="O87" s="10">
        <v>1</v>
      </c>
      <c r="P87" s="10">
        <v>30</v>
      </c>
    </row>
    <row r="88" spans="1:16">
      <c r="A88" s="10" t="s">
        <v>110</v>
      </c>
      <c r="B88" s="10">
        <v>59</v>
      </c>
      <c r="C88" s="21">
        <v>9.6832427680536607E-4</v>
      </c>
      <c r="D88" s="10">
        <v>154</v>
      </c>
      <c r="E88" s="10">
        <v>0</v>
      </c>
      <c r="F88" s="10">
        <v>0</v>
      </c>
      <c r="G88" s="10">
        <v>1</v>
      </c>
      <c r="H88" s="10">
        <v>0</v>
      </c>
      <c r="I88" s="10">
        <v>0</v>
      </c>
      <c r="J88" s="10">
        <v>0</v>
      </c>
      <c r="K88" s="10">
        <v>0</v>
      </c>
      <c r="L88" s="10">
        <v>0</v>
      </c>
      <c r="M88" s="10">
        <v>0</v>
      </c>
      <c r="N88" s="10">
        <v>0</v>
      </c>
      <c r="O88" s="10">
        <v>1</v>
      </c>
      <c r="P88" s="10">
        <v>18</v>
      </c>
    </row>
    <row r="89" spans="1:16">
      <c r="A89" s="10" t="s">
        <v>111</v>
      </c>
      <c r="B89" s="10">
        <v>232</v>
      </c>
      <c r="C89" s="21">
        <v>2.4246517841870229E-3</v>
      </c>
      <c r="D89" s="10">
        <v>195</v>
      </c>
      <c r="E89" s="10">
        <v>0</v>
      </c>
      <c r="F89" s="10">
        <v>0</v>
      </c>
      <c r="G89" s="10">
        <v>0</v>
      </c>
      <c r="H89" s="10">
        <v>1</v>
      </c>
      <c r="I89" s="10">
        <v>0</v>
      </c>
      <c r="J89" s="10">
        <v>0</v>
      </c>
      <c r="K89" s="10">
        <v>0</v>
      </c>
      <c r="L89" s="10">
        <v>0</v>
      </c>
      <c r="M89" s="10">
        <v>0</v>
      </c>
      <c r="N89" s="10">
        <v>0</v>
      </c>
      <c r="O89" s="10">
        <v>0</v>
      </c>
      <c r="P89" s="10">
        <v>20</v>
      </c>
    </row>
    <row r="90" spans="1:16">
      <c r="A90" s="10" t="s">
        <v>112</v>
      </c>
      <c r="B90" s="10">
        <v>206</v>
      </c>
      <c r="C90" s="21">
        <v>8.5151540160047787E-4</v>
      </c>
      <c r="D90" s="10">
        <v>175</v>
      </c>
      <c r="E90" s="10">
        <v>0</v>
      </c>
      <c r="F90" s="10">
        <v>0</v>
      </c>
      <c r="G90" s="10">
        <v>0</v>
      </c>
      <c r="H90" s="10">
        <v>1</v>
      </c>
      <c r="I90" s="10">
        <v>0</v>
      </c>
      <c r="J90" s="10">
        <v>0</v>
      </c>
      <c r="K90" s="10">
        <v>0</v>
      </c>
      <c r="L90" s="10">
        <v>0</v>
      </c>
      <c r="M90" s="10">
        <v>0</v>
      </c>
      <c r="N90" s="10">
        <v>0</v>
      </c>
      <c r="O90" s="10">
        <v>0</v>
      </c>
      <c r="P90" s="10">
        <v>26</v>
      </c>
    </row>
    <row r="91" spans="1:16">
      <c r="A91" s="10" t="s">
        <v>113</v>
      </c>
      <c r="B91" s="10">
        <v>114</v>
      </c>
      <c r="C91" s="21">
        <v>2.0700476752190679E-3</v>
      </c>
      <c r="D91" s="10">
        <v>154</v>
      </c>
      <c r="E91" s="10">
        <v>0</v>
      </c>
      <c r="F91" s="10">
        <v>1</v>
      </c>
      <c r="G91" s="10">
        <v>0</v>
      </c>
      <c r="H91" s="10">
        <v>0</v>
      </c>
      <c r="I91" s="10">
        <v>0</v>
      </c>
      <c r="J91" s="10">
        <v>0</v>
      </c>
      <c r="K91" s="10">
        <v>0</v>
      </c>
      <c r="L91" s="10">
        <v>0</v>
      </c>
      <c r="M91" s="10">
        <v>0</v>
      </c>
      <c r="N91" s="10">
        <v>0</v>
      </c>
      <c r="O91" s="10">
        <v>0</v>
      </c>
      <c r="P91" s="10">
        <v>19</v>
      </c>
    </row>
    <row r="92" spans="1:16">
      <c r="A92" s="10" t="s">
        <v>114</v>
      </c>
      <c r="B92" s="10">
        <v>99</v>
      </c>
      <c r="C92" s="21">
        <v>8.9976056235005345E-4</v>
      </c>
      <c r="D92" s="10">
        <v>169</v>
      </c>
      <c r="E92" s="10">
        <v>1</v>
      </c>
      <c r="F92" s="10">
        <v>0</v>
      </c>
      <c r="G92" s="10">
        <v>0</v>
      </c>
      <c r="H92" s="10">
        <v>0</v>
      </c>
      <c r="I92" s="10">
        <v>0</v>
      </c>
      <c r="J92" s="10">
        <v>0</v>
      </c>
      <c r="K92" s="10">
        <v>0</v>
      </c>
      <c r="L92" s="10">
        <v>0</v>
      </c>
      <c r="M92" s="10">
        <v>0</v>
      </c>
      <c r="N92" s="10">
        <v>0</v>
      </c>
      <c r="O92" s="10">
        <v>0</v>
      </c>
      <c r="P92" s="10">
        <v>26</v>
      </c>
    </row>
    <row r="93" spans="1:16">
      <c r="A93" s="10" t="s">
        <v>115</v>
      </c>
      <c r="B93" s="10">
        <v>40</v>
      </c>
      <c r="C93" s="21">
        <v>7.3044533476093434E-5</v>
      </c>
      <c r="D93" s="10">
        <v>170</v>
      </c>
      <c r="E93" s="10">
        <v>0</v>
      </c>
      <c r="F93" s="10">
        <v>0</v>
      </c>
      <c r="G93" s="10">
        <v>1</v>
      </c>
      <c r="H93" s="10">
        <v>0</v>
      </c>
      <c r="I93" s="10">
        <v>0</v>
      </c>
      <c r="J93" s="10">
        <v>0</v>
      </c>
      <c r="K93" s="10">
        <v>0</v>
      </c>
      <c r="L93" s="10">
        <v>0</v>
      </c>
      <c r="M93" s="10">
        <v>0</v>
      </c>
      <c r="N93" s="10">
        <v>0</v>
      </c>
      <c r="O93" s="10">
        <v>1</v>
      </c>
      <c r="P93" s="10">
        <v>23</v>
      </c>
    </row>
    <row r="94" spans="1:16">
      <c r="A94" s="10" t="s">
        <v>116</v>
      </c>
      <c r="B94" s="10">
        <v>223</v>
      </c>
      <c r="C94" s="21">
        <v>4.1827968917177854E-4</v>
      </c>
      <c r="D94" s="10">
        <v>128</v>
      </c>
      <c r="E94" s="10">
        <v>0</v>
      </c>
      <c r="F94" s="10">
        <v>0</v>
      </c>
      <c r="G94" s="10">
        <v>0</v>
      </c>
      <c r="H94" s="10">
        <v>1</v>
      </c>
      <c r="I94" s="10">
        <v>0</v>
      </c>
      <c r="J94" s="10">
        <v>0</v>
      </c>
      <c r="K94" s="10">
        <v>0</v>
      </c>
      <c r="L94" s="10">
        <v>0</v>
      </c>
      <c r="M94" s="10">
        <v>0</v>
      </c>
      <c r="N94" s="10">
        <v>0</v>
      </c>
      <c r="O94" s="10">
        <v>0</v>
      </c>
      <c r="P94" s="10">
        <v>20</v>
      </c>
    </row>
    <row r="95" spans="1:16">
      <c r="A95" s="10" t="s">
        <v>117</v>
      </c>
      <c r="B95" s="10">
        <v>161</v>
      </c>
      <c r="C95" s="21">
        <v>1.2168857172278607E-3</v>
      </c>
      <c r="D95" s="10">
        <v>159</v>
      </c>
      <c r="E95" s="10">
        <v>0</v>
      </c>
      <c r="F95" s="10">
        <v>0</v>
      </c>
      <c r="G95" s="10">
        <v>0</v>
      </c>
      <c r="H95" s="10">
        <v>1</v>
      </c>
      <c r="I95" s="10">
        <v>0</v>
      </c>
      <c r="J95" s="10">
        <v>0</v>
      </c>
      <c r="K95" s="10">
        <v>0</v>
      </c>
      <c r="L95" s="10">
        <v>0</v>
      </c>
      <c r="M95" s="10">
        <v>0</v>
      </c>
      <c r="N95" s="10">
        <v>0</v>
      </c>
      <c r="O95" s="10">
        <v>0</v>
      </c>
      <c r="P95" s="10">
        <v>17</v>
      </c>
    </row>
    <row r="96" spans="1:16">
      <c r="A96" s="10" t="s">
        <v>118</v>
      </c>
      <c r="B96" s="10">
        <v>87</v>
      </c>
      <c r="C96" s="21">
        <v>6.0195177066665797E-4</v>
      </c>
      <c r="D96" s="10">
        <v>137</v>
      </c>
      <c r="E96" s="10">
        <v>0</v>
      </c>
      <c r="F96" s="10">
        <v>1</v>
      </c>
      <c r="G96" s="10">
        <v>0</v>
      </c>
      <c r="H96" s="10">
        <v>0</v>
      </c>
      <c r="I96" s="10">
        <v>0</v>
      </c>
      <c r="J96" s="10">
        <v>0</v>
      </c>
      <c r="K96" s="10">
        <v>0</v>
      </c>
      <c r="L96" s="10">
        <v>0</v>
      </c>
      <c r="M96" s="10">
        <v>0</v>
      </c>
      <c r="N96" s="10">
        <v>0</v>
      </c>
      <c r="O96" s="10">
        <v>1</v>
      </c>
      <c r="P96" s="10">
        <v>15</v>
      </c>
    </row>
    <row r="97" spans="1:16">
      <c r="A97" s="10" t="s">
        <v>119</v>
      </c>
      <c r="B97" s="10">
        <v>549</v>
      </c>
      <c r="C97" s="21">
        <v>1.7956007324524416E-3</v>
      </c>
      <c r="D97" s="10">
        <v>109</v>
      </c>
      <c r="E97" s="10">
        <v>0</v>
      </c>
      <c r="F97" s="10">
        <v>0</v>
      </c>
      <c r="G97" s="10">
        <v>0</v>
      </c>
      <c r="H97" s="10">
        <v>0</v>
      </c>
      <c r="I97" s="10">
        <v>0</v>
      </c>
      <c r="J97" s="10">
        <v>0</v>
      </c>
      <c r="K97" s="10">
        <v>0</v>
      </c>
      <c r="L97" s="10">
        <v>0</v>
      </c>
      <c r="M97" s="10">
        <v>0</v>
      </c>
      <c r="N97" s="10">
        <v>0</v>
      </c>
      <c r="O97" s="10">
        <v>1</v>
      </c>
      <c r="P97" s="10">
        <v>39</v>
      </c>
    </row>
    <row r="98" spans="1:16">
      <c r="A98" s="10" t="s">
        <v>120</v>
      </c>
      <c r="B98" s="10">
        <v>45</v>
      </c>
      <c r="C98" s="21">
        <v>1.6508306826683776E-3</v>
      </c>
      <c r="D98" s="10">
        <v>128</v>
      </c>
      <c r="E98" s="10">
        <v>0</v>
      </c>
      <c r="F98" s="10">
        <v>0</v>
      </c>
      <c r="G98" s="10">
        <v>1</v>
      </c>
      <c r="H98" s="10">
        <v>0</v>
      </c>
      <c r="I98" s="10">
        <v>0</v>
      </c>
      <c r="J98" s="10">
        <v>0</v>
      </c>
      <c r="K98" s="10">
        <v>0</v>
      </c>
      <c r="L98" s="10">
        <v>0</v>
      </c>
      <c r="M98" s="10">
        <v>0</v>
      </c>
      <c r="N98" s="10">
        <v>0</v>
      </c>
      <c r="O98" s="10">
        <v>0</v>
      </c>
      <c r="P98" s="10">
        <v>30</v>
      </c>
    </row>
    <row r="99" spans="1:16">
      <c r="A99" s="10" t="s">
        <v>121</v>
      </c>
      <c r="B99" s="10">
        <v>101</v>
      </c>
      <c r="C99" s="21">
        <v>2.0822461568619837E-3</v>
      </c>
      <c r="D99" s="10">
        <v>133</v>
      </c>
      <c r="E99" s="10">
        <v>0</v>
      </c>
      <c r="F99" s="10">
        <v>1</v>
      </c>
      <c r="G99" s="10">
        <v>0</v>
      </c>
      <c r="H99" s="10">
        <v>0</v>
      </c>
      <c r="I99" s="10">
        <v>0</v>
      </c>
      <c r="J99" s="10">
        <v>0</v>
      </c>
      <c r="K99" s="10">
        <v>0</v>
      </c>
      <c r="L99" s="10">
        <v>0</v>
      </c>
      <c r="M99" s="10">
        <v>0</v>
      </c>
      <c r="N99" s="10">
        <v>0</v>
      </c>
      <c r="O99" s="10">
        <v>0</v>
      </c>
      <c r="P99" s="10">
        <v>37</v>
      </c>
    </row>
    <row r="100" spans="1:16">
      <c r="A100" s="10" t="s">
        <v>122</v>
      </c>
      <c r="B100" s="10">
        <v>635</v>
      </c>
      <c r="C100" s="21">
        <v>1.9397613293176807E-3</v>
      </c>
      <c r="D100" s="10">
        <v>146</v>
      </c>
      <c r="E100" s="10">
        <v>0</v>
      </c>
      <c r="F100" s="10">
        <v>0</v>
      </c>
      <c r="G100" s="10">
        <v>0</v>
      </c>
      <c r="H100" s="10">
        <v>0</v>
      </c>
      <c r="I100" s="10">
        <v>0</v>
      </c>
      <c r="J100" s="10">
        <v>0</v>
      </c>
      <c r="K100" s="10">
        <v>0</v>
      </c>
      <c r="L100" s="10">
        <v>0</v>
      </c>
      <c r="M100" s="10">
        <v>0</v>
      </c>
      <c r="N100" s="10">
        <v>0</v>
      </c>
      <c r="O100" s="10">
        <v>0</v>
      </c>
      <c r="P100" s="10">
        <v>31</v>
      </c>
    </row>
    <row r="101" spans="1:16">
      <c r="A101" s="10" t="s">
        <v>123</v>
      </c>
      <c r="B101" s="10">
        <v>404</v>
      </c>
      <c r="C101" s="21">
        <v>1.0288350759240404E-3</v>
      </c>
      <c r="D101" s="10">
        <v>164</v>
      </c>
      <c r="E101" s="10">
        <v>0</v>
      </c>
      <c r="F101" s="10">
        <v>0</v>
      </c>
      <c r="G101" s="10">
        <v>0</v>
      </c>
      <c r="H101" s="10">
        <v>0</v>
      </c>
      <c r="I101" s="10">
        <v>0</v>
      </c>
      <c r="J101" s="10">
        <v>0</v>
      </c>
      <c r="K101" s="10">
        <v>0</v>
      </c>
      <c r="L101" s="10">
        <v>0</v>
      </c>
      <c r="M101" s="10">
        <v>0</v>
      </c>
      <c r="N101" s="10">
        <v>0</v>
      </c>
      <c r="O101" s="10">
        <v>0</v>
      </c>
      <c r="P101" s="10">
        <v>15</v>
      </c>
    </row>
    <row r="102" spans="1:16">
      <c r="A102" s="10" t="s">
        <v>124</v>
      </c>
      <c r="B102" s="10">
        <v>130</v>
      </c>
      <c r="C102" s="21">
        <v>6.0359803963039521E-4</v>
      </c>
      <c r="D102" s="10">
        <v>149</v>
      </c>
      <c r="E102" s="10">
        <v>1</v>
      </c>
      <c r="F102" s="10">
        <v>0</v>
      </c>
      <c r="G102" s="10">
        <v>0</v>
      </c>
      <c r="H102" s="10">
        <v>0</v>
      </c>
      <c r="I102" s="10">
        <v>0</v>
      </c>
      <c r="J102" s="10">
        <v>0</v>
      </c>
      <c r="K102" s="10">
        <v>0</v>
      </c>
      <c r="L102" s="10">
        <v>0</v>
      </c>
      <c r="M102" s="10">
        <v>0</v>
      </c>
      <c r="N102" s="10">
        <v>0</v>
      </c>
      <c r="O102" s="10">
        <v>0</v>
      </c>
      <c r="P102" s="10">
        <v>33</v>
      </c>
    </row>
    <row r="103" spans="1:16">
      <c r="A103" s="10" t="s">
        <v>125</v>
      </c>
      <c r="B103" s="10">
        <v>135</v>
      </c>
      <c r="C103" s="21">
        <v>1.3058085694423688E-3</v>
      </c>
      <c r="D103" s="10">
        <v>168</v>
      </c>
      <c r="E103" s="10">
        <v>0</v>
      </c>
      <c r="F103" s="10">
        <v>1</v>
      </c>
      <c r="G103" s="10">
        <v>0</v>
      </c>
      <c r="H103" s="10">
        <v>0</v>
      </c>
      <c r="I103" s="10">
        <v>0</v>
      </c>
      <c r="J103" s="10">
        <v>0</v>
      </c>
      <c r="K103" s="10">
        <v>0</v>
      </c>
      <c r="L103" s="10">
        <v>0</v>
      </c>
      <c r="M103" s="10">
        <v>0</v>
      </c>
      <c r="N103" s="10">
        <v>0</v>
      </c>
      <c r="O103" s="10">
        <v>0</v>
      </c>
      <c r="P103" s="10">
        <v>32</v>
      </c>
    </row>
    <row r="104" spans="1:16">
      <c r="A104" s="10" t="s">
        <v>126</v>
      </c>
      <c r="B104" s="10">
        <v>509</v>
      </c>
      <c r="C104" s="21">
        <v>1.7752611741431712E-3</v>
      </c>
      <c r="D104" s="10">
        <v>130</v>
      </c>
      <c r="E104" s="10">
        <v>0</v>
      </c>
      <c r="F104" s="10">
        <v>0</v>
      </c>
      <c r="G104" s="10">
        <v>0</v>
      </c>
      <c r="H104" s="10">
        <v>0</v>
      </c>
      <c r="I104" s="10">
        <v>0</v>
      </c>
      <c r="J104" s="10">
        <v>0</v>
      </c>
      <c r="K104" s="10">
        <v>0</v>
      </c>
      <c r="L104" s="10">
        <v>0</v>
      </c>
      <c r="M104" s="10">
        <v>0</v>
      </c>
      <c r="N104" s="10">
        <v>0</v>
      </c>
      <c r="O104" s="10">
        <v>1</v>
      </c>
      <c r="P104" s="10">
        <v>33</v>
      </c>
    </row>
    <row r="105" spans="1:16">
      <c r="A105" s="10" t="s">
        <v>127</v>
      </c>
      <c r="B105" s="10">
        <v>77</v>
      </c>
      <c r="C105" s="21">
        <v>1.726233175473687E-5</v>
      </c>
      <c r="D105" s="10">
        <v>126</v>
      </c>
      <c r="E105" s="10">
        <v>0</v>
      </c>
      <c r="F105" s="10">
        <v>1</v>
      </c>
      <c r="G105" s="10">
        <v>0</v>
      </c>
      <c r="H105" s="10">
        <v>0</v>
      </c>
      <c r="I105" s="10">
        <v>0</v>
      </c>
      <c r="J105" s="10">
        <v>0</v>
      </c>
      <c r="K105" s="10">
        <v>0</v>
      </c>
      <c r="L105" s="10">
        <v>0</v>
      </c>
      <c r="M105" s="10">
        <v>0</v>
      </c>
      <c r="N105" s="10">
        <v>0</v>
      </c>
      <c r="O105" s="10">
        <v>0</v>
      </c>
      <c r="P105" s="10">
        <v>24</v>
      </c>
    </row>
    <row r="106" spans="1:16">
      <c r="A106" s="10" t="s">
        <v>128</v>
      </c>
      <c r="B106" s="10">
        <v>439</v>
      </c>
      <c r="C106" s="21">
        <v>1.2149359774641778E-3</v>
      </c>
      <c r="D106" s="10">
        <v>115</v>
      </c>
      <c r="E106" s="10">
        <v>0</v>
      </c>
      <c r="F106" s="10">
        <v>0</v>
      </c>
      <c r="G106" s="10">
        <v>0</v>
      </c>
      <c r="H106" s="10">
        <v>0</v>
      </c>
      <c r="I106" s="10">
        <v>0</v>
      </c>
      <c r="J106" s="10">
        <v>0</v>
      </c>
      <c r="K106" s="10">
        <v>0</v>
      </c>
      <c r="L106" s="10">
        <v>0</v>
      </c>
      <c r="M106" s="10">
        <v>0</v>
      </c>
      <c r="N106" s="10">
        <v>0</v>
      </c>
      <c r="O106" s="10">
        <v>1</v>
      </c>
      <c r="P106" s="10">
        <v>25</v>
      </c>
    </row>
    <row r="107" spans="1:16">
      <c r="A107" s="10" t="s">
        <v>129</v>
      </c>
      <c r="B107" s="10">
        <v>457</v>
      </c>
      <c r="C107" s="21">
        <v>1.3752687591461925E-3</v>
      </c>
      <c r="D107" s="10">
        <v>136</v>
      </c>
      <c r="E107" s="10">
        <v>0</v>
      </c>
      <c r="F107" s="10">
        <v>0</v>
      </c>
      <c r="G107" s="10">
        <v>0</v>
      </c>
      <c r="H107" s="10">
        <v>0</v>
      </c>
      <c r="I107" s="10">
        <v>0</v>
      </c>
      <c r="J107" s="10">
        <v>0</v>
      </c>
      <c r="K107" s="10">
        <v>0</v>
      </c>
      <c r="L107" s="10">
        <v>0</v>
      </c>
      <c r="M107" s="10">
        <v>0</v>
      </c>
      <c r="N107" s="10">
        <v>0</v>
      </c>
      <c r="O107" s="10">
        <v>0</v>
      </c>
      <c r="P107" s="10">
        <v>23</v>
      </c>
    </row>
    <row r="108" spans="1:16">
      <c r="A108" s="10" t="s">
        <v>130</v>
      </c>
      <c r="B108" s="10">
        <v>45</v>
      </c>
      <c r="C108" s="21">
        <v>1.5384416578740198E-3</v>
      </c>
      <c r="D108" s="10">
        <v>161</v>
      </c>
      <c r="E108" s="10">
        <v>0</v>
      </c>
      <c r="F108" s="10">
        <v>0</v>
      </c>
      <c r="G108" s="10">
        <v>1</v>
      </c>
      <c r="H108" s="10">
        <v>0</v>
      </c>
      <c r="I108" s="10">
        <v>0</v>
      </c>
      <c r="J108" s="10">
        <v>0</v>
      </c>
      <c r="K108" s="10">
        <v>0</v>
      </c>
      <c r="L108" s="10">
        <v>0</v>
      </c>
      <c r="M108" s="10">
        <v>0</v>
      </c>
      <c r="N108" s="10">
        <v>0</v>
      </c>
      <c r="O108" s="10">
        <v>0</v>
      </c>
      <c r="P108" s="10">
        <v>27</v>
      </c>
    </row>
    <row r="109" spans="1:16">
      <c r="A109" s="10" t="s">
        <v>131</v>
      </c>
      <c r="B109" s="10">
        <v>263</v>
      </c>
      <c r="C109" s="21">
        <v>3.5043090281708131E-3</v>
      </c>
      <c r="D109" s="10">
        <v>108</v>
      </c>
      <c r="E109" s="10">
        <v>0</v>
      </c>
      <c r="F109" s="10">
        <v>0</v>
      </c>
      <c r="G109" s="10">
        <v>0</v>
      </c>
      <c r="H109" s="10">
        <v>1</v>
      </c>
      <c r="I109" s="10">
        <v>0</v>
      </c>
      <c r="J109" s="10">
        <v>0</v>
      </c>
      <c r="K109" s="10">
        <v>0</v>
      </c>
      <c r="L109" s="10">
        <v>0</v>
      </c>
      <c r="M109" s="10">
        <v>0</v>
      </c>
      <c r="N109" s="10">
        <v>0</v>
      </c>
      <c r="O109" s="10">
        <v>0</v>
      </c>
      <c r="P109" s="10">
        <v>33</v>
      </c>
    </row>
    <row r="110" spans="1:16">
      <c r="A110" s="10" t="s">
        <v>132</v>
      </c>
      <c r="B110" s="10">
        <v>96</v>
      </c>
      <c r="C110" s="21">
        <v>5.5939919082352194E-4</v>
      </c>
      <c r="D110" s="10">
        <v>198</v>
      </c>
      <c r="E110" s="10">
        <v>1</v>
      </c>
      <c r="F110" s="10">
        <v>0</v>
      </c>
      <c r="G110" s="10">
        <v>0</v>
      </c>
      <c r="H110" s="10">
        <v>0</v>
      </c>
      <c r="I110" s="10">
        <v>0</v>
      </c>
      <c r="J110" s="10">
        <v>0</v>
      </c>
      <c r="K110" s="10">
        <v>0</v>
      </c>
      <c r="L110" s="10">
        <v>0</v>
      </c>
      <c r="M110" s="10">
        <v>0</v>
      </c>
      <c r="N110" s="10">
        <v>0</v>
      </c>
      <c r="O110" s="10">
        <v>0</v>
      </c>
      <c r="P110" s="10">
        <v>11</v>
      </c>
    </row>
    <row r="111" spans="1:16">
      <c r="A111" s="10" t="s">
        <v>133</v>
      </c>
      <c r="B111" s="10">
        <v>36</v>
      </c>
      <c r="C111" s="21">
        <v>5.6056227225888917E-4</v>
      </c>
      <c r="D111" s="10">
        <v>203</v>
      </c>
      <c r="E111" s="10">
        <v>0</v>
      </c>
      <c r="F111" s="10">
        <v>0</v>
      </c>
      <c r="G111" s="10">
        <v>1</v>
      </c>
      <c r="H111" s="10">
        <v>0</v>
      </c>
      <c r="I111" s="10">
        <v>0</v>
      </c>
      <c r="J111" s="10">
        <v>0</v>
      </c>
      <c r="K111" s="10">
        <v>0</v>
      </c>
      <c r="L111" s="10">
        <v>0</v>
      </c>
      <c r="M111" s="10">
        <v>0</v>
      </c>
      <c r="N111" s="10">
        <v>0</v>
      </c>
      <c r="O111" s="10">
        <v>0</v>
      </c>
      <c r="P111" s="10">
        <v>11</v>
      </c>
    </row>
    <row r="112" spans="1:16">
      <c r="A112" s="10" t="s">
        <v>134</v>
      </c>
      <c r="B112" s="10">
        <v>160</v>
      </c>
      <c r="C112" s="21">
        <v>1.1738697741306139E-3</v>
      </c>
      <c r="D112" s="10">
        <v>109</v>
      </c>
      <c r="E112" s="10">
        <v>0</v>
      </c>
      <c r="F112" s="10">
        <v>0</v>
      </c>
      <c r="G112" s="10">
        <v>0</v>
      </c>
      <c r="H112" s="10">
        <v>1</v>
      </c>
      <c r="I112" s="10">
        <v>0</v>
      </c>
      <c r="J112" s="10">
        <v>0</v>
      </c>
      <c r="K112" s="10">
        <v>0</v>
      </c>
      <c r="L112" s="10">
        <v>0</v>
      </c>
      <c r="M112" s="10">
        <v>0</v>
      </c>
      <c r="N112" s="10">
        <v>0</v>
      </c>
      <c r="O112" s="10">
        <v>0</v>
      </c>
      <c r="P112" s="10">
        <v>29</v>
      </c>
    </row>
    <row r="113" spans="1:16">
      <c r="A113" s="10" t="s">
        <v>135</v>
      </c>
      <c r="B113" s="10">
        <v>46</v>
      </c>
      <c r="C113" s="21">
        <v>1.4199989795998236E-3</v>
      </c>
      <c r="D113" s="10">
        <v>109</v>
      </c>
      <c r="E113" s="10">
        <v>0</v>
      </c>
      <c r="F113" s="10">
        <v>0</v>
      </c>
      <c r="G113" s="10">
        <v>0</v>
      </c>
      <c r="H113" s="10">
        <v>1</v>
      </c>
      <c r="I113" s="10">
        <v>0</v>
      </c>
      <c r="J113" s="10">
        <v>0</v>
      </c>
      <c r="K113" s="10">
        <v>0</v>
      </c>
      <c r="L113" s="10">
        <v>0</v>
      </c>
      <c r="M113" s="10">
        <v>0</v>
      </c>
      <c r="N113" s="10">
        <v>0</v>
      </c>
      <c r="O113" s="10">
        <v>1</v>
      </c>
      <c r="P113" s="10">
        <v>38</v>
      </c>
    </row>
    <row r="114" spans="1:16">
      <c r="A114" s="10" t="s">
        <v>136</v>
      </c>
      <c r="B114" s="10">
        <v>90</v>
      </c>
      <c r="C114" s="21">
        <v>1.3980157387597099E-3</v>
      </c>
      <c r="D114" s="10">
        <v>140</v>
      </c>
      <c r="E114" s="10">
        <v>0</v>
      </c>
      <c r="F114" s="10">
        <v>1</v>
      </c>
      <c r="G114" s="10">
        <v>0</v>
      </c>
      <c r="H114" s="10">
        <v>0</v>
      </c>
      <c r="I114" s="10">
        <v>0</v>
      </c>
      <c r="J114" s="10">
        <v>0</v>
      </c>
      <c r="K114" s="10">
        <v>0</v>
      </c>
      <c r="L114" s="10">
        <v>0</v>
      </c>
      <c r="M114" s="10">
        <v>0</v>
      </c>
      <c r="N114" s="10">
        <v>0</v>
      </c>
      <c r="O114" s="10">
        <v>1</v>
      </c>
      <c r="P114" s="10">
        <v>26</v>
      </c>
    </row>
    <row r="115" spans="1:16">
      <c r="A115" s="10" t="s">
        <v>137</v>
      </c>
      <c r="B115" s="10">
        <v>538</v>
      </c>
      <c r="C115" s="21">
        <v>1.3843186111607169E-3</v>
      </c>
      <c r="D115" s="10">
        <v>102</v>
      </c>
      <c r="E115" s="10">
        <v>0</v>
      </c>
      <c r="F115" s="10">
        <v>0</v>
      </c>
      <c r="G115" s="10">
        <v>0</v>
      </c>
      <c r="H115" s="10">
        <v>0</v>
      </c>
      <c r="I115" s="10">
        <v>0</v>
      </c>
      <c r="J115" s="10">
        <v>0</v>
      </c>
      <c r="K115" s="10">
        <v>0</v>
      </c>
      <c r="L115" s="10">
        <v>0</v>
      </c>
      <c r="M115" s="10">
        <v>0</v>
      </c>
      <c r="N115" s="10">
        <v>0</v>
      </c>
      <c r="O115" s="10">
        <v>0</v>
      </c>
      <c r="P115" s="10">
        <v>36</v>
      </c>
    </row>
    <row r="116" spans="1:16">
      <c r="A116" s="10" t="s">
        <v>138</v>
      </c>
      <c r="B116" s="10">
        <v>568</v>
      </c>
      <c r="C116" s="21">
        <v>2.4408145598149031E-3</v>
      </c>
      <c r="D116" s="10">
        <v>142</v>
      </c>
      <c r="E116" s="10">
        <v>0</v>
      </c>
      <c r="F116" s="10">
        <v>0</v>
      </c>
      <c r="G116" s="10">
        <v>0</v>
      </c>
      <c r="H116" s="10">
        <v>0</v>
      </c>
      <c r="I116" s="10">
        <v>0</v>
      </c>
      <c r="J116" s="10">
        <v>0</v>
      </c>
      <c r="K116" s="10">
        <v>0</v>
      </c>
      <c r="L116" s="10">
        <v>0</v>
      </c>
      <c r="M116" s="10">
        <v>0</v>
      </c>
      <c r="N116" s="10">
        <v>0</v>
      </c>
      <c r="O116" s="10">
        <v>0</v>
      </c>
      <c r="P116" s="10">
        <v>32</v>
      </c>
    </row>
    <row r="117" spans="1:16">
      <c r="A117" s="10" t="s">
        <v>139</v>
      </c>
      <c r="B117" s="10">
        <v>101</v>
      </c>
      <c r="C117" s="21">
        <v>6.9934531102609776E-4</v>
      </c>
      <c r="D117" s="10">
        <v>171</v>
      </c>
      <c r="E117" s="10">
        <v>1</v>
      </c>
      <c r="F117" s="10">
        <v>0</v>
      </c>
      <c r="G117" s="10">
        <v>0</v>
      </c>
      <c r="H117" s="10">
        <v>0</v>
      </c>
      <c r="I117" s="10">
        <v>0</v>
      </c>
      <c r="J117" s="10">
        <v>0</v>
      </c>
      <c r="K117" s="10">
        <v>0</v>
      </c>
      <c r="L117" s="10">
        <v>0</v>
      </c>
      <c r="M117" s="10">
        <v>0</v>
      </c>
      <c r="N117" s="10">
        <v>0</v>
      </c>
      <c r="O117" s="10">
        <v>1</v>
      </c>
      <c r="P117" s="10">
        <v>18</v>
      </c>
    </row>
    <row r="118" spans="1:16">
      <c r="A118" s="10" t="s">
        <v>140</v>
      </c>
      <c r="B118" s="10">
        <v>113</v>
      </c>
      <c r="C118" s="21">
        <v>1.0694937802934181E-3</v>
      </c>
      <c r="D118" s="10">
        <v>212</v>
      </c>
      <c r="E118" s="10">
        <v>0</v>
      </c>
      <c r="F118" s="10">
        <v>1</v>
      </c>
      <c r="G118" s="10">
        <v>0</v>
      </c>
      <c r="H118" s="10">
        <v>0</v>
      </c>
      <c r="I118" s="10">
        <v>0</v>
      </c>
      <c r="J118" s="10">
        <v>0</v>
      </c>
      <c r="K118" s="10">
        <v>0</v>
      </c>
      <c r="L118" s="10">
        <v>0</v>
      </c>
      <c r="M118" s="10">
        <v>0</v>
      </c>
      <c r="N118" s="10">
        <v>0</v>
      </c>
      <c r="O118" s="10">
        <v>1</v>
      </c>
      <c r="P118" s="10">
        <v>21</v>
      </c>
    </row>
    <row r="119" spans="1:16">
      <c r="A119" s="10" t="s">
        <v>141</v>
      </c>
      <c r="B119" s="10">
        <v>728</v>
      </c>
      <c r="C119" s="21">
        <v>7.8202804054170339E-4</v>
      </c>
      <c r="D119" s="10">
        <v>141</v>
      </c>
      <c r="E119" s="10">
        <v>0</v>
      </c>
      <c r="F119" s="10">
        <v>0</v>
      </c>
      <c r="G119" s="10">
        <v>0</v>
      </c>
      <c r="H119" s="10">
        <v>0</v>
      </c>
      <c r="I119" s="10">
        <v>0</v>
      </c>
      <c r="J119" s="10">
        <v>0</v>
      </c>
      <c r="K119" s="10">
        <v>0</v>
      </c>
      <c r="L119" s="10">
        <v>0</v>
      </c>
      <c r="M119" s="10">
        <v>0</v>
      </c>
      <c r="N119" s="10">
        <v>0</v>
      </c>
      <c r="O119" s="10">
        <v>0</v>
      </c>
      <c r="P119" s="10">
        <v>12</v>
      </c>
    </row>
    <row r="120" spans="1:16">
      <c r="A120" s="10" t="s">
        <v>142</v>
      </c>
      <c r="B120" s="10">
        <v>82</v>
      </c>
      <c r="C120" s="21">
        <v>1.1111139440227377E-3</v>
      </c>
      <c r="D120" s="10">
        <v>184</v>
      </c>
      <c r="E120" s="10">
        <v>0</v>
      </c>
      <c r="F120" s="10">
        <v>1</v>
      </c>
      <c r="G120" s="10">
        <v>0</v>
      </c>
      <c r="H120" s="10">
        <v>0</v>
      </c>
      <c r="I120" s="10">
        <v>0</v>
      </c>
      <c r="J120" s="10">
        <v>0</v>
      </c>
      <c r="K120" s="10">
        <v>0</v>
      </c>
      <c r="L120" s="10">
        <v>0</v>
      </c>
      <c r="M120" s="10">
        <v>0</v>
      </c>
      <c r="N120" s="10">
        <v>0</v>
      </c>
      <c r="O120" s="10">
        <v>0</v>
      </c>
      <c r="P120" s="10">
        <v>12</v>
      </c>
    </row>
    <row r="121" spans="1:16">
      <c r="A121" s="10" t="s">
        <v>143</v>
      </c>
      <c r="B121" s="10">
        <v>312</v>
      </c>
      <c r="C121" s="21">
        <v>2.3271164127271911E-3</v>
      </c>
      <c r="D121" s="10">
        <v>164</v>
      </c>
      <c r="E121" s="10">
        <v>0</v>
      </c>
      <c r="F121" s="10">
        <v>0</v>
      </c>
      <c r="G121" s="10">
        <v>0</v>
      </c>
      <c r="H121" s="10">
        <v>0</v>
      </c>
      <c r="I121" s="10">
        <v>0</v>
      </c>
      <c r="J121" s="10">
        <v>0</v>
      </c>
      <c r="K121" s="10">
        <v>0</v>
      </c>
      <c r="L121" s="10">
        <v>0</v>
      </c>
      <c r="M121" s="10">
        <v>0</v>
      </c>
      <c r="N121" s="10">
        <v>0</v>
      </c>
      <c r="O121" s="10">
        <v>0</v>
      </c>
      <c r="P121" s="10">
        <v>32</v>
      </c>
    </row>
    <row r="122" spans="1:16">
      <c r="A122" s="10" t="s">
        <v>144</v>
      </c>
      <c r="B122" s="10">
        <v>438</v>
      </c>
      <c r="C122" s="21">
        <v>6.6468292393004401E-4</v>
      </c>
      <c r="D122" s="10">
        <v>179</v>
      </c>
      <c r="E122" s="10">
        <v>0</v>
      </c>
      <c r="F122" s="10">
        <v>0</v>
      </c>
      <c r="G122" s="10">
        <v>0</v>
      </c>
      <c r="H122" s="10">
        <v>0</v>
      </c>
      <c r="I122" s="10">
        <v>0</v>
      </c>
      <c r="J122" s="10">
        <v>0</v>
      </c>
      <c r="K122" s="10">
        <v>0</v>
      </c>
      <c r="L122" s="10">
        <v>0</v>
      </c>
      <c r="M122" s="10">
        <v>0</v>
      </c>
      <c r="N122" s="10">
        <v>0</v>
      </c>
      <c r="O122" s="10">
        <v>0</v>
      </c>
      <c r="P122" s="10">
        <v>23</v>
      </c>
    </row>
    <row r="123" spans="1:16">
      <c r="A123" s="10" t="s">
        <v>145</v>
      </c>
      <c r="B123" s="10">
        <v>62</v>
      </c>
      <c r="C123" s="21">
        <v>1.3049739770765653E-3</v>
      </c>
      <c r="D123" s="10">
        <v>159</v>
      </c>
      <c r="E123" s="10">
        <v>0</v>
      </c>
      <c r="F123" s="10">
        <v>0</v>
      </c>
      <c r="G123" s="10">
        <v>1</v>
      </c>
      <c r="H123" s="10">
        <v>0</v>
      </c>
      <c r="I123" s="10">
        <v>0</v>
      </c>
      <c r="J123" s="10">
        <v>0</v>
      </c>
      <c r="K123" s="10">
        <v>0</v>
      </c>
      <c r="L123" s="10">
        <v>0</v>
      </c>
      <c r="M123" s="10">
        <v>0</v>
      </c>
      <c r="N123" s="10">
        <v>0</v>
      </c>
      <c r="O123" s="10">
        <v>0</v>
      </c>
      <c r="P123" s="10">
        <v>26</v>
      </c>
    </row>
    <row r="124" spans="1:16">
      <c r="A124" s="10" t="s">
        <v>146</v>
      </c>
      <c r="B124" s="10">
        <v>80</v>
      </c>
      <c r="C124" s="21">
        <v>1.1383366508754384E-3</v>
      </c>
      <c r="D124" s="10">
        <v>140</v>
      </c>
      <c r="E124" s="10">
        <v>0</v>
      </c>
      <c r="F124" s="10">
        <v>1</v>
      </c>
      <c r="G124" s="10">
        <v>0</v>
      </c>
      <c r="H124" s="10">
        <v>0</v>
      </c>
      <c r="I124" s="10">
        <v>0</v>
      </c>
      <c r="J124" s="10">
        <v>0</v>
      </c>
      <c r="K124" s="10">
        <v>0</v>
      </c>
      <c r="L124" s="10">
        <v>0</v>
      </c>
      <c r="M124" s="10">
        <v>0</v>
      </c>
      <c r="N124" s="10">
        <v>0</v>
      </c>
      <c r="O124" s="10">
        <v>0</v>
      </c>
      <c r="P124" s="10">
        <v>30</v>
      </c>
    </row>
    <row r="125" spans="1:16">
      <c r="A125" s="10" t="s">
        <v>147</v>
      </c>
      <c r="B125" s="10">
        <v>109</v>
      </c>
      <c r="C125" s="21">
        <v>4.5431831788881206E-4</v>
      </c>
      <c r="D125" s="10">
        <v>175</v>
      </c>
      <c r="E125" s="10">
        <v>0</v>
      </c>
      <c r="F125" s="10">
        <v>1</v>
      </c>
      <c r="G125" s="10">
        <v>0</v>
      </c>
      <c r="H125" s="10">
        <v>0</v>
      </c>
      <c r="I125" s="10">
        <v>0</v>
      </c>
      <c r="J125" s="10">
        <v>0</v>
      </c>
      <c r="K125" s="10">
        <v>0</v>
      </c>
      <c r="L125" s="10">
        <v>0</v>
      </c>
      <c r="M125" s="10">
        <v>0</v>
      </c>
      <c r="N125" s="10">
        <v>0</v>
      </c>
      <c r="O125" s="10">
        <v>0</v>
      </c>
      <c r="P125" s="10">
        <v>13</v>
      </c>
    </row>
    <row r="126" spans="1:16">
      <c r="A126" s="10" t="s">
        <v>148</v>
      </c>
      <c r="B126" s="10">
        <v>94</v>
      </c>
      <c r="C126" s="21">
        <v>8.6073269049365879E-4</v>
      </c>
      <c r="D126" s="10">
        <v>161</v>
      </c>
      <c r="E126" s="10">
        <v>0</v>
      </c>
      <c r="F126" s="10">
        <v>0</v>
      </c>
      <c r="G126" s="10">
        <v>0</v>
      </c>
      <c r="H126" s="10">
        <v>0</v>
      </c>
      <c r="I126" s="10">
        <v>0</v>
      </c>
      <c r="J126" s="10">
        <v>0</v>
      </c>
      <c r="K126" s="10">
        <v>0</v>
      </c>
      <c r="L126" s="10">
        <v>0</v>
      </c>
      <c r="M126" s="10">
        <v>0</v>
      </c>
      <c r="N126" s="10">
        <v>1</v>
      </c>
      <c r="O126" s="10">
        <v>0</v>
      </c>
      <c r="P126" s="10">
        <v>16</v>
      </c>
    </row>
    <row r="127" spans="1:16">
      <c r="A127" s="10" t="s">
        <v>150</v>
      </c>
      <c r="B127" s="10">
        <v>108</v>
      </c>
      <c r="C127" s="21">
        <v>1.7046086681320625E-3</v>
      </c>
      <c r="D127" s="10">
        <v>173</v>
      </c>
      <c r="E127" s="10">
        <v>1</v>
      </c>
      <c r="F127" s="10">
        <v>0</v>
      </c>
      <c r="G127" s="10">
        <v>0</v>
      </c>
      <c r="H127" s="10">
        <v>0</v>
      </c>
      <c r="I127" s="10">
        <v>0</v>
      </c>
      <c r="J127" s="10">
        <v>0</v>
      </c>
      <c r="K127" s="10">
        <v>0</v>
      </c>
      <c r="L127" s="10">
        <v>0</v>
      </c>
      <c r="M127" s="10">
        <v>0</v>
      </c>
      <c r="N127" s="10">
        <v>0</v>
      </c>
      <c r="O127" s="10">
        <v>0</v>
      </c>
      <c r="P127" s="10">
        <v>34</v>
      </c>
    </row>
    <row r="128" spans="1:16">
      <c r="A128" s="10" t="s">
        <v>151</v>
      </c>
      <c r="B128" s="10">
        <v>112</v>
      </c>
      <c r="C128" s="21">
        <v>1.5280480207957995E-3</v>
      </c>
      <c r="D128" s="10">
        <v>186</v>
      </c>
      <c r="E128" s="10">
        <v>0</v>
      </c>
      <c r="F128" s="10">
        <v>0</v>
      </c>
      <c r="G128" s="10">
        <v>0</v>
      </c>
      <c r="H128" s="10">
        <v>1</v>
      </c>
      <c r="I128" s="10">
        <v>0</v>
      </c>
      <c r="J128" s="10">
        <v>0</v>
      </c>
      <c r="K128" s="10">
        <v>0</v>
      </c>
      <c r="L128" s="10">
        <v>0</v>
      </c>
      <c r="M128" s="10">
        <v>0</v>
      </c>
      <c r="N128" s="10">
        <v>0</v>
      </c>
      <c r="O128" s="10">
        <v>0</v>
      </c>
      <c r="P128" s="10">
        <v>32</v>
      </c>
    </row>
    <row r="129" spans="1:16">
      <c r="A129" s="10" t="s">
        <v>152</v>
      </c>
      <c r="B129" s="10">
        <v>142</v>
      </c>
      <c r="C129" s="21">
        <v>1.2140523811084299E-4</v>
      </c>
      <c r="D129" s="10">
        <v>187</v>
      </c>
      <c r="E129" s="10">
        <v>0</v>
      </c>
      <c r="F129" s="10">
        <v>1</v>
      </c>
      <c r="G129" s="10">
        <v>0</v>
      </c>
      <c r="H129" s="10">
        <v>0</v>
      </c>
      <c r="I129" s="10">
        <v>0</v>
      </c>
      <c r="J129" s="10">
        <v>0</v>
      </c>
      <c r="K129" s="10">
        <v>0</v>
      </c>
      <c r="L129" s="10">
        <v>0</v>
      </c>
      <c r="M129" s="10">
        <v>0</v>
      </c>
      <c r="N129" s="10">
        <v>0</v>
      </c>
      <c r="O129" s="10">
        <v>0</v>
      </c>
      <c r="P129" s="10">
        <v>31</v>
      </c>
    </row>
    <row r="130" spans="1:16">
      <c r="A130" s="10" t="s">
        <v>153</v>
      </c>
      <c r="B130" s="10">
        <v>452</v>
      </c>
      <c r="C130" s="21">
        <v>1.680106095879548E-3</v>
      </c>
      <c r="D130" s="10">
        <v>130</v>
      </c>
      <c r="E130" s="10">
        <v>0</v>
      </c>
      <c r="F130" s="10">
        <v>0</v>
      </c>
      <c r="G130" s="10">
        <v>0</v>
      </c>
      <c r="H130" s="10">
        <v>0</v>
      </c>
      <c r="I130" s="10">
        <v>0</v>
      </c>
      <c r="J130" s="10">
        <v>0</v>
      </c>
      <c r="K130" s="10">
        <v>0</v>
      </c>
      <c r="L130" s="10">
        <v>0</v>
      </c>
      <c r="M130" s="10">
        <v>0</v>
      </c>
      <c r="N130" s="10">
        <v>0</v>
      </c>
      <c r="O130" s="10">
        <v>0</v>
      </c>
      <c r="P130" s="10">
        <v>36</v>
      </c>
    </row>
    <row r="131" spans="1:16">
      <c r="A131" s="10" t="s">
        <v>154</v>
      </c>
      <c r="B131" s="10">
        <v>96</v>
      </c>
      <c r="C131" s="21">
        <v>8.9523597722120725E-4</v>
      </c>
      <c r="D131" s="10">
        <v>112</v>
      </c>
      <c r="E131" s="10">
        <v>1</v>
      </c>
      <c r="F131" s="10">
        <v>0</v>
      </c>
      <c r="G131" s="10">
        <v>0</v>
      </c>
      <c r="H131" s="10">
        <v>0</v>
      </c>
      <c r="I131" s="10">
        <v>0</v>
      </c>
      <c r="J131" s="10">
        <v>0</v>
      </c>
      <c r="K131" s="10">
        <v>0</v>
      </c>
      <c r="L131" s="10">
        <v>0</v>
      </c>
      <c r="M131" s="10">
        <v>0</v>
      </c>
      <c r="N131" s="10">
        <v>0</v>
      </c>
      <c r="O131" s="10">
        <v>1</v>
      </c>
      <c r="P131" s="10">
        <v>48</v>
      </c>
    </row>
    <row r="132" spans="1:16">
      <c r="A132" s="10" t="s">
        <v>155</v>
      </c>
      <c r="B132" s="10">
        <v>53</v>
      </c>
      <c r="C132" s="21">
        <v>1.9887495992869713E-3</v>
      </c>
      <c r="D132" s="10">
        <v>183</v>
      </c>
      <c r="E132" s="10">
        <v>0</v>
      </c>
      <c r="F132" s="10">
        <v>0</v>
      </c>
      <c r="G132" s="10">
        <v>1</v>
      </c>
      <c r="H132" s="10">
        <v>0</v>
      </c>
      <c r="I132" s="10">
        <v>0</v>
      </c>
      <c r="J132" s="10">
        <v>0</v>
      </c>
      <c r="K132" s="10">
        <v>0</v>
      </c>
      <c r="L132" s="10">
        <v>0</v>
      </c>
      <c r="M132" s="10">
        <v>0</v>
      </c>
      <c r="N132" s="10">
        <v>0</v>
      </c>
      <c r="O132" s="10">
        <v>0</v>
      </c>
      <c r="P132" s="10">
        <v>23</v>
      </c>
    </row>
    <row r="133" spans="1:16">
      <c r="A133" s="10" t="s">
        <v>156</v>
      </c>
      <c r="B133" s="10">
        <v>87</v>
      </c>
      <c r="C133" s="21">
        <v>1.7434486106339799E-3</v>
      </c>
      <c r="D133" s="10">
        <v>175</v>
      </c>
      <c r="E133" s="10">
        <v>0</v>
      </c>
      <c r="F133" s="10">
        <v>1</v>
      </c>
      <c r="G133" s="10">
        <v>0</v>
      </c>
      <c r="H133" s="10">
        <v>0</v>
      </c>
      <c r="I133" s="10">
        <v>0</v>
      </c>
      <c r="J133" s="10">
        <v>0</v>
      </c>
      <c r="K133" s="10">
        <v>0</v>
      </c>
      <c r="L133" s="10">
        <v>0</v>
      </c>
      <c r="M133" s="10">
        <v>0</v>
      </c>
      <c r="N133" s="10">
        <v>0</v>
      </c>
      <c r="O133" s="10">
        <v>1</v>
      </c>
      <c r="P133" s="10">
        <v>24</v>
      </c>
    </row>
    <row r="134" spans="1:16">
      <c r="A134" s="10" t="s">
        <v>157</v>
      </c>
      <c r="B134" s="10">
        <v>602</v>
      </c>
      <c r="C134" s="21">
        <v>2.5496038288709672E-3</v>
      </c>
      <c r="D134" s="10">
        <v>140</v>
      </c>
      <c r="E134" s="10">
        <v>0</v>
      </c>
      <c r="F134" s="10">
        <v>0</v>
      </c>
      <c r="G134" s="10">
        <v>0</v>
      </c>
      <c r="H134" s="10">
        <v>0</v>
      </c>
      <c r="I134" s="10">
        <v>0</v>
      </c>
      <c r="J134" s="10">
        <v>0</v>
      </c>
      <c r="K134" s="10">
        <v>0</v>
      </c>
      <c r="L134" s="10">
        <v>0</v>
      </c>
      <c r="M134" s="10">
        <v>0</v>
      </c>
      <c r="N134" s="10">
        <v>0</v>
      </c>
      <c r="O134" s="10">
        <v>0</v>
      </c>
      <c r="P134" s="10">
        <v>41</v>
      </c>
    </row>
    <row r="135" spans="1:16">
      <c r="A135" s="10" t="s">
        <v>158</v>
      </c>
      <c r="B135" s="10">
        <v>446</v>
      </c>
      <c r="C135" s="21">
        <v>9.5030675693243052E-4</v>
      </c>
      <c r="D135" s="10">
        <v>177</v>
      </c>
      <c r="E135" s="10">
        <v>0</v>
      </c>
      <c r="F135" s="10">
        <v>0</v>
      </c>
      <c r="G135" s="10">
        <v>0</v>
      </c>
      <c r="H135" s="10">
        <v>0</v>
      </c>
      <c r="I135" s="10">
        <v>0</v>
      </c>
      <c r="J135" s="10">
        <v>0</v>
      </c>
      <c r="K135" s="10">
        <v>0</v>
      </c>
      <c r="L135" s="10">
        <v>0</v>
      </c>
      <c r="M135" s="10">
        <v>0</v>
      </c>
      <c r="N135" s="10">
        <v>0</v>
      </c>
      <c r="O135" s="10">
        <v>1</v>
      </c>
      <c r="P135" s="10">
        <v>20</v>
      </c>
    </row>
    <row r="136" spans="1:16">
      <c r="A136" s="10" t="s">
        <v>159</v>
      </c>
      <c r="B136" s="10">
        <v>76</v>
      </c>
      <c r="C136" s="21">
        <v>7.9108048010407953E-4</v>
      </c>
      <c r="D136" s="10">
        <v>139</v>
      </c>
      <c r="E136" s="10">
        <v>1</v>
      </c>
      <c r="F136" s="10">
        <v>0</v>
      </c>
      <c r="G136" s="10">
        <v>0</v>
      </c>
      <c r="H136" s="10">
        <v>0</v>
      </c>
      <c r="I136" s="10">
        <v>0</v>
      </c>
      <c r="J136" s="10">
        <v>0</v>
      </c>
      <c r="K136" s="10">
        <v>0</v>
      </c>
      <c r="L136" s="10">
        <v>0</v>
      </c>
      <c r="M136" s="10">
        <v>0</v>
      </c>
      <c r="N136" s="10">
        <v>0</v>
      </c>
      <c r="O136" s="10">
        <v>0</v>
      </c>
      <c r="P136" s="10">
        <v>24</v>
      </c>
    </row>
    <row r="137" spans="1:16">
      <c r="A137" s="10" t="s">
        <v>160</v>
      </c>
      <c r="B137" s="10">
        <v>50</v>
      </c>
      <c r="C137" s="21">
        <v>9.4309990590535733E-4</v>
      </c>
      <c r="D137" s="10">
        <v>186</v>
      </c>
      <c r="E137" s="10">
        <v>0</v>
      </c>
      <c r="F137" s="10">
        <v>0</v>
      </c>
      <c r="G137" s="10">
        <v>1</v>
      </c>
      <c r="H137" s="10">
        <v>0</v>
      </c>
      <c r="I137" s="10">
        <v>0</v>
      </c>
      <c r="J137" s="10">
        <v>0</v>
      </c>
      <c r="K137" s="10">
        <v>0</v>
      </c>
      <c r="L137" s="10">
        <v>0</v>
      </c>
      <c r="M137" s="10">
        <v>0</v>
      </c>
      <c r="N137" s="10">
        <v>0</v>
      </c>
      <c r="O137" s="10">
        <v>0</v>
      </c>
      <c r="P137" s="10">
        <v>20</v>
      </c>
    </row>
    <row r="138" spans="1:16">
      <c r="A138" s="10" t="s">
        <v>161</v>
      </c>
      <c r="B138" s="10">
        <v>90</v>
      </c>
      <c r="C138" s="21">
        <v>6.5718742606757244E-4</v>
      </c>
      <c r="D138" s="10">
        <v>173</v>
      </c>
      <c r="E138" s="10">
        <v>0</v>
      </c>
      <c r="F138" s="10">
        <v>1</v>
      </c>
      <c r="G138" s="10">
        <v>0</v>
      </c>
      <c r="H138" s="10">
        <v>0</v>
      </c>
      <c r="I138" s="10">
        <v>0</v>
      </c>
      <c r="J138" s="10">
        <v>0</v>
      </c>
      <c r="K138" s="10">
        <v>0</v>
      </c>
      <c r="L138" s="10">
        <v>0</v>
      </c>
      <c r="M138" s="10">
        <v>0</v>
      </c>
      <c r="N138" s="10">
        <v>0</v>
      </c>
      <c r="O138" s="10">
        <v>1</v>
      </c>
      <c r="P138" s="10">
        <v>19</v>
      </c>
    </row>
    <row r="139" spans="1:16">
      <c r="A139" s="10" t="s">
        <v>162</v>
      </c>
      <c r="B139" s="10">
        <v>601</v>
      </c>
      <c r="C139" s="21">
        <v>1.1291694187913811E-3</v>
      </c>
      <c r="D139" s="10">
        <v>176</v>
      </c>
      <c r="E139" s="10">
        <v>0</v>
      </c>
      <c r="F139" s="10">
        <v>0</v>
      </c>
      <c r="G139" s="10">
        <v>0</v>
      </c>
      <c r="H139" s="10">
        <v>0</v>
      </c>
      <c r="I139" s="10">
        <v>0</v>
      </c>
      <c r="J139" s="10">
        <v>0</v>
      </c>
      <c r="K139" s="10">
        <v>0</v>
      </c>
      <c r="L139" s="10">
        <v>0</v>
      </c>
      <c r="M139" s="10">
        <v>0</v>
      </c>
      <c r="N139" s="10">
        <v>0</v>
      </c>
      <c r="O139" s="10">
        <v>0</v>
      </c>
      <c r="P139" s="10">
        <v>24</v>
      </c>
    </row>
    <row r="140" spans="1:16">
      <c r="A140" s="10" t="s">
        <v>163</v>
      </c>
      <c r="B140" s="10">
        <v>131</v>
      </c>
      <c r="C140" s="21">
        <v>5.5849895844890861E-4</v>
      </c>
      <c r="D140" s="10">
        <v>144</v>
      </c>
      <c r="E140" s="10">
        <v>1</v>
      </c>
      <c r="F140" s="10">
        <v>0</v>
      </c>
      <c r="G140" s="10">
        <v>0</v>
      </c>
      <c r="H140" s="10">
        <v>0</v>
      </c>
      <c r="I140" s="10">
        <v>0</v>
      </c>
      <c r="J140" s="10">
        <v>0</v>
      </c>
      <c r="K140" s="10">
        <v>0</v>
      </c>
      <c r="L140" s="10">
        <v>0</v>
      </c>
      <c r="M140" s="10">
        <v>0</v>
      </c>
      <c r="N140" s="10">
        <v>0</v>
      </c>
      <c r="O140" s="10">
        <v>1</v>
      </c>
      <c r="P140" s="10">
        <v>20</v>
      </c>
    </row>
    <row r="141" spans="1:16">
      <c r="A141" s="10" t="s">
        <v>164</v>
      </c>
      <c r="B141" s="10">
        <v>55</v>
      </c>
      <c r="C141" s="21">
        <v>1.1131606727540996E-3</v>
      </c>
      <c r="D141" s="10">
        <v>146</v>
      </c>
      <c r="E141" s="10">
        <v>0</v>
      </c>
      <c r="F141" s="10">
        <v>0</v>
      </c>
      <c r="G141" s="10">
        <v>1</v>
      </c>
      <c r="H141" s="10">
        <v>0</v>
      </c>
      <c r="I141" s="10">
        <v>0</v>
      </c>
      <c r="J141" s="10">
        <v>0</v>
      </c>
      <c r="K141" s="10">
        <v>0</v>
      </c>
      <c r="L141" s="10">
        <v>0</v>
      </c>
      <c r="M141" s="10">
        <v>0</v>
      </c>
      <c r="N141" s="10">
        <v>0</v>
      </c>
      <c r="O141" s="10">
        <v>1</v>
      </c>
      <c r="P141" s="10">
        <v>32</v>
      </c>
    </row>
    <row r="142" spans="1:16">
      <c r="A142" s="10" t="s">
        <v>165</v>
      </c>
      <c r="B142" s="10">
        <v>71</v>
      </c>
      <c r="C142" s="21">
        <v>7.7639477694082843E-4</v>
      </c>
      <c r="D142" s="10">
        <v>184</v>
      </c>
      <c r="E142" s="10">
        <v>0</v>
      </c>
      <c r="F142" s="10">
        <v>1</v>
      </c>
      <c r="G142" s="10">
        <v>0</v>
      </c>
      <c r="H142" s="10">
        <v>0</v>
      </c>
      <c r="I142" s="10">
        <v>0</v>
      </c>
      <c r="J142" s="10">
        <v>0</v>
      </c>
      <c r="K142" s="10">
        <v>0</v>
      </c>
      <c r="L142" s="10">
        <v>0</v>
      </c>
      <c r="M142" s="10">
        <v>0</v>
      </c>
      <c r="N142" s="10">
        <v>0</v>
      </c>
      <c r="O142" s="10">
        <v>0</v>
      </c>
      <c r="P142" s="10">
        <v>32</v>
      </c>
    </row>
    <row r="143" spans="1:16">
      <c r="A143" s="10" t="s">
        <v>166</v>
      </c>
      <c r="B143" s="10">
        <v>95</v>
      </c>
      <c r="C143" s="21">
        <v>6.5410322568673206E-4</v>
      </c>
      <c r="D143" s="10">
        <v>185</v>
      </c>
      <c r="E143" s="10">
        <v>0</v>
      </c>
      <c r="F143" s="10">
        <v>0</v>
      </c>
      <c r="G143" s="10">
        <v>0</v>
      </c>
      <c r="H143" s="10">
        <v>0</v>
      </c>
      <c r="I143" s="10">
        <v>0</v>
      </c>
      <c r="J143" s="10">
        <v>0</v>
      </c>
      <c r="K143" s="10">
        <v>0</v>
      </c>
      <c r="L143" s="10">
        <v>0</v>
      </c>
      <c r="M143" s="10">
        <v>0</v>
      </c>
      <c r="N143" s="10">
        <v>1</v>
      </c>
      <c r="O143" s="10">
        <v>0</v>
      </c>
      <c r="P143" s="10">
        <v>12</v>
      </c>
    </row>
    <row r="144" spans="1:16">
      <c r="A144" s="10" t="s">
        <v>167</v>
      </c>
      <c r="B144" s="10">
        <v>65</v>
      </c>
      <c r="C144" s="21">
        <v>1.1094345358432253E-3</v>
      </c>
      <c r="D144" s="10">
        <v>124</v>
      </c>
      <c r="E144" s="10">
        <v>1</v>
      </c>
      <c r="F144" s="10">
        <v>0</v>
      </c>
      <c r="G144" s="10">
        <v>0</v>
      </c>
      <c r="H144" s="10">
        <v>0</v>
      </c>
      <c r="I144" s="10">
        <v>0</v>
      </c>
      <c r="J144" s="10">
        <v>0</v>
      </c>
      <c r="K144" s="10">
        <v>0</v>
      </c>
      <c r="L144" s="10">
        <v>0</v>
      </c>
      <c r="M144" s="10">
        <v>0</v>
      </c>
      <c r="N144" s="10">
        <v>0</v>
      </c>
      <c r="O144" s="10">
        <v>1</v>
      </c>
      <c r="P144" s="10">
        <v>25</v>
      </c>
    </row>
    <row r="145" spans="1:16">
      <c r="A145" s="10" t="s">
        <v>168</v>
      </c>
      <c r="B145" s="10">
        <v>113</v>
      </c>
      <c r="C145" s="21">
        <v>6.029925448822268E-4</v>
      </c>
      <c r="D145" s="10">
        <v>146</v>
      </c>
      <c r="E145" s="10">
        <v>0</v>
      </c>
      <c r="F145" s="10">
        <v>1</v>
      </c>
      <c r="G145" s="10">
        <v>0</v>
      </c>
      <c r="H145" s="10">
        <v>0</v>
      </c>
      <c r="I145" s="10">
        <v>0</v>
      </c>
      <c r="J145" s="10">
        <v>0</v>
      </c>
      <c r="K145" s="10">
        <v>0</v>
      </c>
      <c r="L145" s="10">
        <v>0</v>
      </c>
      <c r="M145" s="10">
        <v>0</v>
      </c>
      <c r="N145" s="10">
        <v>0</v>
      </c>
      <c r="O145" s="10">
        <v>0</v>
      </c>
      <c r="P145" s="10">
        <v>10</v>
      </c>
    </row>
    <row r="146" spans="1:16">
      <c r="A146" s="10" t="s">
        <v>169</v>
      </c>
      <c r="B146" s="10">
        <v>327</v>
      </c>
      <c r="C146" s="21">
        <v>2.6615175942868614E-3</v>
      </c>
      <c r="D146" s="10">
        <v>97</v>
      </c>
      <c r="E146" s="10">
        <v>0</v>
      </c>
      <c r="F146" s="10">
        <v>0</v>
      </c>
      <c r="G146" s="10">
        <v>0</v>
      </c>
      <c r="H146" s="10">
        <v>0</v>
      </c>
      <c r="I146" s="10">
        <v>1</v>
      </c>
      <c r="J146" s="10">
        <v>0</v>
      </c>
      <c r="K146" s="10">
        <v>0</v>
      </c>
      <c r="L146" s="10">
        <v>0</v>
      </c>
      <c r="M146" s="10">
        <v>0</v>
      </c>
      <c r="N146" s="10">
        <v>0</v>
      </c>
      <c r="O146" s="10">
        <v>1</v>
      </c>
      <c r="P146" s="10">
        <v>39</v>
      </c>
    </row>
    <row r="147" spans="1:16">
      <c r="A147" s="10" t="s">
        <v>170</v>
      </c>
      <c r="B147" s="10">
        <v>402</v>
      </c>
      <c r="C147" s="21">
        <v>4.3894216085486179E-3</v>
      </c>
      <c r="D147" s="10">
        <v>152</v>
      </c>
      <c r="E147" s="10">
        <v>0</v>
      </c>
      <c r="F147" s="10">
        <v>0</v>
      </c>
      <c r="G147" s="10">
        <v>0</v>
      </c>
      <c r="H147" s="10">
        <v>0</v>
      </c>
      <c r="I147" s="10">
        <v>0</v>
      </c>
      <c r="J147" s="10">
        <v>0</v>
      </c>
      <c r="K147" s="10">
        <v>0</v>
      </c>
      <c r="L147" s="10">
        <v>0</v>
      </c>
      <c r="M147" s="10">
        <v>0</v>
      </c>
      <c r="N147" s="10">
        <v>0</v>
      </c>
      <c r="O147" s="10">
        <v>0</v>
      </c>
      <c r="P147" s="10">
        <v>43</v>
      </c>
    </row>
    <row r="148" spans="1:16">
      <c r="A148" s="10" t="s">
        <v>171</v>
      </c>
      <c r="B148" s="10">
        <v>133</v>
      </c>
      <c r="C148" s="21">
        <v>1.2100232602440327E-3</v>
      </c>
      <c r="D148" s="10">
        <v>178</v>
      </c>
      <c r="E148" s="10">
        <v>0</v>
      </c>
      <c r="F148" s="10">
        <v>0</v>
      </c>
      <c r="G148" s="10">
        <v>0</v>
      </c>
      <c r="H148" s="10">
        <v>0</v>
      </c>
      <c r="I148" s="10">
        <v>0</v>
      </c>
      <c r="J148" s="10">
        <v>0</v>
      </c>
      <c r="K148" s="10">
        <v>0</v>
      </c>
      <c r="L148" s="10">
        <v>0</v>
      </c>
      <c r="M148" s="10">
        <v>0</v>
      </c>
      <c r="N148" s="10">
        <v>1</v>
      </c>
      <c r="O148" s="10">
        <v>1</v>
      </c>
      <c r="P148" s="10">
        <v>20</v>
      </c>
    </row>
    <row r="149" spans="1:16">
      <c r="A149" s="10" t="s">
        <v>172</v>
      </c>
      <c r="B149" s="10">
        <v>94</v>
      </c>
      <c r="C149" s="21">
        <v>1.0518671806877863E-3</v>
      </c>
      <c r="D149" s="10">
        <v>166</v>
      </c>
      <c r="E149" s="10">
        <v>1</v>
      </c>
      <c r="F149" s="10">
        <v>0</v>
      </c>
      <c r="G149" s="10">
        <v>0</v>
      </c>
      <c r="H149" s="10">
        <v>0</v>
      </c>
      <c r="I149" s="10">
        <v>0</v>
      </c>
      <c r="J149" s="10">
        <v>0</v>
      </c>
      <c r="K149" s="10">
        <v>0</v>
      </c>
      <c r="L149" s="10">
        <v>0</v>
      </c>
      <c r="M149" s="10">
        <v>0</v>
      </c>
      <c r="N149" s="10">
        <v>0</v>
      </c>
      <c r="O149" s="10">
        <v>0</v>
      </c>
      <c r="P149" s="10">
        <v>16</v>
      </c>
    </row>
    <row r="150" spans="1:16">
      <c r="A150" s="10" t="s">
        <v>173</v>
      </c>
      <c r="B150" s="10">
        <v>41</v>
      </c>
      <c r="C150" s="21">
        <v>1.8722030553948823E-3</v>
      </c>
      <c r="D150" s="10">
        <v>101</v>
      </c>
      <c r="E150" s="10">
        <v>0</v>
      </c>
      <c r="F150" s="10">
        <v>0</v>
      </c>
      <c r="G150" s="10">
        <v>1</v>
      </c>
      <c r="H150" s="10">
        <v>0</v>
      </c>
      <c r="I150" s="10">
        <v>0</v>
      </c>
      <c r="J150" s="10">
        <v>0</v>
      </c>
      <c r="K150" s="10">
        <v>0</v>
      </c>
      <c r="L150" s="10">
        <v>0</v>
      </c>
      <c r="M150" s="10">
        <v>0</v>
      </c>
      <c r="N150" s="10">
        <v>0</v>
      </c>
      <c r="O150" s="10">
        <v>0</v>
      </c>
      <c r="P150" s="10">
        <v>41</v>
      </c>
    </row>
    <row r="151" spans="1:16">
      <c r="A151" s="10" t="s">
        <v>174</v>
      </c>
      <c r="B151" s="10">
        <v>94</v>
      </c>
      <c r="C151" s="21">
        <v>1.5687920659409377E-3</v>
      </c>
      <c r="D151" s="10">
        <v>102</v>
      </c>
      <c r="E151" s="10">
        <v>0</v>
      </c>
      <c r="F151" s="10">
        <v>1</v>
      </c>
      <c r="G151" s="10">
        <v>0</v>
      </c>
      <c r="H151" s="10">
        <v>0</v>
      </c>
      <c r="I151" s="10">
        <v>0</v>
      </c>
      <c r="J151" s="10">
        <v>0</v>
      </c>
      <c r="K151" s="10">
        <v>0</v>
      </c>
      <c r="L151" s="10">
        <v>0</v>
      </c>
      <c r="M151" s="10">
        <v>0</v>
      </c>
      <c r="N151" s="10">
        <v>0</v>
      </c>
      <c r="O151" s="10">
        <v>0</v>
      </c>
      <c r="P151" s="10">
        <v>30</v>
      </c>
    </row>
    <row r="152" spans="1:16">
      <c r="A152" s="10" t="s">
        <v>175</v>
      </c>
      <c r="B152" s="10">
        <v>459</v>
      </c>
      <c r="C152" s="21">
        <v>2.6897896577926838E-3</v>
      </c>
      <c r="D152" s="10">
        <v>72</v>
      </c>
      <c r="E152" s="10">
        <v>0</v>
      </c>
      <c r="F152" s="10">
        <v>0</v>
      </c>
      <c r="G152" s="10">
        <v>0</v>
      </c>
      <c r="H152" s="10">
        <v>0</v>
      </c>
      <c r="I152" s="10">
        <v>0</v>
      </c>
      <c r="J152" s="10">
        <v>0</v>
      </c>
      <c r="K152" s="10">
        <v>0</v>
      </c>
      <c r="L152" s="10">
        <v>0</v>
      </c>
      <c r="M152" s="10">
        <v>0</v>
      </c>
      <c r="N152" s="10">
        <v>0</v>
      </c>
      <c r="O152" s="10">
        <v>0</v>
      </c>
      <c r="P152" s="10">
        <v>50</v>
      </c>
    </row>
    <row r="153" spans="1:16">
      <c r="A153" s="10" t="s">
        <v>176</v>
      </c>
      <c r="B153" s="10">
        <v>89</v>
      </c>
      <c r="C153" s="21">
        <v>2.2669060074283556E-3</v>
      </c>
      <c r="D153" s="10">
        <v>100</v>
      </c>
      <c r="E153" s="10">
        <v>1</v>
      </c>
      <c r="F153" s="10">
        <v>0</v>
      </c>
      <c r="G153" s="10">
        <v>0</v>
      </c>
      <c r="H153" s="10">
        <v>0</v>
      </c>
      <c r="I153" s="10">
        <v>0</v>
      </c>
      <c r="J153" s="10">
        <v>0</v>
      </c>
      <c r="K153" s="10">
        <v>0</v>
      </c>
      <c r="L153" s="10">
        <v>0</v>
      </c>
      <c r="M153" s="10">
        <v>0</v>
      </c>
      <c r="N153" s="10">
        <v>0</v>
      </c>
      <c r="O153" s="10">
        <v>0</v>
      </c>
      <c r="P153" s="10">
        <v>53</v>
      </c>
    </row>
    <row r="154" spans="1:16">
      <c r="A154" s="10" t="s">
        <v>177</v>
      </c>
      <c r="B154" s="10">
        <v>99</v>
      </c>
      <c r="C154" s="21">
        <v>1.2613570553457083E-3</v>
      </c>
      <c r="D154" s="10">
        <v>104</v>
      </c>
      <c r="E154" s="10">
        <v>0</v>
      </c>
      <c r="F154" s="10">
        <v>1</v>
      </c>
      <c r="G154" s="10">
        <v>0</v>
      </c>
      <c r="H154" s="10">
        <v>0</v>
      </c>
      <c r="I154" s="10">
        <v>0</v>
      </c>
      <c r="J154" s="10">
        <v>0</v>
      </c>
      <c r="K154" s="10">
        <v>0</v>
      </c>
      <c r="L154" s="10">
        <v>0</v>
      </c>
      <c r="M154" s="10">
        <v>0</v>
      </c>
      <c r="N154" s="10">
        <v>0</v>
      </c>
      <c r="O154" s="10">
        <v>0</v>
      </c>
      <c r="P154" s="10">
        <v>32</v>
      </c>
    </row>
    <row r="155" spans="1:16">
      <c r="A155" s="10" t="s">
        <v>178</v>
      </c>
      <c r="B155" s="10">
        <v>511</v>
      </c>
      <c r="C155" s="21">
        <v>9.1047632360431122E-4</v>
      </c>
      <c r="D155" s="10">
        <v>104</v>
      </c>
      <c r="E155" s="10">
        <v>0</v>
      </c>
      <c r="F155" s="10">
        <v>0</v>
      </c>
      <c r="G155" s="10">
        <v>0</v>
      </c>
      <c r="H155" s="10">
        <v>0</v>
      </c>
      <c r="I155" s="10">
        <v>0</v>
      </c>
      <c r="J155" s="10">
        <v>0</v>
      </c>
      <c r="K155" s="10">
        <v>0</v>
      </c>
      <c r="L155" s="10">
        <v>0</v>
      </c>
      <c r="M155" s="10">
        <v>0</v>
      </c>
      <c r="N155" s="10">
        <v>0</v>
      </c>
      <c r="O155" s="10">
        <v>0</v>
      </c>
      <c r="P155" s="10">
        <v>35</v>
      </c>
    </row>
    <row r="156" spans="1:16">
      <c r="A156" s="10" t="s">
        <v>179</v>
      </c>
      <c r="B156" s="10">
        <v>56</v>
      </c>
      <c r="C156" s="21">
        <v>1.5600780015197564E-3</v>
      </c>
      <c r="D156" s="10">
        <v>128</v>
      </c>
      <c r="E156" s="10">
        <v>0</v>
      </c>
      <c r="F156" s="10">
        <v>0</v>
      </c>
      <c r="G156" s="10">
        <v>1</v>
      </c>
      <c r="H156" s="10">
        <v>0</v>
      </c>
      <c r="I156" s="10">
        <v>0</v>
      </c>
      <c r="J156" s="10">
        <v>0</v>
      </c>
      <c r="K156" s="10">
        <v>0</v>
      </c>
      <c r="L156" s="10">
        <v>0</v>
      </c>
      <c r="M156" s="10">
        <v>0</v>
      </c>
      <c r="N156" s="10">
        <v>0</v>
      </c>
      <c r="O156" s="10">
        <v>0</v>
      </c>
      <c r="P156" s="10">
        <v>29</v>
      </c>
    </row>
    <row r="157" spans="1:16">
      <c r="A157" s="10" t="s">
        <v>180</v>
      </c>
      <c r="B157" s="10">
        <v>135</v>
      </c>
      <c r="C157" s="21">
        <v>1.3573867103870031E-3</v>
      </c>
      <c r="D157" s="10">
        <v>189</v>
      </c>
      <c r="E157" s="10">
        <v>0</v>
      </c>
      <c r="F157" s="10">
        <v>1</v>
      </c>
      <c r="G157" s="10">
        <v>0</v>
      </c>
      <c r="H157" s="10">
        <v>0</v>
      </c>
      <c r="I157" s="10">
        <v>0</v>
      </c>
      <c r="J157" s="10">
        <v>0</v>
      </c>
      <c r="K157" s="10">
        <v>0</v>
      </c>
      <c r="L157" s="10">
        <v>0</v>
      </c>
      <c r="M157" s="10">
        <v>0</v>
      </c>
      <c r="N157" s="10">
        <v>0</v>
      </c>
      <c r="O157" s="10">
        <v>0</v>
      </c>
      <c r="P157" s="10">
        <v>26</v>
      </c>
    </row>
    <row r="158" spans="1:16">
      <c r="A158" s="10" t="s">
        <v>181</v>
      </c>
      <c r="B158" s="10">
        <v>396</v>
      </c>
      <c r="C158" s="21">
        <v>1.2259151222698138E-3</v>
      </c>
      <c r="D158" s="10">
        <v>198</v>
      </c>
      <c r="E158" s="10">
        <v>0</v>
      </c>
      <c r="F158" s="10">
        <v>0</v>
      </c>
      <c r="G158" s="10">
        <v>0</v>
      </c>
      <c r="H158" s="10">
        <v>0</v>
      </c>
      <c r="I158" s="10">
        <v>0</v>
      </c>
      <c r="J158" s="10">
        <v>0</v>
      </c>
      <c r="K158" s="10">
        <v>0</v>
      </c>
      <c r="L158" s="10">
        <v>0</v>
      </c>
      <c r="M158" s="10">
        <v>0</v>
      </c>
      <c r="N158" s="10">
        <v>0</v>
      </c>
      <c r="O158" s="10">
        <v>0</v>
      </c>
      <c r="P158" s="10">
        <v>22</v>
      </c>
    </row>
    <row r="159" spans="1:16">
      <c r="A159" s="10" t="s">
        <v>182</v>
      </c>
      <c r="B159" s="10">
        <v>124</v>
      </c>
      <c r="C159" s="21">
        <v>1.7521691012104188E-3</v>
      </c>
      <c r="D159" s="10">
        <v>124</v>
      </c>
      <c r="E159" s="10">
        <v>0</v>
      </c>
      <c r="F159" s="10">
        <v>0</v>
      </c>
      <c r="G159" s="10">
        <v>0</v>
      </c>
      <c r="H159" s="10">
        <v>0</v>
      </c>
      <c r="I159" s="10">
        <v>0</v>
      </c>
      <c r="J159" s="10">
        <v>0</v>
      </c>
      <c r="K159" s="10">
        <v>0</v>
      </c>
      <c r="L159" s="10">
        <v>0</v>
      </c>
      <c r="M159" s="10">
        <v>0</v>
      </c>
      <c r="N159" s="10">
        <v>1</v>
      </c>
      <c r="O159" s="10">
        <v>0</v>
      </c>
      <c r="P159" s="10">
        <v>23</v>
      </c>
    </row>
    <row r="160" spans="1:16">
      <c r="A160" s="10" t="s">
        <v>183</v>
      </c>
      <c r="B160" s="10">
        <v>85</v>
      </c>
      <c r="C160" s="21">
        <v>2.8098144910986265E-3</v>
      </c>
      <c r="D160" s="10">
        <v>134</v>
      </c>
      <c r="E160" s="10">
        <v>1</v>
      </c>
      <c r="F160" s="10">
        <v>0</v>
      </c>
      <c r="G160" s="10">
        <v>0</v>
      </c>
      <c r="H160" s="10">
        <v>0</v>
      </c>
      <c r="I160" s="10">
        <v>0</v>
      </c>
      <c r="J160" s="10">
        <v>0</v>
      </c>
      <c r="K160" s="10">
        <v>0</v>
      </c>
      <c r="L160" s="10">
        <v>0</v>
      </c>
      <c r="M160" s="10">
        <v>0</v>
      </c>
      <c r="N160" s="10">
        <v>0</v>
      </c>
      <c r="O160" s="10">
        <v>0</v>
      </c>
      <c r="P160" s="10">
        <v>52</v>
      </c>
    </row>
    <row r="161" spans="1:16">
      <c r="A161" s="10" t="s">
        <v>184</v>
      </c>
      <c r="B161" s="10">
        <v>148</v>
      </c>
      <c r="C161" s="21">
        <v>5.7510006836440262E-4</v>
      </c>
      <c r="D161" s="10">
        <v>137</v>
      </c>
      <c r="E161" s="10">
        <v>0</v>
      </c>
      <c r="F161" s="10">
        <v>1</v>
      </c>
      <c r="G161" s="10">
        <v>0</v>
      </c>
      <c r="H161" s="10">
        <v>0</v>
      </c>
      <c r="I161" s="10">
        <v>0</v>
      </c>
      <c r="J161" s="10">
        <v>0</v>
      </c>
      <c r="K161" s="10">
        <v>0</v>
      </c>
      <c r="L161" s="10">
        <v>0</v>
      </c>
      <c r="M161" s="10">
        <v>0</v>
      </c>
      <c r="N161" s="10">
        <v>0</v>
      </c>
      <c r="O161" s="10">
        <v>0</v>
      </c>
      <c r="P161" s="10">
        <v>24</v>
      </c>
    </row>
    <row r="162" spans="1:16">
      <c r="A162" s="10" t="s">
        <v>185</v>
      </c>
      <c r="B162" s="10">
        <v>154</v>
      </c>
      <c r="C162" s="21">
        <v>1.949578872566918E-3</v>
      </c>
      <c r="D162" s="10">
        <v>135</v>
      </c>
      <c r="E162" s="10">
        <v>0</v>
      </c>
      <c r="F162" s="10">
        <v>0</v>
      </c>
      <c r="G162" s="10">
        <v>0</v>
      </c>
      <c r="H162" s="10">
        <v>0</v>
      </c>
      <c r="I162" s="10">
        <v>1</v>
      </c>
      <c r="J162" s="10">
        <v>0</v>
      </c>
      <c r="K162" s="10">
        <v>0</v>
      </c>
      <c r="L162" s="10">
        <v>0</v>
      </c>
      <c r="M162" s="10">
        <v>0</v>
      </c>
      <c r="N162" s="10">
        <v>0</v>
      </c>
      <c r="O162" s="10">
        <v>0</v>
      </c>
      <c r="P162" s="10">
        <v>42</v>
      </c>
    </row>
    <row r="163" spans="1:16">
      <c r="A163" s="10" t="s">
        <v>186</v>
      </c>
      <c r="B163" s="10">
        <v>108</v>
      </c>
      <c r="C163" s="21">
        <v>1.5127848724946942E-3</v>
      </c>
      <c r="D163" s="10">
        <v>140</v>
      </c>
      <c r="E163" s="10">
        <v>0</v>
      </c>
      <c r="F163" s="10">
        <v>0</v>
      </c>
      <c r="G163" s="10">
        <v>0</v>
      </c>
      <c r="H163" s="10">
        <v>0</v>
      </c>
      <c r="I163" s="10">
        <v>0</v>
      </c>
      <c r="J163" s="10">
        <v>0</v>
      </c>
      <c r="K163" s="10">
        <v>0</v>
      </c>
      <c r="L163" s="10">
        <v>0</v>
      </c>
      <c r="M163" s="10">
        <v>0</v>
      </c>
      <c r="N163" s="10">
        <v>1</v>
      </c>
      <c r="O163" s="10">
        <v>1</v>
      </c>
      <c r="P163" s="10">
        <v>36</v>
      </c>
    </row>
    <row r="164" spans="1:16">
      <c r="A164" s="10" t="s">
        <v>187</v>
      </c>
      <c r="B164" s="10">
        <v>41</v>
      </c>
      <c r="C164" s="21">
        <v>9.5366080222933141E-4</v>
      </c>
      <c r="D164" s="10">
        <v>174</v>
      </c>
      <c r="E164" s="10">
        <v>0</v>
      </c>
      <c r="F164" s="10">
        <v>0</v>
      </c>
      <c r="G164" s="10">
        <v>1</v>
      </c>
      <c r="H164" s="10">
        <v>0</v>
      </c>
      <c r="I164" s="10">
        <v>0</v>
      </c>
      <c r="J164" s="10">
        <v>0</v>
      </c>
      <c r="K164" s="10">
        <v>0</v>
      </c>
      <c r="L164" s="10">
        <v>0</v>
      </c>
      <c r="M164" s="10">
        <v>0</v>
      </c>
      <c r="N164" s="10">
        <v>0</v>
      </c>
      <c r="O164" s="10">
        <v>0</v>
      </c>
      <c r="P164" s="10">
        <v>16</v>
      </c>
    </row>
    <row r="165" spans="1:16">
      <c r="A165" s="10" t="s">
        <v>188</v>
      </c>
      <c r="B165" s="10">
        <v>130</v>
      </c>
      <c r="C165" s="21">
        <v>1.3986906220521955E-3</v>
      </c>
      <c r="D165" s="10">
        <v>112</v>
      </c>
      <c r="E165" s="10">
        <v>0</v>
      </c>
      <c r="F165" s="10">
        <v>1</v>
      </c>
      <c r="G165" s="10">
        <v>0</v>
      </c>
      <c r="H165" s="10">
        <v>0</v>
      </c>
      <c r="I165" s="10">
        <v>0</v>
      </c>
      <c r="J165" s="10">
        <v>0</v>
      </c>
      <c r="K165" s="10">
        <v>0</v>
      </c>
      <c r="L165" s="10">
        <v>0</v>
      </c>
      <c r="M165" s="10">
        <v>0</v>
      </c>
      <c r="N165" s="10">
        <v>0</v>
      </c>
      <c r="O165" s="10">
        <v>0</v>
      </c>
      <c r="P165" s="10">
        <v>26</v>
      </c>
    </row>
    <row r="166" spans="1:16">
      <c r="A166" s="10" t="s">
        <v>189</v>
      </c>
      <c r="B166" s="10">
        <v>267</v>
      </c>
      <c r="C166" s="21">
        <v>1.1278385558911805E-3</v>
      </c>
      <c r="D166" s="10">
        <v>133</v>
      </c>
      <c r="E166" s="10">
        <v>0</v>
      </c>
      <c r="F166" s="10">
        <v>0</v>
      </c>
      <c r="G166" s="10">
        <v>0</v>
      </c>
      <c r="H166" s="10">
        <v>0</v>
      </c>
      <c r="I166" s="10">
        <v>1</v>
      </c>
      <c r="J166" s="10">
        <v>0</v>
      </c>
      <c r="K166" s="10">
        <v>0</v>
      </c>
      <c r="L166" s="10">
        <v>0</v>
      </c>
      <c r="M166" s="10">
        <v>0</v>
      </c>
      <c r="N166" s="10">
        <v>0</v>
      </c>
      <c r="O166" s="10">
        <v>1</v>
      </c>
      <c r="P166" s="10">
        <v>28</v>
      </c>
    </row>
    <row r="167" spans="1:16">
      <c r="A167" s="10" t="s">
        <v>190</v>
      </c>
      <c r="B167" s="10">
        <v>367</v>
      </c>
      <c r="C167" s="21">
        <v>9.3975429933507485E-4</v>
      </c>
      <c r="D167" s="10">
        <v>145</v>
      </c>
      <c r="E167" s="10">
        <v>0</v>
      </c>
      <c r="F167" s="10">
        <v>0</v>
      </c>
      <c r="G167" s="10">
        <v>0</v>
      </c>
      <c r="H167" s="10">
        <v>0</v>
      </c>
      <c r="I167" s="10">
        <v>0</v>
      </c>
      <c r="J167" s="10">
        <v>0</v>
      </c>
      <c r="K167" s="10">
        <v>0</v>
      </c>
      <c r="L167" s="10">
        <v>0</v>
      </c>
      <c r="M167" s="10">
        <v>0</v>
      </c>
      <c r="N167" s="10">
        <v>0</v>
      </c>
      <c r="O167" s="10">
        <v>1</v>
      </c>
      <c r="P167" s="10">
        <v>22</v>
      </c>
    </row>
    <row r="168" spans="1:16">
      <c r="A168" s="10" t="s">
        <v>191</v>
      </c>
      <c r="B168" s="10">
        <v>107</v>
      </c>
      <c r="C168" s="21">
        <v>1.6138737946756101E-3</v>
      </c>
      <c r="D168" s="10">
        <v>107</v>
      </c>
      <c r="E168" s="10">
        <v>1</v>
      </c>
      <c r="F168" s="10">
        <v>0</v>
      </c>
      <c r="G168" s="10">
        <v>0</v>
      </c>
      <c r="H168" s="10">
        <v>0</v>
      </c>
      <c r="I168" s="10">
        <v>0</v>
      </c>
      <c r="J168" s="10">
        <v>0</v>
      </c>
      <c r="K168" s="10">
        <v>0</v>
      </c>
      <c r="L168" s="10">
        <v>0</v>
      </c>
      <c r="M168" s="10">
        <v>0</v>
      </c>
      <c r="N168" s="10">
        <v>0</v>
      </c>
      <c r="O168" s="10">
        <v>0</v>
      </c>
      <c r="P168" s="10">
        <v>36</v>
      </c>
    </row>
    <row r="169" spans="1:16">
      <c r="A169" s="10" t="s">
        <v>192</v>
      </c>
      <c r="B169" s="10">
        <v>119</v>
      </c>
      <c r="C169" s="21">
        <v>1.0737157765157684E-3</v>
      </c>
      <c r="D169" s="10">
        <v>186</v>
      </c>
      <c r="E169" s="10">
        <v>1</v>
      </c>
      <c r="F169" s="10">
        <v>0</v>
      </c>
      <c r="G169" s="10">
        <v>0</v>
      </c>
      <c r="H169" s="10">
        <v>0</v>
      </c>
      <c r="I169" s="10">
        <v>0</v>
      </c>
      <c r="J169" s="10">
        <v>0</v>
      </c>
      <c r="K169" s="10">
        <v>0</v>
      </c>
      <c r="L169" s="10">
        <v>0</v>
      </c>
      <c r="M169" s="10">
        <v>0</v>
      </c>
      <c r="N169" s="10">
        <v>0</v>
      </c>
      <c r="O169" s="10">
        <v>0</v>
      </c>
      <c r="P169" s="10">
        <v>25</v>
      </c>
    </row>
    <row r="170" spans="1:16">
      <c r="A170" s="10" t="s">
        <v>193</v>
      </c>
      <c r="B170" s="10">
        <v>76</v>
      </c>
      <c r="C170" s="21">
        <v>7.5788330905871525E-4</v>
      </c>
      <c r="D170" s="10">
        <v>147</v>
      </c>
      <c r="E170" s="10">
        <v>0</v>
      </c>
      <c r="F170" s="10">
        <v>1</v>
      </c>
      <c r="G170" s="10">
        <v>0</v>
      </c>
      <c r="H170" s="10">
        <v>0</v>
      </c>
      <c r="I170" s="10">
        <v>0</v>
      </c>
      <c r="J170" s="10">
        <v>0</v>
      </c>
      <c r="K170" s="10">
        <v>0</v>
      </c>
      <c r="L170" s="10">
        <v>0</v>
      </c>
      <c r="M170" s="10">
        <v>0</v>
      </c>
      <c r="N170" s="10">
        <v>0</v>
      </c>
      <c r="O170" s="10">
        <v>0</v>
      </c>
      <c r="P170" s="10">
        <v>17</v>
      </c>
    </row>
    <row r="171" spans="1:16">
      <c r="A171" s="10" t="s">
        <v>194</v>
      </c>
      <c r="B171" s="10">
        <v>93</v>
      </c>
      <c r="C171" s="21">
        <v>3.1557662680345793E-3</v>
      </c>
      <c r="D171" s="10">
        <v>181</v>
      </c>
      <c r="E171" s="10">
        <v>0</v>
      </c>
      <c r="F171" s="10">
        <v>1</v>
      </c>
      <c r="G171" s="10">
        <v>0</v>
      </c>
      <c r="H171" s="10">
        <v>0</v>
      </c>
      <c r="I171" s="10">
        <v>0</v>
      </c>
      <c r="J171" s="10">
        <v>0</v>
      </c>
      <c r="K171" s="10">
        <v>0</v>
      </c>
      <c r="L171" s="10">
        <v>0</v>
      </c>
      <c r="M171" s="10">
        <v>0</v>
      </c>
      <c r="N171" s="10">
        <v>0</v>
      </c>
      <c r="O171" s="10">
        <v>0</v>
      </c>
      <c r="P171" s="10">
        <v>27</v>
      </c>
    </row>
    <row r="172" spans="1:16">
      <c r="A172" s="10" t="s">
        <v>195</v>
      </c>
      <c r="B172" s="10">
        <v>41</v>
      </c>
      <c r="C172" s="21">
        <v>1.5499482857005424E-3</v>
      </c>
      <c r="D172" s="10">
        <v>162</v>
      </c>
      <c r="E172" s="10">
        <v>0</v>
      </c>
      <c r="F172" s="10">
        <v>0</v>
      </c>
      <c r="G172" s="10">
        <v>1</v>
      </c>
      <c r="H172" s="10">
        <v>0</v>
      </c>
      <c r="I172" s="10">
        <v>0</v>
      </c>
      <c r="J172" s="10">
        <v>0</v>
      </c>
      <c r="K172" s="10">
        <v>0</v>
      </c>
      <c r="L172" s="10">
        <v>0</v>
      </c>
      <c r="M172" s="10">
        <v>0</v>
      </c>
      <c r="N172" s="10">
        <v>0</v>
      </c>
      <c r="O172" s="10">
        <v>0</v>
      </c>
      <c r="P172" s="10">
        <v>31</v>
      </c>
    </row>
    <row r="173" spans="1:16">
      <c r="A173" s="10" t="s">
        <v>196</v>
      </c>
      <c r="B173" s="10">
        <v>110</v>
      </c>
      <c r="C173" s="21">
        <v>1.2884322588682128E-3</v>
      </c>
      <c r="D173" s="10">
        <v>118</v>
      </c>
      <c r="E173" s="10">
        <v>0</v>
      </c>
      <c r="F173" s="10">
        <v>1</v>
      </c>
      <c r="G173" s="10">
        <v>0</v>
      </c>
      <c r="H173" s="10">
        <v>0</v>
      </c>
      <c r="I173" s="10">
        <v>0</v>
      </c>
      <c r="J173" s="10">
        <v>0</v>
      </c>
      <c r="K173" s="10">
        <v>0</v>
      </c>
      <c r="L173" s="10">
        <v>0</v>
      </c>
      <c r="M173" s="10">
        <v>0</v>
      </c>
      <c r="N173" s="10">
        <v>0</v>
      </c>
      <c r="O173" s="10">
        <v>0</v>
      </c>
      <c r="P173" s="10">
        <v>28</v>
      </c>
    </row>
    <row r="174" spans="1:16">
      <c r="A174" s="10" t="s">
        <v>197</v>
      </c>
      <c r="B174" s="10">
        <v>574</v>
      </c>
      <c r="C174" s="21">
        <v>2.083003798488782E-3</v>
      </c>
      <c r="D174" s="10">
        <v>120</v>
      </c>
      <c r="E174" s="10">
        <v>0</v>
      </c>
      <c r="F174" s="10">
        <v>0</v>
      </c>
      <c r="G174" s="10">
        <v>0</v>
      </c>
      <c r="H174" s="10">
        <v>0</v>
      </c>
      <c r="I174" s="10">
        <v>0</v>
      </c>
      <c r="J174" s="10">
        <v>0</v>
      </c>
      <c r="K174" s="10">
        <v>0</v>
      </c>
      <c r="L174" s="10">
        <v>0</v>
      </c>
      <c r="M174" s="10">
        <v>0</v>
      </c>
      <c r="N174" s="10">
        <v>0</v>
      </c>
      <c r="O174" s="10">
        <v>1</v>
      </c>
      <c r="P174" s="10">
        <v>41</v>
      </c>
    </row>
    <row r="175" spans="1:16">
      <c r="A175" s="10" t="s">
        <v>198</v>
      </c>
      <c r="B175" s="10">
        <v>110</v>
      </c>
      <c r="C175" s="21">
        <v>1.9448441041120492E-4</v>
      </c>
      <c r="D175" s="10">
        <v>193</v>
      </c>
      <c r="E175" s="10">
        <v>0</v>
      </c>
      <c r="F175" s="10">
        <v>1</v>
      </c>
      <c r="G175" s="10">
        <v>0</v>
      </c>
      <c r="H175" s="10">
        <v>0</v>
      </c>
      <c r="I175" s="10">
        <v>0</v>
      </c>
      <c r="J175" s="10">
        <v>0</v>
      </c>
      <c r="K175" s="10">
        <v>0</v>
      </c>
      <c r="L175" s="10">
        <v>0</v>
      </c>
      <c r="M175" s="10">
        <v>0</v>
      </c>
      <c r="N175" s="10">
        <v>0</v>
      </c>
      <c r="O175" s="10">
        <v>0</v>
      </c>
      <c r="P175" s="10">
        <v>18</v>
      </c>
    </row>
    <row r="176" spans="1:16">
      <c r="A176" s="10" t="s">
        <v>199</v>
      </c>
      <c r="B176" s="10">
        <v>253</v>
      </c>
      <c r="C176" s="21">
        <v>1.2004501867415708E-4</v>
      </c>
      <c r="D176" s="10">
        <v>196</v>
      </c>
      <c r="E176" s="10">
        <v>0</v>
      </c>
      <c r="F176" s="10">
        <v>0</v>
      </c>
      <c r="G176" s="10">
        <v>0</v>
      </c>
      <c r="H176" s="10">
        <v>0</v>
      </c>
      <c r="I176" s="10">
        <v>1</v>
      </c>
      <c r="J176" s="10">
        <v>0</v>
      </c>
      <c r="K176" s="10">
        <v>0</v>
      </c>
      <c r="L176" s="10">
        <v>0</v>
      </c>
      <c r="M176" s="10">
        <v>0</v>
      </c>
      <c r="N176" s="10">
        <v>0</v>
      </c>
      <c r="O176" s="10">
        <v>0</v>
      </c>
      <c r="P176" s="10">
        <v>16</v>
      </c>
    </row>
    <row r="177" spans="1:16">
      <c r="A177" s="10" t="s">
        <v>200</v>
      </c>
      <c r="B177" s="10">
        <v>84</v>
      </c>
      <c r="C177" s="21">
        <v>2.0709324868360694E-3</v>
      </c>
      <c r="D177" s="10">
        <v>178</v>
      </c>
      <c r="E177" s="10">
        <v>1</v>
      </c>
      <c r="F177" s="10">
        <v>0</v>
      </c>
      <c r="G177" s="10">
        <v>0</v>
      </c>
      <c r="H177" s="10">
        <v>0</v>
      </c>
      <c r="I177" s="10">
        <v>0</v>
      </c>
      <c r="J177" s="10">
        <v>0</v>
      </c>
      <c r="K177" s="10">
        <v>0</v>
      </c>
      <c r="L177" s="10">
        <v>0</v>
      </c>
      <c r="M177" s="10">
        <v>0</v>
      </c>
      <c r="N177" s="10">
        <v>0</v>
      </c>
      <c r="O177" s="10">
        <v>0</v>
      </c>
      <c r="P177" s="10">
        <v>26</v>
      </c>
    </row>
    <row r="178" spans="1:16">
      <c r="A178" s="10" t="s">
        <v>201</v>
      </c>
      <c r="B178" s="10">
        <v>41</v>
      </c>
      <c r="C178" s="21">
        <v>1.4387964782513198E-3</v>
      </c>
      <c r="D178" s="10">
        <v>177</v>
      </c>
      <c r="E178" s="10">
        <v>0</v>
      </c>
      <c r="F178" s="10">
        <v>0</v>
      </c>
      <c r="G178" s="10">
        <v>1</v>
      </c>
      <c r="H178" s="10">
        <v>0</v>
      </c>
      <c r="I178" s="10">
        <v>0</v>
      </c>
      <c r="J178" s="10">
        <v>0</v>
      </c>
      <c r="K178" s="10">
        <v>0</v>
      </c>
      <c r="L178" s="10">
        <v>0</v>
      </c>
      <c r="M178" s="10">
        <v>0</v>
      </c>
      <c r="N178" s="10">
        <v>0</v>
      </c>
      <c r="O178" s="10">
        <v>0</v>
      </c>
      <c r="P178" s="10">
        <v>14</v>
      </c>
    </row>
    <row r="179" spans="1:16">
      <c r="A179" s="10" t="s">
        <v>202</v>
      </c>
      <c r="B179" s="10">
        <v>96</v>
      </c>
      <c r="C179" s="21">
        <v>4.6450959101216691E-3</v>
      </c>
      <c r="D179" s="10">
        <v>84</v>
      </c>
      <c r="E179" s="10">
        <v>0</v>
      </c>
      <c r="F179" s="10">
        <v>1</v>
      </c>
      <c r="G179" s="10">
        <v>0</v>
      </c>
      <c r="H179" s="10">
        <v>0</v>
      </c>
      <c r="I179" s="10">
        <v>0</v>
      </c>
      <c r="J179" s="10">
        <v>0</v>
      </c>
      <c r="K179" s="10">
        <v>0</v>
      </c>
      <c r="L179" s="10">
        <v>0</v>
      </c>
      <c r="M179" s="10">
        <v>0</v>
      </c>
      <c r="N179" s="10">
        <v>0</v>
      </c>
      <c r="O179" s="10">
        <v>0</v>
      </c>
      <c r="P179" s="10">
        <v>43</v>
      </c>
    </row>
    <row r="180" spans="1:16">
      <c r="A180" s="10" t="s">
        <v>203</v>
      </c>
      <c r="B180" s="10">
        <v>45</v>
      </c>
      <c r="C180" s="21">
        <v>1.7580627766745987E-3</v>
      </c>
      <c r="D180" s="10">
        <v>200</v>
      </c>
      <c r="E180" s="10">
        <v>0</v>
      </c>
      <c r="F180" s="10">
        <v>0</v>
      </c>
      <c r="G180" s="10">
        <v>0</v>
      </c>
      <c r="H180" s="10">
        <v>0</v>
      </c>
      <c r="I180" s="10">
        <v>1</v>
      </c>
      <c r="J180" s="10">
        <v>0</v>
      </c>
      <c r="K180" s="10">
        <v>0</v>
      </c>
      <c r="L180" s="10">
        <v>0</v>
      </c>
      <c r="M180" s="10">
        <v>0</v>
      </c>
      <c r="N180" s="10">
        <v>0</v>
      </c>
      <c r="O180" s="10">
        <v>0</v>
      </c>
      <c r="P180" s="10">
        <v>23</v>
      </c>
    </row>
    <row r="181" spans="1:16">
      <c r="A181" s="10" t="s">
        <v>204</v>
      </c>
      <c r="B181" s="10">
        <v>341</v>
      </c>
      <c r="C181" s="21">
        <v>1.0790156139933635E-3</v>
      </c>
      <c r="D181" s="10">
        <v>194</v>
      </c>
      <c r="E181" s="10">
        <v>0</v>
      </c>
      <c r="F181" s="10">
        <v>0</v>
      </c>
      <c r="G181" s="10">
        <v>0</v>
      </c>
      <c r="H181" s="10">
        <v>0</v>
      </c>
      <c r="I181" s="10">
        <v>0</v>
      </c>
      <c r="J181" s="10">
        <v>0</v>
      </c>
      <c r="K181" s="10">
        <v>0</v>
      </c>
      <c r="L181" s="10">
        <v>0</v>
      </c>
      <c r="M181" s="10">
        <v>0</v>
      </c>
      <c r="N181" s="10">
        <v>0</v>
      </c>
      <c r="O181" s="10">
        <v>0</v>
      </c>
      <c r="P181" s="10">
        <v>20</v>
      </c>
    </row>
    <row r="182" spans="1:16">
      <c r="A182" s="10" t="s">
        <v>205</v>
      </c>
      <c r="B182" s="10">
        <v>89</v>
      </c>
      <c r="C182" s="21">
        <v>1.8832833535923081E-3</v>
      </c>
      <c r="D182" s="10">
        <v>125</v>
      </c>
      <c r="E182" s="10">
        <v>1</v>
      </c>
      <c r="F182" s="10">
        <v>0</v>
      </c>
      <c r="G182" s="10">
        <v>0</v>
      </c>
      <c r="H182" s="10">
        <v>0</v>
      </c>
      <c r="I182" s="10">
        <v>0</v>
      </c>
      <c r="J182" s="10">
        <v>0</v>
      </c>
      <c r="K182" s="10">
        <v>0</v>
      </c>
      <c r="L182" s="10">
        <v>0</v>
      </c>
      <c r="M182" s="10">
        <v>0</v>
      </c>
      <c r="N182" s="10">
        <v>0</v>
      </c>
      <c r="O182" s="10">
        <v>0</v>
      </c>
      <c r="P182" s="10">
        <v>31</v>
      </c>
    </row>
    <row r="183" spans="1:16">
      <c r="A183" s="10" t="s">
        <v>206</v>
      </c>
      <c r="B183" s="10">
        <v>98</v>
      </c>
      <c r="C183" s="21">
        <v>2.4508734929749873E-3</v>
      </c>
      <c r="D183" s="10">
        <v>163</v>
      </c>
      <c r="E183" s="10">
        <v>1</v>
      </c>
      <c r="F183" s="10">
        <v>0</v>
      </c>
      <c r="G183" s="10">
        <v>0</v>
      </c>
      <c r="H183" s="10">
        <v>0</v>
      </c>
      <c r="I183" s="10">
        <v>0</v>
      </c>
      <c r="J183" s="10">
        <v>0</v>
      </c>
      <c r="K183" s="10">
        <v>0</v>
      </c>
      <c r="L183" s="10">
        <v>0</v>
      </c>
      <c r="M183" s="10">
        <v>0</v>
      </c>
      <c r="N183" s="10">
        <v>0</v>
      </c>
      <c r="O183" s="10">
        <v>0</v>
      </c>
      <c r="P183" s="10">
        <v>38</v>
      </c>
    </row>
    <row r="184" spans="1:16">
      <c r="A184" s="10" t="s">
        <v>207</v>
      </c>
      <c r="B184" s="10">
        <v>69</v>
      </c>
      <c r="C184" s="21">
        <v>1.852410654735677E-3</v>
      </c>
      <c r="D184" s="10">
        <v>155</v>
      </c>
      <c r="E184" s="10">
        <v>0</v>
      </c>
      <c r="F184" s="10">
        <v>0</v>
      </c>
      <c r="G184" s="10">
        <v>1</v>
      </c>
      <c r="H184" s="10">
        <v>0</v>
      </c>
      <c r="I184" s="10">
        <v>0</v>
      </c>
      <c r="J184" s="10">
        <v>0</v>
      </c>
      <c r="K184" s="10">
        <v>0</v>
      </c>
      <c r="L184" s="10">
        <v>0</v>
      </c>
      <c r="M184" s="10">
        <v>0</v>
      </c>
      <c r="N184" s="10">
        <v>0</v>
      </c>
      <c r="O184" s="10">
        <v>0</v>
      </c>
      <c r="P184" s="10">
        <v>33</v>
      </c>
    </row>
    <row r="185" spans="1:16">
      <c r="A185" s="10" t="s">
        <v>208</v>
      </c>
      <c r="B185" s="10">
        <v>122</v>
      </c>
      <c r="C185" s="21">
        <v>1.5641647108579348E-3</v>
      </c>
      <c r="D185" s="10">
        <v>113</v>
      </c>
      <c r="E185" s="10">
        <v>0</v>
      </c>
      <c r="F185" s="10">
        <v>0</v>
      </c>
      <c r="G185" s="10">
        <v>0</v>
      </c>
      <c r="H185" s="10">
        <v>1</v>
      </c>
      <c r="I185" s="10">
        <v>0</v>
      </c>
      <c r="J185" s="10">
        <v>0</v>
      </c>
      <c r="K185" s="10">
        <v>0</v>
      </c>
      <c r="L185" s="10">
        <v>0</v>
      </c>
      <c r="M185" s="10">
        <v>0</v>
      </c>
      <c r="N185" s="10">
        <v>0</v>
      </c>
      <c r="O185" s="10">
        <v>0</v>
      </c>
      <c r="P185" s="10">
        <v>27</v>
      </c>
    </row>
    <row r="186" spans="1:16">
      <c r="A186" s="10" t="s">
        <v>209</v>
      </c>
      <c r="B186" s="10">
        <v>83</v>
      </c>
      <c r="C186" s="21">
        <v>1.5594884259148849E-3</v>
      </c>
      <c r="D186" s="10">
        <v>133</v>
      </c>
      <c r="E186" s="10">
        <v>0</v>
      </c>
      <c r="F186" s="10">
        <v>1</v>
      </c>
      <c r="G186" s="10">
        <v>0</v>
      </c>
      <c r="H186" s="10">
        <v>0</v>
      </c>
      <c r="I186" s="10">
        <v>0</v>
      </c>
      <c r="J186" s="10">
        <v>0</v>
      </c>
      <c r="K186" s="10">
        <v>0</v>
      </c>
      <c r="L186" s="10">
        <v>0</v>
      </c>
      <c r="M186" s="10">
        <v>0</v>
      </c>
      <c r="N186" s="10">
        <v>0</v>
      </c>
      <c r="O186" s="10">
        <v>0</v>
      </c>
      <c r="P186" s="10">
        <v>24</v>
      </c>
    </row>
    <row r="187" spans="1:16">
      <c r="A187" s="10" t="s">
        <v>210</v>
      </c>
      <c r="B187" s="10">
        <v>348</v>
      </c>
      <c r="C187" s="21">
        <v>2.1838970382424597E-3</v>
      </c>
      <c r="D187" s="10">
        <v>119</v>
      </c>
      <c r="E187" s="10">
        <v>0</v>
      </c>
      <c r="F187" s="10">
        <v>0</v>
      </c>
      <c r="G187" s="10">
        <v>0</v>
      </c>
      <c r="H187" s="10">
        <v>0</v>
      </c>
      <c r="I187" s="10">
        <v>0</v>
      </c>
      <c r="J187" s="10">
        <v>0</v>
      </c>
      <c r="K187" s="10">
        <v>0</v>
      </c>
      <c r="L187" s="10">
        <v>0</v>
      </c>
      <c r="M187" s="10">
        <v>0</v>
      </c>
      <c r="N187" s="10">
        <v>0</v>
      </c>
      <c r="O187" s="10">
        <v>0</v>
      </c>
      <c r="P187" s="10">
        <v>38</v>
      </c>
    </row>
    <row r="188" spans="1:16">
      <c r="A188" s="10" t="s">
        <v>211</v>
      </c>
      <c r="B188" s="10">
        <v>108</v>
      </c>
      <c r="C188" s="21">
        <v>2.25019564038593E-3</v>
      </c>
      <c r="D188" s="10">
        <v>106</v>
      </c>
      <c r="E188" s="10">
        <v>1</v>
      </c>
      <c r="F188" s="10">
        <v>0</v>
      </c>
      <c r="G188" s="10">
        <v>0</v>
      </c>
      <c r="H188" s="10">
        <v>0</v>
      </c>
      <c r="I188" s="10">
        <v>0</v>
      </c>
      <c r="J188" s="10">
        <v>0</v>
      </c>
      <c r="K188" s="10">
        <v>0</v>
      </c>
      <c r="L188" s="10">
        <v>0</v>
      </c>
      <c r="M188" s="10">
        <v>0</v>
      </c>
      <c r="N188" s="10">
        <v>0</v>
      </c>
      <c r="O188" s="10">
        <v>0</v>
      </c>
      <c r="P188" s="10">
        <v>47</v>
      </c>
    </row>
    <row r="189" spans="1:16">
      <c r="A189" s="10" t="s">
        <v>212</v>
      </c>
      <c r="B189" s="10">
        <v>112</v>
      </c>
      <c r="C189" s="21">
        <v>2.2118839965426097E-3</v>
      </c>
      <c r="D189" s="10">
        <v>146</v>
      </c>
      <c r="E189" s="10">
        <v>0</v>
      </c>
      <c r="F189" s="10">
        <v>1</v>
      </c>
      <c r="G189" s="10">
        <v>0</v>
      </c>
      <c r="H189" s="10">
        <v>0</v>
      </c>
      <c r="I189" s="10">
        <v>0</v>
      </c>
      <c r="J189" s="10">
        <v>0</v>
      </c>
      <c r="K189" s="10">
        <v>0</v>
      </c>
      <c r="L189" s="10">
        <v>0</v>
      </c>
      <c r="M189" s="10">
        <v>0</v>
      </c>
      <c r="N189" s="10">
        <v>0</v>
      </c>
      <c r="O189" s="10">
        <v>1</v>
      </c>
      <c r="P189" s="10">
        <v>31</v>
      </c>
    </row>
    <row r="190" spans="1:16">
      <c r="A190" s="10" t="s">
        <v>213</v>
      </c>
      <c r="B190" s="10">
        <v>518</v>
      </c>
      <c r="C190" s="21">
        <v>9.5150174980528676E-4</v>
      </c>
      <c r="D190" s="10">
        <v>140</v>
      </c>
      <c r="E190" s="10">
        <v>0</v>
      </c>
      <c r="F190" s="10">
        <v>0</v>
      </c>
      <c r="G190" s="10">
        <v>0</v>
      </c>
      <c r="H190" s="10">
        <v>0</v>
      </c>
      <c r="I190" s="10">
        <v>0</v>
      </c>
      <c r="J190" s="10">
        <v>0</v>
      </c>
      <c r="K190" s="10">
        <v>0</v>
      </c>
      <c r="L190" s="10">
        <v>0</v>
      </c>
      <c r="M190" s="10">
        <v>0</v>
      </c>
      <c r="N190" s="10">
        <v>0</v>
      </c>
      <c r="O190" s="10">
        <v>0</v>
      </c>
      <c r="P190" s="10">
        <v>20</v>
      </c>
    </row>
    <row r="191" spans="1:16">
      <c r="A191" s="10" t="s">
        <v>214</v>
      </c>
      <c r="B191" s="10">
        <v>72</v>
      </c>
      <c r="C191" s="21">
        <v>1.7516389250097819E-3</v>
      </c>
      <c r="D191" s="10">
        <v>226</v>
      </c>
      <c r="E191" s="10">
        <v>1</v>
      </c>
      <c r="F191" s="10">
        <v>0</v>
      </c>
      <c r="G191" s="10">
        <v>0</v>
      </c>
      <c r="H191" s="10">
        <v>0</v>
      </c>
      <c r="I191" s="10">
        <v>0</v>
      </c>
      <c r="J191" s="10">
        <v>0</v>
      </c>
      <c r="K191" s="10">
        <v>0</v>
      </c>
      <c r="L191" s="10">
        <v>0</v>
      </c>
      <c r="M191" s="10">
        <v>0</v>
      </c>
      <c r="N191" s="10">
        <v>0</v>
      </c>
      <c r="O191" s="10">
        <v>0</v>
      </c>
      <c r="P191" s="10">
        <v>19</v>
      </c>
    </row>
    <row r="192" spans="1:16">
      <c r="A192" s="10" t="s">
        <v>215</v>
      </c>
      <c r="B192" s="10">
        <v>36</v>
      </c>
      <c r="C192" s="21">
        <v>2.067497539937548E-3</v>
      </c>
      <c r="D192" s="10">
        <v>151</v>
      </c>
      <c r="E192" s="10">
        <v>0</v>
      </c>
      <c r="F192" s="10">
        <v>0</v>
      </c>
      <c r="G192" s="10">
        <v>1</v>
      </c>
      <c r="H192" s="10">
        <v>0</v>
      </c>
      <c r="I192" s="10">
        <v>0</v>
      </c>
      <c r="J192" s="10">
        <v>0</v>
      </c>
      <c r="K192" s="10">
        <v>0</v>
      </c>
      <c r="L192" s="10">
        <v>0</v>
      </c>
      <c r="M192" s="10">
        <v>0</v>
      </c>
      <c r="N192" s="10">
        <v>0</v>
      </c>
      <c r="O192" s="10">
        <v>1</v>
      </c>
      <c r="P192" s="10">
        <v>45</v>
      </c>
    </row>
    <row r="193" spans="1:16">
      <c r="A193" s="10" t="s">
        <v>216</v>
      </c>
      <c r="B193" s="10">
        <v>620</v>
      </c>
      <c r="C193" s="21">
        <v>6.8243865316366774E-4</v>
      </c>
      <c r="D193" s="10">
        <v>110</v>
      </c>
      <c r="E193" s="10">
        <v>0</v>
      </c>
      <c r="F193" s="10">
        <v>0</v>
      </c>
      <c r="G193" s="10">
        <v>0</v>
      </c>
      <c r="H193" s="10">
        <v>0</v>
      </c>
      <c r="I193" s="10">
        <v>0</v>
      </c>
      <c r="J193" s="10">
        <v>0</v>
      </c>
      <c r="K193" s="10">
        <v>0</v>
      </c>
      <c r="L193" s="10">
        <v>0</v>
      </c>
      <c r="M193" s="10">
        <v>0</v>
      </c>
      <c r="N193" s="10">
        <v>0</v>
      </c>
      <c r="O193" s="10">
        <v>0</v>
      </c>
      <c r="P193" s="10">
        <v>38</v>
      </c>
    </row>
    <row r="194" spans="1:16">
      <c r="A194" s="10" t="s">
        <v>217</v>
      </c>
      <c r="B194" s="10">
        <v>69</v>
      </c>
      <c r="C194" s="21">
        <v>1.5242691465290717E-4</v>
      </c>
      <c r="D194" s="10">
        <v>192</v>
      </c>
      <c r="E194" s="10">
        <v>0</v>
      </c>
      <c r="F194" s="10">
        <v>0</v>
      </c>
      <c r="G194" s="10">
        <v>0</v>
      </c>
      <c r="H194" s="10">
        <v>0</v>
      </c>
      <c r="I194" s="10">
        <v>0</v>
      </c>
      <c r="J194" s="10">
        <v>0</v>
      </c>
      <c r="K194" s="10">
        <v>0</v>
      </c>
      <c r="L194" s="10">
        <v>0</v>
      </c>
      <c r="M194" s="10">
        <v>0</v>
      </c>
      <c r="N194" s="10">
        <v>1</v>
      </c>
      <c r="O194" s="10">
        <v>0</v>
      </c>
      <c r="P194" s="10">
        <v>18</v>
      </c>
    </row>
    <row r="195" spans="1:16">
      <c r="A195" s="10" t="s">
        <v>218</v>
      </c>
      <c r="B195" s="10">
        <v>284</v>
      </c>
      <c r="C195" s="21">
        <v>7.2164448242339823E-4</v>
      </c>
      <c r="D195" s="10">
        <v>168</v>
      </c>
      <c r="E195" s="10">
        <v>0</v>
      </c>
      <c r="F195" s="10">
        <v>0</v>
      </c>
      <c r="G195" s="10">
        <v>0</v>
      </c>
      <c r="H195" s="10">
        <v>0</v>
      </c>
      <c r="I195" s="10">
        <v>1</v>
      </c>
      <c r="J195" s="10">
        <v>0</v>
      </c>
      <c r="K195" s="10">
        <v>0</v>
      </c>
      <c r="L195" s="10">
        <v>0</v>
      </c>
      <c r="M195" s="10">
        <v>0</v>
      </c>
      <c r="N195" s="10">
        <v>0</v>
      </c>
      <c r="O195" s="10">
        <v>0</v>
      </c>
      <c r="P195" s="10">
        <v>14</v>
      </c>
    </row>
    <row r="196" spans="1:16">
      <c r="A196" s="10" t="s">
        <v>219</v>
      </c>
      <c r="B196" s="10">
        <v>118</v>
      </c>
      <c r="C196" s="21">
        <v>6.2297718886552937E-4</v>
      </c>
      <c r="D196" s="10">
        <v>135</v>
      </c>
      <c r="E196" s="10">
        <v>1</v>
      </c>
      <c r="F196" s="10">
        <v>0</v>
      </c>
      <c r="G196" s="10">
        <v>0</v>
      </c>
      <c r="H196" s="10">
        <v>0</v>
      </c>
      <c r="I196" s="10">
        <v>0</v>
      </c>
      <c r="J196" s="10">
        <v>0</v>
      </c>
      <c r="K196" s="10">
        <v>0</v>
      </c>
      <c r="L196" s="10">
        <v>0</v>
      </c>
      <c r="M196" s="10">
        <v>0</v>
      </c>
      <c r="N196" s="10">
        <v>0</v>
      </c>
      <c r="O196" s="10">
        <v>0</v>
      </c>
      <c r="P196" s="10">
        <v>42</v>
      </c>
    </row>
    <row r="197" spans="1:16">
      <c r="A197" s="10" t="s">
        <v>220</v>
      </c>
      <c r="B197" s="10">
        <v>192</v>
      </c>
      <c r="C197" s="21">
        <v>1.7844965475914329E-3</v>
      </c>
      <c r="D197" s="10">
        <v>157</v>
      </c>
      <c r="E197" s="10">
        <v>0</v>
      </c>
      <c r="F197" s="10">
        <v>0</v>
      </c>
      <c r="G197" s="10">
        <v>0</v>
      </c>
      <c r="H197" s="10">
        <v>1</v>
      </c>
      <c r="I197" s="10">
        <v>0</v>
      </c>
      <c r="J197" s="10">
        <v>0</v>
      </c>
      <c r="K197" s="10">
        <v>0</v>
      </c>
      <c r="L197" s="10">
        <v>0</v>
      </c>
      <c r="M197" s="10">
        <v>0</v>
      </c>
      <c r="N197" s="10">
        <v>0</v>
      </c>
      <c r="O197" s="10">
        <v>1</v>
      </c>
      <c r="P197" s="10">
        <v>33</v>
      </c>
    </row>
    <row r="198" spans="1:16">
      <c r="A198" s="10" t="s">
        <v>221</v>
      </c>
      <c r="B198" s="10">
        <v>103</v>
      </c>
      <c r="C198" s="21">
        <v>1.9776348056350711E-3</v>
      </c>
      <c r="D198" s="10">
        <v>152</v>
      </c>
      <c r="E198" s="10">
        <v>1</v>
      </c>
      <c r="F198" s="10">
        <v>0</v>
      </c>
      <c r="G198" s="10">
        <v>0</v>
      </c>
      <c r="H198" s="10">
        <v>0</v>
      </c>
      <c r="I198" s="10">
        <v>0</v>
      </c>
      <c r="J198" s="10">
        <v>0</v>
      </c>
      <c r="K198" s="10">
        <v>0</v>
      </c>
      <c r="L198" s="10">
        <v>0</v>
      </c>
      <c r="M198" s="10">
        <v>0</v>
      </c>
      <c r="N198" s="10">
        <v>0</v>
      </c>
      <c r="O198" s="10">
        <v>1</v>
      </c>
      <c r="P198" s="10">
        <v>34</v>
      </c>
    </row>
    <row r="199" spans="1:16">
      <c r="A199" s="10" t="s">
        <v>222</v>
      </c>
      <c r="B199" s="10">
        <v>111</v>
      </c>
      <c r="C199" s="21">
        <v>1.8665161937309822E-4</v>
      </c>
      <c r="D199" s="10">
        <v>206</v>
      </c>
      <c r="E199" s="10">
        <v>1</v>
      </c>
      <c r="F199" s="10">
        <v>0</v>
      </c>
      <c r="G199" s="10">
        <v>0</v>
      </c>
      <c r="H199" s="10">
        <v>0</v>
      </c>
      <c r="I199" s="10">
        <v>0</v>
      </c>
      <c r="J199" s="10">
        <v>0</v>
      </c>
      <c r="K199" s="10">
        <v>0</v>
      </c>
      <c r="L199" s="10">
        <v>0</v>
      </c>
      <c r="M199" s="10">
        <v>0</v>
      </c>
      <c r="N199" s="10">
        <v>0</v>
      </c>
      <c r="O199" s="10">
        <v>0</v>
      </c>
      <c r="P199" s="10">
        <v>15</v>
      </c>
    </row>
    <row r="200" spans="1:16">
      <c r="A200" s="10" t="s">
        <v>223</v>
      </c>
      <c r="B200" s="10">
        <v>52</v>
      </c>
      <c r="C200" s="21">
        <v>2.561622483062664E-3</v>
      </c>
      <c r="D200" s="10">
        <v>192</v>
      </c>
      <c r="E200" s="10">
        <v>0</v>
      </c>
      <c r="F200" s="10">
        <v>0</v>
      </c>
      <c r="G200" s="10">
        <v>1</v>
      </c>
      <c r="H200" s="10">
        <v>0</v>
      </c>
      <c r="I200" s="10">
        <v>0</v>
      </c>
      <c r="J200" s="10">
        <v>0</v>
      </c>
      <c r="K200" s="10">
        <v>0</v>
      </c>
      <c r="L200" s="10">
        <v>0</v>
      </c>
      <c r="M200" s="10">
        <v>0</v>
      </c>
      <c r="N200" s="10">
        <v>0</v>
      </c>
      <c r="O200" s="10">
        <v>0</v>
      </c>
      <c r="P200" s="10">
        <v>22</v>
      </c>
    </row>
    <row r="201" spans="1:16">
      <c r="A201" s="10" t="s">
        <v>224</v>
      </c>
      <c r="B201" s="10">
        <v>112</v>
      </c>
      <c r="C201" s="21">
        <v>1.6138737946756101E-3</v>
      </c>
      <c r="D201" s="10">
        <v>166</v>
      </c>
      <c r="E201" s="10">
        <v>0</v>
      </c>
      <c r="F201" s="10">
        <v>1</v>
      </c>
      <c r="G201" s="10">
        <v>0</v>
      </c>
      <c r="H201" s="10">
        <v>0</v>
      </c>
      <c r="I201" s="10">
        <v>0</v>
      </c>
      <c r="J201" s="10">
        <v>0</v>
      </c>
      <c r="K201" s="10">
        <v>0</v>
      </c>
      <c r="L201" s="10">
        <v>0</v>
      </c>
      <c r="M201" s="10">
        <v>0</v>
      </c>
      <c r="N201" s="10">
        <v>0</v>
      </c>
      <c r="O201" s="10">
        <v>0</v>
      </c>
      <c r="P201" s="10">
        <v>30</v>
      </c>
    </row>
    <row r="202" spans="1:16">
      <c r="A202" s="10" t="s">
        <v>225</v>
      </c>
      <c r="B202" s="10">
        <v>431</v>
      </c>
      <c r="C202" s="21">
        <v>2.1632499454531679E-3</v>
      </c>
      <c r="D202" s="10">
        <v>124</v>
      </c>
      <c r="E202" s="10">
        <v>0</v>
      </c>
      <c r="F202" s="10">
        <v>0</v>
      </c>
      <c r="G202" s="10">
        <v>0</v>
      </c>
      <c r="H202" s="10">
        <v>0</v>
      </c>
      <c r="I202" s="10">
        <v>0</v>
      </c>
      <c r="J202" s="10">
        <v>0</v>
      </c>
      <c r="K202" s="10">
        <v>0</v>
      </c>
      <c r="L202" s="10">
        <v>0</v>
      </c>
      <c r="M202" s="10">
        <v>0</v>
      </c>
      <c r="N202" s="10">
        <v>0</v>
      </c>
      <c r="O202" s="10">
        <v>1</v>
      </c>
      <c r="P202" s="10">
        <v>25</v>
      </c>
    </row>
    <row r="203" spans="1:16">
      <c r="A203" s="10" t="s">
        <v>226</v>
      </c>
      <c r="B203" s="10">
        <v>79</v>
      </c>
      <c r="C203" s="21">
        <v>2.0197360023128095E-3</v>
      </c>
      <c r="D203" s="10">
        <v>156</v>
      </c>
      <c r="E203" s="10">
        <v>1</v>
      </c>
      <c r="F203" s="10">
        <v>0</v>
      </c>
      <c r="G203" s="10">
        <v>0</v>
      </c>
      <c r="H203" s="10">
        <v>0</v>
      </c>
      <c r="I203" s="10">
        <v>0</v>
      </c>
      <c r="J203" s="10">
        <v>0</v>
      </c>
      <c r="K203" s="10">
        <v>0</v>
      </c>
      <c r="L203" s="10">
        <v>0</v>
      </c>
      <c r="M203" s="10">
        <v>0</v>
      </c>
      <c r="N203" s="10">
        <v>0</v>
      </c>
      <c r="O203" s="10">
        <v>0</v>
      </c>
      <c r="P203" s="10">
        <v>26</v>
      </c>
    </row>
    <row r="204" spans="1:16">
      <c r="A204" s="10" t="s">
        <v>227</v>
      </c>
      <c r="B204" s="10">
        <v>107</v>
      </c>
      <c r="C204" s="21">
        <v>4.5952355367580842E-4</v>
      </c>
      <c r="D204" s="10">
        <v>186</v>
      </c>
      <c r="E204" s="10">
        <v>1</v>
      </c>
      <c r="F204" s="10">
        <v>0</v>
      </c>
      <c r="G204" s="10">
        <v>0</v>
      </c>
      <c r="H204" s="10">
        <v>0</v>
      </c>
      <c r="I204" s="10">
        <v>0</v>
      </c>
      <c r="J204" s="10">
        <v>0</v>
      </c>
      <c r="K204" s="10">
        <v>0</v>
      </c>
      <c r="L204" s="10">
        <v>0</v>
      </c>
      <c r="M204" s="10">
        <v>0</v>
      </c>
      <c r="N204" s="10">
        <v>0</v>
      </c>
      <c r="O204" s="10">
        <v>0</v>
      </c>
      <c r="P204" s="10">
        <v>11</v>
      </c>
    </row>
    <row r="205" spans="1:16">
      <c r="A205" s="10" t="s">
        <v>228</v>
      </c>
      <c r="B205" s="10">
        <v>92</v>
      </c>
      <c r="C205" s="21">
        <v>7.2638925262109258E-4</v>
      </c>
      <c r="D205" s="10">
        <v>137</v>
      </c>
      <c r="E205" s="10">
        <v>0</v>
      </c>
      <c r="F205" s="10">
        <v>1</v>
      </c>
      <c r="G205" s="10">
        <v>0</v>
      </c>
      <c r="H205" s="10">
        <v>0</v>
      </c>
      <c r="I205" s="10">
        <v>0</v>
      </c>
      <c r="J205" s="10">
        <v>0</v>
      </c>
      <c r="K205" s="10">
        <v>0</v>
      </c>
      <c r="L205" s="10">
        <v>0</v>
      </c>
      <c r="M205" s="10">
        <v>0</v>
      </c>
      <c r="N205" s="10">
        <v>0</v>
      </c>
      <c r="O205" s="10">
        <v>0</v>
      </c>
      <c r="P205" s="10">
        <v>28</v>
      </c>
    </row>
    <row r="206" spans="1:16">
      <c r="A206" s="10" t="s">
        <v>229</v>
      </c>
      <c r="B206" s="10">
        <v>430</v>
      </c>
      <c r="C206" s="21">
        <v>8.216832532706381E-4</v>
      </c>
      <c r="D206" s="10">
        <v>176</v>
      </c>
      <c r="E206" s="10">
        <v>0</v>
      </c>
      <c r="F206" s="10">
        <v>0</v>
      </c>
      <c r="G206" s="10">
        <v>0</v>
      </c>
      <c r="H206" s="10">
        <v>0</v>
      </c>
      <c r="I206" s="10">
        <v>0</v>
      </c>
      <c r="J206" s="10">
        <v>0</v>
      </c>
      <c r="K206" s="10">
        <v>0</v>
      </c>
      <c r="L206" s="10">
        <v>0</v>
      </c>
      <c r="M206" s="10">
        <v>0</v>
      </c>
      <c r="N206" s="10">
        <v>0</v>
      </c>
      <c r="O206" s="10">
        <v>1</v>
      </c>
      <c r="P206" s="10">
        <v>22</v>
      </c>
    </row>
    <row r="207" spans="1:16">
      <c r="A207" s="10" t="s">
        <v>230</v>
      </c>
      <c r="B207" s="10">
        <v>96</v>
      </c>
      <c r="C207" s="21">
        <v>1.999354783838433E-3</v>
      </c>
      <c r="D207" s="10">
        <v>89</v>
      </c>
      <c r="E207" s="10">
        <v>0</v>
      </c>
      <c r="F207" s="10">
        <v>0</v>
      </c>
      <c r="G207" s="10">
        <v>0</v>
      </c>
      <c r="H207" s="10">
        <v>0</v>
      </c>
      <c r="I207" s="10">
        <v>0</v>
      </c>
      <c r="J207" s="10">
        <v>0</v>
      </c>
      <c r="K207" s="10">
        <v>0</v>
      </c>
      <c r="L207" s="10">
        <v>0</v>
      </c>
      <c r="M207" s="10">
        <v>0</v>
      </c>
      <c r="N207" s="10">
        <v>1</v>
      </c>
      <c r="O207" s="10">
        <v>1</v>
      </c>
      <c r="P207" s="10">
        <v>37</v>
      </c>
    </row>
    <row r="208" spans="1:16">
      <c r="A208" s="10" t="s">
        <v>231</v>
      </c>
      <c r="B208" s="10">
        <v>85</v>
      </c>
      <c r="C208" s="21">
        <v>1.4522715281592958E-3</v>
      </c>
      <c r="D208" s="10">
        <v>169</v>
      </c>
      <c r="E208" s="10">
        <v>1</v>
      </c>
      <c r="F208" s="10">
        <v>0</v>
      </c>
      <c r="G208" s="10">
        <v>0</v>
      </c>
      <c r="H208" s="10">
        <v>0</v>
      </c>
      <c r="I208" s="10">
        <v>0</v>
      </c>
      <c r="J208" s="10">
        <v>0</v>
      </c>
      <c r="K208" s="10">
        <v>0</v>
      </c>
      <c r="L208" s="10">
        <v>0</v>
      </c>
      <c r="M208" s="10">
        <v>0</v>
      </c>
      <c r="N208" s="10">
        <v>0</v>
      </c>
      <c r="O208" s="10">
        <v>0</v>
      </c>
      <c r="P208" s="10">
        <v>31</v>
      </c>
    </row>
    <row r="209" spans="1:16">
      <c r="A209" s="10" t="s">
        <v>232</v>
      </c>
      <c r="B209" s="10">
        <v>98</v>
      </c>
      <c r="C209" s="21">
        <v>9.0274492797195744E-4</v>
      </c>
      <c r="D209" s="10">
        <v>160</v>
      </c>
      <c r="E209" s="10">
        <v>0</v>
      </c>
      <c r="F209" s="10">
        <v>1</v>
      </c>
      <c r="G209" s="10">
        <v>0</v>
      </c>
      <c r="H209" s="10">
        <v>0</v>
      </c>
      <c r="I209" s="10">
        <v>0</v>
      </c>
      <c r="J209" s="10">
        <v>0</v>
      </c>
      <c r="K209" s="10">
        <v>0</v>
      </c>
      <c r="L209" s="10">
        <v>0</v>
      </c>
      <c r="M209" s="10">
        <v>0</v>
      </c>
      <c r="N209" s="10">
        <v>0</v>
      </c>
      <c r="O209" s="10">
        <v>0</v>
      </c>
      <c r="P209" s="10">
        <v>19</v>
      </c>
    </row>
    <row r="210" spans="1:16">
      <c r="A210" s="10" t="s">
        <v>233</v>
      </c>
      <c r="B210" s="10">
        <v>375</v>
      </c>
      <c r="C210" s="21">
        <v>1.8836654335521678E-3</v>
      </c>
      <c r="D210" s="10">
        <v>175</v>
      </c>
      <c r="E210" s="10">
        <v>0</v>
      </c>
      <c r="F210" s="10">
        <v>0</v>
      </c>
      <c r="G210" s="10">
        <v>0</v>
      </c>
      <c r="H210" s="10">
        <v>0</v>
      </c>
      <c r="I210" s="10">
        <v>1</v>
      </c>
      <c r="J210" s="10">
        <v>0</v>
      </c>
      <c r="K210" s="10">
        <v>0</v>
      </c>
      <c r="L210" s="10">
        <v>0</v>
      </c>
      <c r="M210" s="10">
        <v>0</v>
      </c>
      <c r="N210" s="10">
        <v>0</v>
      </c>
      <c r="O210" s="10">
        <v>0</v>
      </c>
      <c r="P210" s="10">
        <v>32</v>
      </c>
    </row>
    <row r="211" spans="1:16">
      <c r="A211" s="10" t="s">
        <v>234</v>
      </c>
      <c r="B211" s="10">
        <v>616</v>
      </c>
      <c r="C211" s="21">
        <v>1.818269875903051E-3</v>
      </c>
      <c r="D211" s="10">
        <v>135</v>
      </c>
      <c r="E211" s="10">
        <v>0</v>
      </c>
      <c r="F211" s="10">
        <v>0</v>
      </c>
      <c r="G211" s="10">
        <v>0</v>
      </c>
      <c r="H211" s="10">
        <v>0</v>
      </c>
      <c r="I211" s="10">
        <v>0</v>
      </c>
      <c r="J211" s="10">
        <v>0</v>
      </c>
      <c r="K211" s="10">
        <v>0</v>
      </c>
      <c r="L211" s="10">
        <v>0</v>
      </c>
      <c r="M211" s="10">
        <v>0</v>
      </c>
      <c r="N211" s="10">
        <v>0</v>
      </c>
      <c r="O211" s="10">
        <v>0</v>
      </c>
      <c r="P211" s="10">
        <v>27</v>
      </c>
    </row>
    <row r="212" spans="1:16">
      <c r="A212" s="10" t="s">
        <v>235</v>
      </c>
      <c r="B212" s="10">
        <v>86</v>
      </c>
      <c r="C212" s="21">
        <v>1.5921973486305173E-3</v>
      </c>
      <c r="D212" s="10">
        <v>202</v>
      </c>
      <c r="E212" s="10">
        <v>1</v>
      </c>
      <c r="F212" s="10">
        <v>0</v>
      </c>
      <c r="G212" s="10">
        <v>0</v>
      </c>
      <c r="H212" s="10">
        <v>0</v>
      </c>
      <c r="I212" s="10">
        <v>0</v>
      </c>
      <c r="J212" s="10">
        <v>0</v>
      </c>
      <c r="K212" s="10">
        <v>0</v>
      </c>
      <c r="L212" s="10">
        <v>0</v>
      </c>
      <c r="M212" s="10">
        <v>0</v>
      </c>
      <c r="N212" s="10">
        <v>0</v>
      </c>
      <c r="O212" s="10">
        <v>1</v>
      </c>
      <c r="P212" s="10">
        <v>13</v>
      </c>
    </row>
    <row r="213" spans="1:16">
      <c r="A213" s="10" t="s">
        <v>236</v>
      </c>
      <c r="B213" s="10">
        <v>207</v>
      </c>
      <c r="C213" s="21">
        <v>1.4836846830432572E-3</v>
      </c>
      <c r="D213" s="10">
        <v>189</v>
      </c>
      <c r="E213" s="10">
        <v>0</v>
      </c>
      <c r="F213" s="10">
        <v>0</v>
      </c>
      <c r="G213" s="10">
        <v>0</v>
      </c>
      <c r="H213" s="10">
        <v>1</v>
      </c>
      <c r="I213" s="10">
        <v>0</v>
      </c>
      <c r="J213" s="10">
        <v>0</v>
      </c>
      <c r="K213" s="10">
        <v>0</v>
      </c>
      <c r="L213" s="10">
        <v>0</v>
      </c>
      <c r="M213" s="10">
        <v>0</v>
      </c>
      <c r="N213" s="10">
        <v>0</v>
      </c>
      <c r="O213" s="10">
        <v>0</v>
      </c>
      <c r="P213" s="10">
        <v>31</v>
      </c>
    </row>
    <row r="214" spans="1:16">
      <c r="A214" s="10" t="s">
        <v>237</v>
      </c>
      <c r="B214" s="10">
        <v>112</v>
      </c>
      <c r="C214" s="21">
        <v>6.9229145159335542E-4</v>
      </c>
      <c r="D214" s="10">
        <v>132</v>
      </c>
      <c r="E214" s="10">
        <v>0</v>
      </c>
      <c r="F214" s="10">
        <v>1</v>
      </c>
      <c r="G214" s="10">
        <v>0</v>
      </c>
      <c r="H214" s="10">
        <v>0</v>
      </c>
      <c r="I214" s="10">
        <v>0</v>
      </c>
      <c r="J214" s="10">
        <v>0</v>
      </c>
      <c r="K214" s="10">
        <v>0</v>
      </c>
      <c r="L214" s="10">
        <v>0</v>
      </c>
      <c r="M214" s="10">
        <v>0</v>
      </c>
      <c r="N214" s="10">
        <v>0</v>
      </c>
      <c r="O214" s="10">
        <v>0</v>
      </c>
      <c r="P214" s="10">
        <v>20</v>
      </c>
    </row>
    <row r="215" spans="1:16">
      <c r="A215" s="10" t="s">
        <v>238</v>
      </c>
      <c r="B215" s="10">
        <v>615</v>
      </c>
      <c r="C215" s="21">
        <v>1.0673773326953555E-4</v>
      </c>
      <c r="D215" s="10">
        <v>138</v>
      </c>
      <c r="E215" s="10">
        <v>0</v>
      </c>
      <c r="F215" s="10">
        <v>0</v>
      </c>
      <c r="G215" s="10">
        <v>0</v>
      </c>
      <c r="H215" s="10">
        <v>0</v>
      </c>
      <c r="I215" s="10">
        <v>0</v>
      </c>
      <c r="J215" s="10">
        <v>0</v>
      </c>
      <c r="K215" s="10">
        <v>0</v>
      </c>
      <c r="L215" s="10">
        <v>0</v>
      </c>
      <c r="M215" s="10">
        <v>0</v>
      </c>
      <c r="N215" s="10">
        <v>0</v>
      </c>
      <c r="O215" s="10">
        <v>0</v>
      </c>
      <c r="P215" s="10">
        <v>26</v>
      </c>
    </row>
    <row r="216" spans="1:16">
      <c r="A216" s="10" t="s">
        <v>239</v>
      </c>
      <c r="B216" s="10">
        <v>113</v>
      </c>
      <c r="C216" s="21">
        <v>2.7040098084492796E-3</v>
      </c>
      <c r="D216" s="10">
        <v>170</v>
      </c>
      <c r="E216" s="10">
        <v>1</v>
      </c>
      <c r="F216" s="10">
        <v>0</v>
      </c>
      <c r="G216" s="10">
        <v>0</v>
      </c>
      <c r="H216" s="10">
        <v>0</v>
      </c>
      <c r="I216" s="10">
        <v>0</v>
      </c>
      <c r="J216" s="10">
        <v>0</v>
      </c>
      <c r="K216" s="10">
        <v>0</v>
      </c>
      <c r="L216" s="10">
        <v>0</v>
      </c>
      <c r="M216" s="10">
        <v>0</v>
      </c>
      <c r="N216" s="10">
        <v>0</v>
      </c>
      <c r="O216" s="10">
        <v>0</v>
      </c>
      <c r="P216" s="10">
        <v>42</v>
      </c>
    </row>
    <row r="217" spans="1:16">
      <c r="A217" s="10" t="s">
        <v>240</v>
      </c>
      <c r="B217" s="10">
        <v>125</v>
      </c>
      <c r="C217" s="21">
        <v>1.2344613319645191E-3</v>
      </c>
      <c r="D217" s="10">
        <v>186</v>
      </c>
      <c r="E217" s="10">
        <v>1</v>
      </c>
      <c r="F217" s="10">
        <v>0</v>
      </c>
      <c r="G217" s="10">
        <v>0</v>
      </c>
      <c r="H217" s="10">
        <v>0</v>
      </c>
      <c r="I217" s="10">
        <v>0</v>
      </c>
      <c r="J217" s="10">
        <v>0</v>
      </c>
      <c r="K217" s="10">
        <v>0</v>
      </c>
      <c r="L217" s="10">
        <v>0</v>
      </c>
      <c r="M217" s="10">
        <v>0</v>
      </c>
      <c r="N217" s="10">
        <v>0</v>
      </c>
      <c r="O217" s="10">
        <v>0</v>
      </c>
      <c r="P217" s="10">
        <v>24</v>
      </c>
    </row>
    <row r="218" spans="1:16">
      <c r="A218" s="10" t="s">
        <v>241</v>
      </c>
      <c r="B218" s="10">
        <v>441</v>
      </c>
      <c r="C218" s="21">
        <v>2.5557299484320469E-3</v>
      </c>
      <c r="D218" s="10">
        <v>89</v>
      </c>
      <c r="E218" s="10">
        <v>0</v>
      </c>
      <c r="F218" s="10">
        <v>0</v>
      </c>
      <c r="G218" s="10">
        <v>0</v>
      </c>
      <c r="H218" s="10">
        <v>0</v>
      </c>
      <c r="I218" s="10">
        <v>1</v>
      </c>
      <c r="J218" s="10">
        <v>0</v>
      </c>
      <c r="K218" s="10">
        <v>0</v>
      </c>
      <c r="L218" s="10">
        <v>0</v>
      </c>
      <c r="M218" s="10">
        <v>0</v>
      </c>
      <c r="N218" s="10">
        <v>0</v>
      </c>
      <c r="O218" s="10">
        <v>1</v>
      </c>
      <c r="P218" s="10">
        <v>50</v>
      </c>
    </row>
    <row r="219" spans="1:16">
      <c r="A219" s="10" t="s">
        <v>242</v>
      </c>
      <c r="B219" s="10">
        <v>108</v>
      </c>
      <c r="C219" s="21">
        <v>3.3589306225470998E-3</v>
      </c>
      <c r="D219" s="10">
        <v>105</v>
      </c>
      <c r="E219" s="10">
        <v>0</v>
      </c>
      <c r="F219" s="10">
        <v>1</v>
      </c>
      <c r="G219" s="10">
        <v>0</v>
      </c>
      <c r="H219" s="10">
        <v>0</v>
      </c>
      <c r="I219" s="10">
        <v>0</v>
      </c>
      <c r="J219" s="10">
        <v>0</v>
      </c>
      <c r="K219" s="10">
        <v>0</v>
      </c>
      <c r="L219" s="10">
        <v>0</v>
      </c>
      <c r="M219" s="10">
        <v>0</v>
      </c>
      <c r="N219" s="10">
        <v>0</v>
      </c>
      <c r="O219" s="10">
        <v>0</v>
      </c>
      <c r="P219" s="10">
        <v>41</v>
      </c>
    </row>
    <row r="220" spans="1:16">
      <c r="A220" s="10" t="s">
        <v>244</v>
      </c>
      <c r="B220" s="10">
        <v>99</v>
      </c>
      <c r="C220" s="21">
        <v>1.3919422450956913E-3</v>
      </c>
      <c r="D220" s="10">
        <v>189</v>
      </c>
      <c r="E220" s="10">
        <v>1</v>
      </c>
      <c r="F220" s="10">
        <v>0</v>
      </c>
      <c r="G220" s="10">
        <v>0</v>
      </c>
      <c r="H220" s="10">
        <v>0</v>
      </c>
      <c r="I220" s="10">
        <v>0</v>
      </c>
      <c r="J220" s="10">
        <v>0</v>
      </c>
      <c r="K220" s="10">
        <v>0</v>
      </c>
      <c r="L220" s="10">
        <v>0</v>
      </c>
      <c r="M220" s="10">
        <v>0</v>
      </c>
      <c r="N220" s="10">
        <v>0</v>
      </c>
      <c r="O220" s="10">
        <v>0</v>
      </c>
      <c r="P220" s="10">
        <v>29</v>
      </c>
    </row>
    <row r="221" spans="1:16">
      <c r="A221" s="10" t="s">
        <v>245</v>
      </c>
      <c r="B221" s="10">
        <v>497</v>
      </c>
      <c r="C221" s="21">
        <v>1.2393269112990798E-3</v>
      </c>
      <c r="D221" s="10">
        <v>152</v>
      </c>
      <c r="E221" s="10">
        <v>0</v>
      </c>
      <c r="F221" s="10">
        <v>0</v>
      </c>
      <c r="G221" s="10">
        <v>0</v>
      </c>
      <c r="H221" s="10">
        <v>0</v>
      </c>
      <c r="I221" s="10">
        <v>1</v>
      </c>
      <c r="J221" s="10">
        <v>0</v>
      </c>
      <c r="K221" s="10">
        <v>0</v>
      </c>
      <c r="L221" s="10">
        <v>0</v>
      </c>
      <c r="M221" s="10">
        <v>0</v>
      </c>
      <c r="N221" s="10">
        <v>0</v>
      </c>
      <c r="O221" s="10">
        <v>1</v>
      </c>
      <c r="P221" s="10">
        <v>23</v>
      </c>
    </row>
    <row r="222" spans="1:16">
      <c r="A222" s="10" t="s">
        <v>246</v>
      </c>
      <c r="B222" s="10">
        <v>103</v>
      </c>
      <c r="C222" s="21">
        <v>7.9729091459112254E-4</v>
      </c>
      <c r="D222" s="10">
        <v>226</v>
      </c>
      <c r="E222" s="10">
        <v>0</v>
      </c>
      <c r="F222" s="10">
        <v>1</v>
      </c>
      <c r="G222" s="10">
        <v>0</v>
      </c>
      <c r="H222" s="10">
        <v>0</v>
      </c>
      <c r="I222" s="10">
        <v>0</v>
      </c>
      <c r="J222" s="10">
        <v>0</v>
      </c>
      <c r="K222" s="10">
        <v>0</v>
      </c>
      <c r="L222" s="10">
        <v>0</v>
      </c>
      <c r="M222" s="10">
        <v>0</v>
      </c>
      <c r="N222" s="10">
        <v>0</v>
      </c>
      <c r="O222" s="10">
        <v>0</v>
      </c>
      <c r="P222" s="10">
        <v>13</v>
      </c>
    </row>
    <row r="223" spans="1:16">
      <c r="A223" s="10" t="s">
        <v>247</v>
      </c>
      <c r="B223" s="10">
        <v>443</v>
      </c>
      <c r="C223" s="21">
        <v>1.3895015189099135E-3</v>
      </c>
      <c r="D223" s="10">
        <v>146</v>
      </c>
      <c r="E223" s="10">
        <v>0</v>
      </c>
      <c r="F223" s="10">
        <v>0</v>
      </c>
      <c r="G223" s="10">
        <v>0</v>
      </c>
      <c r="H223" s="10">
        <v>0</v>
      </c>
      <c r="I223" s="10">
        <v>0</v>
      </c>
      <c r="J223" s="10">
        <v>0</v>
      </c>
      <c r="K223" s="10">
        <v>0</v>
      </c>
      <c r="L223" s="10">
        <v>0</v>
      </c>
      <c r="M223" s="10">
        <v>0</v>
      </c>
      <c r="N223" s="10">
        <v>0</v>
      </c>
      <c r="O223" s="10">
        <v>0</v>
      </c>
      <c r="P223" s="10">
        <v>32</v>
      </c>
    </row>
    <row r="224" spans="1:16">
      <c r="A224" s="10" t="s">
        <v>248</v>
      </c>
      <c r="B224" s="10">
        <v>81</v>
      </c>
      <c r="C224" s="21">
        <v>9.9986080460104593E-4</v>
      </c>
      <c r="D224" s="10">
        <v>197</v>
      </c>
      <c r="E224" s="10">
        <v>1</v>
      </c>
      <c r="F224" s="10">
        <v>0</v>
      </c>
      <c r="G224" s="10">
        <v>0</v>
      </c>
      <c r="H224" s="10">
        <v>0</v>
      </c>
      <c r="I224" s="10">
        <v>0</v>
      </c>
      <c r="J224" s="10">
        <v>0</v>
      </c>
      <c r="K224" s="10">
        <v>0</v>
      </c>
      <c r="L224" s="10">
        <v>0</v>
      </c>
      <c r="M224" s="10">
        <v>0</v>
      </c>
      <c r="N224" s="10">
        <v>0</v>
      </c>
      <c r="O224" s="10">
        <v>0</v>
      </c>
      <c r="P224" s="10">
        <v>24</v>
      </c>
    </row>
    <row r="225" spans="1:16">
      <c r="A225" s="10" t="s">
        <v>249</v>
      </c>
      <c r="B225" s="10">
        <v>105</v>
      </c>
      <c r="C225" s="21">
        <v>2.1936594703552189E-3</v>
      </c>
      <c r="D225" s="10">
        <v>188</v>
      </c>
      <c r="E225" s="10">
        <v>1</v>
      </c>
      <c r="F225" s="10">
        <v>0</v>
      </c>
      <c r="G225" s="10">
        <v>0</v>
      </c>
      <c r="H225" s="10">
        <v>0</v>
      </c>
      <c r="I225" s="10">
        <v>0</v>
      </c>
      <c r="J225" s="10">
        <v>0</v>
      </c>
      <c r="K225" s="10">
        <v>0</v>
      </c>
      <c r="L225" s="10">
        <v>0</v>
      </c>
      <c r="M225" s="10">
        <v>0</v>
      </c>
      <c r="N225" s="10">
        <v>0</v>
      </c>
      <c r="O225" s="10">
        <v>0</v>
      </c>
      <c r="P225" s="10">
        <v>33</v>
      </c>
    </row>
    <row r="226" spans="1:16">
      <c r="A226" s="10" t="s">
        <v>250</v>
      </c>
      <c r="B226" s="10">
        <v>65</v>
      </c>
      <c r="C226" s="21">
        <v>1.6708719754918925E-3</v>
      </c>
      <c r="D226" s="10">
        <v>151</v>
      </c>
      <c r="E226" s="10">
        <v>0</v>
      </c>
      <c r="F226" s="10">
        <v>0</v>
      </c>
      <c r="G226" s="10">
        <v>1</v>
      </c>
      <c r="H226" s="10">
        <v>0</v>
      </c>
      <c r="I226" s="10">
        <v>0</v>
      </c>
      <c r="J226" s="10">
        <v>0</v>
      </c>
      <c r="K226" s="10">
        <v>0</v>
      </c>
      <c r="L226" s="10">
        <v>0</v>
      </c>
      <c r="M226" s="10">
        <v>0</v>
      </c>
      <c r="N226" s="10">
        <v>0</v>
      </c>
      <c r="O226" s="10">
        <v>1</v>
      </c>
      <c r="P226" s="10">
        <v>29</v>
      </c>
    </row>
    <row r="227" spans="1:16">
      <c r="A227" s="10" t="s">
        <v>251</v>
      </c>
      <c r="B227" s="10">
        <v>136</v>
      </c>
      <c r="C227" s="21">
        <v>1.1874019206731575E-3</v>
      </c>
      <c r="D227" s="10">
        <v>207</v>
      </c>
      <c r="E227" s="10">
        <v>0</v>
      </c>
      <c r="F227" s="10">
        <v>1</v>
      </c>
      <c r="G227" s="10">
        <v>0</v>
      </c>
      <c r="H227" s="10">
        <v>0</v>
      </c>
      <c r="I227" s="10">
        <v>0</v>
      </c>
      <c r="J227" s="10">
        <v>0</v>
      </c>
      <c r="K227" s="10">
        <v>0</v>
      </c>
      <c r="L227" s="10">
        <v>0</v>
      </c>
      <c r="M227" s="10">
        <v>0</v>
      </c>
      <c r="N227" s="10">
        <v>0</v>
      </c>
      <c r="O227" s="10">
        <v>1</v>
      </c>
      <c r="P227" s="10">
        <v>24</v>
      </c>
    </row>
    <row r="228" spans="1:16">
      <c r="A228" s="10" t="s">
        <v>252</v>
      </c>
      <c r="B228" s="10">
        <v>89</v>
      </c>
      <c r="C228" s="21">
        <v>1.8319020993178242E-3</v>
      </c>
      <c r="D228" s="10">
        <v>104</v>
      </c>
      <c r="E228" s="10">
        <v>0</v>
      </c>
      <c r="F228" s="10">
        <v>1</v>
      </c>
      <c r="G228" s="10">
        <v>0</v>
      </c>
      <c r="H228" s="10">
        <v>0</v>
      </c>
      <c r="I228" s="10">
        <v>0</v>
      </c>
      <c r="J228" s="10">
        <v>0</v>
      </c>
      <c r="K228" s="10">
        <v>0</v>
      </c>
      <c r="L228" s="10">
        <v>0</v>
      </c>
      <c r="M228" s="10">
        <v>0</v>
      </c>
      <c r="N228" s="10">
        <v>0</v>
      </c>
      <c r="O228" s="10">
        <v>0</v>
      </c>
      <c r="P228" s="10">
        <v>40</v>
      </c>
    </row>
    <row r="229" spans="1:16">
      <c r="A229" s="10" t="s">
        <v>253</v>
      </c>
      <c r="B229" s="10">
        <v>437</v>
      </c>
      <c r="C229" s="21">
        <v>1.2281218789836712E-3</v>
      </c>
      <c r="D229" s="10">
        <v>188</v>
      </c>
      <c r="E229" s="10">
        <v>0</v>
      </c>
      <c r="F229" s="10">
        <v>0</v>
      </c>
      <c r="G229" s="10">
        <v>0</v>
      </c>
      <c r="H229" s="10">
        <v>0</v>
      </c>
      <c r="I229" s="10">
        <v>0</v>
      </c>
      <c r="J229" s="10">
        <v>0</v>
      </c>
      <c r="K229" s="10">
        <v>0</v>
      </c>
      <c r="L229" s="10">
        <v>0</v>
      </c>
      <c r="M229" s="10">
        <v>0</v>
      </c>
      <c r="N229" s="10">
        <v>0</v>
      </c>
      <c r="O229" s="10">
        <v>0</v>
      </c>
      <c r="P229" s="10">
        <v>16</v>
      </c>
    </row>
    <row r="230" spans="1:16">
      <c r="A230" s="10" t="s">
        <v>254</v>
      </c>
      <c r="B230" s="10">
        <v>111</v>
      </c>
      <c r="C230" s="21">
        <v>6.2834236679307307E-4</v>
      </c>
      <c r="D230" s="10">
        <v>234</v>
      </c>
      <c r="E230" s="10">
        <v>0</v>
      </c>
      <c r="F230" s="10">
        <v>0</v>
      </c>
      <c r="G230" s="10">
        <v>0</v>
      </c>
      <c r="H230" s="10">
        <v>1</v>
      </c>
      <c r="I230" s="10">
        <v>0</v>
      </c>
      <c r="J230" s="10">
        <v>0</v>
      </c>
      <c r="K230" s="10">
        <v>0</v>
      </c>
      <c r="L230" s="10">
        <v>0</v>
      </c>
      <c r="M230" s="10">
        <v>0</v>
      </c>
      <c r="N230" s="10">
        <v>0</v>
      </c>
      <c r="O230" s="10">
        <v>0</v>
      </c>
      <c r="P230" s="10">
        <v>11</v>
      </c>
    </row>
    <row r="231" spans="1:16">
      <c r="A231" s="10" t="s">
        <v>255</v>
      </c>
      <c r="B231" s="10">
        <v>78</v>
      </c>
      <c r="C231" s="21">
        <v>1.0221200699612198E-3</v>
      </c>
      <c r="D231" s="10">
        <v>202</v>
      </c>
      <c r="E231" s="10">
        <v>0</v>
      </c>
      <c r="F231" s="10">
        <v>1</v>
      </c>
      <c r="G231" s="10">
        <v>0</v>
      </c>
      <c r="H231" s="10">
        <v>0</v>
      </c>
      <c r="I231" s="10">
        <v>0</v>
      </c>
      <c r="J231" s="10">
        <v>0</v>
      </c>
      <c r="K231" s="10">
        <v>0</v>
      </c>
      <c r="L231" s="10">
        <v>0</v>
      </c>
      <c r="M231" s="10">
        <v>0</v>
      </c>
      <c r="N231" s="10">
        <v>0</v>
      </c>
      <c r="O231" s="10">
        <v>0</v>
      </c>
      <c r="P231" s="10">
        <v>19</v>
      </c>
    </row>
    <row r="232" spans="1:16">
      <c r="A232" s="10" t="s">
        <v>256</v>
      </c>
      <c r="B232" s="10">
        <v>64</v>
      </c>
      <c r="C232" s="21">
        <v>3.099075172735272E-3</v>
      </c>
      <c r="D232" s="10">
        <v>126</v>
      </c>
      <c r="E232" s="10">
        <v>1</v>
      </c>
      <c r="F232" s="10">
        <v>0</v>
      </c>
      <c r="G232" s="10">
        <v>0</v>
      </c>
      <c r="H232" s="10">
        <v>0</v>
      </c>
      <c r="I232" s="10">
        <v>0</v>
      </c>
      <c r="J232" s="10">
        <v>0</v>
      </c>
      <c r="K232" s="10">
        <v>0</v>
      </c>
      <c r="L232" s="10">
        <v>0</v>
      </c>
      <c r="M232" s="10">
        <v>0</v>
      </c>
      <c r="N232" s="10">
        <v>0</v>
      </c>
      <c r="O232" s="10">
        <v>1</v>
      </c>
      <c r="P232" s="10">
        <v>42</v>
      </c>
    </row>
    <row r="233" spans="1:16">
      <c r="A233" s="10" t="s">
        <v>257</v>
      </c>
      <c r="B233" s="10">
        <v>113</v>
      </c>
      <c r="C233" s="21">
        <v>1.3817803685745589E-3</v>
      </c>
      <c r="D233" s="10">
        <v>144</v>
      </c>
      <c r="E233" s="10">
        <v>1</v>
      </c>
      <c r="F233" s="10">
        <v>0</v>
      </c>
      <c r="G233" s="10">
        <v>0</v>
      </c>
      <c r="H233" s="10">
        <v>0</v>
      </c>
      <c r="I233" s="10">
        <v>0</v>
      </c>
      <c r="J233" s="10">
        <v>0</v>
      </c>
      <c r="K233" s="10">
        <v>0</v>
      </c>
      <c r="L233" s="10">
        <v>0</v>
      </c>
      <c r="M233" s="10">
        <v>0</v>
      </c>
      <c r="N233" s="10">
        <v>0</v>
      </c>
      <c r="O233" s="10">
        <v>0</v>
      </c>
      <c r="P233" s="10">
        <v>27</v>
      </c>
    </row>
    <row r="234" spans="1:16">
      <c r="A234" s="10" t="s">
        <v>258</v>
      </c>
      <c r="B234" s="10">
        <v>275</v>
      </c>
      <c r="C234" s="21">
        <v>1.037236917298537E-3</v>
      </c>
      <c r="D234" s="10">
        <v>180</v>
      </c>
      <c r="E234" s="10">
        <v>0</v>
      </c>
      <c r="F234" s="10">
        <v>0</v>
      </c>
      <c r="G234" s="10">
        <v>0</v>
      </c>
      <c r="H234" s="10">
        <v>0</v>
      </c>
      <c r="I234" s="10">
        <v>1</v>
      </c>
      <c r="J234" s="10">
        <v>0</v>
      </c>
      <c r="K234" s="10">
        <v>0</v>
      </c>
      <c r="L234" s="10">
        <v>0</v>
      </c>
      <c r="M234" s="10">
        <v>0</v>
      </c>
      <c r="N234" s="10">
        <v>0</v>
      </c>
      <c r="O234" s="10">
        <v>1</v>
      </c>
      <c r="P234" s="10">
        <v>24</v>
      </c>
    </row>
    <row r="235" spans="1:16">
      <c r="A235" s="10" t="s">
        <v>259</v>
      </c>
      <c r="B235" s="10">
        <v>120</v>
      </c>
      <c r="C235" s="21">
        <v>8.6326496900001844E-5</v>
      </c>
      <c r="D235" s="10">
        <v>138</v>
      </c>
      <c r="E235" s="10">
        <v>0</v>
      </c>
      <c r="F235" s="10">
        <v>1</v>
      </c>
      <c r="G235" s="10">
        <v>0</v>
      </c>
      <c r="H235" s="10">
        <v>0</v>
      </c>
      <c r="I235" s="10">
        <v>0</v>
      </c>
      <c r="J235" s="10">
        <v>0</v>
      </c>
      <c r="K235" s="10">
        <v>0</v>
      </c>
      <c r="L235" s="10">
        <v>0</v>
      </c>
      <c r="M235" s="10">
        <v>0</v>
      </c>
      <c r="N235" s="10">
        <v>0</v>
      </c>
      <c r="O235" s="10">
        <v>0</v>
      </c>
      <c r="P235" s="10">
        <v>27</v>
      </c>
    </row>
    <row r="236" spans="1:16">
      <c r="A236" s="10" t="s">
        <v>260</v>
      </c>
      <c r="B236" s="10">
        <v>532</v>
      </c>
      <c r="C236" s="21">
        <v>5.1781137687210033E-6</v>
      </c>
      <c r="D236" s="10">
        <v>220</v>
      </c>
      <c r="E236" s="10">
        <v>0</v>
      </c>
      <c r="F236" s="10">
        <v>0</v>
      </c>
      <c r="G236" s="10">
        <v>0</v>
      </c>
      <c r="H236" s="10">
        <v>0</v>
      </c>
      <c r="I236" s="10">
        <v>0</v>
      </c>
      <c r="J236" s="10">
        <v>0</v>
      </c>
      <c r="K236" s="10">
        <v>0</v>
      </c>
      <c r="L236" s="10">
        <v>0</v>
      </c>
      <c r="M236" s="10">
        <v>0</v>
      </c>
      <c r="N236" s="10">
        <v>0</v>
      </c>
      <c r="O236" s="10">
        <v>0</v>
      </c>
      <c r="P236" s="10">
        <v>14</v>
      </c>
    </row>
    <row r="237" spans="1:16">
      <c r="A237" s="10" t="s">
        <v>261</v>
      </c>
      <c r="B237" s="10">
        <v>119</v>
      </c>
      <c r="C237" s="21">
        <v>7.5311222231446557E-4</v>
      </c>
      <c r="D237" s="10">
        <v>204</v>
      </c>
      <c r="E237" s="10">
        <v>1</v>
      </c>
      <c r="F237" s="10">
        <v>0</v>
      </c>
      <c r="G237" s="10">
        <v>0</v>
      </c>
      <c r="H237" s="10">
        <v>0</v>
      </c>
      <c r="I237" s="10">
        <v>0</v>
      </c>
      <c r="J237" s="10">
        <v>0</v>
      </c>
      <c r="K237" s="10">
        <v>0</v>
      </c>
      <c r="L237" s="10">
        <v>0</v>
      </c>
      <c r="M237" s="10">
        <v>0</v>
      </c>
      <c r="N237" s="10">
        <v>0</v>
      </c>
      <c r="O237" s="10">
        <v>0</v>
      </c>
      <c r="P237" s="10">
        <v>12</v>
      </c>
    </row>
    <row r="238" spans="1:16">
      <c r="A238" s="10" t="s">
        <v>262</v>
      </c>
      <c r="B238" s="10">
        <v>99</v>
      </c>
      <c r="C238" s="21">
        <v>6.7710850279055794E-4</v>
      </c>
      <c r="D238" s="10">
        <v>153</v>
      </c>
      <c r="E238" s="10">
        <v>1</v>
      </c>
      <c r="F238" s="10">
        <v>0</v>
      </c>
      <c r="G238" s="10">
        <v>0</v>
      </c>
      <c r="H238" s="10">
        <v>0</v>
      </c>
      <c r="I238" s="10">
        <v>0</v>
      </c>
      <c r="J238" s="10">
        <v>0</v>
      </c>
      <c r="K238" s="10">
        <v>0</v>
      </c>
      <c r="L238" s="10">
        <v>0</v>
      </c>
      <c r="M238" s="10">
        <v>0</v>
      </c>
      <c r="N238" s="10">
        <v>0</v>
      </c>
      <c r="O238" s="10">
        <v>1</v>
      </c>
      <c r="P238" s="10">
        <v>23</v>
      </c>
    </row>
    <row r="239" spans="1:16">
      <c r="A239" s="10" t="s">
        <v>263</v>
      </c>
      <c r="B239" s="10">
        <v>630</v>
      </c>
      <c r="C239" s="21">
        <v>1.4691691810269805E-3</v>
      </c>
      <c r="D239" s="10">
        <v>114</v>
      </c>
      <c r="E239" s="10">
        <v>0</v>
      </c>
      <c r="F239" s="10">
        <v>0</v>
      </c>
      <c r="G239" s="10">
        <v>0</v>
      </c>
      <c r="H239" s="10">
        <v>0</v>
      </c>
      <c r="I239" s="10">
        <v>0</v>
      </c>
      <c r="J239" s="10">
        <v>0</v>
      </c>
      <c r="K239" s="10">
        <v>0</v>
      </c>
      <c r="L239" s="10">
        <v>0</v>
      </c>
      <c r="M239" s="10">
        <v>0</v>
      </c>
      <c r="N239" s="10">
        <v>0</v>
      </c>
      <c r="O239" s="10">
        <v>1</v>
      </c>
      <c r="P239" s="10">
        <v>40</v>
      </c>
    </row>
    <row r="240" spans="1:16">
      <c r="A240" s="10" t="s">
        <v>264</v>
      </c>
      <c r="B240" s="10">
        <v>80</v>
      </c>
      <c r="C240" s="21">
        <v>1.3835602758528623E-3</v>
      </c>
      <c r="D240" s="10">
        <v>130</v>
      </c>
      <c r="E240" s="10">
        <v>1</v>
      </c>
      <c r="F240" s="10">
        <v>0</v>
      </c>
      <c r="G240" s="10">
        <v>0</v>
      </c>
      <c r="H240" s="10">
        <v>0</v>
      </c>
      <c r="I240" s="10">
        <v>0</v>
      </c>
      <c r="J240" s="10">
        <v>0</v>
      </c>
      <c r="K240" s="10">
        <v>0</v>
      </c>
      <c r="L240" s="10">
        <v>0</v>
      </c>
      <c r="M240" s="10">
        <v>0</v>
      </c>
      <c r="N240" s="10">
        <v>0</v>
      </c>
      <c r="O240" s="10">
        <v>1</v>
      </c>
      <c r="P240" s="10">
        <v>33</v>
      </c>
    </row>
    <row r="241" spans="1:16">
      <c r="A241" s="10" t="s">
        <v>265</v>
      </c>
      <c r="B241" s="10">
        <v>34</v>
      </c>
      <c r="C241" s="21">
        <v>1.0043013511214544E-3</v>
      </c>
      <c r="D241" s="10">
        <v>146</v>
      </c>
      <c r="E241" s="10">
        <v>0</v>
      </c>
      <c r="F241" s="10">
        <v>0</v>
      </c>
      <c r="G241" s="10">
        <v>1</v>
      </c>
      <c r="H241" s="10">
        <v>0</v>
      </c>
      <c r="I241" s="10">
        <v>0</v>
      </c>
      <c r="J241" s="10">
        <v>0</v>
      </c>
      <c r="K241" s="10">
        <v>0</v>
      </c>
      <c r="L241" s="10">
        <v>0</v>
      </c>
      <c r="M241" s="10">
        <v>0</v>
      </c>
      <c r="N241" s="10">
        <v>0</v>
      </c>
      <c r="O241" s="10">
        <v>1</v>
      </c>
      <c r="P241" s="10">
        <v>33</v>
      </c>
    </row>
    <row r="242" spans="1:16">
      <c r="A242" s="10" t="s">
        <v>266</v>
      </c>
      <c r="B242" s="10">
        <v>119</v>
      </c>
      <c r="C242" s="21">
        <v>2.6381788332383916E-3</v>
      </c>
      <c r="D242" s="10">
        <v>179</v>
      </c>
      <c r="E242" s="10">
        <v>1</v>
      </c>
      <c r="F242" s="10">
        <v>0</v>
      </c>
      <c r="G242" s="10">
        <v>0</v>
      </c>
      <c r="H242" s="10">
        <v>0</v>
      </c>
      <c r="I242" s="10">
        <v>0</v>
      </c>
      <c r="J242" s="10">
        <v>0</v>
      </c>
      <c r="K242" s="10">
        <v>0</v>
      </c>
      <c r="L242" s="10">
        <v>0</v>
      </c>
      <c r="M242" s="10">
        <v>0</v>
      </c>
      <c r="N242" s="10">
        <v>0</v>
      </c>
      <c r="O242" s="10">
        <v>0</v>
      </c>
      <c r="P242" s="10">
        <v>30</v>
      </c>
    </row>
    <row r="243" spans="1:16">
      <c r="A243" s="10" t="s">
        <v>267</v>
      </c>
      <c r="B243" s="10">
        <v>67</v>
      </c>
      <c r="C243" s="21">
        <v>9.8098446884274204E-4</v>
      </c>
      <c r="D243" s="10">
        <v>148</v>
      </c>
      <c r="E243" s="10">
        <v>1</v>
      </c>
      <c r="F243" s="10">
        <v>0</v>
      </c>
      <c r="G243" s="10">
        <v>0</v>
      </c>
      <c r="H243" s="10">
        <v>0</v>
      </c>
      <c r="I243" s="10">
        <v>0</v>
      </c>
      <c r="J243" s="10">
        <v>0</v>
      </c>
      <c r="K243" s="10">
        <v>0</v>
      </c>
      <c r="L243" s="10">
        <v>0</v>
      </c>
      <c r="M243" s="10">
        <v>0</v>
      </c>
      <c r="N243" s="10">
        <v>0</v>
      </c>
      <c r="O243" s="10">
        <v>1</v>
      </c>
      <c r="P243" s="10">
        <v>35</v>
      </c>
    </row>
    <row r="244" spans="1:16">
      <c r="A244" s="10" t="s">
        <v>268</v>
      </c>
      <c r="B244" s="10">
        <v>50</v>
      </c>
      <c r="C244" s="21">
        <v>1.5980863920487184E-3</v>
      </c>
      <c r="D244" s="10">
        <v>133</v>
      </c>
      <c r="E244" s="10">
        <v>0</v>
      </c>
      <c r="F244" s="10">
        <v>0</v>
      </c>
      <c r="G244" s="10">
        <v>1</v>
      </c>
      <c r="H244" s="10">
        <v>0</v>
      </c>
      <c r="I244" s="10">
        <v>0</v>
      </c>
      <c r="J244" s="10">
        <v>0</v>
      </c>
      <c r="K244" s="10">
        <v>0</v>
      </c>
      <c r="L244" s="10">
        <v>0</v>
      </c>
      <c r="M244" s="10">
        <v>0</v>
      </c>
      <c r="N244" s="10">
        <v>0</v>
      </c>
      <c r="O244" s="10">
        <v>0</v>
      </c>
      <c r="P244" s="10">
        <v>26</v>
      </c>
    </row>
    <row r="245" spans="1:16">
      <c r="A245" s="10" t="s">
        <v>269</v>
      </c>
      <c r="B245" s="10">
        <v>219</v>
      </c>
      <c r="C245" s="21">
        <v>2.522712679662735E-4</v>
      </c>
      <c r="D245" s="10">
        <v>210</v>
      </c>
      <c r="E245" s="10">
        <v>0</v>
      </c>
      <c r="F245" s="10">
        <v>0</v>
      </c>
      <c r="G245" s="10">
        <v>0</v>
      </c>
      <c r="H245" s="10">
        <v>1</v>
      </c>
      <c r="I245" s="10">
        <v>0</v>
      </c>
      <c r="J245" s="10">
        <v>0</v>
      </c>
      <c r="K245" s="10">
        <v>0</v>
      </c>
      <c r="L245" s="10">
        <v>0</v>
      </c>
      <c r="M245" s="10">
        <v>0</v>
      </c>
      <c r="N245" s="10">
        <v>0</v>
      </c>
      <c r="O245" s="10">
        <v>0</v>
      </c>
      <c r="P245" s="10">
        <v>6</v>
      </c>
    </row>
    <row r="246" spans="1:16">
      <c r="A246" s="10" t="s">
        <v>270</v>
      </c>
      <c r="B246" s="10">
        <v>106</v>
      </c>
      <c r="C246" s="21">
        <v>9.9420984426932049E-4</v>
      </c>
      <c r="D246" s="10">
        <v>153</v>
      </c>
      <c r="E246" s="10">
        <v>0</v>
      </c>
      <c r="F246" s="10">
        <v>1</v>
      </c>
      <c r="G246" s="10">
        <v>0</v>
      </c>
      <c r="H246" s="10">
        <v>0</v>
      </c>
      <c r="I246" s="10">
        <v>0</v>
      </c>
      <c r="J246" s="10">
        <v>0</v>
      </c>
      <c r="K246" s="10">
        <v>0</v>
      </c>
      <c r="L246" s="10">
        <v>0</v>
      </c>
      <c r="M246" s="10">
        <v>0</v>
      </c>
      <c r="N246" s="10">
        <v>0</v>
      </c>
      <c r="O246" s="10">
        <v>1</v>
      </c>
      <c r="P246" s="10">
        <v>17</v>
      </c>
    </row>
    <row r="247" spans="1:16">
      <c r="A247" s="10" t="s">
        <v>271</v>
      </c>
      <c r="B247" s="10">
        <v>200</v>
      </c>
      <c r="C247" s="21">
        <v>2.2738871905572632E-3</v>
      </c>
      <c r="D247" s="10">
        <v>99</v>
      </c>
      <c r="E247" s="10">
        <v>0</v>
      </c>
      <c r="F247" s="10">
        <v>0</v>
      </c>
      <c r="G247" s="10">
        <v>0</v>
      </c>
      <c r="H247" s="10">
        <v>0</v>
      </c>
      <c r="I247" s="10">
        <v>1</v>
      </c>
      <c r="J247" s="10">
        <v>0</v>
      </c>
      <c r="K247" s="10">
        <v>0</v>
      </c>
      <c r="L247" s="10">
        <v>0</v>
      </c>
      <c r="M247" s="10">
        <v>0</v>
      </c>
      <c r="N247" s="10">
        <v>0</v>
      </c>
      <c r="O247" s="10">
        <v>1</v>
      </c>
      <c r="P247" s="10">
        <v>41</v>
      </c>
    </row>
    <row r="248" spans="1:16">
      <c r="A248" s="10" t="s">
        <v>272</v>
      </c>
      <c r="B248" s="10">
        <v>594</v>
      </c>
      <c r="C248" s="21">
        <v>1.8944575676726352E-3</v>
      </c>
      <c r="D248" s="10">
        <v>148</v>
      </c>
      <c r="E248" s="10">
        <v>0</v>
      </c>
      <c r="F248" s="10">
        <v>0</v>
      </c>
      <c r="G248" s="10">
        <v>0</v>
      </c>
      <c r="H248" s="10">
        <v>0</v>
      </c>
      <c r="I248" s="10">
        <v>0</v>
      </c>
      <c r="J248" s="10">
        <v>0</v>
      </c>
      <c r="K248" s="10">
        <v>0</v>
      </c>
      <c r="L248" s="10">
        <v>0</v>
      </c>
      <c r="M248" s="10">
        <v>0</v>
      </c>
      <c r="N248" s="10">
        <v>0</v>
      </c>
      <c r="O248" s="10">
        <v>0</v>
      </c>
      <c r="P248" s="10">
        <v>33</v>
      </c>
    </row>
    <row r="249" spans="1:16">
      <c r="A249" s="10" t="s">
        <v>273</v>
      </c>
      <c r="B249" s="10">
        <v>131</v>
      </c>
      <c r="C249" s="21">
        <v>1.4953040118157396E-3</v>
      </c>
      <c r="D249" s="10">
        <v>134</v>
      </c>
      <c r="E249" s="10">
        <v>1</v>
      </c>
      <c r="F249" s="10">
        <v>0</v>
      </c>
      <c r="G249" s="10">
        <v>0</v>
      </c>
      <c r="H249" s="10">
        <v>0</v>
      </c>
      <c r="I249" s="10">
        <v>0</v>
      </c>
      <c r="J249" s="10">
        <v>0</v>
      </c>
      <c r="K249" s="10">
        <v>0</v>
      </c>
      <c r="L249" s="10">
        <v>0</v>
      </c>
      <c r="M249" s="10">
        <v>0</v>
      </c>
      <c r="N249" s="10">
        <v>0</v>
      </c>
      <c r="O249" s="10">
        <v>1</v>
      </c>
      <c r="P249" s="10">
        <v>39</v>
      </c>
    </row>
    <row r="250" spans="1:16">
      <c r="A250" s="10" t="s">
        <v>274</v>
      </c>
      <c r="B250" s="10">
        <v>109</v>
      </c>
      <c r="C250" s="21">
        <v>2.0625154636130167E-4</v>
      </c>
      <c r="D250" s="10">
        <v>172</v>
      </c>
      <c r="E250" s="10">
        <v>1</v>
      </c>
      <c r="F250" s="10">
        <v>0</v>
      </c>
      <c r="G250" s="10">
        <v>0</v>
      </c>
      <c r="H250" s="10">
        <v>0</v>
      </c>
      <c r="I250" s="10">
        <v>0</v>
      </c>
      <c r="J250" s="10">
        <v>0</v>
      </c>
      <c r="K250" s="10">
        <v>0</v>
      </c>
      <c r="L250" s="10">
        <v>0</v>
      </c>
      <c r="M250" s="10">
        <v>0</v>
      </c>
      <c r="N250" s="10">
        <v>0</v>
      </c>
      <c r="O250" s="10">
        <v>0</v>
      </c>
      <c r="P250" s="10">
        <v>17</v>
      </c>
    </row>
    <row r="251" spans="1:16">
      <c r="A251" s="10" t="s">
        <v>275</v>
      </c>
      <c r="B251" s="10">
        <v>125</v>
      </c>
      <c r="C251" s="21">
        <v>1.3546862604011361E-3</v>
      </c>
      <c r="D251" s="10">
        <v>116</v>
      </c>
      <c r="E251" s="10">
        <v>0</v>
      </c>
      <c r="F251" s="10">
        <v>1</v>
      </c>
      <c r="G251" s="10">
        <v>0</v>
      </c>
      <c r="H251" s="10">
        <v>0</v>
      </c>
      <c r="I251" s="10">
        <v>0</v>
      </c>
      <c r="J251" s="10">
        <v>0</v>
      </c>
      <c r="K251" s="10">
        <v>0</v>
      </c>
      <c r="L251" s="10">
        <v>0</v>
      </c>
      <c r="M251" s="10">
        <v>0</v>
      </c>
      <c r="N251" s="10">
        <v>0</v>
      </c>
      <c r="O251" s="10">
        <v>0</v>
      </c>
      <c r="P251" s="10">
        <v>24</v>
      </c>
    </row>
    <row r="252" spans="1:16">
      <c r="A252" s="10" t="s">
        <v>276</v>
      </c>
      <c r="B252" s="10">
        <v>568</v>
      </c>
      <c r="C252" s="21">
        <v>1.9587091492391769E-3</v>
      </c>
      <c r="D252" s="10">
        <v>115</v>
      </c>
      <c r="E252" s="10">
        <v>0</v>
      </c>
      <c r="F252" s="10">
        <v>0</v>
      </c>
      <c r="G252" s="10">
        <v>0</v>
      </c>
      <c r="H252" s="10">
        <v>0</v>
      </c>
      <c r="I252" s="10">
        <v>0</v>
      </c>
      <c r="J252" s="10">
        <v>0</v>
      </c>
      <c r="K252" s="10">
        <v>0</v>
      </c>
      <c r="L252" s="10">
        <v>0</v>
      </c>
      <c r="M252" s="10">
        <v>0</v>
      </c>
      <c r="N252" s="10">
        <v>0</v>
      </c>
      <c r="O252" s="10">
        <v>1</v>
      </c>
      <c r="P252" s="10">
        <v>35</v>
      </c>
    </row>
    <row r="253" spans="1:16">
      <c r="A253" s="10" t="s">
        <v>277</v>
      </c>
      <c r="B253" s="10">
        <v>288</v>
      </c>
      <c r="C253" s="21">
        <v>9.6832427680536607E-4</v>
      </c>
      <c r="D253" s="10">
        <v>157</v>
      </c>
      <c r="E253" s="10">
        <v>0</v>
      </c>
      <c r="F253" s="10">
        <v>0</v>
      </c>
      <c r="G253" s="10">
        <v>0</v>
      </c>
      <c r="H253" s="10">
        <v>0</v>
      </c>
      <c r="I253" s="10">
        <v>1</v>
      </c>
      <c r="J253" s="10">
        <v>0</v>
      </c>
      <c r="K253" s="10">
        <v>0</v>
      </c>
      <c r="L253" s="10">
        <v>0</v>
      </c>
      <c r="M253" s="10">
        <v>0</v>
      </c>
      <c r="N253" s="10">
        <v>0</v>
      </c>
      <c r="O253" s="10">
        <v>0</v>
      </c>
      <c r="P253" s="10">
        <v>18</v>
      </c>
    </row>
    <row r="254" spans="1:16">
      <c r="A254" s="10" t="s">
        <v>278</v>
      </c>
      <c r="B254" s="10">
        <v>112</v>
      </c>
      <c r="C254" s="21">
        <v>2.0970703073550034E-3</v>
      </c>
      <c r="D254" s="10">
        <v>208</v>
      </c>
      <c r="E254" s="10">
        <v>1</v>
      </c>
      <c r="F254" s="10">
        <v>0</v>
      </c>
      <c r="G254" s="10">
        <v>0</v>
      </c>
      <c r="H254" s="10">
        <v>0</v>
      </c>
      <c r="I254" s="10">
        <v>0</v>
      </c>
      <c r="J254" s="10">
        <v>0</v>
      </c>
      <c r="K254" s="10">
        <v>0</v>
      </c>
      <c r="L254" s="10">
        <v>0</v>
      </c>
      <c r="M254" s="10">
        <v>0</v>
      </c>
      <c r="N254" s="10">
        <v>0</v>
      </c>
      <c r="O254" s="10">
        <v>0</v>
      </c>
      <c r="P254" s="10">
        <v>20</v>
      </c>
    </row>
    <row r="255" spans="1:16">
      <c r="A255" s="10" t="s">
        <v>279</v>
      </c>
      <c r="B255" s="10">
        <v>50</v>
      </c>
      <c r="C255" s="21">
        <v>1.2500511828245273E-3</v>
      </c>
      <c r="D255" s="10">
        <v>145</v>
      </c>
      <c r="E255" s="10">
        <v>0</v>
      </c>
      <c r="F255" s="10">
        <v>0</v>
      </c>
      <c r="G255" s="10">
        <v>1</v>
      </c>
      <c r="H255" s="10">
        <v>0</v>
      </c>
      <c r="I255" s="10">
        <v>0</v>
      </c>
      <c r="J255" s="10">
        <v>0</v>
      </c>
      <c r="K255" s="10">
        <v>0</v>
      </c>
      <c r="L255" s="10">
        <v>0</v>
      </c>
      <c r="M255" s="10">
        <v>0</v>
      </c>
      <c r="N255" s="10">
        <v>0</v>
      </c>
      <c r="O255" s="10">
        <v>0</v>
      </c>
      <c r="P255" s="10">
        <v>24</v>
      </c>
    </row>
    <row r="256" spans="1:16">
      <c r="A256" s="10" t="s">
        <v>280</v>
      </c>
      <c r="B256" s="10">
        <v>234</v>
      </c>
      <c r="C256" s="21">
        <v>1.9772567614680004E-3</v>
      </c>
      <c r="D256" s="10">
        <v>130</v>
      </c>
      <c r="E256" s="10">
        <v>0</v>
      </c>
      <c r="F256" s="10">
        <v>0</v>
      </c>
      <c r="G256" s="10">
        <v>0</v>
      </c>
      <c r="H256" s="10">
        <v>0</v>
      </c>
      <c r="I256" s="10">
        <v>1</v>
      </c>
      <c r="J256" s="10">
        <v>0</v>
      </c>
      <c r="K256" s="10">
        <v>0</v>
      </c>
      <c r="L256" s="10">
        <v>0</v>
      </c>
      <c r="M256" s="10">
        <v>0</v>
      </c>
      <c r="N256" s="10">
        <v>0</v>
      </c>
      <c r="O256" s="10">
        <v>0</v>
      </c>
      <c r="P256" s="10">
        <v>40</v>
      </c>
    </row>
    <row r="257" spans="1:16">
      <c r="A257" s="10" t="s">
        <v>281</v>
      </c>
      <c r="B257" s="10">
        <v>640</v>
      </c>
      <c r="C257" s="21">
        <v>6.9934531102609776E-4</v>
      </c>
      <c r="D257" s="10">
        <v>222</v>
      </c>
      <c r="E257" s="10">
        <v>0</v>
      </c>
      <c r="F257" s="10">
        <v>0</v>
      </c>
      <c r="G257" s="10">
        <v>0</v>
      </c>
      <c r="H257" s="10">
        <v>0</v>
      </c>
      <c r="I257" s="10">
        <v>0</v>
      </c>
      <c r="J257" s="10">
        <v>0</v>
      </c>
      <c r="K257" s="10">
        <v>0</v>
      </c>
      <c r="L257" s="10">
        <v>0</v>
      </c>
      <c r="M257" s="10">
        <v>0</v>
      </c>
      <c r="N257" s="10">
        <v>0</v>
      </c>
      <c r="O257" s="10">
        <v>1</v>
      </c>
      <c r="P257" s="10">
        <v>13</v>
      </c>
    </row>
    <row r="258" spans="1:16">
      <c r="A258" s="10" t="s">
        <v>282</v>
      </c>
      <c r="B258" s="10">
        <v>89</v>
      </c>
      <c r="C258" s="21">
        <v>1.1859692359259403E-3</v>
      </c>
      <c r="D258" s="10">
        <v>194</v>
      </c>
      <c r="E258" s="10">
        <v>1</v>
      </c>
      <c r="F258" s="10">
        <v>0</v>
      </c>
      <c r="G258" s="10">
        <v>0</v>
      </c>
      <c r="H258" s="10">
        <v>0</v>
      </c>
      <c r="I258" s="10">
        <v>0</v>
      </c>
      <c r="J258" s="10">
        <v>0</v>
      </c>
      <c r="K258" s="10">
        <v>0</v>
      </c>
      <c r="L258" s="10">
        <v>0</v>
      </c>
      <c r="M258" s="10">
        <v>0</v>
      </c>
      <c r="N258" s="10">
        <v>0</v>
      </c>
      <c r="O258" s="10">
        <v>0</v>
      </c>
      <c r="P258" s="10">
        <v>32</v>
      </c>
    </row>
    <row r="259" spans="1:16">
      <c r="A259" s="10" t="s">
        <v>283</v>
      </c>
      <c r="B259" s="10">
        <v>83</v>
      </c>
      <c r="C259" s="21">
        <v>1.8472262326121522E-3</v>
      </c>
      <c r="D259" s="10">
        <v>113</v>
      </c>
      <c r="E259" s="10">
        <v>1</v>
      </c>
      <c r="F259" s="10">
        <v>0</v>
      </c>
      <c r="G259" s="10">
        <v>0</v>
      </c>
      <c r="H259" s="10">
        <v>0</v>
      </c>
      <c r="I259" s="10">
        <v>0</v>
      </c>
      <c r="J259" s="10">
        <v>0</v>
      </c>
      <c r="K259" s="10">
        <v>0</v>
      </c>
      <c r="L259" s="10">
        <v>0</v>
      </c>
      <c r="M259" s="10">
        <v>0</v>
      </c>
      <c r="N259" s="10">
        <v>0</v>
      </c>
      <c r="O259" s="10">
        <v>1</v>
      </c>
      <c r="P259" s="10">
        <v>34</v>
      </c>
    </row>
    <row r="260" spans="1:16">
      <c r="A260" s="10" t="s">
        <v>284</v>
      </c>
      <c r="B260" s="10">
        <v>488</v>
      </c>
      <c r="C260" s="21">
        <v>6.8848066609009074E-4</v>
      </c>
      <c r="D260" s="10">
        <v>145</v>
      </c>
      <c r="E260" s="10">
        <v>0</v>
      </c>
      <c r="F260" s="10">
        <v>0</v>
      </c>
      <c r="G260" s="10">
        <v>0</v>
      </c>
      <c r="H260" s="10">
        <v>0</v>
      </c>
      <c r="I260" s="10">
        <v>1</v>
      </c>
      <c r="J260" s="10">
        <v>0</v>
      </c>
      <c r="K260" s="10">
        <v>0</v>
      </c>
      <c r="L260" s="10">
        <v>0</v>
      </c>
      <c r="M260" s="10">
        <v>0</v>
      </c>
      <c r="N260" s="10">
        <v>0</v>
      </c>
      <c r="O260" s="10">
        <v>1</v>
      </c>
      <c r="P260" s="10">
        <v>34</v>
      </c>
    </row>
    <row r="261" spans="1:16">
      <c r="A261" s="10" t="s">
        <v>285</v>
      </c>
      <c r="B261" s="10">
        <v>90</v>
      </c>
      <c r="C261" s="21">
        <v>6.3968859784196855E-4</v>
      </c>
      <c r="D261" s="10">
        <v>154</v>
      </c>
      <c r="E261" s="10">
        <v>1</v>
      </c>
      <c r="F261" s="10">
        <v>0</v>
      </c>
      <c r="G261" s="10">
        <v>0</v>
      </c>
      <c r="H261" s="10">
        <v>0</v>
      </c>
      <c r="I261" s="10">
        <v>0</v>
      </c>
      <c r="J261" s="10">
        <v>0</v>
      </c>
      <c r="K261" s="10">
        <v>0</v>
      </c>
      <c r="L261" s="10">
        <v>0</v>
      </c>
      <c r="M261" s="10">
        <v>0</v>
      </c>
      <c r="N261" s="10">
        <v>0</v>
      </c>
      <c r="O261" s="10">
        <v>0</v>
      </c>
      <c r="P261" s="10">
        <v>31</v>
      </c>
    </row>
    <row r="262" spans="1:16">
      <c r="A262" s="10" t="s">
        <v>286</v>
      </c>
      <c r="B262" s="10">
        <v>201</v>
      </c>
      <c r="C262" s="21">
        <v>2.4591274243240041E-3</v>
      </c>
      <c r="D262" s="10">
        <v>126</v>
      </c>
      <c r="E262" s="10">
        <v>0</v>
      </c>
      <c r="F262" s="10">
        <v>0</v>
      </c>
      <c r="G262" s="10">
        <v>0</v>
      </c>
      <c r="H262" s="10">
        <v>1</v>
      </c>
      <c r="I262" s="10">
        <v>0</v>
      </c>
      <c r="J262" s="10">
        <v>0</v>
      </c>
      <c r="K262" s="10">
        <v>0</v>
      </c>
      <c r="L262" s="10">
        <v>0</v>
      </c>
      <c r="M262" s="10">
        <v>0</v>
      </c>
      <c r="N262" s="10">
        <v>0</v>
      </c>
      <c r="O262" s="10">
        <v>0</v>
      </c>
      <c r="P262" s="10">
        <v>47</v>
      </c>
    </row>
    <row r="263" spans="1:16">
      <c r="A263" s="10" t="s">
        <v>287</v>
      </c>
      <c r="B263" s="10">
        <v>109</v>
      </c>
      <c r="C263" s="21">
        <v>1.4828961197880604E-3</v>
      </c>
      <c r="D263" s="10">
        <v>108</v>
      </c>
      <c r="E263" s="10">
        <v>1</v>
      </c>
      <c r="F263" s="10">
        <v>0</v>
      </c>
      <c r="G263" s="10">
        <v>0</v>
      </c>
      <c r="H263" s="10">
        <v>0</v>
      </c>
      <c r="I263" s="10">
        <v>0</v>
      </c>
      <c r="J263" s="10">
        <v>0</v>
      </c>
      <c r="K263" s="10">
        <v>0</v>
      </c>
      <c r="L263" s="10">
        <v>0</v>
      </c>
      <c r="M263" s="10">
        <v>0</v>
      </c>
      <c r="N263" s="10">
        <v>0</v>
      </c>
      <c r="O263" s="10">
        <v>0</v>
      </c>
      <c r="P263" s="10">
        <v>43</v>
      </c>
    </row>
    <row r="264" spans="1:16">
      <c r="A264" s="10" t="s">
        <v>288</v>
      </c>
      <c r="B264" s="10">
        <v>46</v>
      </c>
      <c r="C264" s="21">
        <v>1.7918565468494436E-3</v>
      </c>
      <c r="D264" s="10">
        <v>120</v>
      </c>
      <c r="E264" s="10">
        <v>0</v>
      </c>
      <c r="F264" s="10">
        <v>0</v>
      </c>
      <c r="G264" s="10">
        <v>1</v>
      </c>
      <c r="H264" s="10">
        <v>0</v>
      </c>
      <c r="I264" s="10">
        <v>0</v>
      </c>
      <c r="J264" s="10">
        <v>0</v>
      </c>
      <c r="K264" s="10">
        <v>0</v>
      </c>
      <c r="L264" s="10">
        <v>0</v>
      </c>
      <c r="M264" s="10">
        <v>0</v>
      </c>
      <c r="N264" s="10">
        <v>0</v>
      </c>
      <c r="O264" s="10">
        <v>0</v>
      </c>
      <c r="P264" s="10">
        <v>27</v>
      </c>
    </row>
    <row r="265" spans="1:16">
      <c r="A265" s="10" t="s">
        <v>289</v>
      </c>
      <c r="B265" s="10">
        <v>593</v>
      </c>
      <c r="C265" s="21">
        <v>1.1159814969785564E-3</v>
      </c>
      <c r="D265" s="10">
        <v>172</v>
      </c>
      <c r="E265" s="10">
        <v>0</v>
      </c>
      <c r="F265" s="10">
        <v>0</v>
      </c>
      <c r="G265" s="10">
        <v>0</v>
      </c>
      <c r="H265" s="10">
        <v>0</v>
      </c>
      <c r="I265" s="10">
        <v>0</v>
      </c>
      <c r="J265" s="10">
        <v>0</v>
      </c>
      <c r="K265" s="10">
        <v>0</v>
      </c>
      <c r="L265" s="10">
        <v>0</v>
      </c>
      <c r="M265" s="10">
        <v>0</v>
      </c>
      <c r="N265" s="10">
        <v>0</v>
      </c>
      <c r="O265" s="10">
        <v>0</v>
      </c>
      <c r="P265" s="10">
        <v>11</v>
      </c>
    </row>
    <row r="266" spans="1:16">
      <c r="A266" s="10" t="s">
        <v>290</v>
      </c>
      <c r="B266" s="10">
        <v>93</v>
      </c>
      <c r="C266" s="21">
        <v>1.8290569672990249E-3</v>
      </c>
      <c r="D266" s="10">
        <v>126</v>
      </c>
      <c r="E266" s="10">
        <v>1</v>
      </c>
      <c r="F266" s="10">
        <v>0</v>
      </c>
      <c r="G266" s="10">
        <v>0</v>
      </c>
      <c r="H266" s="10">
        <v>0</v>
      </c>
      <c r="I266" s="10">
        <v>0</v>
      </c>
      <c r="J266" s="10">
        <v>0</v>
      </c>
      <c r="K266" s="10">
        <v>0</v>
      </c>
      <c r="L266" s="10">
        <v>0</v>
      </c>
      <c r="M266" s="10">
        <v>0</v>
      </c>
      <c r="N266" s="10">
        <v>0</v>
      </c>
      <c r="O266" s="10">
        <v>0</v>
      </c>
      <c r="P266" s="10">
        <v>37</v>
      </c>
    </row>
    <row r="267" spans="1:16">
      <c r="A267" s="10" t="s">
        <v>291</v>
      </c>
      <c r="B267" s="10">
        <v>59</v>
      </c>
      <c r="C267" s="21">
        <v>9.663967705406041E-4</v>
      </c>
      <c r="D267" s="10">
        <v>180</v>
      </c>
      <c r="E267" s="10">
        <v>0</v>
      </c>
      <c r="F267" s="10">
        <v>0</v>
      </c>
      <c r="G267" s="10">
        <v>1</v>
      </c>
      <c r="H267" s="10">
        <v>0</v>
      </c>
      <c r="I267" s="10">
        <v>0</v>
      </c>
      <c r="J267" s="10">
        <v>0</v>
      </c>
      <c r="K267" s="10">
        <v>0</v>
      </c>
      <c r="L267" s="10">
        <v>0</v>
      </c>
      <c r="M267" s="10">
        <v>0</v>
      </c>
      <c r="N267" s="10">
        <v>0</v>
      </c>
      <c r="O267" s="10">
        <v>0</v>
      </c>
      <c r="P267" s="10">
        <v>26</v>
      </c>
    </row>
    <row r="268" spans="1:16">
      <c r="A268" s="10" t="s">
        <v>292</v>
      </c>
      <c r="B268" s="10">
        <v>369</v>
      </c>
      <c r="C268" s="21">
        <v>1.3088980216537384E-3</v>
      </c>
      <c r="D268" s="10">
        <v>195</v>
      </c>
      <c r="E268" s="10">
        <v>0</v>
      </c>
      <c r="F268" s="10">
        <v>0</v>
      </c>
      <c r="G268" s="10">
        <v>0</v>
      </c>
      <c r="H268" s="10">
        <v>0</v>
      </c>
      <c r="I268" s="10">
        <v>1</v>
      </c>
      <c r="J268" s="10">
        <v>0</v>
      </c>
      <c r="K268" s="10">
        <v>0</v>
      </c>
      <c r="L268" s="10">
        <v>0</v>
      </c>
      <c r="M268" s="10">
        <v>0</v>
      </c>
      <c r="N268" s="10">
        <v>0</v>
      </c>
      <c r="O268" s="10">
        <v>0</v>
      </c>
      <c r="P268" s="10">
        <v>27</v>
      </c>
    </row>
    <row r="269" spans="1:16">
      <c r="A269" s="10" t="s">
        <v>293</v>
      </c>
      <c r="B269" s="10">
        <v>106</v>
      </c>
      <c r="C269" s="21">
        <v>1.4166054929246996E-3</v>
      </c>
      <c r="D269" s="10">
        <v>179</v>
      </c>
      <c r="E269" s="10">
        <v>0</v>
      </c>
      <c r="F269" s="10">
        <v>1</v>
      </c>
      <c r="G269" s="10">
        <v>0</v>
      </c>
      <c r="H269" s="10">
        <v>0</v>
      </c>
      <c r="I269" s="10">
        <v>0</v>
      </c>
      <c r="J269" s="10">
        <v>0</v>
      </c>
      <c r="K269" s="10">
        <v>0</v>
      </c>
      <c r="L269" s="10">
        <v>0</v>
      </c>
      <c r="M269" s="10">
        <v>0</v>
      </c>
      <c r="N269" s="10">
        <v>0</v>
      </c>
      <c r="O269" s="10">
        <v>0</v>
      </c>
      <c r="P269" s="10">
        <v>21</v>
      </c>
    </row>
    <row r="270" spans="1:16">
      <c r="A270" s="10" t="s">
        <v>294</v>
      </c>
      <c r="B270" s="10">
        <v>476</v>
      </c>
      <c r="C270" s="21">
        <v>2.6710847021442366E-3</v>
      </c>
      <c r="D270" s="10">
        <v>126</v>
      </c>
      <c r="E270" s="10">
        <v>0</v>
      </c>
      <c r="F270" s="10">
        <v>0</v>
      </c>
      <c r="G270" s="10">
        <v>0</v>
      </c>
      <c r="H270" s="10">
        <v>0</v>
      </c>
      <c r="I270" s="10">
        <v>0</v>
      </c>
      <c r="J270" s="10">
        <v>0</v>
      </c>
      <c r="K270" s="10">
        <v>0</v>
      </c>
      <c r="L270" s="10">
        <v>0</v>
      </c>
      <c r="M270" s="10">
        <v>0</v>
      </c>
      <c r="N270" s="10">
        <v>0</v>
      </c>
      <c r="O270" s="10">
        <v>0</v>
      </c>
      <c r="P270" s="10">
        <v>35</v>
      </c>
    </row>
    <row r="271" spans="1:16">
      <c r="A271" s="10" t="s">
        <v>295</v>
      </c>
      <c r="B271" s="10">
        <v>88</v>
      </c>
      <c r="C271" s="21">
        <v>3.7601343725443412E-4</v>
      </c>
      <c r="D271" s="10">
        <v>206</v>
      </c>
      <c r="E271" s="10">
        <v>1</v>
      </c>
      <c r="F271" s="10">
        <v>0</v>
      </c>
      <c r="G271" s="10">
        <v>0</v>
      </c>
      <c r="H271" s="10">
        <v>0</v>
      </c>
      <c r="I271" s="10">
        <v>0</v>
      </c>
      <c r="J271" s="10">
        <v>0</v>
      </c>
      <c r="K271" s="10">
        <v>0</v>
      </c>
      <c r="L271" s="10">
        <v>0</v>
      </c>
      <c r="M271" s="10">
        <v>0</v>
      </c>
      <c r="N271" s="10">
        <v>0</v>
      </c>
      <c r="O271" s="10">
        <v>1</v>
      </c>
      <c r="P271" s="10">
        <v>25</v>
      </c>
    </row>
    <row r="272" spans="1:16">
      <c r="A272" s="10" t="s">
        <v>296</v>
      </c>
      <c r="B272" s="10">
        <v>68</v>
      </c>
      <c r="C272" s="21">
        <v>9.9372360858146058E-4</v>
      </c>
      <c r="D272" s="10">
        <v>151</v>
      </c>
      <c r="E272" s="10">
        <v>1</v>
      </c>
      <c r="F272" s="10">
        <v>0</v>
      </c>
      <c r="G272" s="10">
        <v>0</v>
      </c>
      <c r="H272" s="10">
        <v>0</v>
      </c>
      <c r="I272" s="10">
        <v>0</v>
      </c>
      <c r="J272" s="10">
        <v>0</v>
      </c>
      <c r="K272" s="10">
        <v>0</v>
      </c>
      <c r="L272" s="10">
        <v>0</v>
      </c>
      <c r="M272" s="10">
        <v>0</v>
      </c>
      <c r="N272" s="10">
        <v>0</v>
      </c>
      <c r="O272" s="10">
        <v>0</v>
      </c>
      <c r="P272" s="10">
        <v>28</v>
      </c>
    </row>
    <row r="273" spans="1:16">
      <c r="A273" s="10" t="s">
        <v>297</v>
      </c>
      <c r="B273" s="10">
        <v>196</v>
      </c>
      <c r="C273" s="21">
        <v>1.1440204612378434E-3</v>
      </c>
      <c r="D273" s="10">
        <v>163</v>
      </c>
      <c r="E273" s="10">
        <v>0</v>
      </c>
      <c r="F273" s="10">
        <v>0</v>
      </c>
      <c r="G273" s="10">
        <v>0</v>
      </c>
      <c r="H273" s="10">
        <v>0</v>
      </c>
      <c r="I273" s="10">
        <v>1</v>
      </c>
      <c r="J273" s="10">
        <v>0</v>
      </c>
      <c r="K273" s="10">
        <v>0</v>
      </c>
      <c r="L273" s="10">
        <v>0</v>
      </c>
      <c r="M273" s="10">
        <v>0</v>
      </c>
      <c r="N273" s="10">
        <v>0</v>
      </c>
      <c r="O273" s="10">
        <v>0</v>
      </c>
      <c r="P273" s="10">
        <v>21</v>
      </c>
    </row>
    <row r="274" spans="1:16">
      <c r="A274" s="10" t="s">
        <v>298</v>
      </c>
      <c r="B274" s="10">
        <v>521</v>
      </c>
      <c r="C274" s="21">
        <v>1.5792880447673995E-3</v>
      </c>
      <c r="D274" s="10">
        <v>169</v>
      </c>
      <c r="E274" s="10">
        <v>0</v>
      </c>
      <c r="F274" s="10">
        <v>0</v>
      </c>
      <c r="G274" s="10">
        <v>0</v>
      </c>
      <c r="H274" s="10">
        <v>0</v>
      </c>
      <c r="I274" s="10">
        <v>0</v>
      </c>
      <c r="J274" s="10">
        <v>0</v>
      </c>
      <c r="K274" s="10">
        <v>0</v>
      </c>
      <c r="L274" s="10">
        <v>0</v>
      </c>
      <c r="M274" s="10">
        <v>0</v>
      </c>
      <c r="N274" s="10">
        <v>0</v>
      </c>
      <c r="O274" s="10">
        <v>0</v>
      </c>
      <c r="P274" s="10">
        <v>24</v>
      </c>
    </row>
    <row r="275" spans="1:16">
      <c r="A275" s="10" t="s">
        <v>299</v>
      </c>
      <c r="B275" s="10">
        <v>113</v>
      </c>
      <c r="C275" s="21">
        <v>9.2204490047231803E-4</v>
      </c>
      <c r="D275" s="10">
        <v>187</v>
      </c>
      <c r="E275" s="10">
        <v>1</v>
      </c>
      <c r="F275" s="10">
        <v>0</v>
      </c>
      <c r="G275" s="10">
        <v>0</v>
      </c>
      <c r="H275" s="10">
        <v>0</v>
      </c>
      <c r="I275" s="10">
        <v>0</v>
      </c>
      <c r="J275" s="10">
        <v>0</v>
      </c>
      <c r="K275" s="10">
        <v>0</v>
      </c>
      <c r="L275" s="10">
        <v>0</v>
      </c>
      <c r="M275" s="10">
        <v>0</v>
      </c>
      <c r="N275" s="10">
        <v>0</v>
      </c>
      <c r="O275" s="10">
        <v>0</v>
      </c>
      <c r="P275" s="10">
        <v>19</v>
      </c>
    </row>
    <row r="276" spans="1:16">
      <c r="A276" s="10" t="s">
        <v>300</v>
      </c>
      <c r="B276" s="10">
        <v>80</v>
      </c>
      <c r="C276" s="21">
        <v>9.7997539028166431E-4</v>
      </c>
      <c r="D276" s="10">
        <v>158</v>
      </c>
      <c r="E276" s="10">
        <v>0</v>
      </c>
      <c r="F276" s="10">
        <v>0</v>
      </c>
      <c r="G276" s="10">
        <v>0</v>
      </c>
      <c r="H276" s="10">
        <v>0</v>
      </c>
      <c r="I276" s="10">
        <v>0</v>
      </c>
      <c r="J276" s="10">
        <v>0</v>
      </c>
      <c r="K276" s="10">
        <v>1</v>
      </c>
      <c r="L276" s="10">
        <v>0</v>
      </c>
      <c r="M276" s="10">
        <v>0</v>
      </c>
      <c r="N276" s="10">
        <v>0</v>
      </c>
      <c r="O276" s="10">
        <v>0</v>
      </c>
      <c r="P276" s="10">
        <v>25</v>
      </c>
    </row>
    <row r="277" spans="1:16">
      <c r="A277" s="10" t="s">
        <v>302</v>
      </c>
      <c r="B277" s="10">
        <v>174</v>
      </c>
      <c r="C277" s="21">
        <v>1.0880984919179959E-3</v>
      </c>
      <c r="D277" s="10">
        <v>130</v>
      </c>
      <c r="E277" s="10">
        <v>0</v>
      </c>
      <c r="F277" s="10">
        <v>0</v>
      </c>
      <c r="G277" s="10">
        <v>0</v>
      </c>
      <c r="H277" s="10">
        <v>0</v>
      </c>
      <c r="I277" s="10">
        <v>1</v>
      </c>
      <c r="J277" s="10">
        <v>0</v>
      </c>
      <c r="K277" s="10">
        <v>0</v>
      </c>
      <c r="L277" s="10">
        <v>0</v>
      </c>
      <c r="M277" s="10">
        <v>0</v>
      </c>
      <c r="N277" s="10">
        <v>0</v>
      </c>
      <c r="O277" s="10">
        <v>0</v>
      </c>
      <c r="P277" s="10">
        <v>33</v>
      </c>
    </row>
    <row r="278" spans="1:16">
      <c r="A278" s="10" t="s">
        <v>303</v>
      </c>
      <c r="B278" s="10">
        <v>451</v>
      </c>
      <c r="C278" s="21">
        <v>1.5141865360317015E-3</v>
      </c>
      <c r="D278" s="10">
        <v>172</v>
      </c>
      <c r="E278" s="10">
        <v>0</v>
      </c>
      <c r="F278" s="10">
        <v>0</v>
      </c>
      <c r="G278" s="10">
        <v>0</v>
      </c>
      <c r="H278" s="10">
        <v>0</v>
      </c>
      <c r="I278" s="10">
        <v>0</v>
      </c>
      <c r="J278" s="10">
        <v>0</v>
      </c>
      <c r="K278" s="10">
        <v>0</v>
      </c>
      <c r="L278" s="10">
        <v>0</v>
      </c>
      <c r="M278" s="10">
        <v>0</v>
      </c>
      <c r="N278" s="10">
        <v>0</v>
      </c>
      <c r="O278" s="10">
        <v>0</v>
      </c>
      <c r="P278" s="10">
        <v>26</v>
      </c>
    </row>
    <row r="279" spans="1:16">
      <c r="A279" s="10" t="s">
        <v>304</v>
      </c>
      <c r="B279" s="10">
        <v>105</v>
      </c>
      <c r="C279" s="21">
        <v>9.8530286636117612E-4</v>
      </c>
      <c r="D279" s="10">
        <v>137</v>
      </c>
      <c r="E279" s="10">
        <v>1</v>
      </c>
      <c r="F279" s="10">
        <v>0</v>
      </c>
      <c r="G279" s="10">
        <v>0</v>
      </c>
      <c r="H279" s="10">
        <v>0</v>
      </c>
      <c r="I279" s="10">
        <v>0</v>
      </c>
      <c r="J279" s="10">
        <v>0</v>
      </c>
      <c r="K279" s="10">
        <v>0</v>
      </c>
      <c r="L279" s="10">
        <v>0</v>
      </c>
      <c r="M279" s="10">
        <v>0</v>
      </c>
      <c r="N279" s="10">
        <v>0</v>
      </c>
      <c r="O279" s="10">
        <v>0</v>
      </c>
      <c r="P279" s="10">
        <v>31</v>
      </c>
    </row>
    <row r="280" spans="1:16">
      <c r="A280" s="10" t="s">
        <v>305</v>
      </c>
      <c r="B280" s="10">
        <v>96</v>
      </c>
      <c r="C280" s="21">
        <v>2.6069082269779306E-3</v>
      </c>
      <c r="D280" s="10">
        <v>162</v>
      </c>
      <c r="E280" s="10">
        <v>1</v>
      </c>
      <c r="F280" s="10">
        <v>0</v>
      </c>
      <c r="G280" s="10">
        <v>0</v>
      </c>
      <c r="H280" s="10">
        <v>0</v>
      </c>
      <c r="I280" s="10">
        <v>0</v>
      </c>
      <c r="J280" s="10">
        <v>0</v>
      </c>
      <c r="K280" s="10">
        <v>0</v>
      </c>
      <c r="L280" s="10">
        <v>0</v>
      </c>
      <c r="M280" s="10">
        <v>0</v>
      </c>
      <c r="N280" s="10">
        <v>0</v>
      </c>
      <c r="O280" s="10">
        <v>0</v>
      </c>
      <c r="P280" s="10">
        <v>33</v>
      </c>
    </row>
    <row r="281" spans="1:16">
      <c r="A281" s="10" t="s">
        <v>307</v>
      </c>
      <c r="B281" s="10">
        <v>424</v>
      </c>
      <c r="C281" s="21">
        <v>1.266811493691208E-3</v>
      </c>
      <c r="D281" s="10">
        <v>162</v>
      </c>
      <c r="E281" s="10">
        <v>0</v>
      </c>
      <c r="F281" s="10">
        <v>0</v>
      </c>
      <c r="G281" s="10">
        <v>0</v>
      </c>
      <c r="H281" s="10">
        <v>0</v>
      </c>
      <c r="I281" s="10">
        <v>0</v>
      </c>
      <c r="J281" s="10">
        <v>0</v>
      </c>
      <c r="K281" s="10">
        <v>0</v>
      </c>
      <c r="L281" s="10">
        <v>0</v>
      </c>
      <c r="M281" s="10">
        <v>0</v>
      </c>
      <c r="N281" s="10">
        <v>0</v>
      </c>
      <c r="O281" s="10">
        <v>0</v>
      </c>
      <c r="P281" s="10">
        <v>26</v>
      </c>
    </row>
    <row r="282" spans="1:16">
      <c r="A282" s="10" t="s">
        <v>308</v>
      </c>
      <c r="B282" s="10">
        <v>103</v>
      </c>
      <c r="C282" s="21">
        <v>7.6265252519299473E-4</v>
      </c>
      <c r="D282" s="10">
        <v>202</v>
      </c>
      <c r="E282" s="10">
        <v>1</v>
      </c>
      <c r="F282" s="10">
        <v>0</v>
      </c>
      <c r="G282" s="10">
        <v>0</v>
      </c>
      <c r="H282" s="10">
        <v>0</v>
      </c>
      <c r="I282" s="10">
        <v>0</v>
      </c>
      <c r="J282" s="10">
        <v>0</v>
      </c>
      <c r="K282" s="10">
        <v>0</v>
      </c>
      <c r="L282" s="10">
        <v>0</v>
      </c>
      <c r="M282" s="10">
        <v>0</v>
      </c>
      <c r="N282" s="10">
        <v>0</v>
      </c>
      <c r="O282" s="10">
        <v>0</v>
      </c>
      <c r="P282" s="10">
        <v>23</v>
      </c>
    </row>
    <row r="283" spans="1:16">
      <c r="A283" s="10" t="s">
        <v>309</v>
      </c>
      <c r="B283" s="10">
        <v>44</v>
      </c>
      <c r="C283" s="21">
        <v>1.1526767208558941E-3</v>
      </c>
      <c r="D283" s="10">
        <v>130</v>
      </c>
      <c r="E283" s="10">
        <v>0</v>
      </c>
      <c r="F283" s="10">
        <v>0</v>
      </c>
      <c r="G283" s="10">
        <v>1</v>
      </c>
      <c r="H283" s="10">
        <v>0</v>
      </c>
      <c r="I283" s="10">
        <v>0</v>
      </c>
      <c r="J283" s="10">
        <v>0</v>
      </c>
      <c r="K283" s="10">
        <v>0</v>
      </c>
      <c r="L283" s="10">
        <v>0</v>
      </c>
      <c r="M283" s="10">
        <v>0</v>
      </c>
      <c r="N283" s="10">
        <v>0</v>
      </c>
      <c r="O283" s="10">
        <v>0</v>
      </c>
      <c r="P283" s="10">
        <v>28</v>
      </c>
    </row>
    <row r="284" spans="1:16">
      <c r="A284" s="10" t="s">
        <v>310</v>
      </c>
      <c r="B284" s="10">
        <v>111</v>
      </c>
      <c r="C284" s="21">
        <v>1.0627838653481333E-3</v>
      </c>
      <c r="D284" s="10">
        <v>148</v>
      </c>
      <c r="E284" s="10">
        <v>0</v>
      </c>
      <c r="F284" s="10">
        <v>1</v>
      </c>
      <c r="G284" s="10">
        <v>0</v>
      </c>
      <c r="H284" s="10">
        <v>0</v>
      </c>
      <c r="I284" s="10">
        <v>0</v>
      </c>
      <c r="J284" s="10">
        <v>0</v>
      </c>
      <c r="K284" s="10">
        <v>0</v>
      </c>
      <c r="L284" s="10">
        <v>0</v>
      </c>
      <c r="M284" s="10">
        <v>0</v>
      </c>
      <c r="N284" s="10">
        <v>0</v>
      </c>
      <c r="O284" s="10">
        <v>0</v>
      </c>
      <c r="P284" s="10">
        <v>18</v>
      </c>
    </row>
    <row r="285" spans="1:16">
      <c r="A285" s="10" t="s">
        <v>311</v>
      </c>
      <c r="B285" s="10">
        <v>458</v>
      </c>
      <c r="C285" s="21">
        <v>2.3315391031799031E-3</v>
      </c>
      <c r="D285" s="10">
        <v>130</v>
      </c>
      <c r="E285" s="10">
        <v>0</v>
      </c>
      <c r="F285" s="10">
        <v>0</v>
      </c>
      <c r="G285" s="10">
        <v>0</v>
      </c>
      <c r="H285" s="10">
        <v>0</v>
      </c>
      <c r="I285" s="10">
        <v>0</v>
      </c>
      <c r="J285" s="10">
        <v>0</v>
      </c>
      <c r="K285" s="10">
        <v>0</v>
      </c>
      <c r="L285" s="10">
        <v>0</v>
      </c>
      <c r="M285" s="10">
        <v>0</v>
      </c>
      <c r="N285" s="10">
        <v>0</v>
      </c>
      <c r="O285" s="10">
        <v>0</v>
      </c>
      <c r="P285" s="10">
        <v>39</v>
      </c>
    </row>
    <row r="286" spans="1:16">
      <c r="A286" s="10" t="s">
        <v>312</v>
      </c>
      <c r="B286" s="10">
        <v>100</v>
      </c>
      <c r="C286" s="21">
        <v>2.0831387916006735E-3</v>
      </c>
      <c r="D286" s="10">
        <v>162</v>
      </c>
      <c r="E286" s="10">
        <v>1</v>
      </c>
      <c r="F286" s="10">
        <v>0</v>
      </c>
      <c r="G286" s="10">
        <v>0</v>
      </c>
      <c r="H286" s="10">
        <v>0</v>
      </c>
      <c r="I286" s="10">
        <v>0</v>
      </c>
      <c r="J286" s="10">
        <v>0</v>
      </c>
      <c r="K286" s="10">
        <v>0</v>
      </c>
      <c r="L286" s="10">
        <v>0</v>
      </c>
      <c r="M286" s="10">
        <v>0</v>
      </c>
      <c r="N286" s="10">
        <v>0</v>
      </c>
      <c r="O286" s="10">
        <v>0</v>
      </c>
      <c r="P286" s="10">
        <v>28</v>
      </c>
    </row>
    <row r="287" spans="1:16">
      <c r="A287" s="10" t="s">
        <v>313</v>
      </c>
      <c r="B287" s="10">
        <v>113</v>
      </c>
      <c r="C287" s="21">
        <v>1.9907764745034527E-3</v>
      </c>
      <c r="D287" s="10">
        <v>162</v>
      </c>
      <c r="E287" s="10">
        <v>1</v>
      </c>
      <c r="F287" s="10">
        <v>0</v>
      </c>
      <c r="G287" s="10">
        <v>0</v>
      </c>
      <c r="H287" s="10">
        <v>0</v>
      </c>
      <c r="I287" s="10">
        <v>0</v>
      </c>
      <c r="J287" s="10">
        <v>0</v>
      </c>
      <c r="K287" s="10">
        <v>0</v>
      </c>
      <c r="L287" s="10">
        <v>0</v>
      </c>
      <c r="M287" s="10">
        <v>0</v>
      </c>
      <c r="N287" s="10">
        <v>0</v>
      </c>
      <c r="O287" s="10">
        <v>0</v>
      </c>
      <c r="P287" s="10">
        <v>47</v>
      </c>
    </row>
    <row r="288" spans="1:16">
      <c r="A288" s="10" t="s">
        <v>314</v>
      </c>
      <c r="B288" s="10">
        <v>435</v>
      </c>
      <c r="C288" s="21">
        <v>2.2924989115060486E-3</v>
      </c>
      <c r="D288" s="10">
        <v>159</v>
      </c>
      <c r="E288" s="10">
        <v>0</v>
      </c>
      <c r="F288" s="10">
        <v>0</v>
      </c>
      <c r="G288" s="10">
        <v>0</v>
      </c>
      <c r="H288" s="10">
        <v>0</v>
      </c>
      <c r="I288" s="10">
        <v>1</v>
      </c>
      <c r="J288" s="10">
        <v>0</v>
      </c>
      <c r="K288" s="10">
        <v>0</v>
      </c>
      <c r="L288" s="10">
        <v>0</v>
      </c>
      <c r="M288" s="10">
        <v>0</v>
      </c>
      <c r="N288" s="10">
        <v>0</v>
      </c>
      <c r="O288" s="10">
        <v>0</v>
      </c>
      <c r="P288" s="10">
        <v>41</v>
      </c>
    </row>
    <row r="289" spans="1:16">
      <c r="A289" s="10" t="s">
        <v>315</v>
      </c>
      <c r="B289" s="10">
        <v>54</v>
      </c>
      <c r="C289" s="21">
        <v>1.2321540393020746E-4</v>
      </c>
      <c r="D289" s="10">
        <v>149</v>
      </c>
      <c r="E289" s="10">
        <v>0</v>
      </c>
      <c r="F289" s="10">
        <v>1</v>
      </c>
      <c r="G289" s="10">
        <v>0</v>
      </c>
      <c r="H289" s="10">
        <v>0</v>
      </c>
      <c r="I289" s="10">
        <v>0</v>
      </c>
      <c r="J289" s="10">
        <v>0</v>
      </c>
      <c r="K289" s="10">
        <v>0</v>
      </c>
      <c r="L289" s="10">
        <v>0</v>
      </c>
      <c r="M289" s="10">
        <v>0</v>
      </c>
      <c r="N289" s="10">
        <v>0</v>
      </c>
      <c r="O289" s="10">
        <v>0</v>
      </c>
      <c r="P289" s="10">
        <v>11</v>
      </c>
    </row>
    <row r="290" spans="1:16">
      <c r="A290" s="10" t="s">
        <v>316</v>
      </c>
      <c r="B290" s="10">
        <v>83</v>
      </c>
      <c r="C290" s="21">
        <v>3.1347548894547217E-3</v>
      </c>
      <c r="D290" s="10">
        <v>212</v>
      </c>
      <c r="E290" s="10">
        <v>1</v>
      </c>
      <c r="F290" s="10">
        <v>0</v>
      </c>
      <c r="G290" s="10">
        <v>0</v>
      </c>
      <c r="H290" s="10">
        <v>0</v>
      </c>
      <c r="I290" s="10">
        <v>0</v>
      </c>
      <c r="J290" s="10">
        <v>0</v>
      </c>
      <c r="K290" s="10">
        <v>0</v>
      </c>
      <c r="L290" s="10">
        <v>0</v>
      </c>
      <c r="M290" s="10">
        <v>0</v>
      </c>
      <c r="N290" s="10">
        <v>0</v>
      </c>
      <c r="O290" s="10">
        <v>0</v>
      </c>
      <c r="P290" s="10">
        <v>26</v>
      </c>
    </row>
    <row r="291" spans="1:16">
      <c r="A291" s="10" t="s">
        <v>317</v>
      </c>
      <c r="B291" s="10">
        <v>108</v>
      </c>
      <c r="C291" s="21">
        <v>9.3057977745856937E-4</v>
      </c>
      <c r="D291" s="10">
        <v>138</v>
      </c>
      <c r="E291" s="10">
        <v>1</v>
      </c>
      <c r="F291" s="10">
        <v>0</v>
      </c>
      <c r="G291" s="10">
        <v>0</v>
      </c>
      <c r="H291" s="10">
        <v>0</v>
      </c>
      <c r="I291" s="10">
        <v>0</v>
      </c>
      <c r="J291" s="10">
        <v>0</v>
      </c>
      <c r="K291" s="10">
        <v>0</v>
      </c>
      <c r="L291" s="10">
        <v>0</v>
      </c>
      <c r="M291" s="10">
        <v>0</v>
      </c>
      <c r="N291" s="10">
        <v>0</v>
      </c>
      <c r="O291" s="10">
        <v>1</v>
      </c>
      <c r="P291" s="10">
        <v>24</v>
      </c>
    </row>
    <row r="292" spans="1:16">
      <c r="A292" s="10" t="s">
        <v>318</v>
      </c>
      <c r="B292" s="10">
        <v>80</v>
      </c>
      <c r="C292" s="21">
        <v>5.1834398942490962E-4</v>
      </c>
      <c r="D292" s="10">
        <v>221</v>
      </c>
      <c r="E292" s="10">
        <v>0</v>
      </c>
      <c r="F292" s="10">
        <v>0</v>
      </c>
      <c r="G292" s="10">
        <v>0</v>
      </c>
      <c r="H292" s="10">
        <v>0</v>
      </c>
      <c r="I292" s="10">
        <v>0</v>
      </c>
      <c r="J292" s="10">
        <v>0</v>
      </c>
      <c r="K292" s="10">
        <v>1</v>
      </c>
      <c r="L292" s="10">
        <v>0</v>
      </c>
      <c r="M292" s="10">
        <v>0</v>
      </c>
      <c r="N292" s="10">
        <v>0</v>
      </c>
      <c r="O292" s="10">
        <v>0</v>
      </c>
      <c r="P292" s="10">
        <v>14</v>
      </c>
    </row>
    <row r="293" spans="1:16">
      <c r="A293" s="10" t="s">
        <v>319</v>
      </c>
      <c r="B293" s="10">
        <v>340</v>
      </c>
      <c r="C293" s="21">
        <v>1.9489402081661188E-3</v>
      </c>
      <c r="D293" s="10">
        <v>110</v>
      </c>
      <c r="E293" s="10">
        <v>0</v>
      </c>
      <c r="F293" s="10">
        <v>0</v>
      </c>
      <c r="G293" s="10">
        <v>0</v>
      </c>
      <c r="H293" s="10">
        <v>0</v>
      </c>
      <c r="I293" s="10">
        <v>1</v>
      </c>
      <c r="J293" s="10">
        <v>0</v>
      </c>
      <c r="K293" s="10">
        <v>0</v>
      </c>
      <c r="L293" s="10">
        <v>0</v>
      </c>
      <c r="M293" s="10">
        <v>0</v>
      </c>
      <c r="N293" s="10">
        <v>0</v>
      </c>
      <c r="O293" s="10">
        <v>0</v>
      </c>
      <c r="P293" s="10">
        <v>34</v>
      </c>
    </row>
    <row r="294" spans="1:16">
      <c r="A294" s="10" t="s">
        <v>320</v>
      </c>
      <c r="B294" s="10">
        <v>545</v>
      </c>
      <c r="C294" s="21">
        <v>2.4800906936066516E-3</v>
      </c>
      <c r="D294" s="10">
        <v>76</v>
      </c>
      <c r="E294" s="10">
        <v>0</v>
      </c>
      <c r="F294" s="10">
        <v>0</v>
      </c>
      <c r="G294" s="10">
        <v>0</v>
      </c>
      <c r="H294" s="10">
        <v>0</v>
      </c>
      <c r="I294" s="10">
        <v>0</v>
      </c>
      <c r="J294" s="10">
        <v>0</v>
      </c>
      <c r="K294" s="10">
        <v>0</v>
      </c>
      <c r="L294" s="10">
        <v>0</v>
      </c>
      <c r="M294" s="10">
        <v>0</v>
      </c>
      <c r="N294" s="10">
        <v>0</v>
      </c>
      <c r="O294" s="10">
        <v>1</v>
      </c>
      <c r="P294" s="10">
        <v>46</v>
      </c>
    </row>
    <row r="295" spans="1:16">
      <c r="A295" s="10" t="s">
        <v>321</v>
      </c>
      <c r="B295" s="10">
        <v>107</v>
      </c>
      <c r="C295" s="21">
        <v>4.1269937566282408E-3</v>
      </c>
      <c r="D295" s="10">
        <v>139</v>
      </c>
      <c r="E295" s="10">
        <v>0</v>
      </c>
      <c r="F295" s="10">
        <v>0</v>
      </c>
      <c r="G295" s="10">
        <v>0</v>
      </c>
      <c r="H295" s="10">
        <v>0</v>
      </c>
      <c r="I295" s="10">
        <v>0</v>
      </c>
      <c r="J295" s="10">
        <v>0</v>
      </c>
      <c r="K295" s="10">
        <v>1</v>
      </c>
      <c r="L295" s="10">
        <v>0</v>
      </c>
      <c r="M295" s="10">
        <v>0</v>
      </c>
      <c r="N295" s="10">
        <v>0</v>
      </c>
      <c r="O295" s="10">
        <v>0</v>
      </c>
      <c r="P295" s="10">
        <v>24</v>
      </c>
    </row>
    <row r="296" spans="1:16">
      <c r="A296" s="10" t="s">
        <v>322</v>
      </c>
      <c r="B296" s="10">
        <v>29</v>
      </c>
      <c r="C296" s="21">
        <v>1.2503056261122085E-3</v>
      </c>
      <c r="D296" s="10">
        <v>189</v>
      </c>
      <c r="E296" s="10">
        <v>0</v>
      </c>
      <c r="F296" s="10">
        <v>0</v>
      </c>
      <c r="G296" s="10">
        <v>1</v>
      </c>
      <c r="H296" s="10">
        <v>0</v>
      </c>
      <c r="I296" s="10">
        <v>0</v>
      </c>
      <c r="J296" s="10">
        <v>0</v>
      </c>
      <c r="K296" s="10">
        <v>0</v>
      </c>
      <c r="L296" s="10">
        <v>0</v>
      </c>
      <c r="M296" s="10">
        <v>0</v>
      </c>
      <c r="N296" s="10">
        <v>0</v>
      </c>
      <c r="O296" s="10">
        <v>0</v>
      </c>
      <c r="P296" s="10">
        <v>22</v>
      </c>
    </row>
    <row r="297" spans="1:16">
      <c r="A297" s="10" t="s">
        <v>323</v>
      </c>
      <c r="B297" s="10">
        <v>329</v>
      </c>
      <c r="C297" s="21">
        <v>2.5281662179402991E-3</v>
      </c>
      <c r="D297" s="10">
        <v>106</v>
      </c>
      <c r="E297" s="10">
        <v>0</v>
      </c>
      <c r="F297" s="10">
        <v>0</v>
      </c>
      <c r="G297" s="10">
        <v>0</v>
      </c>
      <c r="H297" s="10">
        <v>0</v>
      </c>
      <c r="I297" s="10">
        <v>1</v>
      </c>
      <c r="J297" s="10">
        <v>0</v>
      </c>
      <c r="K297" s="10">
        <v>0</v>
      </c>
      <c r="L297" s="10">
        <v>0</v>
      </c>
      <c r="M297" s="10">
        <v>0</v>
      </c>
      <c r="N297" s="10">
        <v>0</v>
      </c>
      <c r="O297" s="10">
        <v>0</v>
      </c>
      <c r="P297" s="10">
        <v>41</v>
      </c>
    </row>
    <row r="298" spans="1:16">
      <c r="A298" s="10" t="s">
        <v>324</v>
      </c>
      <c r="B298" s="10">
        <v>98</v>
      </c>
      <c r="C298" s="21">
        <v>4.531345768970785E-4</v>
      </c>
      <c r="D298" s="10">
        <v>192</v>
      </c>
      <c r="E298" s="10">
        <v>0</v>
      </c>
      <c r="F298" s="10">
        <v>1</v>
      </c>
      <c r="G298" s="10">
        <v>0</v>
      </c>
      <c r="H298" s="10">
        <v>0</v>
      </c>
      <c r="I298" s="10">
        <v>0</v>
      </c>
      <c r="J298" s="10">
        <v>0</v>
      </c>
      <c r="K298" s="10">
        <v>0</v>
      </c>
      <c r="L298" s="10">
        <v>0</v>
      </c>
      <c r="M298" s="10">
        <v>0</v>
      </c>
      <c r="N298" s="10">
        <v>0</v>
      </c>
      <c r="O298" s="10">
        <v>0</v>
      </c>
      <c r="P298" s="10">
        <v>3</v>
      </c>
    </row>
    <row r="299" spans="1:16">
      <c r="A299" s="10" t="s">
        <v>325</v>
      </c>
      <c r="B299" s="10">
        <v>394</v>
      </c>
      <c r="C299" s="21">
        <v>7.8068902985388075E-4</v>
      </c>
      <c r="D299" s="10">
        <v>134</v>
      </c>
      <c r="E299" s="10">
        <v>0</v>
      </c>
      <c r="F299" s="10">
        <v>0</v>
      </c>
      <c r="G299" s="10">
        <v>0</v>
      </c>
      <c r="H299" s="10">
        <v>0</v>
      </c>
      <c r="I299" s="10">
        <v>0</v>
      </c>
      <c r="J299" s="10">
        <v>0</v>
      </c>
      <c r="K299" s="10">
        <v>0</v>
      </c>
      <c r="L299" s="10">
        <v>0</v>
      </c>
      <c r="M299" s="10">
        <v>0</v>
      </c>
      <c r="N299" s="10">
        <v>0</v>
      </c>
      <c r="O299" s="10">
        <v>0</v>
      </c>
      <c r="P299" s="10">
        <v>24</v>
      </c>
    </row>
    <row r="300" spans="1:16">
      <c r="A300" s="10" t="s">
        <v>326</v>
      </c>
      <c r="B300" s="10">
        <v>520</v>
      </c>
      <c r="C300" s="21">
        <v>2.9716577767143696E-4</v>
      </c>
      <c r="D300" s="10">
        <v>130</v>
      </c>
      <c r="E300" s="10">
        <v>0</v>
      </c>
      <c r="F300" s="10">
        <v>0</v>
      </c>
      <c r="G300" s="10">
        <v>0</v>
      </c>
      <c r="H300" s="10">
        <v>0</v>
      </c>
      <c r="I300" s="10">
        <v>0</v>
      </c>
      <c r="J300" s="10">
        <v>0</v>
      </c>
      <c r="K300" s="10">
        <v>0</v>
      </c>
      <c r="L300" s="10">
        <v>0</v>
      </c>
      <c r="M300" s="10">
        <v>0</v>
      </c>
      <c r="N300" s="10">
        <v>0</v>
      </c>
      <c r="O300" s="10">
        <v>0</v>
      </c>
      <c r="P300" s="10">
        <v>19</v>
      </c>
    </row>
    <row r="301" spans="1:16">
      <c r="A301" s="10" t="s">
        <v>327</v>
      </c>
      <c r="B301" s="10">
        <v>83</v>
      </c>
      <c r="C301" s="21">
        <v>1.9363681728729537E-3</v>
      </c>
      <c r="D301" s="10">
        <v>148</v>
      </c>
      <c r="E301" s="10">
        <v>1</v>
      </c>
      <c r="F301" s="10">
        <v>0</v>
      </c>
      <c r="G301" s="10">
        <v>0</v>
      </c>
      <c r="H301" s="10">
        <v>0</v>
      </c>
      <c r="I301" s="10">
        <v>0</v>
      </c>
      <c r="J301" s="10">
        <v>0</v>
      </c>
      <c r="K301" s="10">
        <v>0</v>
      </c>
      <c r="L301" s="10">
        <v>0</v>
      </c>
      <c r="M301" s="10">
        <v>0</v>
      </c>
      <c r="N301" s="10">
        <v>0</v>
      </c>
      <c r="O301" s="10">
        <v>1</v>
      </c>
      <c r="P301" s="10">
        <v>39</v>
      </c>
    </row>
    <row r="302" spans="1:16">
      <c r="A302" s="10" t="s">
        <v>328</v>
      </c>
      <c r="B302" s="10">
        <v>57</v>
      </c>
      <c r="C302" s="21">
        <v>1.5672836166011484E-3</v>
      </c>
      <c r="D302" s="10">
        <v>125</v>
      </c>
      <c r="E302" s="10">
        <v>0</v>
      </c>
      <c r="F302" s="10">
        <v>0</v>
      </c>
      <c r="G302" s="10">
        <v>1</v>
      </c>
      <c r="H302" s="10">
        <v>0</v>
      </c>
      <c r="I302" s="10">
        <v>0</v>
      </c>
      <c r="J302" s="10">
        <v>0</v>
      </c>
      <c r="K302" s="10">
        <v>0</v>
      </c>
      <c r="L302" s="10">
        <v>0</v>
      </c>
      <c r="M302" s="10">
        <v>0</v>
      </c>
      <c r="N302" s="10">
        <v>0</v>
      </c>
      <c r="O302" s="10">
        <v>1</v>
      </c>
      <c r="P302" s="10">
        <v>28</v>
      </c>
    </row>
    <row r="303" spans="1:16">
      <c r="A303" s="10" t="s">
        <v>329</v>
      </c>
      <c r="B303" s="10">
        <v>354</v>
      </c>
      <c r="C303" s="21">
        <v>5.0910932630460872E-3</v>
      </c>
      <c r="D303" s="10">
        <v>158</v>
      </c>
      <c r="E303" s="10">
        <v>0</v>
      </c>
      <c r="F303" s="10">
        <v>0</v>
      </c>
      <c r="G303" s="10">
        <v>0</v>
      </c>
      <c r="H303" s="10">
        <v>0</v>
      </c>
      <c r="I303" s="10">
        <v>1</v>
      </c>
      <c r="J303" s="10">
        <v>0</v>
      </c>
      <c r="K303" s="10">
        <v>0</v>
      </c>
      <c r="L303" s="10">
        <v>0</v>
      </c>
      <c r="M303" s="10">
        <v>0</v>
      </c>
      <c r="N303" s="10">
        <v>0</v>
      </c>
      <c r="O303" s="10">
        <v>0</v>
      </c>
      <c r="P303" s="10">
        <v>32</v>
      </c>
    </row>
    <row r="304" spans="1:16">
      <c r="A304" s="10" t="s">
        <v>330</v>
      </c>
      <c r="B304" s="10">
        <v>126</v>
      </c>
      <c r="C304" s="21">
        <v>1.6226056133674877E-3</v>
      </c>
      <c r="D304" s="10">
        <v>159</v>
      </c>
      <c r="E304" s="10">
        <v>0</v>
      </c>
      <c r="F304" s="10">
        <v>1</v>
      </c>
      <c r="G304" s="10">
        <v>0</v>
      </c>
      <c r="H304" s="10">
        <v>0</v>
      </c>
      <c r="I304" s="10">
        <v>0</v>
      </c>
      <c r="J304" s="10">
        <v>0</v>
      </c>
      <c r="K304" s="10">
        <v>0</v>
      </c>
      <c r="L304" s="10">
        <v>0</v>
      </c>
      <c r="M304" s="10">
        <v>0</v>
      </c>
      <c r="N304" s="10">
        <v>0</v>
      </c>
      <c r="O304" s="10">
        <v>0</v>
      </c>
      <c r="P304" s="10">
        <v>25</v>
      </c>
    </row>
    <row r="305" spans="1:16">
      <c r="A305" s="10" t="s">
        <v>331</v>
      </c>
      <c r="B305" s="10">
        <v>514</v>
      </c>
      <c r="C305" s="21">
        <v>1.6031839732063165E-3</v>
      </c>
      <c r="D305" s="10">
        <v>135</v>
      </c>
      <c r="E305" s="10">
        <v>0</v>
      </c>
      <c r="F305" s="10">
        <v>0</v>
      </c>
      <c r="G305" s="10">
        <v>0</v>
      </c>
      <c r="H305" s="10">
        <v>0</v>
      </c>
      <c r="I305" s="10">
        <v>0</v>
      </c>
      <c r="J305" s="10">
        <v>0</v>
      </c>
      <c r="K305" s="10">
        <v>0</v>
      </c>
      <c r="L305" s="10">
        <v>0</v>
      </c>
      <c r="M305" s="10">
        <v>0</v>
      </c>
      <c r="N305" s="10">
        <v>0</v>
      </c>
      <c r="O305" s="10">
        <v>1</v>
      </c>
      <c r="P305" s="10">
        <v>29</v>
      </c>
    </row>
    <row r="306" spans="1:16">
      <c r="A306" s="10" t="s">
        <v>332</v>
      </c>
      <c r="B306" s="10">
        <v>108</v>
      </c>
      <c r="C306" s="21">
        <v>8.4260991376833446E-4</v>
      </c>
      <c r="D306" s="10">
        <v>145</v>
      </c>
      <c r="E306" s="10">
        <v>1</v>
      </c>
      <c r="F306" s="10">
        <v>0</v>
      </c>
      <c r="G306" s="10">
        <v>0</v>
      </c>
      <c r="H306" s="10">
        <v>0</v>
      </c>
      <c r="I306" s="10">
        <v>0</v>
      </c>
      <c r="J306" s="10">
        <v>0</v>
      </c>
      <c r="K306" s="10">
        <v>0</v>
      </c>
      <c r="L306" s="10">
        <v>0</v>
      </c>
      <c r="M306" s="10">
        <v>0</v>
      </c>
      <c r="N306" s="10">
        <v>0</v>
      </c>
      <c r="O306" s="10">
        <v>0</v>
      </c>
      <c r="P306" s="10">
        <v>25</v>
      </c>
    </row>
    <row r="307" spans="1:16">
      <c r="A307" s="10" t="s">
        <v>333</v>
      </c>
      <c r="B307" s="10">
        <v>100</v>
      </c>
      <c r="C307" s="21">
        <v>6.2344505507785409E-4</v>
      </c>
      <c r="D307" s="10">
        <v>194</v>
      </c>
      <c r="E307" s="10">
        <v>1</v>
      </c>
      <c r="F307" s="10">
        <v>0</v>
      </c>
      <c r="G307" s="10">
        <v>0</v>
      </c>
      <c r="H307" s="10">
        <v>0</v>
      </c>
      <c r="I307" s="10">
        <v>0</v>
      </c>
      <c r="J307" s="10">
        <v>0</v>
      </c>
      <c r="K307" s="10">
        <v>0</v>
      </c>
      <c r="L307" s="10">
        <v>0</v>
      </c>
      <c r="M307" s="10">
        <v>0</v>
      </c>
      <c r="N307" s="10">
        <v>0</v>
      </c>
      <c r="O307" s="10">
        <v>0</v>
      </c>
      <c r="P307" s="10">
        <v>21</v>
      </c>
    </row>
    <row r="308" spans="1:16">
      <c r="A308" s="10" t="s">
        <v>334</v>
      </c>
      <c r="B308" s="10">
        <v>41</v>
      </c>
      <c r="C308" s="21">
        <v>2.3906956462812099E-3</v>
      </c>
      <c r="D308" s="10">
        <v>125</v>
      </c>
      <c r="E308" s="10">
        <v>0</v>
      </c>
      <c r="F308" s="10">
        <v>0</v>
      </c>
      <c r="G308" s="10">
        <v>1</v>
      </c>
      <c r="H308" s="10">
        <v>0</v>
      </c>
      <c r="I308" s="10">
        <v>0</v>
      </c>
      <c r="J308" s="10">
        <v>0</v>
      </c>
      <c r="K308" s="10">
        <v>0</v>
      </c>
      <c r="L308" s="10">
        <v>0</v>
      </c>
      <c r="M308" s="10">
        <v>0</v>
      </c>
      <c r="N308" s="10">
        <v>0</v>
      </c>
      <c r="O308" s="10">
        <v>1</v>
      </c>
      <c r="P308" s="10">
        <v>31</v>
      </c>
    </row>
    <row r="309" spans="1:16">
      <c r="A309" s="10" t="s">
        <v>335</v>
      </c>
      <c r="B309" s="10">
        <v>314</v>
      </c>
      <c r="C309" s="21">
        <v>1.1287042926698646E-3</v>
      </c>
      <c r="D309" s="10">
        <v>117</v>
      </c>
      <c r="E309" s="10">
        <v>0</v>
      </c>
      <c r="F309" s="10">
        <v>0</v>
      </c>
      <c r="G309" s="10">
        <v>0</v>
      </c>
      <c r="H309" s="10">
        <v>0</v>
      </c>
      <c r="I309" s="10">
        <v>1</v>
      </c>
      <c r="J309" s="10">
        <v>0</v>
      </c>
      <c r="K309" s="10">
        <v>0</v>
      </c>
      <c r="L309" s="10">
        <v>0</v>
      </c>
      <c r="M309" s="10">
        <v>0</v>
      </c>
      <c r="N309" s="10">
        <v>0</v>
      </c>
      <c r="O309" s="10">
        <v>0</v>
      </c>
      <c r="P309" s="10">
        <v>25</v>
      </c>
    </row>
    <row r="310" spans="1:16">
      <c r="A310" s="10" t="s">
        <v>336</v>
      </c>
      <c r="B310" s="10">
        <v>107</v>
      </c>
      <c r="C310" s="21">
        <v>1.6497064703795675E-3</v>
      </c>
      <c r="D310" s="10">
        <v>190</v>
      </c>
      <c r="E310" s="10">
        <v>0</v>
      </c>
      <c r="F310" s="10">
        <v>1</v>
      </c>
      <c r="G310" s="10">
        <v>0</v>
      </c>
      <c r="H310" s="10">
        <v>0</v>
      </c>
      <c r="I310" s="10">
        <v>0</v>
      </c>
      <c r="J310" s="10">
        <v>0</v>
      </c>
      <c r="K310" s="10">
        <v>0</v>
      </c>
      <c r="L310" s="10">
        <v>0</v>
      </c>
      <c r="M310" s="10">
        <v>0</v>
      </c>
      <c r="N310" s="10">
        <v>0</v>
      </c>
      <c r="O310" s="10">
        <v>0</v>
      </c>
      <c r="P310" s="10">
        <v>14</v>
      </c>
    </row>
    <row r="311" spans="1:16">
      <c r="A311" s="10" t="s">
        <v>337</v>
      </c>
      <c r="B311" s="10">
        <v>86</v>
      </c>
      <c r="C311" s="21">
        <v>6.8130075569470877E-4</v>
      </c>
      <c r="D311" s="10">
        <v>185</v>
      </c>
      <c r="E311" s="10">
        <v>1</v>
      </c>
      <c r="F311" s="10">
        <v>0</v>
      </c>
      <c r="G311" s="10">
        <v>0</v>
      </c>
      <c r="H311" s="10">
        <v>0</v>
      </c>
      <c r="I311" s="10">
        <v>0</v>
      </c>
      <c r="J311" s="10">
        <v>0</v>
      </c>
      <c r="K311" s="10">
        <v>0</v>
      </c>
      <c r="L311" s="10">
        <v>0</v>
      </c>
      <c r="M311" s="10">
        <v>0</v>
      </c>
      <c r="N311" s="10">
        <v>0</v>
      </c>
      <c r="O311" s="10">
        <v>0</v>
      </c>
      <c r="P311" s="10">
        <v>21</v>
      </c>
    </row>
    <row r="312" spans="1:16">
      <c r="A312" s="10" t="s">
        <v>338</v>
      </c>
      <c r="B312" s="10">
        <v>106</v>
      </c>
      <c r="C312" s="21">
        <v>1.4503102324051253E-3</v>
      </c>
      <c r="D312" s="10">
        <v>126</v>
      </c>
      <c r="E312" s="10">
        <v>0</v>
      </c>
      <c r="F312" s="10">
        <v>1</v>
      </c>
      <c r="G312" s="10">
        <v>0</v>
      </c>
      <c r="H312" s="10">
        <v>0</v>
      </c>
      <c r="I312" s="10">
        <v>0</v>
      </c>
      <c r="J312" s="10">
        <v>0</v>
      </c>
      <c r="K312" s="10">
        <v>0</v>
      </c>
      <c r="L312" s="10">
        <v>0</v>
      </c>
      <c r="M312" s="10">
        <v>0</v>
      </c>
      <c r="N312" s="10">
        <v>0</v>
      </c>
      <c r="O312" s="10">
        <v>0</v>
      </c>
      <c r="P312" s="10">
        <v>24</v>
      </c>
    </row>
    <row r="313" spans="1:16">
      <c r="A313" s="10" t="s">
        <v>339</v>
      </c>
      <c r="B313" s="10">
        <v>121</v>
      </c>
      <c r="C313" s="21">
        <v>8.2231251289834582E-4</v>
      </c>
      <c r="D313" s="10">
        <v>194</v>
      </c>
      <c r="E313" s="10">
        <v>1</v>
      </c>
      <c r="F313" s="10">
        <v>0</v>
      </c>
      <c r="G313" s="10">
        <v>0</v>
      </c>
      <c r="H313" s="10">
        <v>0</v>
      </c>
      <c r="I313" s="10">
        <v>0</v>
      </c>
      <c r="J313" s="10">
        <v>0</v>
      </c>
      <c r="K313" s="10">
        <v>0</v>
      </c>
      <c r="L313" s="10">
        <v>0</v>
      </c>
      <c r="M313" s="10">
        <v>0</v>
      </c>
      <c r="N313" s="10">
        <v>0</v>
      </c>
      <c r="O313" s="10">
        <v>0</v>
      </c>
      <c r="P313" s="10">
        <v>25</v>
      </c>
    </row>
    <row r="314" spans="1:16">
      <c r="A314" s="10" t="s">
        <v>340</v>
      </c>
      <c r="B314" s="10">
        <v>148</v>
      </c>
      <c r="C314" s="21">
        <v>1.8095931850302084E-3</v>
      </c>
      <c r="D314" s="10">
        <v>118</v>
      </c>
      <c r="E314" s="10">
        <v>1</v>
      </c>
      <c r="F314" s="10">
        <v>0</v>
      </c>
      <c r="G314" s="10">
        <v>0</v>
      </c>
      <c r="H314" s="10">
        <v>0</v>
      </c>
      <c r="I314" s="10">
        <v>0</v>
      </c>
      <c r="J314" s="10">
        <v>0</v>
      </c>
      <c r="K314" s="10">
        <v>0</v>
      </c>
      <c r="L314" s="10">
        <v>0</v>
      </c>
      <c r="M314" s="10">
        <v>0</v>
      </c>
      <c r="N314" s="10">
        <v>0</v>
      </c>
      <c r="O314" s="10">
        <v>1</v>
      </c>
      <c r="P314" s="10">
        <v>42</v>
      </c>
    </row>
    <row r="315" spans="1:16">
      <c r="A315" s="10" t="s">
        <v>341</v>
      </c>
      <c r="B315" s="10">
        <v>101</v>
      </c>
      <c r="C315" s="21">
        <v>8.6676333050504119E-4</v>
      </c>
      <c r="D315" s="10">
        <v>196</v>
      </c>
      <c r="E315" s="10">
        <v>0</v>
      </c>
      <c r="F315" s="10">
        <v>0</v>
      </c>
      <c r="G315" s="10">
        <v>0</v>
      </c>
      <c r="H315" s="10">
        <v>0</v>
      </c>
      <c r="I315" s="10">
        <v>0</v>
      </c>
      <c r="J315" s="10">
        <v>0</v>
      </c>
      <c r="K315" s="10">
        <v>1</v>
      </c>
      <c r="L315" s="10">
        <v>0</v>
      </c>
      <c r="M315" s="10">
        <v>0</v>
      </c>
      <c r="N315" s="10">
        <v>0</v>
      </c>
      <c r="O315" s="10">
        <v>1</v>
      </c>
      <c r="P315" s="10">
        <v>20</v>
      </c>
    </row>
    <row r="316" spans="1:16">
      <c r="A316" s="10" t="s">
        <v>342</v>
      </c>
      <c r="B316" s="10">
        <v>42</v>
      </c>
      <c r="C316" s="21">
        <v>1.7860386637608969E-3</v>
      </c>
      <c r="D316" s="10">
        <v>122</v>
      </c>
      <c r="E316" s="10">
        <v>0</v>
      </c>
      <c r="F316" s="10">
        <v>0</v>
      </c>
      <c r="G316" s="10">
        <v>1</v>
      </c>
      <c r="H316" s="10">
        <v>0</v>
      </c>
      <c r="I316" s="10">
        <v>0</v>
      </c>
      <c r="J316" s="10">
        <v>0</v>
      </c>
      <c r="K316" s="10">
        <v>0</v>
      </c>
      <c r="L316" s="10">
        <v>0</v>
      </c>
      <c r="M316" s="10">
        <v>0</v>
      </c>
      <c r="N316" s="10">
        <v>0</v>
      </c>
      <c r="O316" s="10">
        <v>0</v>
      </c>
      <c r="P316" s="10">
        <v>22</v>
      </c>
    </row>
    <row r="317" spans="1:16">
      <c r="A317" s="10" t="s">
        <v>343</v>
      </c>
      <c r="B317" s="10">
        <v>229</v>
      </c>
      <c r="C317" s="21">
        <v>3.3142651151229553E-3</v>
      </c>
      <c r="D317" s="10">
        <v>180</v>
      </c>
      <c r="E317" s="10">
        <v>0</v>
      </c>
      <c r="F317" s="10">
        <v>0</v>
      </c>
      <c r="G317" s="10">
        <v>0</v>
      </c>
      <c r="H317" s="10">
        <v>0</v>
      </c>
      <c r="I317" s="10">
        <v>1</v>
      </c>
      <c r="J317" s="10">
        <v>0</v>
      </c>
      <c r="K317" s="10">
        <v>0</v>
      </c>
      <c r="L317" s="10">
        <v>0</v>
      </c>
      <c r="M317" s="10">
        <v>0</v>
      </c>
      <c r="N317" s="10">
        <v>0</v>
      </c>
      <c r="O317" s="10">
        <v>0</v>
      </c>
      <c r="P317" s="10">
        <v>36</v>
      </c>
    </row>
    <row r="318" spans="1:16">
      <c r="A318" s="10" t="s">
        <v>344</v>
      </c>
      <c r="B318" s="10">
        <v>98</v>
      </c>
      <c r="C318" s="21">
        <v>1.8367512133188894E-3</v>
      </c>
      <c r="D318" s="10">
        <v>159</v>
      </c>
      <c r="E318" s="10">
        <v>1</v>
      </c>
      <c r="F318" s="10">
        <v>0</v>
      </c>
      <c r="G318" s="10">
        <v>0</v>
      </c>
      <c r="H318" s="10">
        <v>0</v>
      </c>
      <c r="I318" s="10">
        <v>0</v>
      </c>
      <c r="J318" s="10">
        <v>0</v>
      </c>
      <c r="K318" s="10">
        <v>0</v>
      </c>
      <c r="L318" s="10">
        <v>0</v>
      </c>
      <c r="M318" s="10">
        <v>0</v>
      </c>
      <c r="N318" s="10">
        <v>0</v>
      </c>
      <c r="O318" s="10">
        <v>0</v>
      </c>
      <c r="P318" s="10">
        <v>38</v>
      </c>
    </row>
    <row r="319" spans="1:16">
      <c r="A319" s="10" t="s">
        <v>345</v>
      </c>
      <c r="B319" s="10">
        <v>115</v>
      </c>
      <c r="C319" s="21">
        <v>6.9934531102609776E-4</v>
      </c>
      <c r="D319" s="10">
        <v>144</v>
      </c>
      <c r="E319" s="10">
        <v>1</v>
      </c>
      <c r="F319" s="10">
        <v>0</v>
      </c>
      <c r="G319" s="10">
        <v>0</v>
      </c>
      <c r="H319" s="10">
        <v>0</v>
      </c>
      <c r="I319" s="10">
        <v>0</v>
      </c>
      <c r="J319" s="10">
        <v>0</v>
      </c>
      <c r="K319" s="10">
        <v>0</v>
      </c>
      <c r="L319" s="10">
        <v>0</v>
      </c>
      <c r="M319" s="10">
        <v>0</v>
      </c>
      <c r="N319" s="10">
        <v>0</v>
      </c>
      <c r="O319" s="10">
        <v>0</v>
      </c>
      <c r="P319" s="10">
        <v>18</v>
      </c>
    </row>
    <row r="320" spans="1:16">
      <c r="A320" s="10" t="s">
        <v>346</v>
      </c>
      <c r="B320" s="10">
        <v>82</v>
      </c>
      <c r="C320" s="21">
        <v>1.4548092577724421E-3</v>
      </c>
      <c r="D320" s="10">
        <v>205</v>
      </c>
      <c r="E320" s="10">
        <v>0</v>
      </c>
      <c r="F320" s="10">
        <v>0</v>
      </c>
      <c r="G320" s="10">
        <v>0</v>
      </c>
      <c r="H320" s="10">
        <v>0</v>
      </c>
      <c r="I320" s="10">
        <v>0</v>
      </c>
      <c r="J320" s="10">
        <v>0</v>
      </c>
      <c r="K320" s="10">
        <v>1</v>
      </c>
      <c r="L320" s="10">
        <v>0</v>
      </c>
      <c r="M320" s="10">
        <v>0</v>
      </c>
      <c r="N320" s="10">
        <v>0</v>
      </c>
      <c r="O320" s="10">
        <v>0</v>
      </c>
      <c r="P320" s="10">
        <v>16</v>
      </c>
    </row>
    <row r="321" spans="1:16">
      <c r="A321" s="10" t="s">
        <v>347</v>
      </c>
      <c r="B321" s="10">
        <v>38</v>
      </c>
      <c r="C321" s="21">
        <v>1.4308007204383308E-3</v>
      </c>
      <c r="D321" s="10">
        <v>174</v>
      </c>
      <c r="E321" s="10">
        <v>0</v>
      </c>
      <c r="F321" s="10">
        <v>0</v>
      </c>
      <c r="G321" s="10">
        <v>1</v>
      </c>
      <c r="H321" s="10">
        <v>0</v>
      </c>
      <c r="I321" s="10">
        <v>0</v>
      </c>
      <c r="J321" s="10">
        <v>0</v>
      </c>
      <c r="K321" s="10">
        <v>0</v>
      </c>
      <c r="L321" s="10">
        <v>0</v>
      </c>
      <c r="M321" s="10">
        <v>0</v>
      </c>
      <c r="N321" s="10">
        <v>0</v>
      </c>
      <c r="O321" s="10">
        <v>0</v>
      </c>
      <c r="P321" s="10">
        <v>31</v>
      </c>
    </row>
    <row r="322" spans="1:16">
      <c r="A322" s="10" t="s">
        <v>348</v>
      </c>
      <c r="B322" s="10">
        <v>447</v>
      </c>
      <c r="C322" s="21">
        <v>3.066401753745441E-4</v>
      </c>
      <c r="D322" s="10">
        <v>169</v>
      </c>
      <c r="E322" s="10">
        <v>0</v>
      </c>
      <c r="F322" s="10">
        <v>0</v>
      </c>
      <c r="G322" s="10">
        <v>0</v>
      </c>
      <c r="H322" s="10">
        <v>0</v>
      </c>
      <c r="I322" s="10">
        <v>1</v>
      </c>
      <c r="J322" s="10">
        <v>0</v>
      </c>
      <c r="K322" s="10">
        <v>0</v>
      </c>
      <c r="L322" s="10">
        <v>0</v>
      </c>
      <c r="M322" s="10">
        <v>0</v>
      </c>
      <c r="N322" s="10">
        <v>0</v>
      </c>
      <c r="O322" s="10">
        <v>0</v>
      </c>
      <c r="P322" s="10">
        <v>28</v>
      </c>
    </row>
    <row r="323" spans="1:16">
      <c r="A323" s="10" t="s">
        <v>349</v>
      </c>
      <c r="B323" s="10">
        <v>503</v>
      </c>
      <c r="C323" s="21">
        <v>1.8108346330725741E-3</v>
      </c>
      <c r="D323" s="10">
        <v>108</v>
      </c>
      <c r="E323" s="10">
        <v>0</v>
      </c>
      <c r="F323" s="10">
        <v>0</v>
      </c>
      <c r="G323" s="10">
        <v>0</v>
      </c>
      <c r="H323" s="10">
        <v>0</v>
      </c>
      <c r="I323" s="10">
        <v>0</v>
      </c>
      <c r="J323" s="10">
        <v>0</v>
      </c>
      <c r="K323" s="10">
        <v>0</v>
      </c>
      <c r="L323" s="10">
        <v>0</v>
      </c>
      <c r="M323" s="10">
        <v>0</v>
      </c>
      <c r="N323" s="10">
        <v>0</v>
      </c>
      <c r="O323" s="10">
        <v>0</v>
      </c>
      <c r="P323" s="10">
        <v>34</v>
      </c>
    </row>
    <row r="324" spans="1:16">
      <c r="A324" s="10" t="s">
        <v>350</v>
      </c>
      <c r="B324" s="10">
        <v>115</v>
      </c>
      <c r="C324" s="21">
        <v>1.8453189822675356E-3</v>
      </c>
      <c r="D324" s="10">
        <v>165</v>
      </c>
      <c r="E324" s="10">
        <v>1</v>
      </c>
      <c r="F324" s="10">
        <v>0</v>
      </c>
      <c r="G324" s="10">
        <v>0</v>
      </c>
      <c r="H324" s="10">
        <v>0</v>
      </c>
      <c r="I324" s="10">
        <v>0</v>
      </c>
      <c r="J324" s="10">
        <v>0</v>
      </c>
      <c r="K324" s="10">
        <v>0</v>
      </c>
      <c r="L324" s="10">
        <v>0</v>
      </c>
      <c r="M324" s="10">
        <v>0</v>
      </c>
      <c r="N324" s="10">
        <v>0</v>
      </c>
      <c r="O324" s="10">
        <v>1</v>
      </c>
      <c r="P324" s="10">
        <v>48</v>
      </c>
    </row>
    <row r="325" spans="1:16">
      <c r="A325" s="10" t="s">
        <v>351</v>
      </c>
      <c r="B325" s="10">
        <v>47</v>
      </c>
      <c r="C325" s="21">
        <v>2.0274706889447411E-3</v>
      </c>
      <c r="D325" s="10">
        <v>100</v>
      </c>
      <c r="E325" s="10">
        <v>0</v>
      </c>
      <c r="F325" s="10">
        <v>0</v>
      </c>
      <c r="G325" s="10">
        <v>1</v>
      </c>
      <c r="H325" s="10">
        <v>0</v>
      </c>
      <c r="I325" s="10">
        <v>0</v>
      </c>
      <c r="J325" s="10">
        <v>0</v>
      </c>
      <c r="K325" s="10">
        <v>0</v>
      </c>
      <c r="L325" s="10">
        <v>0</v>
      </c>
      <c r="M325" s="10">
        <v>0</v>
      </c>
      <c r="N325" s="10">
        <v>0</v>
      </c>
      <c r="O325" s="10">
        <v>0</v>
      </c>
      <c r="P325" s="10">
        <v>35</v>
      </c>
    </row>
    <row r="326" spans="1:16">
      <c r="A326" s="10" t="s">
        <v>352</v>
      </c>
      <c r="B326" s="10">
        <v>450</v>
      </c>
      <c r="C326" s="21">
        <v>5.6022475756117884E-4</v>
      </c>
      <c r="D326" s="10">
        <v>122</v>
      </c>
      <c r="E326" s="10">
        <v>0</v>
      </c>
      <c r="F326" s="10">
        <v>0</v>
      </c>
      <c r="G326" s="10">
        <v>0</v>
      </c>
      <c r="H326" s="10">
        <v>0</v>
      </c>
      <c r="I326" s="10">
        <v>1</v>
      </c>
      <c r="J326" s="10">
        <v>0</v>
      </c>
      <c r="K326" s="10">
        <v>0</v>
      </c>
      <c r="L326" s="10">
        <v>0</v>
      </c>
      <c r="M326" s="10">
        <v>0</v>
      </c>
      <c r="N326" s="10">
        <v>0</v>
      </c>
      <c r="O326" s="10">
        <v>1</v>
      </c>
      <c r="P326" s="10">
        <v>24</v>
      </c>
    </row>
    <row r="327" spans="1:16">
      <c r="A327" s="10" t="s">
        <v>353</v>
      </c>
      <c r="B327" s="10">
        <v>94</v>
      </c>
      <c r="C327" s="21">
        <v>1.4493063893046265E-3</v>
      </c>
      <c r="D327" s="10">
        <v>212</v>
      </c>
      <c r="E327" s="10">
        <v>1</v>
      </c>
      <c r="F327" s="10">
        <v>0</v>
      </c>
      <c r="G327" s="10">
        <v>0</v>
      </c>
      <c r="H327" s="10">
        <v>0</v>
      </c>
      <c r="I327" s="10">
        <v>0</v>
      </c>
      <c r="J327" s="10">
        <v>0</v>
      </c>
      <c r="K327" s="10">
        <v>0</v>
      </c>
      <c r="L327" s="10">
        <v>0</v>
      </c>
      <c r="M327" s="10">
        <v>0</v>
      </c>
      <c r="N327" s="10">
        <v>0</v>
      </c>
      <c r="O327" s="10">
        <v>0</v>
      </c>
      <c r="P327" s="10">
        <v>25</v>
      </c>
    </row>
    <row r="328" spans="1:16">
      <c r="A328" s="10" t="s">
        <v>354</v>
      </c>
      <c r="B328" s="10">
        <v>87</v>
      </c>
      <c r="C328" s="21">
        <v>4.32431687531054E-4</v>
      </c>
      <c r="D328" s="10">
        <v>177</v>
      </c>
      <c r="E328" s="10">
        <v>0</v>
      </c>
      <c r="F328" s="10">
        <v>1</v>
      </c>
      <c r="G328" s="10">
        <v>0</v>
      </c>
      <c r="H328" s="10">
        <v>0</v>
      </c>
      <c r="I328" s="10">
        <v>0</v>
      </c>
      <c r="J328" s="10">
        <v>0</v>
      </c>
      <c r="K328" s="10">
        <v>0</v>
      </c>
      <c r="L328" s="10">
        <v>0</v>
      </c>
      <c r="M328" s="10">
        <v>0</v>
      </c>
      <c r="N328" s="10">
        <v>0</v>
      </c>
      <c r="O328" s="10">
        <v>0</v>
      </c>
      <c r="P328" s="10">
        <v>32</v>
      </c>
    </row>
    <row r="329" spans="1:16">
      <c r="A329" s="10" t="s">
        <v>355</v>
      </c>
      <c r="B329" s="10">
        <v>528</v>
      </c>
      <c r="C329" s="21">
        <v>2.3805731127188143E-3</v>
      </c>
      <c r="D329" s="10">
        <v>102</v>
      </c>
      <c r="E329" s="10">
        <v>0</v>
      </c>
      <c r="F329" s="10">
        <v>0</v>
      </c>
      <c r="G329" s="10">
        <v>0</v>
      </c>
      <c r="H329" s="10">
        <v>0</v>
      </c>
      <c r="I329" s="10">
        <v>0</v>
      </c>
      <c r="J329" s="10">
        <v>0</v>
      </c>
      <c r="K329" s="10">
        <v>0</v>
      </c>
      <c r="L329" s="10">
        <v>0</v>
      </c>
      <c r="M329" s="10">
        <v>0</v>
      </c>
      <c r="N329" s="10">
        <v>0</v>
      </c>
      <c r="O329" s="10">
        <v>1</v>
      </c>
      <c r="P329" s="10">
        <v>33</v>
      </c>
    </row>
    <row r="330" spans="1:16">
      <c r="A330" s="10" t="s">
        <v>356</v>
      </c>
      <c r="B330" s="10">
        <v>92</v>
      </c>
      <c r="C330" s="21">
        <v>8.00922142835682E-4</v>
      </c>
      <c r="D330" s="10">
        <v>153</v>
      </c>
      <c r="E330" s="10">
        <v>0</v>
      </c>
      <c r="F330" s="10">
        <v>0</v>
      </c>
      <c r="G330" s="10">
        <v>0</v>
      </c>
      <c r="H330" s="10">
        <v>0</v>
      </c>
      <c r="I330" s="10">
        <v>0</v>
      </c>
      <c r="J330" s="10">
        <v>0</v>
      </c>
      <c r="K330" s="10">
        <v>1</v>
      </c>
      <c r="L330" s="10">
        <v>0</v>
      </c>
      <c r="M330" s="10">
        <v>0</v>
      </c>
      <c r="N330" s="10">
        <v>0</v>
      </c>
      <c r="O330" s="10">
        <v>1</v>
      </c>
      <c r="P330" s="10">
        <v>19</v>
      </c>
    </row>
    <row r="331" spans="1:16">
      <c r="A331" s="10" t="s">
        <v>357</v>
      </c>
      <c r="B331" s="10">
        <v>518</v>
      </c>
      <c r="C331" s="21">
        <v>7.0566107695104417E-4</v>
      </c>
      <c r="D331" s="10">
        <v>223</v>
      </c>
      <c r="E331" s="10">
        <v>0</v>
      </c>
      <c r="F331" s="10">
        <v>0</v>
      </c>
      <c r="G331" s="10">
        <v>0</v>
      </c>
      <c r="H331" s="10">
        <v>0</v>
      </c>
      <c r="I331" s="10">
        <v>0</v>
      </c>
      <c r="J331" s="10">
        <v>0</v>
      </c>
      <c r="K331" s="10">
        <v>0</v>
      </c>
      <c r="L331" s="10">
        <v>0</v>
      </c>
      <c r="M331" s="10">
        <v>0</v>
      </c>
      <c r="N331" s="10">
        <v>0</v>
      </c>
      <c r="O331" s="10">
        <v>0</v>
      </c>
      <c r="P331" s="10">
        <v>7</v>
      </c>
    </row>
    <row r="332" spans="1:16">
      <c r="A332" s="10" t="s">
        <v>358</v>
      </c>
      <c r="B332" s="10">
        <v>413</v>
      </c>
      <c r="C332" s="21">
        <v>1.7032488247577689E-3</v>
      </c>
      <c r="D332" s="10">
        <v>102</v>
      </c>
      <c r="E332" s="10">
        <v>0</v>
      </c>
      <c r="F332" s="10">
        <v>0</v>
      </c>
      <c r="G332" s="10">
        <v>0</v>
      </c>
      <c r="H332" s="10">
        <v>0</v>
      </c>
      <c r="I332" s="10">
        <v>0</v>
      </c>
      <c r="J332" s="10">
        <v>0</v>
      </c>
      <c r="K332" s="10">
        <v>0</v>
      </c>
      <c r="L332" s="10">
        <v>0</v>
      </c>
      <c r="M332" s="10">
        <v>0</v>
      </c>
      <c r="N332" s="10">
        <v>0</v>
      </c>
      <c r="O332" s="10">
        <v>1</v>
      </c>
      <c r="P332" s="10">
        <v>36</v>
      </c>
    </row>
    <row r="333" spans="1:16">
      <c r="A333" s="10" t="s">
        <v>359</v>
      </c>
      <c r="B333" s="10">
        <v>94</v>
      </c>
      <c r="C333" s="21">
        <v>2.0896862746392643E-3</v>
      </c>
      <c r="D333" s="10">
        <v>119</v>
      </c>
      <c r="E333" s="10">
        <v>1</v>
      </c>
      <c r="F333" s="10">
        <v>0</v>
      </c>
      <c r="G333" s="10">
        <v>0</v>
      </c>
      <c r="H333" s="10">
        <v>0</v>
      </c>
      <c r="I333" s="10">
        <v>0</v>
      </c>
      <c r="J333" s="10">
        <v>0</v>
      </c>
      <c r="K333" s="10">
        <v>0</v>
      </c>
      <c r="L333" s="10">
        <v>0</v>
      </c>
      <c r="M333" s="10">
        <v>0</v>
      </c>
      <c r="N333" s="10">
        <v>0</v>
      </c>
      <c r="O333" s="10">
        <v>1</v>
      </c>
      <c r="P333" s="10">
        <v>44</v>
      </c>
    </row>
    <row r="334" spans="1:16">
      <c r="A334" s="10" t="s">
        <v>360</v>
      </c>
      <c r="B334" s="10">
        <v>83</v>
      </c>
      <c r="C334" s="21">
        <v>1.266246876788878E-3</v>
      </c>
      <c r="D334" s="10">
        <v>160</v>
      </c>
      <c r="E334" s="10">
        <v>1</v>
      </c>
      <c r="F334" s="10">
        <v>0</v>
      </c>
      <c r="G334" s="10">
        <v>0</v>
      </c>
      <c r="H334" s="10">
        <v>0</v>
      </c>
      <c r="I334" s="10">
        <v>0</v>
      </c>
      <c r="J334" s="10">
        <v>0</v>
      </c>
      <c r="K334" s="10">
        <v>0</v>
      </c>
      <c r="L334" s="10">
        <v>0</v>
      </c>
      <c r="M334" s="10">
        <v>0</v>
      </c>
      <c r="N334" s="10">
        <v>0</v>
      </c>
      <c r="O334" s="10">
        <v>0</v>
      </c>
      <c r="P334" s="10">
        <v>35</v>
      </c>
    </row>
    <row r="335" spans="1:16">
      <c r="A335" s="10" t="s">
        <v>361</v>
      </c>
      <c r="B335" s="10">
        <v>132</v>
      </c>
      <c r="C335" s="21">
        <v>1.0765561108893112E-3</v>
      </c>
      <c r="D335" s="10">
        <v>231</v>
      </c>
      <c r="E335" s="10">
        <v>0</v>
      </c>
      <c r="F335" s="10">
        <v>0</v>
      </c>
      <c r="G335" s="10">
        <v>0</v>
      </c>
      <c r="H335" s="10">
        <v>0</v>
      </c>
      <c r="I335" s="10">
        <v>0</v>
      </c>
      <c r="J335" s="10">
        <v>0</v>
      </c>
      <c r="K335" s="10">
        <v>1</v>
      </c>
      <c r="L335" s="10">
        <v>0</v>
      </c>
      <c r="M335" s="10">
        <v>0</v>
      </c>
      <c r="N335" s="10">
        <v>0</v>
      </c>
      <c r="O335" s="10">
        <v>0</v>
      </c>
      <c r="P335" s="10">
        <v>11</v>
      </c>
    </row>
    <row r="336" spans="1:16">
      <c r="A336" s="10" t="s">
        <v>362</v>
      </c>
      <c r="B336" s="10">
        <v>37</v>
      </c>
      <c r="C336" s="21">
        <v>2.456361491204804E-3</v>
      </c>
      <c r="D336" s="10">
        <v>97</v>
      </c>
      <c r="E336" s="10">
        <v>0</v>
      </c>
      <c r="F336" s="10">
        <v>0</v>
      </c>
      <c r="G336" s="10">
        <v>1</v>
      </c>
      <c r="H336" s="10">
        <v>0</v>
      </c>
      <c r="I336" s="10">
        <v>0</v>
      </c>
      <c r="J336" s="10">
        <v>0</v>
      </c>
      <c r="K336" s="10">
        <v>0</v>
      </c>
      <c r="L336" s="10">
        <v>0</v>
      </c>
      <c r="M336" s="10">
        <v>0</v>
      </c>
      <c r="N336" s="10">
        <v>0</v>
      </c>
      <c r="O336" s="10">
        <v>0</v>
      </c>
      <c r="P336" s="10">
        <v>43</v>
      </c>
    </row>
    <row r="337" spans="1:16">
      <c r="A337" s="10" t="s">
        <v>363</v>
      </c>
      <c r="B337" s="10">
        <v>328</v>
      </c>
      <c r="C337" s="21">
        <v>1.2330406826546484E-3</v>
      </c>
      <c r="D337" s="10">
        <v>139</v>
      </c>
      <c r="E337" s="10">
        <v>0</v>
      </c>
      <c r="F337" s="10">
        <v>0</v>
      </c>
      <c r="G337" s="10">
        <v>0</v>
      </c>
      <c r="H337" s="10">
        <v>0</v>
      </c>
      <c r="I337" s="10">
        <v>1</v>
      </c>
      <c r="J337" s="10">
        <v>0</v>
      </c>
      <c r="K337" s="10">
        <v>0</v>
      </c>
      <c r="L337" s="10">
        <v>0</v>
      </c>
      <c r="M337" s="10">
        <v>0</v>
      </c>
      <c r="N337" s="10">
        <v>0</v>
      </c>
      <c r="O337" s="10">
        <v>0</v>
      </c>
      <c r="P337" s="10">
        <v>22</v>
      </c>
    </row>
    <row r="338" spans="1:16">
      <c r="A338" s="10" t="s">
        <v>364</v>
      </c>
      <c r="B338" s="10">
        <v>664</v>
      </c>
      <c r="C338" s="21">
        <v>2.5833272860504553E-3</v>
      </c>
      <c r="D338" s="10">
        <v>148</v>
      </c>
      <c r="E338" s="10">
        <v>0</v>
      </c>
      <c r="F338" s="10">
        <v>0</v>
      </c>
      <c r="G338" s="10">
        <v>0</v>
      </c>
      <c r="H338" s="10">
        <v>0</v>
      </c>
      <c r="I338" s="10">
        <v>0</v>
      </c>
      <c r="J338" s="10">
        <v>0</v>
      </c>
      <c r="K338" s="10">
        <v>0</v>
      </c>
      <c r="L338" s="10">
        <v>0</v>
      </c>
      <c r="M338" s="10">
        <v>0</v>
      </c>
      <c r="N338" s="10">
        <v>0</v>
      </c>
      <c r="O338" s="10">
        <v>1</v>
      </c>
      <c r="P338" s="10">
        <v>49</v>
      </c>
    </row>
    <row r="339" spans="1:16">
      <c r="A339" s="10" t="s">
        <v>365</v>
      </c>
      <c r="B339" s="10">
        <v>534</v>
      </c>
      <c r="C339" s="21">
        <v>2.0586567072589414E-3</v>
      </c>
      <c r="D339" s="10">
        <v>92</v>
      </c>
      <c r="E339" s="10">
        <v>0</v>
      </c>
      <c r="F339" s="10">
        <v>0</v>
      </c>
      <c r="G339" s="10">
        <v>0</v>
      </c>
      <c r="H339" s="10">
        <v>0</v>
      </c>
      <c r="I339" s="10">
        <v>0</v>
      </c>
      <c r="J339" s="10">
        <v>0</v>
      </c>
      <c r="K339" s="10">
        <v>0</v>
      </c>
      <c r="L339" s="10">
        <v>0</v>
      </c>
      <c r="M339" s="10">
        <v>0</v>
      </c>
      <c r="N339" s="10">
        <v>0</v>
      </c>
      <c r="O339" s="10">
        <v>0</v>
      </c>
      <c r="P339" s="10">
        <v>37</v>
      </c>
    </row>
    <row r="340" spans="1:16">
      <c r="A340" s="10" t="s">
        <v>366</v>
      </c>
      <c r="B340" s="10">
        <v>102</v>
      </c>
      <c r="C340" s="21">
        <v>1.0221561867521261E-3</v>
      </c>
      <c r="D340" s="10">
        <v>124</v>
      </c>
      <c r="E340" s="10">
        <v>1</v>
      </c>
      <c r="F340" s="10">
        <v>0</v>
      </c>
      <c r="G340" s="10">
        <v>0</v>
      </c>
      <c r="H340" s="10">
        <v>0</v>
      </c>
      <c r="I340" s="10">
        <v>0</v>
      </c>
      <c r="J340" s="10">
        <v>0</v>
      </c>
      <c r="K340" s="10">
        <v>0</v>
      </c>
      <c r="L340" s="10">
        <v>0</v>
      </c>
      <c r="M340" s="10">
        <v>0</v>
      </c>
      <c r="N340" s="10">
        <v>0</v>
      </c>
      <c r="O340" s="10">
        <v>0</v>
      </c>
      <c r="P340" s="10">
        <v>26</v>
      </c>
    </row>
    <row r="341" spans="1:16">
      <c r="A341" s="10" t="s">
        <v>367</v>
      </c>
      <c r="B341" s="10">
        <v>78</v>
      </c>
      <c r="C341" s="21">
        <v>1.4307805427420687E-3</v>
      </c>
      <c r="D341" s="10">
        <v>152</v>
      </c>
      <c r="E341" s="10">
        <v>0</v>
      </c>
      <c r="F341" s="10">
        <v>0</v>
      </c>
      <c r="G341" s="10">
        <v>0</v>
      </c>
      <c r="H341" s="10">
        <v>0</v>
      </c>
      <c r="I341" s="10">
        <v>0</v>
      </c>
      <c r="J341" s="10">
        <v>0</v>
      </c>
      <c r="K341" s="10">
        <v>1</v>
      </c>
      <c r="L341" s="10">
        <v>0</v>
      </c>
      <c r="M341" s="10">
        <v>0</v>
      </c>
      <c r="N341" s="10">
        <v>0</v>
      </c>
      <c r="O341" s="10">
        <v>0</v>
      </c>
      <c r="P341" s="10">
        <v>19</v>
      </c>
    </row>
    <row r="342" spans="1:16">
      <c r="A342" s="10" t="s">
        <v>368</v>
      </c>
      <c r="B342" s="10">
        <v>37</v>
      </c>
      <c r="C342" s="21">
        <v>9.2728194721971603E-4</v>
      </c>
      <c r="D342" s="10">
        <v>179</v>
      </c>
      <c r="E342" s="10">
        <v>0</v>
      </c>
      <c r="F342" s="10">
        <v>0</v>
      </c>
      <c r="G342" s="10">
        <v>1</v>
      </c>
      <c r="H342" s="10">
        <v>0</v>
      </c>
      <c r="I342" s="10">
        <v>0</v>
      </c>
      <c r="J342" s="10">
        <v>0</v>
      </c>
      <c r="K342" s="10">
        <v>0</v>
      </c>
      <c r="L342" s="10">
        <v>0</v>
      </c>
      <c r="M342" s="10">
        <v>0</v>
      </c>
      <c r="N342" s="10">
        <v>0</v>
      </c>
      <c r="O342" s="10">
        <v>0</v>
      </c>
      <c r="P342" s="10">
        <v>20</v>
      </c>
    </row>
    <row r="343" spans="1:16">
      <c r="A343" s="10" t="s">
        <v>369</v>
      </c>
      <c r="B343" s="10">
        <v>187</v>
      </c>
      <c r="C343" s="21">
        <v>2.4556763634013233E-3</v>
      </c>
      <c r="D343" s="10">
        <v>100</v>
      </c>
      <c r="E343" s="10">
        <v>0</v>
      </c>
      <c r="F343" s="10">
        <v>0</v>
      </c>
      <c r="G343" s="10">
        <v>0</v>
      </c>
      <c r="H343" s="10">
        <v>1</v>
      </c>
      <c r="I343" s="10">
        <v>0</v>
      </c>
      <c r="J343" s="10">
        <v>0</v>
      </c>
      <c r="K343" s="10">
        <v>0</v>
      </c>
      <c r="L343" s="10">
        <v>0</v>
      </c>
      <c r="M343" s="10">
        <v>0</v>
      </c>
      <c r="N343" s="10">
        <v>0</v>
      </c>
      <c r="O343" s="10">
        <v>1</v>
      </c>
      <c r="P343" s="10">
        <v>36</v>
      </c>
    </row>
    <row r="344" spans="1:16">
      <c r="A344" s="10" t="s">
        <v>370</v>
      </c>
      <c r="B344" s="10">
        <v>110</v>
      </c>
      <c r="C344" s="21">
        <v>2.4150486219842488E-3</v>
      </c>
      <c r="D344" s="10">
        <v>133</v>
      </c>
      <c r="E344" s="10">
        <v>0</v>
      </c>
      <c r="F344" s="10">
        <v>1</v>
      </c>
      <c r="G344" s="10">
        <v>0</v>
      </c>
      <c r="H344" s="10">
        <v>0</v>
      </c>
      <c r="I344" s="10">
        <v>0</v>
      </c>
      <c r="J344" s="10">
        <v>0</v>
      </c>
      <c r="K344" s="10">
        <v>0</v>
      </c>
      <c r="L344" s="10">
        <v>0</v>
      </c>
      <c r="M344" s="10">
        <v>0</v>
      </c>
      <c r="N344" s="10">
        <v>0</v>
      </c>
      <c r="O344" s="10">
        <v>1</v>
      </c>
      <c r="P344" s="10">
        <v>39</v>
      </c>
    </row>
    <row r="345" spans="1:16">
      <c r="A345" s="10" t="s">
        <v>371</v>
      </c>
      <c r="B345" s="10">
        <v>571</v>
      </c>
      <c r="C345" s="21">
        <v>7.1693505712553264E-4</v>
      </c>
      <c r="D345" s="10">
        <v>165</v>
      </c>
      <c r="E345" s="10">
        <v>0</v>
      </c>
      <c r="F345" s="10">
        <v>0</v>
      </c>
      <c r="G345" s="10">
        <v>0</v>
      </c>
      <c r="H345" s="10">
        <v>0</v>
      </c>
      <c r="I345" s="10">
        <v>0</v>
      </c>
      <c r="J345" s="10">
        <v>0</v>
      </c>
      <c r="K345" s="10">
        <v>0</v>
      </c>
      <c r="L345" s="10">
        <v>0</v>
      </c>
      <c r="M345" s="10">
        <v>0</v>
      </c>
      <c r="N345" s="10">
        <v>0</v>
      </c>
      <c r="O345" s="10">
        <v>0</v>
      </c>
      <c r="P345" s="10">
        <v>10</v>
      </c>
    </row>
    <row r="346" spans="1:16">
      <c r="A346" s="10" t="s">
        <v>372</v>
      </c>
      <c r="B346" s="10">
        <v>529</v>
      </c>
      <c r="C346" s="21">
        <v>1.4877412654913289E-3</v>
      </c>
      <c r="D346" s="10">
        <v>150</v>
      </c>
      <c r="E346" s="10">
        <v>0</v>
      </c>
      <c r="F346" s="10">
        <v>0</v>
      </c>
      <c r="G346" s="10">
        <v>0</v>
      </c>
      <c r="H346" s="10">
        <v>0</v>
      </c>
      <c r="I346" s="10">
        <v>0</v>
      </c>
      <c r="J346" s="10">
        <v>0</v>
      </c>
      <c r="K346" s="10">
        <v>0</v>
      </c>
      <c r="L346" s="10">
        <v>0</v>
      </c>
      <c r="M346" s="10">
        <v>0</v>
      </c>
      <c r="N346" s="10">
        <v>0</v>
      </c>
      <c r="O346" s="10">
        <v>0</v>
      </c>
      <c r="P346" s="10">
        <v>24</v>
      </c>
    </row>
    <row r="347" spans="1:16">
      <c r="A347" s="10" t="s">
        <v>373</v>
      </c>
      <c r="B347" s="10">
        <v>88</v>
      </c>
      <c r="C347" s="21">
        <v>1.6676695878314639E-3</v>
      </c>
      <c r="D347" s="10">
        <v>148</v>
      </c>
      <c r="E347" s="10">
        <v>1</v>
      </c>
      <c r="F347" s="10">
        <v>0</v>
      </c>
      <c r="G347" s="10">
        <v>0</v>
      </c>
      <c r="H347" s="10">
        <v>0</v>
      </c>
      <c r="I347" s="10">
        <v>0</v>
      </c>
      <c r="J347" s="10">
        <v>0</v>
      </c>
      <c r="K347" s="10">
        <v>0</v>
      </c>
      <c r="L347" s="10">
        <v>0</v>
      </c>
      <c r="M347" s="10">
        <v>0</v>
      </c>
      <c r="N347" s="10">
        <v>0</v>
      </c>
      <c r="O347" s="10">
        <v>0</v>
      </c>
      <c r="P347" s="10">
        <v>35</v>
      </c>
    </row>
    <row r="348" spans="1:16">
      <c r="A348" s="10" t="s">
        <v>374</v>
      </c>
      <c r="B348" s="10">
        <v>310</v>
      </c>
      <c r="C348" s="21">
        <v>1.4882092433911344E-3</v>
      </c>
      <c r="D348" s="10">
        <v>161</v>
      </c>
      <c r="E348" s="10">
        <v>0</v>
      </c>
      <c r="F348" s="10">
        <v>0</v>
      </c>
      <c r="G348" s="10">
        <v>0</v>
      </c>
      <c r="H348" s="10">
        <v>0</v>
      </c>
      <c r="I348" s="10">
        <v>1</v>
      </c>
      <c r="J348" s="10">
        <v>0</v>
      </c>
      <c r="K348" s="10">
        <v>0</v>
      </c>
      <c r="L348" s="10">
        <v>0</v>
      </c>
      <c r="M348" s="10">
        <v>0</v>
      </c>
      <c r="N348" s="10">
        <v>0</v>
      </c>
      <c r="O348" s="10">
        <v>0</v>
      </c>
      <c r="P348" s="10">
        <v>32</v>
      </c>
    </row>
    <row r="349" spans="1:16">
      <c r="A349" s="10" t="s">
        <v>375</v>
      </c>
      <c r="B349" s="10">
        <v>100</v>
      </c>
      <c r="C349" s="21">
        <v>1.1929652163971622E-3</v>
      </c>
      <c r="D349" s="10">
        <v>180</v>
      </c>
      <c r="E349" s="10">
        <v>0</v>
      </c>
      <c r="F349" s="10">
        <v>1</v>
      </c>
      <c r="G349" s="10">
        <v>0</v>
      </c>
      <c r="H349" s="10">
        <v>0</v>
      </c>
      <c r="I349" s="10">
        <v>0</v>
      </c>
      <c r="J349" s="10">
        <v>0</v>
      </c>
      <c r="K349" s="10">
        <v>0</v>
      </c>
      <c r="L349" s="10">
        <v>0</v>
      </c>
      <c r="M349" s="10">
        <v>0</v>
      </c>
      <c r="N349" s="10">
        <v>0</v>
      </c>
      <c r="O349" s="10">
        <v>0</v>
      </c>
      <c r="P349" s="10">
        <v>20</v>
      </c>
    </row>
    <row r="350" spans="1:16">
      <c r="A350" s="10" t="s">
        <v>376</v>
      </c>
      <c r="B350" s="10">
        <v>131</v>
      </c>
      <c r="C350" s="21">
        <v>1.4466001543210645E-3</v>
      </c>
      <c r="D350" s="10">
        <v>168</v>
      </c>
      <c r="E350" s="10">
        <v>1</v>
      </c>
      <c r="F350" s="10">
        <v>0</v>
      </c>
      <c r="G350" s="10">
        <v>0</v>
      </c>
      <c r="H350" s="10">
        <v>0</v>
      </c>
      <c r="I350" s="10">
        <v>0</v>
      </c>
      <c r="J350" s="10">
        <v>0</v>
      </c>
      <c r="K350" s="10">
        <v>0</v>
      </c>
      <c r="L350" s="10">
        <v>0</v>
      </c>
      <c r="M350" s="10">
        <v>0</v>
      </c>
      <c r="N350" s="10">
        <v>0</v>
      </c>
      <c r="O350" s="10">
        <v>1</v>
      </c>
      <c r="P350" s="10">
        <v>34</v>
      </c>
    </row>
    <row r="351" spans="1:16">
      <c r="A351" s="10" t="s">
        <v>377</v>
      </c>
      <c r="B351" s="10">
        <v>262</v>
      </c>
      <c r="C351" s="21">
        <v>1.7133549928059822E-3</v>
      </c>
      <c r="D351" s="10">
        <v>110</v>
      </c>
      <c r="E351" s="10">
        <v>0</v>
      </c>
      <c r="F351" s="10">
        <v>0</v>
      </c>
      <c r="G351" s="10">
        <v>0</v>
      </c>
      <c r="H351" s="10">
        <v>0</v>
      </c>
      <c r="I351" s="10">
        <v>1</v>
      </c>
      <c r="J351" s="10">
        <v>0</v>
      </c>
      <c r="K351" s="10">
        <v>0</v>
      </c>
      <c r="L351" s="10">
        <v>0</v>
      </c>
      <c r="M351" s="10">
        <v>0</v>
      </c>
      <c r="N351" s="10">
        <v>0</v>
      </c>
      <c r="O351" s="10">
        <v>0</v>
      </c>
      <c r="P351" s="10">
        <v>29</v>
      </c>
    </row>
    <row r="352" spans="1:16">
      <c r="A352" s="10" t="s">
        <v>378</v>
      </c>
      <c r="B352" s="10">
        <v>92</v>
      </c>
      <c r="C352" s="21">
        <v>2.5553148510806872E-3</v>
      </c>
      <c r="D352" s="10">
        <v>197</v>
      </c>
      <c r="E352" s="10">
        <v>0</v>
      </c>
      <c r="F352" s="10">
        <v>1</v>
      </c>
      <c r="G352" s="10">
        <v>0</v>
      </c>
      <c r="H352" s="10">
        <v>0</v>
      </c>
      <c r="I352" s="10">
        <v>0</v>
      </c>
      <c r="J352" s="10">
        <v>0</v>
      </c>
      <c r="K352" s="10">
        <v>0</v>
      </c>
      <c r="L352" s="10">
        <v>0</v>
      </c>
      <c r="M352" s="10">
        <v>0</v>
      </c>
      <c r="N352" s="10">
        <v>0</v>
      </c>
      <c r="O352" s="10">
        <v>1</v>
      </c>
      <c r="P352" s="10">
        <v>26</v>
      </c>
    </row>
    <row r="353" spans="1:16">
      <c r="A353" s="10" t="s">
        <v>379</v>
      </c>
      <c r="B353" s="10">
        <v>598</v>
      </c>
      <c r="C353" s="21">
        <v>1.2056736275955547E-3</v>
      </c>
      <c r="D353" s="10">
        <v>146</v>
      </c>
      <c r="E353" s="10">
        <v>0</v>
      </c>
      <c r="F353" s="10">
        <v>0</v>
      </c>
      <c r="G353" s="10">
        <v>0</v>
      </c>
      <c r="H353" s="10">
        <v>0</v>
      </c>
      <c r="I353" s="10">
        <v>0</v>
      </c>
      <c r="J353" s="10">
        <v>0</v>
      </c>
      <c r="K353" s="10">
        <v>0</v>
      </c>
      <c r="L353" s="10">
        <v>0</v>
      </c>
      <c r="M353" s="10">
        <v>0</v>
      </c>
      <c r="N353" s="10">
        <v>0</v>
      </c>
      <c r="O353" s="10">
        <v>1</v>
      </c>
      <c r="P353" s="10">
        <v>25</v>
      </c>
    </row>
    <row r="354" spans="1:16">
      <c r="A354" s="10" t="s">
        <v>380</v>
      </c>
      <c r="B354" s="10">
        <v>438</v>
      </c>
      <c r="C354" s="21">
        <v>3.1565835153885358E-3</v>
      </c>
      <c r="D354" s="10">
        <v>94</v>
      </c>
      <c r="E354" s="10">
        <v>0</v>
      </c>
      <c r="F354" s="10">
        <v>0</v>
      </c>
      <c r="G354" s="10">
        <v>0</v>
      </c>
      <c r="H354" s="10">
        <v>0</v>
      </c>
      <c r="I354" s="10">
        <v>0</v>
      </c>
      <c r="J354" s="10">
        <v>0</v>
      </c>
      <c r="K354" s="10">
        <v>0</v>
      </c>
      <c r="L354" s="10">
        <v>0</v>
      </c>
      <c r="M354" s="10">
        <v>0</v>
      </c>
      <c r="N354" s="10">
        <v>0</v>
      </c>
      <c r="O354" s="10">
        <v>0</v>
      </c>
      <c r="P354" s="10">
        <v>44</v>
      </c>
    </row>
    <row r="355" spans="1:16">
      <c r="A355" s="10" t="s">
        <v>381</v>
      </c>
      <c r="B355" s="10">
        <v>103</v>
      </c>
      <c r="C355" s="21">
        <v>1.1676669897209132E-3</v>
      </c>
      <c r="D355" s="10">
        <v>164</v>
      </c>
      <c r="E355" s="10">
        <v>1</v>
      </c>
      <c r="F355" s="10">
        <v>0</v>
      </c>
      <c r="G355" s="10">
        <v>0</v>
      </c>
      <c r="H355" s="10">
        <v>0</v>
      </c>
      <c r="I355" s="10">
        <v>0</v>
      </c>
      <c r="J355" s="10">
        <v>0</v>
      </c>
      <c r="K355" s="10">
        <v>0</v>
      </c>
      <c r="L355" s="10">
        <v>0</v>
      </c>
      <c r="M355" s="10">
        <v>0</v>
      </c>
      <c r="N355" s="10">
        <v>0</v>
      </c>
      <c r="O355" s="10">
        <v>0</v>
      </c>
      <c r="P355" s="10">
        <v>28</v>
      </c>
    </row>
    <row r="356" spans="1:16">
      <c r="A356" s="10" t="s">
        <v>382</v>
      </c>
      <c r="B356" s="10">
        <v>100</v>
      </c>
      <c r="C356" s="21">
        <v>1.8828527604548785E-3</v>
      </c>
      <c r="D356" s="10">
        <v>113</v>
      </c>
      <c r="E356" s="10">
        <v>0</v>
      </c>
      <c r="F356" s="10">
        <v>0</v>
      </c>
      <c r="G356" s="10">
        <v>0</v>
      </c>
      <c r="H356" s="10">
        <v>0</v>
      </c>
      <c r="I356" s="10">
        <v>0</v>
      </c>
      <c r="J356" s="10">
        <v>0</v>
      </c>
      <c r="K356" s="10">
        <v>1</v>
      </c>
      <c r="L356" s="10">
        <v>0</v>
      </c>
      <c r="M356" s="10">
        <v>0</v>
      </c>
      <c r="N356" s="10">
        <v>0</v>
      </c>
      <c r="O356" s="10">
        <v>1</v>
      </c>
      <c r="P356" s="10">
        <v>35</v>
      </c>
    </row>
    <row r="357" spans="1:16">
      <c r="A357" s="10" t="s">
        <v>383</v>
      </c>
      <c r="B357" s="10">
        <v>40</v>
      </c>
      <c r="C357" s="21">
        <v>7.4760124070403524E-4</v>
      </c>
      <c r="D357" s="10">
        <v>170</v>
      </c>
      <c r="E357" s="10">
        <v>0</v>
      </c>
      <c r="F357" s="10">
        <v>0</v>
      </c>
      <c r="G357" s="10">
        <v>1</v>
      </c>
      <c r="H357" s="10">
        <v>0</v>
      </c>
      <c r="I357" s="10">
        <v>0</v>
      </c>
      <c r="J357" s="10">
        <v>0</v>
      </c>
      <c r="K357" s="10">
        <v>0</v>
      </c>
      <c r="L357" s="10">
        <v>0</v>
      </c>
      <c r="M357" s="10">
        <v>0</v>
      </c>
      <c r="N357" s="10">
        <v>0</v>
      </c>
      <c r="O357" s="10">
        <v>0</v>
      </c>
      <c r="P357" s="10">
        <v>30</v>
      </c>
    </row>
    <row r="358" spans="1:16">
      <c r="A358" s="10" t="s">
        <v>384</v>
      </c>
      <c r="B358" s="10">
        <v>62</v>
      </c>
      <c r="C358" s="21">
        <v>9.4919217394983063E-4</v>
      </c>
      <c r="D358" s="10">
        <v>141</v>
      </c>
      <c r="E358" s="10">
        <v>0</v>
      </c>
      <c r="F358" s="10">
        <v>1</v>
      </c>
      <c r="G358" s="10">
        <v>0</v>
      </c>
      <c r="H358" s="10">
        <v>0</v>
      </c>
      <c r="I358" s="10">
        <v>0</v>
      </c>
      <c r="J358" s="10">
        <v>0</v>
      </c>
      <c r="K358" s="10">
        <v>0</v>
      </c>
      <c r="L358" s="10">
        <v>0</v>
      </c>
      <c r="M358" s="10">
        <v>0</v>
      </c>
      <c r="N358" s="10">
        <v>0</v>
      </c>
      <c r="O358" s="10">
        <v>0</v>
      </c>
      <c r="P358" s="10">
        <v>24</v>
      </c>
    </row>
    <row r="359" spans="1:16">
      <c r="A359" s="10" t="s">
        <v>385</v>
      </c>
      <c r="B359" s="10">
        <v>370</v>
      </c>
      <c r="C359" s="21">
        <v>1.178711330848125E-3</v>
      </c>
      <c r="D359" s="10">
        <v>152</v>
      </c>
      <c r="E359" s="10">
        <v>0</v>
      </c>
      <c r="F359" s="10">
        <v>0</v>
      </c>
      <c r="G359" s="10">
        <v>0</v>
      </c>
      <c r="H359" s="10">
        <v>0</v>
      </c>
      <c r="I359" s="10">
        <v>0</v>
      </c>
      <c r="J359" s="10">
        <v>0</v>
      </c>
      <c r="K359" s="10">
        <v>0</v>
      </c>
      <c r="L359" s="10">
        <v>0</v>
      </c>
      <c r="M359" s="10">
        <v>0</v>
      </c>
      <c r="N359" s="10">
        <v>0</v>
      </c>
      <c r="O359" s="10">
        <v>1</v>
      </c>
      <c r="P359" s="10">
        <v>18</v>
      </c>
    </row>
    <row r="360" spans="1:16">
      <c r="A360" s="10" t="s">
        <v>386</v>
      </c>
      <c r="B360" s="10">
        <v>58</v>
      </c>
      <c r="C360" s="21">
        <v>1.9209084415026329E-3</v>
      </c>
      <c r="D360" s="10">
        <v>193</v>
      </c>
      <c r="E360" s="10">
        <v>1</v>
      </c>
      <c r="F360" s="10">
        <v>0</v>
      </c>
      <c r="G360" s="10">
        <v>0</v>
      </c>
      <c r="H360" s="10">
        <v>0</v>
      </c>
      <c r="I360" s="10">
        <v>0</v>
      </c>
      <c r="J360" s="10">
        <v>0</v>
      </c>
      <c r="K360" s="10">
        <v>0</v>
      </c>
      <c r="L360" s="10">
        <v>0</v>
      </c>
      <c r="M360" s="10">
        <v>0</v>
      </c>
      <c r="N360" s="10">
        <v>0</v>
      </c>
      <c r="O360" s="10">
        <v>1</v>
      </c>
      <c r="P360" s="10">
        <v>34</v>
      </c>
    </row>
    <row r="361" spans="1:16">
      <c r="A361" s="10" t="s">
        <v>387</v>
      </c>
      <c r="B361" s="10">
        <v>188</v>
      </c>
      <c r="C361" s="21">
        <v>3.5098568623427961E-3</v>
      </c>
      <c r="D361" s="10">
        <v>131</v>
      </c>
      <c r="E361" s="10">
        <v>0</v>
      </c>
      <c r="F361" s="10">
        <v>0</v>
      </c>
      <c r="G361" s="10">
        <v>0</v>
      </c>
      <c r="H361" s="10">
        <v>1</v>
      </c>
      <c r="I361" s="10">
        <v>0</v>
      </c>
      <c r="J361" s="10">
        <v>0</v>
      </c>
      <c r="K361" s="10">
        <v>0</v>
      </c>
      <c r="L361" s="10">
        <v>0</v>
      </c>
      <c r="M361" s="10">
        <v>0</v>
      </c>
      <c r="N361" s="10">
        <v>0</v>
      </c>
      <c r="O361" s="10">
        <v>0</v>
      </c>
      <c r="P361" s="10">
        <v>20</v>
      </c>
    </row>
    <row r="362" spans="1:16">
      <c r="A362" s="10" t="s">
        <v>388</v>
      </c>
      <c r="B362" s="10">
        <v>322</v>
      </c>
      <c r="C362" s="21">
        <v>1.0344733382422944E-3</v>
      </c>
      <c r="D362" s="10">
        <v>163</v>
      </c>
      <c r="E362" s="10">
        <v>0</v>
      </c>
      <c r="F362" s="10">
        <v>0</v>
      </c>
      <c r="G362" s="10">
        <v>0</v>
      </c>
      <c r="H362" s="10">
        <v>0</v>
      </c>
      <c r="I362" s="10">
        <v>1</v>
      </c>
      <c r="J362" s="10">
        <v>0</v>
      </c>
      <c r="K362" s="10">
        <v>0</v>
      </c>
      <c r="L362" s="10">
        <v>0</v>
      </c>
      <c r="M362" s="10">
        <v>0</v>
      </c>
      <c r="N362" s="10">
        <v>0</v>
      </c>
      <c r="O362" s="10">
        <v>0</v>
      </c>
      <c r="P362" s="10">
        <v>24</v>
      </c>
    </row>
    <row r="363" spans="1:16">
      <c r="A363" s="10" t="s">
        <v>389</v>
      </c>
      <c r="B363" s="10">
        <v>420</v>
      </c>
      <c r="C363" s="21">
        <v>4.3014904886000266E-3</v>
      </c>
      <c r="D363" s="10">
        <v>126</v>
      </c>
      <c r="E363" s="10">
        <v>0</v>
      </c>
      <c r="F363" s="10">
        <v>0</v>
      </c>
      <c r="G363" s="10">
        <v>0</v>
      </c>
      <c r="H363" s="10">
        <v>0</v>
      </c>
      <c r="I363" s="10">
        <v>0</v>
      </c>
      <c r="J363" s="10">
        <v>0</v>
      </c>
      <c r="K363" s="10">
        <v>0</v>
      </c>
      <c r="L363" s="10">
        <v>0</v>
      </c>
      <c r="M363" s="10">
        <v>0</v>
      </c>
      <c r="N363" s="10">
        <v>0</v>
      </c>
      <c r="O363" s="10">
        <v>1</v>
      </c>
      <c r="P363" s="10">
        <v>41</v>
      </c>
    </row>
    <row r="364" spans="1:16">
      <c r="A364" s="10" t="s">
        <v>390</v>
      </c>
      <c r="B364" s="10">
        <v>79</v>
      </c>
      <c r="C364" s="21">
        <v>6.5832418461601741E-4</v>
      </c>
      <c r="D364" s="10">
        <v>181</v>
      </c>
      <c r="E364" s="10">
        <v>1</v>
      </c>
      <c r="F364" s="10">
        <v>0</v>
      </c>
      <c r="G364" s="10">
        <v>0</v>
      </c>
      <c r="H364" s="10">
        <v>0</v>
      </c>
      <c r="I364" s="10">
        <v>0</v>
      </c>
      <c r="J364" s="10">
        <v>0</v>
      </c>
      <c r="K364" s="10">
        <v>0</v>
      </c>
      <c r="L364" s="10">
        <v>0</v>
      </c>
      <c r="M364" s="10">
        <v>0</v>
      </c>
      <c r="N364" s="10">
        <v>0</v>
      </c>
      <c r="O364" s="10">
        <v>0</v>
      </c>
      <c r="P364" s="10">
        <v>26</v>
      </c>
    </row>
    <row r="365" spans="1:16">
      <c r="A365" s="10" t="s">
        <v>391</v>
      </c>
      <c r="B365" s="10">
        <v>117</v>
      </c>
      <c r="C365" s="21">
        <v>2.3623244039936934E-3</v>
      </c>
      <c r="D365" s="10">
        <v>99</v>
      </c>
      <c r="E365" s="10">
        <v>1</v>
      </c>
      <c r="F365" s="10">
        <v>0</v>
      </c>
      <c r="G365" s="10">
        <v>0</v>
      </c>
      <c r="H365" s="10">
        <v>0</v>
      </c>
      <c r="I365" s="10">
        <v>0</v>
      </c>
      <c r="J365" s="10">
        <v>0</v>
      </c>
      <c r="K365" s="10">
        <v>0</v>
      </c>
      <c r="L365" s="10">
        <v>0</v>
      </c>
      <c r="M365" s="10">
        <v>0</v>
      </c>
      <c r="N365" s="10">
        <v>0</v>
      </c>
      <c r="O365" s="10">
        <v>1</v>
      </c>
      <c r="P365" s="10">
        <v>53</v>
      </c>
    </row>
    <row r="366" spans="1:16">
      <c r="A366" s="10" t="s">
        <v>392</v>
      </c>
      <c r="B366" s="10">
        <v>76</v>
      </c>
      <c r="C366" s="21">
        <v>3.5361966837615483E-4</v>
      </c>
      <c r="D366" s="10">
        <v>150</v>
      </c>
      <c r="E366" s="10">
        <v>0</v>
      </c>
      <c r="F366" s="10">
        <v>0</v>
      </c>
      <c r="G366" s="10">
        <v>0</v>
      </c>
      <c r="H366" s="10">
        <v>0</v>
      </c>
      <c r="I366" s="10">
        <v>0</v>
      </c>
      <c r="J366" s="10">
        <v>0</v>
      </c>
      <c r="K366" s="10">
        <v>1</v>
      </c>
      <c r="L366" s="10">
        <v>0</v>
      </c>
      <c r="M366" s="10">
        <v>0</v>
      </c>
      <c r="N366" s="10">
        <v>0</v>
      </c>
      <c r="O366" s="10">
        <v>0</v>
      </c>
      <c r="P366" s="10">
        <v>35</v>
      </c>
    </row>
    <row r="367" spans="1:16">
      <c r="A367" s="10" t="s">
        <v>393</v>
      </c>
      <c r="B367" s="10">
        <v>42</v>
      </c>
      <c r="C367" s="21">
        <v>3.4172823831332779E-3</v>
      </c>
      <c r="D367" s="10">
        <v>245</v>
      </c>
      <c r="E367" s="10">
        <v>0</v>
      </c>
      <c r="F367" s="10">
        <v>0</v>
      </c>
      <c r="G367" s="10">
        <v>1</v>
      </c>
      <c r="H367" s="10">
        <v>0</v>
      </c>
      <c r="I367" s="10">
        <v>0</v>
      </c>
      <c r="J367" s="10">
        <v>0</v>
      </c>
      <c r="K367" s="10">
        <v>0</v>
      </c>
      <c r="L367" s="10">
        <v>0</v>
      </c>
      <c r="M367" s="10">
        <v>0</v>
      </c>
      <c r="N367" s="10">
        <v>0</v>
      </c>
      <c r="O367" s="10">
        <v>0</v>
      </c>
      <c r="P367" s="10">
        <v>5</v>
      </c>
    </row>
    <row r="368" spans="1:16">
      <c r="A368" s="10" t="s">
        <v>394</v>
      </c>
      <c r="B368" s="10">
        <v>294</v>
      </c>
      <c r="C368" s="21">
        <v>5.0450977828482568E-4</v>
      </c>
      <c r="D368" s="10">
        <v>156</v>
      </c>
      <c r="E368" s="10">
        <v>0</v>
      </c>
      <c r="F368" s="10">
        <v>0</v>
      </c>
      <c r="G368" s="10">
        <v>0</v>
      </c>
      <c r="H368" s="10">
        <v>0</v>
      </c>
      <c r="I368" s="10">
        <v>1</v>
      </c>
      <c r="J368" s="10">
        <v>0</v>
      </c>
      <c r="K368" s="10">
        <v>0</v>
      </c>
      <c r="L368" s="10">
        <v>0</v>
      </c>
      <c r="M368" s="10">
        <v>0</v>
      </c>
      <c r="N368" s="10">
        <v>0</v>
      </c>
      <c r="O368" s="10">
        <v>1</v>
      </c>
      <c r="P368" s="10">
        <v>23</v>
      </c>
    </row>
    <row r="369" spans="1:16">
      <c r="A369" s="10" t="s">
        <v>395</v>
      </c>
      <c r="B369" s="10">
        <v>403</v>
      </c>
      <c r="C369" s="21">
        <v>1.0490183493181279E-3</v>
      </c>
      <c r="D369" s="10">
        <v>166</v>
      </c>
      <c r="E369" s="10">
        <v>0</v>
      </c>
      <c r="F369" s="10">
        <v>0</v>
      </c>
      <c r="G369" s="10">
        <v>0</v>
      </c>
      <c r="H369" s="10">
        <v>0</v>
      </c>
      <c r="I369" s="10">
        <v>0</v>
      </c>
      <c r="J369" s="10">
        <v>0</v>
      </c>
      <c r="K369" s="10">
        <v>0</v>
      </c>
      <c r="L369" s="10">
        <v>0</v>
      </c>
      <c r="M369" s="10">
        <v>0</v>
      </c>
      <c r="N369" s="10">
        <v>0</v>
      </c>
      <c r="O369" s="10">
        <v>0</v>
      </c>
      <c r="P369" s="10">
        <v>21</v>
      </c>
    </row>
    <row r="370" spans="1:16">
      <c r="A370" s="10" t="s">
        <v>396</v>
      </c>
      <c r="B370" s="10">
        <v>440</v>
      </c>
      <c r="C370" s="21">
        <v>1.1408915706667862E-3</v>
      </c>
      <c r="D370" s="10">
        <v>186</v>
      </c>
      <c r="E370" s="10">
        <v>0</v>
      </c>
      <c r="F370" s="10">
        <v>0</v>
      </c>
      <c r="G370" s="10">
        <v>0</v>
      </c>
      <c r="H370" s="10">
        <v>0</v>
      </c>
      <c r="I370" s="10">
        <v>0</v>
      </c>
      <c r="J370" s="10">
        <v>0</v>
      </c>
      <c r="K370" s="10">
        <v>0</v>
      </c>
      <c r="L370" s="10">
        <v>0</v>
      </c>
      <c r="M370" s="10">
        <v>0</v>
      </c>
      <c r="N370" s="10">
        <v>0</v>
      </c>
      <c r="O370" s="10">
        <v>1</v>
      </c>
      <c r="P370" s="10">
        <v>27</v>
      </c>
    </row>
    <row r="371" spans="1:16">
      <c r="A371" s="10" t="s">
        <v>397</v>
      </c>
      <c r="B371" s="10">
        <v>99</v>
      </c>
      <c r="C371" s="21">
        <v>2.4576076790735124E-3</v>
      </c>
      <c r="D371" s="10">
        <v>142</v>
      </c>
      <c r="E371" s="10">
        <v>0</v>
      </c>
      <c r="F371" s="10">
        <v>0</v>
      </c>
      <c r="G371" s="10">
        <v>0</v>
      </c>
      <c r="H371" s="10">
        <v>0</v>
      </c>
      <c r="I371" s="10">
        <v>0</v>
      </c>
      <c r="J371" s="10">
        <v>0</v>
      </c>
      <c r="K371" s="10">
        <v>1</v>
      </c>
      <c r="L371" s="10">
        <v>0</v>
      </c>
      <c r="M371" s="10">
        <v>0</v>
      </c>
      <c r="N371" s="10">
        <v>0</v>
      </c>
      <c r="O371" s="10">
        <v>0</v>
      </c>
      <c r="P371" s="10">
        <v>44</v>
      </c>
    </row>
    <row r="372" spans="1:16">
      <c r="A372" s="10" t="s">
        <v>398</v>
      </c>
      <c r="B372" s="10">
        <v>139</v>
      </c>
      <c r="C372" s="21">
        <v>1.364345053434598E-3</v>
      </c>
      <c r="D372" s="10">
        <v>125</v>
      </c>
      <c r="E372" s="10">
        <v>0</v>
      </c>
      <c r="F372" s="10">
        <v>1</v>
      </c>
      <c r="G372" s="10">
        <v>0</v>
      </c>
      <c r="H372" s="10">
        <v>0</v>
      </c>
      <c r="I372" s="10">
        <v>0</v>
      </c>
      <c r="J372" s="10">
        <v>0</v>
      </c>
      <c r="K372" s="10">
        <v>0</v>
      </c>
      <c r="L372" s="10">
        <v>0</v>
      </c>
      <c r="M372" s="10">
        <v>0</v>
      </c>
      <c r="N372" s="10">
        <v>0</v>
      </c>
      <c r="O372" s="10">
        <v>0</v>
      </c>
      <c r="P372" s="10">
        <v>28</v>
      </c>
    </row>
    <row r="373" spans="1:16">
      <c r="A373" s="10" t="s">
        <v>399</v>
      </c>
      <c r="B373" s="10">
        <v>591</v>
      </c>
      <c r="C373" s="21">
        <v>2.2129294682610616E-3</v>
      </c>
      <c r="D373" s="10">
        <v>97</v>
      </c>
      <c r="E373" s="10">
        <v>0</v>
      </c>
      <c r="F373" s="10">
        <v>0</v>
      </c>
      <c r="G373" s="10">
        <v>0</v>
      </c>
      <c r="H373" s="10">
        <v>0</v>
      </c>
      <c r="I373" s="10">
        <v>0</v>
      </c>
      <c r="J373" s="10">
        <v>0</v>
      </c>
      <c r="K373" s="10">
        <v>0</v>
      </c>
      <c r="L373" s="10">
        <v>0</v>
      </c>
      <c r="M373" s="10">
        <v>0</v>
      </c>
      <c r="N373" s="10">
        <v>0</v>
      </c>
      <c r="O373" s="10">
        <v>0</v>
      </c>
      <c r="P373" s="10">
        <v>34</v>
      </c>
    </row>
    <row r="374" spans="1:16">
      <c r="A374" s="10" t="s">
        <v>400</v>
      </c>
      <c r="B374" s="10">
        <v>400</v>
      </c>
      <c r="C374" s="21">
        <v>7.5032292628956858E-4</v>
      </c>
      <c r="D374" s="10">
        <v>180</v>
      </c>
      <c r="E374" s="10">
        <v>0</v>
      </c>
      <c r="F374" s="10">
        <v>0</v>
      </c>
      <c r="G374" s="10">
        <v>0</v>
      </c>
      <c r="H374" s="10">
        <v>0</v>
      </c>
      <c r="I374" s="10">
        <v>0</v>
      </c>
      <c r="J374" s="10">
        <v>0</v>
      </c>
      <c r="K374" s="10">
        <v>0</v>
      </c>
      <c r="L374" s="10">
        <v>0</v>
      </c>
      <c r="M374" s="10">
        <v>0</v>
      </c>
      <c r="N374" s="10">
        <v>0</v>
      </c>
      <c r="O374" s="10">
        <v>0</v>
      </c>
      <c r="P374" s="10">
        <v>11</v>
      </c>
    </row>
    <row r="375" spans="1:16">
      <c r="A375" s="10" t="s">
        <v>401</v>
      </c>
      <c r="B375" s="10">
        <v>107</v>
      </c>
      <c r="C375" s="21">
        <v>9.1452848364951243E-4</v>
      </c>
      <c r="D375" s="10">
        <v>212</v>
      </c>
      <c r="E375" s="10">
        <v>1</v>
      </c>
      <c r="F375" s="10">
        <v>0</v>
      </c>
      <c r="G375" s="10">
        <v>0</v>
      </c>
      <c r="H375" s="10">
        <v>0</v>
      </c>
      <c r="I375" s="10">
        <v>0</v>
      </c>
      <c r="J375" s="10">
        <v>0</v>
      </c>
      <c r="K375" s="10">
        <v>0</v>
      </c>
      <c r="L375" s="10">
        <v>0</v>
      </c>
      <c r="M375" s="10">
        <v>0</v>
      </c>
      <c r="N375" s="10">
        <v>0</v>
      </c>
      <c r="O375" s="10">
        <v>0</v>
      </c>
      <c r="P375" s="10">
        <v>22</v>
      </c>
    </row>
    <row r="376" spans="1:16">
      <c r="A376" s="10" t="s">
        <v>402</v>
      </c>
      <c r="B376" s="10">
        <v>143</v>
      </c>
      <c r="C376" s="21">
        <v>2.7867945591535199E-3</v>
      </c>
      <c r="D376" s="10">
        <v>164</v>
      </c>
      <c r="E376" s="10">
        <v>1</v>
      </c>
      <c r="F376" s="10">
        <v>0</v>
      </c>
      <c r="G376" s="10">
        <v>0</v>
      </c>
      <c r="H376" s="10">
        <v>0</v>
      </c>
      <c r="I376" s="10">
        <v>0</v>
      </c>
      <c r="J376" s="10">
        <v>0</v>
      </c>
      <c r="K376" s="10">
        <v>0</v>
      </c>
      <c r="L376" s="10">
        <v>0</v>
      </c>
      <c r="M376" s="10">
        <v>0</v>
      </c>
      <c r="N376" s="10">
        <v>0</v>
      </c>
      <c r="O376" s="10">
        <v>0</v>
      </c>
      <c r="P376" s="10">
        <v>29</v>
      </c>
    </row>
    <row r="377" spans="1:16">
      <c r="A377" s="10" t="s">
        <v>403</v>
      </c>
      <c r="B377" s="10">
        <v>84</v>
      </c>
      <c r="C377" s="21">
        <v>2.7256218319409828E-3</v>
      </c>
      <c r="D377" s="10">
        <v>166</v>
      </c>
      <c r="E377" s="10">
        <v>0</v>
      </c>
      <c r="F377" s="10">
        <v>0</v>
      </c>
      <c r="G377" s="10">
        <v>0</v>
      </c>
      <c r="H377" s="10">
        <v>0</v>
      </c>
      <c r="I377" s="10">
        <v>0</v>
      </c>
      <c r="J377" s="10">
        <v>0</v>
      </c>
      <c r="K377" s="10">
        <v>1</v>
      </c>
      <c r="L377" s="10">
        <v>0</v>
      </c>
      <c r="M377" s="10">
        <v>0</v>
      </c>
      <c r="N377" s="10">
        <v>0</v>
      </c>
      <c r="O377" s="10">
        <v>0</v>
      </c>
      <c r="P377" s="10">
        <v>31</v>
      </c>
    </row>
    <row r="378" spans="1:16">
      <c r="A378" s="10" t="s">
        <v>404</v>
      </c>
      <c r="B378" s="10">
        <v>266</v>
      </c>
      <c r="C378" s="21">
        <v>8.0038092415786488E-4</v>
      </c>
      <c r="D378" s="10">
        <v>159</v>
      </c>
      <c r="E378" s="10">
        <v>0</v>
      </c>
      <c r="F378" s="10">
        <v>0</v>
      </c>
      <c r="G378" s="10">
        <v>0</v>
      </c>
      <c r="H378" s="10">
        <v>0</v>
      </c>
      <c r="I378" s="10">
        <v>1</v>
      </c>
      <c r="J378" s="10">
        <v>0</v>
      </c>
      <c r="K378" s="10">
        <v>0</v>
      </c>
      <c r="L378" s="10">
        <v>0</v>
      </c>
      <c r="M378" s="10">
        <v>0</v>
      </c>
      <c r="N378" s="10">
        <v>0</v>
      </c>
      <c r="O378" s="10">
        <v>1</v>
      </c>
      <c r="P378" s="10">
        <v>25</v>
      </c>
    </row>
    <row r="379" spans="1:16">
      <c r="A379" s="10" t="s">
        <v>405</v>
      </c>
      <c r="B379" s="10">
        <v>102</v>
      </c>
      <c r="C379" s="21">
        <v>1.3663664453849498E-3</v>
      </c>
      <c r="D379" s="10">
        <v>134</v>
      </c>
      <c r="E379" s="10">
        <v>0</v>
      </c>
      <c r="F379" s="10">
        <v>1</v>
      </c>
      <c r="G379" s="10">
        <v>0</v>
      </c>
      <c r="H379" s="10">
        <v>0</v>
      </c>
      <c r="I379" s="10">
        <v>0</v>
      </c>
      <c r="J379" s="10">
        <v>0</v>
      </c>
      <c r="K379" s="10">
        <v>0</v>
      </c>
      <c r="L379" s="10">
        <v>0</v>
      </c>
      <c r="M379" s="10">
        <v>0</v>
      </c>
      <c r="N379" s="10">
        <v>0</v>
      </c>
      <c r="O379" s="10">
        <v>0</v>
      </c>
      <c r="P379" s="10">
        <v>46</v>
      </c>
    </row>
    <row r="380" spans="1:16">
      <c r="A380" s="10" t="s">
        <v>406</v>
      </c>
      <c r="B380" s="10">
        <v>486</v>
      </c>
      <c r="C380" s="21">
        <v>8.441008478131171E-4</v>
      </c>
      <c r="D380" s="10">
        <v>171</v>
      </c>
      <c r="E380" s="10">
        <v>0</v>
      </c>
      <c r="F380" s="10">
        <v>0</v>
      </c>
      <c r="G380" s="10">
        <v>0</v>
      </c>
      <c r="H380" s="10">
        <v>0</v>
      </c>
      <c r="I380" s="10">
        <v>0</v>
      </c>
      <c r="J380" s="10">
        <v>0</v>
      </c>
      <c r="K380" s="10">
        <v>0</v>
      </c>
      <c r="L380" s="10">
        <v>0</v>
      </c>
      <c r="M380" s="10">
        <v>0</v>
      </c>
      <c r="N380" s="10">
        <v>0</v>
      </c>
      <c r="O380" s="10">
        <v>1</v>
      </c>
      <c r="P380" s="10">
        <v>27</v>
      </c>
    </row>
    <row r="381" spans="1:16">
      <c r="A381" s="10" t="s">
        <v>407</v>
      </c>
      <c r="B381" s="10">
        <v>644</v>
      </c>
      <c r="C381" s="21">
        <v>1.5040704162111041E-6</v>
      </c>
      <c r="D381" s="10">
        <v>156</v>
      </c>
      <c r="E381" s="10">
        <v>0</v>
      </c>
      <c r="F381" s="10">
        <v>0</v>
      </c>
      <c r="G381" s="10">
        <v>0</v>
      </c>
      <c r="H381" s="10">
        <v>0</v>
      </c>
      <c r="I381" s="10">
        <v>0</v>
      </c>
      <c r="J381" s="10">
        <v>0</v>
      </c>
      <c r="K381" s="10">
        <v>0</v>
      </c>
      <c r="L381" s="10">
        <v>0</v>
      </c>
      <c r="M381" s="10">
        <v>0</v>
      </c>
      <c r="N381" s="10">
        <v>0</v>
      </c>
      <c r="O381" s="10">
        <v>0</v>
      </c>
      <c r="P381" s="10">
        <v>36</v>
      </c>
    </row>
    <row r="382" spans="1:16">
      <c r="A382" s="10" t="s">
        <v>408</v>
      </c>
      <c r="B382" s="10">
        <v>86</v>
      </c>
      <c r="C382" s="21">
        <v>7.8773821771288533E-4</v>
      </c>
      <c r="D382" s="10">
        <v>127</v>
      </c>
      <c r="E382" s="10">
        <v>1</v>
      </c>
      <c r="F382" s="10">
        <v>0</v>
      </c>
      <c r="G382" s="10">
        <v>0</v>
      </c>
      <c r="H382" s="10">
        <v>0</v>
      </c>
      <c r="I382" s="10">
        <v>0</v>
      </c>
      <c r="J382" s="10">
        <v>0</v>
      </c>
      <c r="K382" s="10">
        <v>0</v>
      </c>
      <c r="L382" s="10">
        <v>0</v>
      </c>
      <c r="M382" s="10">
        <v>0</v>
      </c>
      <c r="N382" s="10">
        <v>0</v>
      </c>
      <c r="O382" s="10">
        <v>0</v>
      </c>
      <c r="P382" s="10">
        <v>36</v>
      </c>
    </row>
    <row r="383" spans="1:16">
      <c r="A383" s="10" t="s">
        <v>409</v>
      </c>
      <c r="B383" s="10">
        <v>117</v>
      </c>
      <c r="C383" s="21">
        <v>3.7896251863727678E-4</v>
      </c>
      <c r="D383" s="10">
        <v>231</v>
      </c>
      <c r="E383" s="10">
        <v>0</v>
      </c>
      <c r="F383" s="10">
        <v>0</v>
      </c>
      <c r="G383" s="10">
        <v>0</v>
      </c>
      <c r="H383" s="10">
        <v>0</v>
      </c>
      <c r="I383" s="10">
        <v>0</v>
      </c>
      <c r="J383" s="10">
        <v>0</v>
      </c>
      <c r="K383" s="10">
        <v>1</v>
      </c>
      <c r="L383" s="10">
        <v>0</v>
      </c>
      <c r="M383" s="10">
        <v>0</v>
      </c>
      <c r="N383" s="10">
        <v>0</v>
      </c>
      <c r="O383" s="10">
        <v>0</v>
      </c>
      <c r="P383" s="10">
        <v>12</v>
      </c>
    </row>
    <row r="384" spans="1:16">
      <c r="A384" s="10" t="s">
        <v>410</v>
      </c>
      <c r="B384" s="10">
        <v>52</v>
      </c>
      <c r="C384" s="21">
        <v>1.7593402879669722E-3</v>
      </c>
      <c r="D384" s="10">
        <v>154</v>
      </c>
      <c r="E384" s="10">
        <v>0</v>
      </c>
      <c r="F384" s="10">
        <v>0</v>
      </c>
      <c r="G384" s="10">
        <v>1</v>
      </c>
      <c r="H384" s="10">
        <v>0</v>
      </c>
      <c r="I384" s="10">
        <v>0</v>
      </c>
      <c r="J384" s="10">
        <v>0</v>
      </c>
      <c r="K384" s="10">
        <v>0</v>
      </c>
      <c r="L384" s="10">
        <v>0</v>
      </c>
      <c r="M384" s="10">
        <v>0</v>
      </c>
      <c r="N384" s="10">
        <v>0</v>
      </c>
      <c r="O384" s="10">
        <v>0</v>
      </c>
      <c r="P384" s="10">
        <v>33</v>
      </c>
    </row>
    <row r="385" spans="1:16">
      <c r="A385" s="10" t="s">
        <v>411</v>
      </c>
      <c r="B385" s="10">
        <v>216</v>
      </c>
      <c r="C385" s="21">
        <v>1.5600780015197564E-3</v>
      </c>
      <c r="D385" s="10">
        <v>170</v>
      </c>
      <c r="E385" s="10">
        <v>0</v>
      </c>
      <c r="F385" s="10">
        <v>0</v>
      </c>
      <c r="G385" s="10">
        <v>0</v>
      </c>
      <c r="H385" s="10">
        <v>1</v>
      </c>
      <c r="I385" s="10">
        <v>0</v>
      </c>
      <c r="J385" s="10">
        <v>0</v>
      </c>
      <c r="K385" s="10">
        <v>0</v>
      </c>
      <c r="L385" s="10">
        <v>0</v>
      </c>
      <c r="M385" s="10">
        <v>0</v>
      </c>
      <c r="N385" s="10">
        <v>0</v>
      </c>
      <c r="O385" s="10">
        <v>0</v>
      </c>
      <c r="P385" s="10">
        <v>29</v>
      </c>
    </row>
    <row r="386" spans="1:16">
      <c r="A386" s="10" t="s">
        <v>412</v>
      </c>
      <c r="B386" s="10">
        <v>265</v>
      </c>
      <c r="C386" s="21">
        <v>4.5769892181829223E-3</v>
      </c>
      <c r="D386" s="10">
        <v>128</v>
      </c>
      <c r="E386" s="10">
        <v>0</v>
      </c>
      <c r="F386" s="10">
        <v>0</v>
      </c>
      <c r="G386" s="10">
        <v>0</v>
      </c>
      <c r="H386" s="10">
        <v>0</v>
      </c>
      <c r="I386" s="10">
        <v>1</v>
      </c>
      <c r="J386" s="10">
        <v>0</v>
      </c>
      <c r="K386" s="10">
        <v>0</v>
      </c>
      <c r="L386" s="10">
        <v>0</v>
      </c>
      <c r="M386" s="10">
        <v>0</v>
      </c>
      <c r="N386" s="10">
        <v>0</v>
      </c>
      <c r="O386" s="10">
        <v>1</v>
      </c>
      <c r="P386" s="10">
        <v>24</v>
      </c>
    </row>
    <row r="387" spans="1:16">
      <c r="A387" s="10" t="s">
        <v>413</v>
      </c>
      <c r="B387" s="10">
        <v>608</v>
      </c>
      <c r="C387" s="21">
        <v>1.3512162074714377E-3</v>
      </c>
      <c r="D387" s="10">
        <v>187</v>
      </c>
      <c r="E387" s="10">
        <v>0</v>
      </c>
      <c r="F387" s="10">
        <v>0</v>
      </c>
      <c r="G387" s="10">
        <v>0</v>
      </c>
      <c r="H387" s="10">
        <v>0</v>
      </c>
      <c r="I387" s="10">
        <v>0</v>
      </c>
      <c r="J387" s="10">
        <v>0</v>
      </c>
      <c r="K387" s="10">
        <v>0</v>
      </c>
      <c r="L387" s="10">
        <v>0</v>
      </c>
      <c r="M387" s="10">
        <v>0</v>
      </c>
      <c r="N387" s="10">
        <v>0</v>
      </c>
      <c r="O387" s="10">
        <v>0</v>
      </c>
      <c r="P387" s="10">
        <v>17</v>
      </c>
    </row>
    <row r="388" spans="1:16">
      <c r="A388" s="10" t="s">
        <v>414</v>
      </c>
      <c r="B388" s="10">
        <v>122</v>
      </c>
      <c r="C388" s="21">
        <v>2.0045140528866101E-4</v>
      </c>
      <c r="D388" s="10">
        <v>142</v>
      </c>
      <c r="E388" s="10">
        <v>1</v>
      </c>
      <c r="F388" s="10">
        <v>0</v>
      </c>
      <c r="G388" s="10">
        <v>0</v>
      </c>
      <c r="H388" s="10">
        <v>0</v>
      </c>
      <c r="I388" s="10">
        <v>0</v>
      </c>
      <c r="J388" s="10">
        <v>0</v>
      </c>
      <c r="K388" s="10">
        <v>0</v>
      </c>
      <c r="L388" s="10">
        <v>0</v>
      </c>
      <c r="M388" s="10">
        <v>0</v>
      </c>
      <c r="N388" s="10">
        <v>0</v>
      </c>
      <c r="O388" s="10">
        <v>0</v>
      </c>
      <c r="P388" s="10">
        <v>18</v>
      </c>
    </row>
    <row r="389" spans="1:16">
      <c r="A389" s="10" t="s">
        <v>415</v>
      </c>
      <c r="B389" s="10">
        <v>136</v>
      </c>
      <c r="C389" s="21">
        <v>1.5172864742822904E-3</v>
      </c>
      <c r="D389" s="10">
        <v>158</v>
      </c>
      <c r="E389" s="10">
        <v>1</v>
      </c>
      <c r="F389" s="10">
        <v>0</v>
      </c>
      <c r="G389" s="10">
        <v>0</v>
      </c>
      <c r="H389" s="10">
        <v>0</v>
      </c>
      <c r="I389" s="10">
        <v>0</v>
      </c>
      <c r="J389" s="10">
        <v>0</v>
      </c>
      <c r="K389" s="10">
        <v>0</v>
      </c>
      <c r="L389" s="10">
        <v>0</v>
      </c>
      <c r="M389" s="10">
        <v>0</v>
      </c>
      <c r="N389" s="10">
        <v>0</v>
      </c>
      <c r="O389" s="10">
        <v>0</v>
      </c>
      <c r="P389" s="10">
        <v>37</v>
      </c>
    </row>
    <row r="390" spans="1:16">
      <c r="A390" s="10" t="s">
        <v>416</v>
      </c>
      <c r="B390" s="10">
        <v>118</v>
      </c>
      <c r="C390" s="21">
        <v>5.7392662011016612E-4</v>
      </c>
      <c r="D390" s="10">
        <v>174</v>
      </c>
      <c r="E390" s="10">
        <v>0</v>
      </c>
      <c r="F390" s="10">
        <v>0</v>
      </c>
      <c r="G390" s="10">
        <v>0</v>
      </c>
      <c r="H390" s="10">
        <v>0</v>
      </c>
      <c r="I390" s="10">
        <v>0</v>
      </c>
      <c r="J390" s="10">
        <v>0</v>
      </c>
      <c r="K390" s="10">
        <v>1</v>
      </c>
      <c r="L390" s="10">
        <v>0</v>
      </c>
      <c r="M390" s="10">
        <v>0</v>
      </c>
      <c r="N390" s="10">
        <v>0</v>
      </c>
      <c r="O390" s="10">
        <v>0</v>
      </c>
      <c r="P390" s="10">
        <v>32</v>
      </c>
    </row>
    <row r="391" spans="1:16">
      <c r="A391" s="10" t="s">
        <v>417</v>
      </c>
      <c r="B391" s="10">
        <v>76</v>
      </c>
      <c r="C391" s="21">
        <v>1.9366485536107321E-3</v>
      </c>
      <c r="D391" s="10">
        <v>136</v>
      </c>
      <c r="E391" s="10">
        <v>0</v>
      </c>
      <c r="F391" s="10">
        <v>1</v>
      </c>
      <c r="G391" s="10">
        <v>0</v>
      </c>
      <c r="H391" s="10">
        <v>0</v>
      </c>
      <c r="I391" s="10">
        <v>0</v>
      </c>
      <c r="J391" s="10">
        <v>0</v>
      </c>
      <c r="K391" s="10">
        <v>0</v>
      </c>
      <c r="L391" s="10">
        <v>0</v>
      </c>
      <c r="M391" s="10">
        <v>0</v>
      </c>
      <c r="N391" s="10">
        <v>0</v>
      </c>
      <c r="O391" s="10">
        <v>0</v>
      </c>
      <c r="P391" s="10">
        <v>36</v>
      </c>
    </row>
    <row r="392" spans="1:16">
      <c r="A392" s="10" t="s">
        <v>418</v>
      </c>
      <c r="B392" s="10">
        <v>58</v>
      </c>
      <c r="C392" s="21">
        <v>2.8451240220922274E-3</v>
      </c>
      <c r="D392" s="10">
        <v>131</v>
      </c>
      <c r="E392" s="10">
        <v>0</v>
      </c>
      <c r="F392" s="10">
        <v>0</v>
      </c>
      <c r="G392" s="10">
        <v>1</v>
      </c>
      <c r="H392" s="10">
        <v>0</v>
      </c>
      <c r="I392" s="10">
        <v>0</v>
      </c>
      <c r="J392" s="10">
        <v>0</v>
      </c>
      <c r="K392" s="10">
        <v>0</v>
      </c>
      <c r="L392" s="10">
        <v>0</v>
      </c>
      <c r="M392" s="10">
        <v>0</v>
      </c>
      <c r="N392" s="10">
        <v>0</v>
      </c>
      <c r="O392" s="10">
        <v>0</v>
      </c>
      <c r="P392" s="10">
        <v>31</v>
      </c>
    </row>
    <row r="393" spans="1:16">
      <c r="A393" s="10" t="s">
        <v>419</v>
      </c>
      <c r="B393" s="10">
        <v>167</v>
      </c>
      <c r="C393" s="21">
        <v>2.9878169044149669E-3</v>
      </c>
      <c r="D393" s="10">
        <v>184</v>
      </c>
      <c r="E393" s="10">
        <v>0</v>
      </c>
      <c r="F393" s="10">
        <v>0</v>
      </c>
      <c r="G393" s="10">
        <v>0</v>
      </c>
      <c r="H393" s="10">
        <v>1</v>
      </c>
      <c r="I393" s="10">
        <v>0</v>
      </c>
      <c r="J393" s="10">
        <v>0</v>
      </c>
      <c r="K393" s="10">
        <v>0</v>
      </c>
      <c r="L393" s="10">
        <v>0</v>
      </c>
      <c r="M393" s="10">
        <v>0</v>
      </c>
      <c r="N393" s="10">
        <v>0</v>
      </c>
      <c r="O393" s="10">
        <v>1</v>
      </c>
      <c r="P393" s="10">
        <v>35</v>
      </c>
    </row>
    <row r="394" spans="1:16">
      <c r="A394" s="10" t="s">
        <v>420</v>
      </c>
      <c r="B394" s="10">
        <v>118</v>
      </c>
      <c r="C394" s="21">
        <v>1.0371880030629517E-3</v>
      </c>
      <c r="D394" s="10">
        <v>127</v>
      </c>
      <c r="E394" s="10">
        <v>0</v>
      </c>
      <c r="F394" s="10">
        <v>1</v>
      </c>
      <c r="G394" s="10">
        <v>0</v>
      </c>
      <c r="H394" s="10">
        <v>0</v>
      </c>
      <c r="I394" s="10">
        <v>0</v>
      </c>
      <c r="J394" s="10">
        <v>0</v>
      </c>
      <c r="K394" s="10">
        <v>0</v>
      </c>
      <c r="L394" s="10">
        <v>0</v>
      </c>
      <c r="M394" s="10">
        <v>0</v>
      </c>
      <c r="N394" s="10">
        <v>0</v>
      </c>
      <c r="O394" s="10">
        <v>0</v>
      </c>
      <c r="P394" s="10">
        <v>23</v>
      </c>
    </row>
    <row r="395" spans="1:16">
      <c r="A395" s="10" t="s">
        <v>421</v>
      </c>
      <c r="B395" s="10">
        <v>406</v>
      </c>
      <c r="C395" s="21">
        <v>8.4163114564572933E-4</v>
      </c>
      <c r="D395" s="10">
        <v>193</v>
      </c>
      <c r="E395" s="10">
        <v>0</v>
      </c>
      <c r="F395" s="10">
        <v>0</v>
      </c>
      <c r="G395" s="10">
        <v>0</v>
      </c>
      <c r="H395" s="10">
        <v>0</v>
      </c>
      <c r="I395" s="10">
        <v>0</v>
      </c>
      <c r="J395" s="10">
        <v>0</v>
      </c>
      <c r="K395" s="10">
        <v>0</v>
      </c>
      <c r="L395" s="10">
        <v>0</v>
      </c>
      <c r="M395" s="10">
        <v>0</v>
      </c>
      <c r="N395" s="10">
        <v>0</v>
      </c>
      <c r="O395" s="10">
        <v>0</v>
      </c>
      <c r="P395" s="10">
        <v>14</v>
      </c>
    </row>
    <row r="396" spans="1:16">
      <c r="A396" s="10" t="s">
        <v>422</v>
      </c>
      <c r="B396" s="10">
        <v>408</v>
      </c>
      <c r="C396" s="21">
        <v>2.2223082751876852E-3</v>
      </c>
      <c r="D396" s="10">
        <v>146</v>
      </c>
      <c r="E396" s="10">
        <v>0</v>
      </c>
      <c r="F396" s="10">
        <v>0</v>
      </c>
      <c r="G396" s="10">
        <v>0</v>
      </c>
      <c r="H396" s="10">
        <v>0</v>
      </c>
      <c r="I396" s="10">
        <v>0</v>
      </c>
      <c r="J396" s="10">
        <v>0</v>
      </c>
      <c r="K396" s="10">
        <v>0</v>
      </c>
      <c r="L396" s="10">
        <v>0</v>
      </c>
      <c r="M396" s="10">
        <v>0</v>
      </c>
      <c r="N396" s="10">
        <v>0</v>
      </c>
      <c r="O396" s="10">
        <v>0</v>
      </c>
      <c r="P396" s="10">
        <v>30</v>
      </c>
    </row>
    <row r="397" spans="1:16">
      <c r="A397" s="10" t="s">
        <v>423</v>
      </c>
      <c r="B397" s="10">
        <v>95</v>
      </c>
      <c r="C397" s="21">
        <v>1.6758914147299972E-3</v>
      </c>
      <c r="D397" s="10">
        <v>108</v>
      </c>
      <c r="E397" s="10">
        <v>1</v>
      </c>
      <c r="F397" s="10">
        <v>0</v>
      </c>
      <c r="G397" s="10">
        <v>0</v>
      </c>
      <c r="H397" s="10">
        <v>0</v>
      </c>
      <c r="I397" s="10">
        <v>0</v>
      </c>
      <c r="J397" s="10">
        <v>0</v>
      </c>
      <c r="K397" s="10">
        <v>0</v>
      </c>
      <c r="L397" s="10">
        <v>0</v>
      </c>
      <c r="M397" s="10">
        <v>0</v>
      </c>
      <c r="N397" s="10">
        <v>0</v>
      </c>
      <c r="O397" s="10">
        <v>1</v>
      </c>
      <c r="P397" s="10">
        <v>43</v>
      </c>
    </row>
    <row r="398" spans="1:16">
      <c r="A398" s="10" t="s">
        <v>424</v>
      </c>
      <c r="B398" s="10">
        <v>89</v>
      </c>
      <c r="C398" s="21">
        <v>2.2289394978461095E-3</v>
      </c>
      <c r="D398" s="10">
        <v>126</v>
      </c>
      <c r="E398" s="10">
        <v>0</v>
      </c>
      <c r="F398" s="10">
        <v>0</v>
      </c>
      <c r="G398" s="10">
        <v>0</v>
      </c>
      <c r="H398" s="10">
        <v>0</v>
      </c>
      <c r="I398" s="10">
        <v>0</v>
      </c>
      <c r="J398" s="10">
        <v>0</v>
      </c>
      <c r="K398" s="10">
        <v>0</v>
      </c>
      <c r="L398" s="10">
        <v>0</v>
      </c>
      <c r="M398" s="10">
        <v>0</v>
      </c>
      <c r="N398" s="10">
        <v>0</v>
      </c>
      <c r="O398" s="10">
        <v>0</v>
      </c>
      <c r="P398" s="10">
        <v>39</v>
      </c>
    </row>
    <row r="399" spans="1:16">
      <c r="A399" s="10" t="s">
        <v>425</v>
      </c>
      <c r="B399" s="10">
        <v>94</v>
      </c>
      <c r="C399" s="21">
        <v>1.7467039445429548E-3</v>
      </c>
      <c r="D399" s="10">
        <v>143</v>
      </c>
      <c r="E399" s="10">
        <v>0</v>
      </c>
      <c r="F399" s="10">
        <v>0</v>
      </c>
      <c r="G399" s="10">
        <v>0</v>
      </c>
      <c r="H399" s="10">
        <v>0</v>
      </c>
      <c r="I399" s="10">
        <v>0</v>
      </c>
      <c r="J399" s="10">
        <v>0</v>
      </c>
      <c r="K399" s="10">
        <v>1</v>
      </c>
      <c r="L399" s="10">
        <v>0</v>
      </c>
      <c r="M399" s="10">
        <v>0</v>
      </c>
      <c r="N399" s="10">
        <v>0</v>
      </c>
      <c r="O399" s="10">
        <v>0</v>
      </c>
      <c r="P399" s="10">
        <v>16</v>
      </c>
    </row>
    <row r="400" spans="1:16">
      <c r="A400" s="10" t="s">
        <v>426</v>
      </c>
      <c r="B400" s="10">
        <v>360</v>
      </c>
      <c r="C400" s="21">
        <v>1.6997121108903279E-3</v>
      </c>
      <c r="D400" s="10">
        <v>139</v>
      </c>
      <c r="E400" s="10">
        <v>0</v>
      </c>
      <c r="F400" s="10">
        <v>0</v>
      </c>
      <c r="G400" s="10">
        <v>0</v>
      </c>
      <c r="H400" s="10">
        <v>0</v>
      </c>
      <c r="I400" s="10">
        <v>1</v>
      </c>
      <c r="J400" s="10">
        <v>0</v>
      </c>
      <c r="K400" s="10">
        <v>0</v>
      </c>
      <c r="L400" s="10">
        <v>0</v>
      </c>
      <c r="M400" s="10">
        <v>0</v>
      </c>
      <c r="N400" s="10">
        <v>0</v>
      </c>
      <c r="O400" s="10">
        <v>0</v>
      </c>
      <c r="P400" s="10">
        <v>34</v>
      </c>
    </row>
    <row r="401" spans="1:16">
      <c r="A401" s="10" t="s">
        <v>427</v>
      </c>
      <c r="B401" s="10">
        <v>75</v>
      </c>
      <c r="C401" s="21">
        <v>7.4420717741803316E-4</v>
      </c>
      <c r="D401" s="10">
        <v>132</v>
      </c>
      <c r="E401" s="10">
        <v>0</v>
      </c>
      <c r="F401" s="10">
        <v>1</v>
      </c>
      <c r="G401" s="10">
        <v>0</v>
      </c>
      <c r="H401" s="10">
        <v>0</v>
      </c>
      <c r="I401" s="10">
        <v>0</v>
      </c>
      <c r="J401" s="10">
        <v>0</v>
      </c>
      <c r="K401" s="10">
        <v>0</v>
      </c>
      <c r="L401" s="10">
        <v>0</v>
      </c>
      <c r="M401" s="10">
        <v>0</v>
      </c>
      <c r="N401" s="10">
        <v>0</v>
      </c>
      <c r="O401" s="10">
        <v>1</v>
      </c>
      <c r="P401" s="10">
        <v>16</v>
      </c>
    </row>
    <row r="402" spans="1:16">
      <c r="A402" s="10" t="s">
        <v>428</v>
      </c>
      <c r="B402" s="10">
        <v>525</v>
      </c>
      <c r="C402" s="21">
        <v>1.6453190302720502E-3</v>
      </c>
      <c r="D402" s="10">
        <v>170</v>
      </c>
      <c r="E402" s="10">
        <v>0</v>
      </c>
      <c r="F402" s="10">
        <v>0</v>
      </c>
      <c r="G402" s="10">
        <v>0</v>
      </c>
      <c r="H402" s="10">
        <v>0</v>
      </c>
      <c r="I402" s="10">
        <v>0</v>
      </c>
      <c r="J402" s="10">
        <v>0</v>
      </c>
      <c r="K402" s="10">
        <v>0</v>
      </c>
      <c r="L402" s="10">
        <v>0</v>
      </c>
      <c r="M402" s="10">
        <v>0</v>
      </c>
      <c r="N402" s="10">
        <v>0</v>
      </c>
      <c r="O402" s="10">
        <v>0</v>
      </c>
      <c r="P402" s="10">
        <v>27</v>
      </c>
    </row>
    <row r="403" spans="1:16">
      <c r="A403" s="10" t="s">
        <v>429</v>
      </c>
      <c r="B403" s="10">
        <v>435</v>
      </c>
      <c r="C403" s="21">
        <v>1.2330011428138235E-3</v>
      </c>
      <c r="D403" s="10">
        <v>172</v>
      </c>
      <c r="E403" s="10">
        <v>0</v>
      </c>
      <c r="F403" s="10">
        <v>0</v>
      </c>
      <c r="G403" s="10">
        <v>0</v>
      </c>
      <c r="H403" s="10">
        <v>0</v>
      </c>
      <c r="I403" s="10">
        <v>0</v>
      </c>
      <c r="J403" s="10">
        <v>0</v>
      </c>
      <c r="K403" s="10">
        <v>0</v>
      </c>
      <c r="L403" s="10">
        <v>0</v>
      </c>
      <c r="M403" s="10">
        <v>0</v>
      </c>
      <c r="N403" s="10">
        <v>0</v>
      </c>
      <c r="O403" s="10">
        <v>0</v>
      </c>
      <c r="P403" s="10">
        <v>37</v>
      </c>
    </row>
    <row r="404" spans="1:16">
      <c r="A404" s="10" t="s">
        <v>430</v>
      </c>
      <c r="B404" s="10">
        <v>85</v>
      </c>
      <c r="C404" s="21">
        <v>1.1297116562729271E-3</v>
      </c>
      <c r="D404" s="10">
        <v>142</v>
      </c>
      <c r="E404" s="10">
        <v>0</v>
      </c>
      <c r="F404" s="10">
        <v>0</v>
      </c>
      <c r="G404" s="10">
        <v>0</v>
      </c>
      <c r="H404" s="10">
        <v>0</v>
      </c>
      <c r="I404" s="10">
        <v>0</v>
      </c>
      <c r="J404" s="10">
        <v>0</v>
      </c>
      <c r="K404" s="10">
        <v>1</v>
      </c>
      <c r="L404" s="10">
        <v>0</v>
      </c>
      <c r="M404" s="10">
        <v>0</v>
      </c>
      <c r="N404" s="10">
        <v>0</v>
      </c>
      <c r="O404" s="10">
        <v>0</v>
      </c>
      <c r="P404" s="10">
        <v>21</v>
      </c>
    </row>
    <row r="405" spans="1:16">
      <c r="A405" s="10" t="s">
        <v>431</v>
      </c>
      <c r="B405" s="10">
        <v>445</v>
      </c>
      <c r="C405" s="21">
        <v>1.5448430437995774E-3</v>
      </c>
      <c r="D405" s="10">
        <v>116</v>
      </c>
      <c r="E405" s="10">
        <v>0</v>
      </c>
      <c r="F405" s="10">
        <v>0</v>
      </c>
      <c r="G405" s="10">
        <v>0</v>
      </c>
      <c r="H405" s="10">
        <v>0</v>
      </c>
      <c r="I405" s="10">
        <v>1</v>
      </c>
      <c r="J405" s="10">
        <v>0</v>
      </c>
      <c r="K405" s="10">
        <v>0</v>
      </c>
      <c r="L405" s="10">
        <v>0</v>
      </c>
      <c r="M405" s="10">
        <v>0</v>
      </c>
      <c r="N405" s="10">
        <v>0</v>
      </c>
      <c r="O405" s="10">
        <v>1</v>
      </c>
      <c r="P405" s="10">
        <v>29</v>
      </c>
    </row>
    <row r="406" spans="1:16">
      <c r="A406" s="10" t="s">
        <v>432</v>
      </c>
      <c r="B406" s="10">
        <v>114</v>
      </c>
      <c r="C406" s="21">
        <v>1.8104583050983728E-3</v>
      </c>
      <c r="D406" s="10">
        <v>122</v>
      </c>
      <c r="E406" s="10">
        <v>0</v>
      </c>
      <c r="F406" s="10">
        <v>1</v>
      </c>
      <c r="G406" s="10">
        <v>0</v>
      </c>
      <c r="H406" s="10">
        <v>0</v>
      </c>
      <c r="I406" s="10">
        <v>0</v>
      </c>
      <c r="J406" s="10">
        <v>0</v>
      </c>
      <c r="K406" s="10">
        <v>0</v>
      </c>
      <c r="L406" s="10">
        <v>0</v>
      </c>
      <c r="M406" s="10">
        <v>0</v>
      </c>
      <c r="N406" s="10">
        <v>0</v>
      </c>
      <c r="O406" s="10">
        <v>0</v>
      </c>
      <c r="P406" s="10">
        <v>34</v>
      </c>
    </row>
    <row r="407" spans="1:16">
      <c r="A407" s="10" t="s">
        <v>433</v>
      </c>
      <c r="B407" s="10">
        <v>378</v>
      </c>
      <c r="C407" s="21">
        <v>2.6494252838710061E-3</v>
      </c>
      <c r="D407" s="10">
        <v>152</v>
      </c>
      <c r="E407" s="10">
        <v>0</v>
      </c>
      <c r="F407" s="10">
        <v>0</v>
      </c>
      <c r="G407" s="10">
        <v>0</v>
      </c>
      <c r="H407" s="10">
        <v>0</v>
      </c>
      <c r="I407" s="10">
        <v>0</v>
      </c>
      <c r="J407" s="10">
        <v>0</v>
      </c>
      <c r="K407" s="10">
        <v>0</v>
      </c>
      <c r="L407" s="10">
        <v>0</v>
      </c>
      <c r="M407" s="10">
        <v>0</v>
      </c>
      <c r="N407" s="10">
        <v>0</v>
      </c>
      <c r="O407" s="10">
        <v>1</v>
      </c>
      <c r="P407" s="10">
        <v>28</v>
      </c>
    </row>
    <row r="408" spans="1:16">
      <c r="A408" s="10" t="s">
        <v>434</v>
      </c>
      <c r="B408" s="10">
        <v>112</v>
      </c>
      <c r="C408" s="21">
        <v>2.0375283062955551E-3</v>
      </c>
      <c r="D408" s="10">
        <v>168</v>
      </c>
      <c r="E408" s="10">
        <v>1</v>
      </c>
      <c r="F408" s="10">
        <v>0</v>
      </c>
      <c r="G408" s="10">
        <v>0</v>
      </c>
      <c r="H408" s="10">
        <v>0</v>
      </c>
      <c r="I408" s="10">
        <v>0</v>
      </c>
      <c r="J408" s="10">
        <v>0</v>
      </c>
      <c r="K408" s="10">
        <v>0</v>
      </c>
      <c r="L408" s="10">
        <v>0</v>
      </c>
      <c r="M408" s="10">
        <v>0</v>
      </c>
      <c r="N408" s="10">
        <v>0</v>
      </c>
      <c r="O408" s="10">
        <v>0</v>
      </c>
      <c r="P408" s="10">
        <v>24</v>
      </c>
    </row>
    <row r="409" spans="1:16">
      <c r="A409" s="10" t="s">
        <v>436</v>
      </c>
      <c r="B409" s="10">
        <v>323</v>
      </c>
      <c r="C409" s="21">
        <v>7.9769503253432925E-4</v>
      </c>
      <c r="D409" s="10">
        <v>190</v>
      </c>
      <c r="E409" s="10">
        <v>0</v>
      </c>
      <c r="F409" s="10">
        <v>0</v>
      </c>
      <c r="G409" s="10">
        <v>0</v>
      </c>
      <c r="H409" s="10">
        <v>0</v>
      </c>
      <c r="I409" s="10">
        <v>1</v>
      </c>
      <c r="J409" s="10">
        <v>0</v>
      </c>
      <c r="K409" s="10">
        <v>0</v>
      </c>
      <c r="L409" s="10">
        <v>0</v>
      </c>
      <c r="M409" s="10">
        <v>0</v>
      </c>
      <c r="N409" s="10">
        <v>0</v>
      </c>
      <c r="O409" s="10">
        <v>0</v>
      </c>
      <c r="P409" s="10">
        <v>17</v>
      </c>
    </row>
    <row r="410" spans="1:16">
      <c r="A410" s="10" t="s">
        <v>437</v>
      </c>
      <c r="B410" s="10">
        <v>480</v>
      </c>
      <c r="C410" s="21">
        <v>1.4620791265190648E-3</v>
      </c>
      <c r="D410" s="10">
        <v>196</v>
      </c>
      <c r="E410" s="10">
        <v>0</v>
      </c>
      <c r="F410" s="10">
        <v>0</v>
      </c>
      <c r="G410" s="10">
        <v>0</v>
      </c>
      <c r="H410" s="10">
        <v>0</v>
      </c>
      <c r="I410" s="10">
        <v>0</v>
      </c>
      <c r="J410" s="10">
        <v>0</v>
      </c>
      <c r="K410" s="10">
        <v>0</v>
      </c>
      <c r="L410" s="10">
        <v>0</v>
      </c>
      <c r="M410" s="10">
        <v>0</v>
      </c>
      <c r="N410" s="10">
        <v>0</v>
      </c>
      <c r="O410" s="10">
        <v>0</v>
      </c>
      <c r="P410" s="10">
        <v>28</v>
      </c>
    </row>
    <row r="411" spans="1:16">
      <c r="A411" s="10" t="s">
        <v>438</v>
      </c>
      <c r="B411" s="10">
        <v>647</v>
      </c>
      <c r="C411" s="21">
        <v>4.3520774532817522E-4</v>
      </c>
      <c r="D411" s="10">
        <v>169</v>
      </c>
      <c r="E411" s="10">
        <v>0</v>
      </c>
      <c r="F411" s="10">
        <v>0</v>
      </c>
      <c r="G411" s="10">
        <v>0</v>
      </c>
      <c r="H411" s="10">
        <v>0</v>
      </c>
      <c r="I411" s="10">
        <v>0</v>
      </c>
      <c r="J411" s="10">
        <v>0</v>
      </c>
      <c r="K411" s="10">
        <v>0</v>
      </c>
      <c r="L411" s="10">
        <v>0</v>
      </c>
      <c r="M411" s="10">
        <v>0</v>
      </c>
      <c r="N411" s="10">
        <v>0</v>
      </c>
      <c r="O411" s="10">
        <v>0</v>
      </c>
      <c r="P411" s="10">
        <v>20</v>
      </c>
    </row>
    <row r="412" spans="1:16">
      <c r="A412" s="10" t="s">
        <v>439</v>
      </c>
      <c r="B412" s="10">
        <v>96</v>
      </c>
      <c r="C412" s="21">
        <v>1.33787639415248E-3</v>
      </c>
      <c r="D412" s="10">
        <v>139</v>
      </c>
      <c r="E412" s="10">
        <v>1</v>
      </c>
      <c r="F412" s="10">
        <v>0</v>
      </c>
      <c r="G412" s="10">
        <v>0</v>
      </c>
      <c r="H412" s="10">
        <v>0</v>
      </c>
      <c r="I412" s="10">
        <v>0</v>
      </c>
      <c r="J412" s="10">
        <v>0</v>
      </c>
      <c r="K412" s="10">
        <v>0</v>
      </c>
      <c r="L412" s="10">
        <v>0</v>
      </c>
      <c r="M412" s="10">
        <v>0</v>
      </c>
      <c r="N412" s="10">
        <v>0</v>
      </c>
      <c r="O412" s="10">
        <v>0</v>
      </c>
      <c r="P412" s="10">
        <v>38</v>
      </c>
    </row>
    <row r="413" spans="1:16">
      <c r="A413" s="10" t="s">
        <v>440</v>
      </c>
      <c r="B413" s="10">
        <v>113</v>
      </c>
      <c r="C413" s="21">
        <v>8.8712029306550961E-4</v>
      </c>
      <c r="D413" s="10">
        <v>189</v>
      </c>
      <c r="E413" s="10">
        <v>0</v>
      </c>
      <c r="F413" s="10">
        <v>0</v>
      </c>
      <c r="G413" s="10">
        <v>0</v>
      </c>
      <c r="H413" s="10">
        <v>0</v>
      </c>
      <c r="I413" s="10">
        <v>0</v>
      </c>
      <c r="J413" s="10">
        <v>0</v>
      </c>
      <c r="K413" s="10">
        <v>1</v>
      </c>
      <c r="L413" s="10">
        <v>0</v>
      </c>
      <c r="M413" s="10">
        <v>0</v>
      </c>
      <c r="N413" s="10">
        <v>0</v>
      </c>
      <c r="O413" s="10">
        <v>0</v>
      </c>
      <c r="P413" s="10">
        <v>18</v>
      </c>
    </row>
    <row r="414" spans="1:16">
      <c r="A414" s="10" t="s">
        <v>441</v>
      </c>
      <c r="B414" s="10">
        <v>245</v>
      </c>
      <c r="C414" s="21">
        <v>1.5372152911969432E-4</v>
      </c>
      <c r="D414" s="10">
        <v>154</v>
      </c>
      <c r="E414" s="10">
        <v>0</v>
      </c>
      <c r="F414" s="10">
        <v>0</v>
      </c>
      <c r="G414" s="10">
        <v>0</v>
      </c>
      <c r="H414" s="10">
        <v>1</v>
      </c>
      <c r="I414" s="10">
        <v>0</v>
      </c>
      <c r="J414" s="10">
        <v>0</v>
      </c>
      <c r="K414" s="10">
        <v>0</v>
      </c>
      <c r="L414" s="10">
        <v>0</v>
      </c>
      <c r="M414" s="10">
        <v>0</v>
      </c>
      <c r="N414" s="10">
        <v>0</v>
      </c>
      <c r="O414" s="10">
        <v>0</v>
      </c>
      <c r="P414" s="10">
        <v>22</v>
      </c>
    </row>
    <row r="415" spans="1:16">
      <c r="A415" s="10" t="s">
        <v>442</v>
      </c>
      <c r="B415" s="10">
        <v>147</v>
      </c>
      <c r="C415" s="21">
        <v>1.6557376276132246E-3</v>
      </c>
      <c r="D415" s="10">
        <v>211</v>
      </c>
      <c r="E415" s="10">
        <v>0</v>
      </c>
      <c r="F415" s="10">
        <v>1</v>
      </c>
      <c r="G415" s="10">
        <v>0</v>
      </c>
      <c r="H415" s="10">
        <v>0</v>
      </c>
      <c r="I415" s="10">
        <v>0</v>
      </c>
      <c r="J415" s="10">
        <v>0</v>
      </c>
      <c r="K415" s="10">
        <v>0</v>
      </c>
      <c r="L415" s="10">
        <v>0</v>
      </c>
      <c r="M415" s="10">
        <v>0</v>
      </c>
      <c r="N415" s="10">
        <v>0</v>
      </c>
      <c r="O415" s="10">
        <v>1</v>
      </c>
      <c r="P415" s="10">
        <v>21</v>
      </c>
    </row>
    <row r="416" spans="1:16">
      <c r="A416" s="10" t="s">
        <v>443</v>
      </c>
      <c r="B416" s="10">
        <v>485</v>
      </c>
      <c r="C416" s="21">
        <v>5.1743853124063661E-4</v>
      </c>
      <c r="D416" s="10">
        <v>168</v>
      </c>
      <c r="E416" s="10">
        <v>0</v>
      </c>
      <c r="F416" s="10">
        <v>0</v>
      </c>
      <c r="G416" s="10">
        <v>0</v>
      </c>
      <c r="H416" s="10">
        <v>0</v>
      </c>
      <c r="I416" s="10">
        <v>0</v>
      </c>
      <c r="J416" s="10">
        <v>0</v>
      </c>
      <c r="K416" s="10">
        <v>0</v>
      </c>
      <c r="L416" s="10">
        <v>0</v>
      </c>
      <c r="M416" s="10">
        <v>0</v>
      </c>
      <c r="N416" s="10">
        <v>0</v>
      </c>
      <c r="O416" s="10">
        <v>1</v>
      </c>
      <c r="P416" s="10">
        <v>25</v>
      </c>
    </row>
    <row r="417" spans="1:16">
      <c r="A417" s="10" t="s">
        <v>444</v>
      </c>
      <c r="B417" s="10">
        <v>554</v>
      </c>
      <c r="C417" s="21">
        <v>2.057800133678029E-3</v>
      </c>
      <c r="D417" s="10">
        <v>103</v>
      </c>
      <c r="E417" s="10">
        <v>0</v>
      </c>
      <c r="F417" s="10">
        <v>0</v>
      </c>
      <c r="G417" s="10">
        <v>0</v>
      </c>
      <c r="H417" s="10">
        <v>0</v>
      </c>
      <c r="I417" s="10">
        <v>0</v>
      </c>
      <c r="J417" s="10">
        <v>0</v>
      </c>
      <c r="K417" s="10">
        <v>0</v>
      </c>
      <c r="L417" s="10">
        <v>0</v>
      </c>
      <c r="M417" s="10">
        <v>0</v>
      </c>
      <c r="N417" s="10">
        <v>0</v>
      </c>
      <c r="O417" s="10">
        <v>0</v>
      </c>
      <c r="P417" s="10">
        <v>31</v>
      </c>
    </row>
    <row r="418" spans="1:16">
      <c r="A418" s="10" t="s">
        <v>445</v>
      </c>
      <c r="B418" s="10">
        <v>92</v>
      </c>
      <c r="C418" s="21">
        <v>1.3986906220521955E-3</v>
      </c>
      <c r="D418" s="10">
        <v>197</v>
      </c>
      <c r="E418" s="10">
        <v>1</v>
      </c>
      <c r="F418" s="10">
        <v>0</v>
      </c>
      <c r="G418" s="10">
        <v>0</v>
      </c>
      <c r="H418" s="10">
        <v>0</v>
      </c>
      <c r="I418" s="10">
        <v>0</v>
      </c>
      <c r="J418" s="10">
        <v>0</v>
      </c>
      <c r="K418" s="10">
        <v>0</v>
      </c>
      <c r="L418" s="10">
        <v>0</v>
      </c>
      <c r="M418" s="10">
        <v>0</v>
      </c>
      <c r="N418" s="10">
        <v>0</v>
      </c>
      <c r="O418" s="10">
        <v>1</v>
      </c>
      <c r="P418" s="10">
        <v>32</v>
      </c>
    </row>
    <row r="419" spans="1:16">
      <c r="A419" s="10" t="s">
        <v>446</v>
      </c>
      <c r="B419" s="10">
        <v>120</v>
      </c>
      <c r="C419" s="21">
        <v>1.08609967048553E-3</v>
      </c>
      <c r="D419" s="10">
        <v>117</v>
      </c>
      <c r="E419" s="10">
        <v>1</v>
      </c>
      <c r="F419" s="10">
        <v>0</v>
      </c>
      <c r="G419" s="10">
        <v>0</v>
      </c>
      <c r="H419" s="10">
        <v>0</v>
      </c>
      <c r="I419" s="10">
        <v>0</v>
      </c>
      <c r="J419" s="10">
        <v>0</v>
      </c>
      <c r="K419" s="10">
        <v>0</v>
      </c>
      <c r="L419" s="10">
        <v>0</v>
      </c>
      <c r="M419" s="10">
        <v>0</v>
      </c>
      <c r="N419" s="10">
        <v>0</v>
      </c>
      <c r="O419" s="10">
        <v>0</v>
      </c>
      <c r="P419" s="10">
        <v>33</v>
      </c>
    </row>
    <row r="420" spans="1:16">
      <c r="A420" s="10" t="s">
        <v>447</v>
      </c>
      <c r="B420" s="10">
        <v>211</v>
      </c>
      <c r="C420" s="21">
        <v>1.2627240376432175E-4</v>
      </c>
      <c r="D420" s="10">
        <v>182</v>
      </c>
      <c r="E420" s="10">
        <v>0</v>
      </c>
      <c r="F420" s="10">
        <v>0</v>
      </c>
      <c r="G420" s="10">
        <v>0</v>
      </c>
      <c r="H420" s="10">
        <v>1</v>
      </c>
      <c r="I420" s="10">
        <v>0</v>
      </c>
      <c r="J420" s="10">
        <v>0</v>
      </c>
      <c r="K420" s="10">
        <v>0</v>
      </c>
      <c r="L420" s="10">
        <v>0</v>
      </c>
      <c r="M420" s="10">
        <v>0</v>
      </c>
      <c r="N420" s="10">
        <v>0</v>
      </c>
      <c r="O420" s="10">
        <v>0</v>
      </c>
      <c r="P420" s="10">
        <v>8</v>
      </c>
    </row>
    <row r="421" spans="1:16">
      <c r="A421" s="10" t="s">
        <v>448</v>
      </c>
      <c r="B421" s="10">
        <v>248</v>
      </c>
      <c r="C421" s="21">
        <v>1.534375510860249E-3</v>
      </c>
      <c r="D421" s="10">
        <v>212</v>
      </c>
      <c r="E421" s="10">
        <v>0</v>
      </c>
      <c r="F421" s="10">
        <v>0</v>
      </c>
      <c r="G421" s="10">
        <v>0</v>
      </c>
      <c r="H421" s="10">
        <v>0</v>
      </c>
      <c r="I421" s="10">
        <v>1</v>
      </c>
      <c r="J421" s="10">
        <v>0</v>
      </c>
      <c r="K421" s="10">
        <v>0</v>
      </c>
      <c r="L421" s="10">
        <v>0</v>
      </c>
      <c r="M421" s="10">
        <v>0</v>
      </c>
      <c r="N421" s="10">
        <v>0</v>
      </c>
      <c r="O421" s="10">
        <v>0</v>
      </c>
      <c r="P421" s="10">
        <v>15</v>
      </c>
    </row>
    <row r="422" spans="1:16">
      <c r="A422" s="10" t="s">
        <v>449</v>
      </c>
      <c r="B422" s="10">
        <v>461</v>
      </c>
      <c r="C422" s="21">
        <v>1.6267525668120964E-3</v>
      </c>
      <c r="D422" s="10">
        <v>173</v>
      </c>
      <c r="E422" s="10">
        <v>0</v>
      </c>
      <c r="F422" s="10">
        <v>0</v>
      </c>
      <c r="G422" s="10">
        <v>0</v>
      </c>
      <c r="H422" s="10">
        <v>0</v>
      </c>
      <c r="I422" s="10">
        <v>0</v>
      </c>
      <c r="J422" s="10">
        <v>0</v>
      </c>
      <c r="K422" s="10">
        <v>0</v>
      </c>
      <c r="L422" s="10">
        <v>0</v>
      </c>
      <c r="M422" s="10">
        <v>0</v>
      </c>
      <c r="N422" s="10">
        <v>0</v>
      </c>
      <c r="O422" s="10">
        <v>0</v>
      </c>
      <c r="P422" s="10">
        <v>26</v>
      </c>
    </row>
    <row r="423" spans="1:16">
      <c r="A423" s="10" t="s">
        <v>450</v>
      </c>
      <c r="B423" s="10">
        <v>69</v>
      </c>
      <c r="C423" s="21">
        <v>1.5520491345140186E-3</v>
      </c>
      <c r="D423" s="10">
        <v>160</v>
      </c>
      <c r="E423" s="10">
        <v>0</v>
      </c>
      <c r="F423" s="10">
        <v>1</v>
      </c>
      <c r="G423" s="10">
        <v>0</v>
      </c>
      <c r="H423" s="10">
        <v>0</v>
      </c>
      <c r="I423" s="10">
        <v>0</v>
      </c>
      <c r="J423" s="10">
        <v>0</v>
      </c>
      <c r="K423" s="10">
        <v>0</v>
      </c>
      <c r="L423" s="10">
        <v>0</v>
      </c>
      <c r="M423" s="10">
        <v>0</v>
      </c>
      <c r="N423" s="10">
        <v>0</v>
      </c>
      <c r="O423" s="10">
        <v>0</v>
      </c>
      <c r="P423" s="10">
        <v>20</v>
      </c>
    </row>
    <row r="424" spans="1:16">
      <c r="A424" s="10" t="s">
        <v>451</v>
      </c>
      <c r="B424" s="10">
        <v>111</v>
      </c>
      <c r="C424" s="21">
        <v>9.1794531304502478E-4</v>
      </c>
      <c r="D424" s="10">
        <v>130</v>
      </c>
      <c r="E424" s="10">
        <v>1</v>
      </c>
      <c r="F424" s="10">
        <v>0</v>
      </c>
      <c r="G424" s="10">
        <v>0</v>
      </c>
      <c r="H424" s="10">
        <v>0</v>
      </c>
      <c r="I424" s="10">
        <v>0</v>
      </c>
      <c r="J424" s="10">
        <v>0</v>
      </c>
      <c r="K424" s="10">
        <v>0</v>
      </c>
      <c r="L424" s="10">
        <v>0</v>
      </c>
      <c r="M424" s="10">
        <v>0</v>
      </c>
      <c r="N424" s="10">
        <v>0</v>
      </c>
      <c r="O424" s="10">
        <v>1</v>
      </c>
      <c r="P424" s="10">
        <v>26</v>
      </c>
    </row>
    <row r="425" spans="1:16">
      <c r="A425" s="10" t="s">
        <v>452</v>
      </c>
      <c r="B425" s="10">
        <v>99</v>
      </c>
      <c r="C425" s="21">
        <v>1.6055971486838862E-3</v>
      </c>
      <c r="D425" s="10">
        <v>122</v>
      </c>
      <c r="E425" s="10">
        <v>0</v>
      </c>
      <c r="F425" s="10">
        <v>0</v>
      </c>
      <c r="G425" s="10">
        <v>0</v>
      </c>
      <c r="H425" s="10">
        <v>0</v>
      </c>
      <c r="I425" s="10">
        <v>0</v>
      </c>
      <c r="J425" s="10">
        <v>0</v>
      </c>
      <c r="K425" s="10">
        <v>1</v>
      </c>
      <c r="L425" s="10">
        <v>0</v>
      </c>
      <c r="M425" s="10">
        <v>0</v>
      </c>
      <c r="N425" s="10">
        <v>0</v>
      </c>
      <c r="O425" s="10">
        <v>0</v>
      </c>
      <c r="P425" s="10">
        <v>33</v>
      </c>
    </row>
    <row r="426" spans="1:16">
      <c r="A426" s="10" t="s">
        <v>453</v>
      </c>
      <c r="B426" s="10">
        <v>62</v>
      </c>
      <c r="C426" s="21">
        <v>1.2631941101209183E-3</v>
      </c>
      <c r="D426" s="10">
        <v>145</v>
      </c>
      <c r="E426" s="10">
        <v>0</v>
      </c>
      <c r="F426" s="10">
        <v>0</v>
      </c>
      <c r="G426" s="10">
        <v>1</v>
      </c>
      <c r="H426" s="10">
        <v>0</v>
      </c>
      <c r="I426" s="10">
        <v>0</v>
      </c>
      <c r="J426" s="10">
        <v>0</v>
      </c>
      <c r="K426" s="10">
        <v>0</v>
      </c>
      <c r="L426" s="10">
        <v>0</v>
      </c>
      <c r="M426" s="10">
        <v>0</v>
      </c>
      <c r="N426" s="10">
        <v>0</v>
      </c>
      <c r="O426" s="10">
        <v>1</v>
      </c>
      <c r="P426" s="10">
        <v>23</v>
      </c>
    </row>
    <row r="427" spans="1:16">
      <c r="A427" s="10" t="s">
        <v>454</v>
      </c>
      <c r="B427" s="10">
        <v>223</v>
      </c>
      <c r="C427" s="21">
        <v>1.5816097122218504E-3</v>
      </c>
      <c r="D427" s="10">
        <v>146</v>
      </c>
      <c r="E427" s="10">
        <v>0</v>
      </c>
      <c r="F427" s="10">
        <v>0</v>
      </c>
      <c r="G427" s="10">
        <v>0</v>
      </c>
      <c r="H427" s="10">
        <v>1</v>
      </c>
      <c r="I427" s="10">
        <v>0</v>
      </c>
      <c r="J427" s="10">
        <v>0</v>
      </c>
      <c r="K427" s="10">
        <v>0</v>
      </c>
      <c r="L427" s="10">
        <v>0</v>
      </c>
      <c r="M427" s="10">
        <v>0</v>
      </c>
      <c r="N427" s="10">
        <v>0</v>
      </c>
      <c r="O427" s="10">
        <v>0</v>
      </c>
      <c r="P427" s="10">
        <v>21</v>
      </c>
    </row>
    <row r="428" spans="1:16">
      <c r="A428" s="10" t="s">
        <v>455</v>
      </c>
      <c r="B428" s="10">
        <v>590</v>
      </c>
      <c r="C428" s="21">
        <v>2.6291486538712553E-3</v>
      </c>
      <c r="D428" s="10">
        <v>127</v>
      </c>
      <c r="E428" s="10">
        <v>0</v>
      </c>
      <c r="F428" s="10">
        <v>0</v>
      </c>
      <c r="G428" s="10">
        <v>0</v>
      </c>
      <c r="H428" s="10">
        <v>0</v>
      </c>
      <c r="I428" s="10">
        <v>0</v>
      </c>
      <c r="J428" s="10">
        <v>0</v>
      </c>
      <c r="K428" s="10">
        <v>0</v>
      </c>
      <c r="L428" s="10">
        <v>0</v>
      </c>
      <c r="M428" s="10">
        <v>0</v>
      </c>
      <c r="N428" s="10">
        <v>0</v>
      </c>
      <c r="O428" s="10">
        <v>1</v>
      </c>
      <c r="P428" s="10">
        <v>43</v>
      </c>
    </row>
    <row r="429" spans="1:16">
      <c r="A429" s="10" t="s">
        <v>456</v>
      </c>
      <c r="B429" s="10">
        <v>613</v>
      </c>
      <c r="C429" s="21">
        <v>3.1336712002945966E-3</v>
      </c>
      <c r="D429" s="10">
        <v>101</v>
      </c>
      <c r="E429" s="10">
        <v>0</v>
      </c>
      <c r="F429" s="10">
        <v>0</v>
      </c>
      <c r="G429" s="10">
        <v>0</v>
      </c>
      <c r="H429" s="10">
        <v>0</v>
      </c>
      <c r="I429" s="10">
        <v>0</v>
      </c>
      <c r="J429" s="10">
        <v>0</v>
      </c>
      <c r="K429" s="10">
        <v>0</v>
      </c>
      <c r="L429" s="10">
        <v>0</v>
      </c>
      <c r="M429" s="10">
        <v>0</v>
      </c>
      <c r="N429" s="10">
        <v>0</v>
      </c>
      <c r="O429" s="10">
        <v>0</v>
      </c>
      <c r="P429" s="10">
        <v>36</v>
      </c>
    </row>
    <row r="430" spans="1:16">
      <c r="A430" s="10" t="s">
        <v>457</v>
      </c>
      <c r="B430" s="10">
        <v>115</v>
      </c>
      <c r="C430" s="21">
        <v>1.3453046986003688E-3</v>
      </c>
      <c r="D430" s="10">
        <v>188</v>
      </c>
      <c r="E430" s="10">
        <v>1</v>
      </c>
      <c r="F430" s="10">
        <v>0</v>
      </c>
      <c r="G430" s="10">
        <v>0</v>
      </c>
      <c r="H430" s="10">
        <v>0</v>
      </c>
      <c r="I430" s="10">
        <v>0</v>
      </c>
      <c r="J430" s="10">
        <v>0</v>
      </c>
      <c r="K430" s="10">
        <v>0</v>
      </c>
      <c r="L430" s="10">
        <v>0</v>
      </c>
      <c r="M430" s="10">
        <v>0</v>
      </c>
      <c r="N430" s="10">
        <v>0</v>
      </c>
      <c r="O430" s="10">
        <v>1</v>
      </c>
      <c r="P430" s="10">
        <v>34</v>
      </c>
    </row>
    <row r="431" spans="1:16">
      <c r="A431" s="10" t="s">
        <v>458</v>
      </c>
      <c r="B431" s="10">
        <v>100</v>
      </c>
      <c r="C431" s="21">
        <v>9.4712567010745525E-4</v>
      </c>
      <c r="D431" s="10">
        <v>177</v>
      </c>
      <c r="E431" s="10">
        <v>1</v>
      </c>
      <c r="F431" s="10">
        <v>0</v>
      </c>
      <c r="G431" s="10">
        <v>0</v>
      </c>
      <c r="H431" s="10">
        <v>0</v>
      </c>
      <c r="I431" s="10">
        <v>0</v>
      </c>
      <c r="J431" s="10">
        <v>0</v>
      </c>
      <c r="K431" s="10">
        <v>0</v>
      </c>
      <c r="L431" s="10">
        <v>0</v>
      </c>
      <c r="M431" s="10">
        <v>0</v>
      </c>
      <c r="N431" s="10">
        <v>0</v>
      </c>
      <c r="O431" s="10">
        <v>0</v>
      </c>
      <c r="P431" s="10">
        <v>25</v>
      </c>
    </row>
    <row r="432" spans="1:16">
      <c r="A432" s="10" t="s">
        <v>459</v>
      </c>
      <c r="B432" s="10">
        <v>98</v>
      </c>
      <c r="C432" s="21">
        <v>7.7014042980161151E-4</v>
      </c>
      <c r="D432" s="10">
        <v>213</v>
      </c>
      <c r="E432" s="10">
        <v>0</v>
      </c>
      <c r="F432" s="10">
        <v>0</v>
      </c>
      <c r="G432" s="10">
        <v>0</v>
      </c>
      <c r="H432" s="10">
        <v>0</v>
      </c>
      <c r="I432" s="10">
        <v>0</v>
      </c>
      <c r="J432" s="10">
        <v>0</v>
      </c>
      <c r="K432" s="10">
        <v>1</v>
      </c>
      <c r="L432" s="10">
        <v>0</v>
      </c>
      <c r="M432" s="10">
        <v>0</v>
      </c>
      <c r="N432" s="10">
        <v>0</v>
      </c>
      <c r="O432" s="10">
        <v>0</v>
      </c>
      <c r="P432" s="10">
        <v>14</v>
      </c>
    </row>
    <row r="433" spans="1:16">
      <c r="A433" s="10" t="s">
        <v>460</v>
      </c>
      <c r="B433" s="10">
        <v>58</v>
      </c>
      <c r="C433" s="21">
        <v>1.2982790044099659E-3</v>
      </c>
      <c r="D433" s="10">
        <v>175</v>
      </c>
      <c r="E433" s="10">
        <v>0</v>
      </c>
      <c r="F433" s="10">
        <v>0</v>
      </c>
      <c r="G433" s="10">
        <v>1</v>
      </c>
      <c r="H433" s="10">
        <v>0</v>
      </c>
      <c r="I433" s="10">
        <v>0</v>
      </c>
      <c r="J433" s="10">
        <v>0</v>
      </c>
      <c r="K433" s="10">
        <v>0</v>
      </c>
      <c r="L433" s="10">
        <v>0</v>
      </c>
      <c r="M433" s="10">
        <v>0</v>
      </c>
      <c r="N433" s="10">
        <v>0</v>
      </c>
      <c r="O433" s="10">
        <v>0</v>
      </c>
      <c r="P433" s="10">
        <v>24</v>
      </c>
    </row>
    <row r="434" spans="1:16">
      <c r="A434" s="10" t="s">
        <v>461</v>
      </c>
      <c r="B434" s="10">
        <v>267</v>
      </c>
      <c r="C434" s="21">
        <v>1.6236902315022244E-3</v>
      </c>
      <c r="D434" s="10">
        <v>113</v>
      </c>
      <c r="E434" s="10">
        <v>0</v>
      </c>
      <c r="F434" s="10">
        <v>0</v>
      </c>
      <c r="G434" s="10">
        <v>0</v>
      </c>
      <c r="H434" s="10">
        <v>0</v>
      </c>
      <c r="I434" s="10">
        <v>0</v>
      </c>
      <c r="J434" s="10">
        <v>0</v>
      </c>
      <c r="K434" s="10">
        <v>0</v>
      </c>
      <c r="L434" s="10">
        <v>0</v>
      </c>
      <c r="M434" s="10">
        <v>0</v>
      </c>
      <c r="N434" s="10">
        <v>0</v>
      </c>
      <c r="O434" s="10">
        <v>0</v>
      </c>
      <c r="P434" s="10">
        <v>38</v>
      </c>
    </row>
    <row r="435" spans="1:16">
      <c r="A435" s="10" t="s">
        <v>462</v>
      </c>
      <c r="B435" s="10">
        <v>113</v>
      </c>
      <c r="C435" s="21">
        <v>1.7989339493120126E-3</v>
      </c>
      <c r="D435" s="10">
        <v>61</v>
      </c>
      <c r="E435" s="10">
        <v>1</v>
      </c>
      <c r="F435" s="10">
        <v>0</v>
      </c>
      <c r="G435" s="10">
        <v>0</v>
      </c>
      <c r="H435" s="10">
        <v>0</v>
      </c>
      <c r="I435" s="10">
        <v>0</v>
      </c>
      <c r="J435" s="10">
        <v>0</v>
      </c>
      <c r="K435" s="10">
        <v>0</v>
      </c>
      <c r="L435" s="10">
        <v>0</v>
      </c>
      <c r="M435" s="10">
        <v>0</v>
      </c>
      <c r="N435" s="10">
        <v>0</v>
      </c>
      <c r="O435" s="10">
        <v>0</v>
      </c>
      <c r="P435" s="10">
        <v>61</v>
      </c>
    </row>
    <row r="436" spans="1:16">
      <c r="A436" s="10" t="s">
        <v>463</v>
      </c>
      <c r="B436" s="10">
        <v>90</v>
      </c>
      <c r="C436" s="21">
        <v>2.9460793245449858E-3</v>
      </c>
      <c r="D436" s="10">
        <v>138</v>
      </c>
      <c r="E436" s="10">
        <v>0</v>
      </c>
      <c r="F436" s="10">
        <v>0</v>
      </c>
      <c r="G436" s="10">
        <v>0</v>
      </c>
      <c r="H436" s="10">
        <v>0</v>
      </c>
      <c r="I436" s="10">
        <v>0</v>
      </c>
      <c r="J436" s="10">
        <v>0</v>
      </c>
      <c r="K436" s="10">
        <v>1</v>
      </c>
      <c r="L436" s="10">
        <v>0</v>
      </c>
      <c r="M436" s="10">
        <v>0</v>
      </c>
      <c r="N436" s="10">
        <v>0</v>
      </c>
      <c r="O436" s="10">
        <v>0</v>
      </c>
      <c r="P436" s="10">
        <v>30</v>
      </c>
    </row>
    <row r="437" spans="1:16">
      <c r="A437" s="10" t="s">
        <v>464</v>
      </c>
      <c r="B437" s="10">
        <v>284</v>
      </c>
      <c r="C437" s="21">
        <v>1.2861779444426711E-3</v>
      </c>
      <c r="D437" s="10">
        <v>167</v>
      </c>
      <c r="E437" s="10">
        <v>0</v>
      </c>
      <c r="F437" s="10">
        <v>0</v>
      </c>
      <c r="G437" s="10">
        <v>0</v>
      </c>
      <c r="H437" s="10">
        <v>1</v>
      </c>
      <c r="I437" s="10">
        <v>0</v>
      </c>
      <c r="J437" s="10">
        <v>0</v>
      </c>
      <c r="K437" s="10">
        <v>0</v>
      </c>
      <c r="L437" s="10">
        <v>0</v>
      </c>
      <c r="M437" s="10">
        <v>0</v>
      </c>
      <c r="N437" s="10">
        <v>0</v>
      </c>
      <c r="O437" s="10">
        <v>0</v>
      </c>
      <c r="P437" s="10">
        <v>41</v>
      </c>
    </row>
    <row r="438" spans="1:16">
      <c r="A438" s="10" t="s">
        <v>465</v>
      </c>
      <c r="B438" s="10">
        <v>472</v>
      </c>
      <c r="C438" s="21">
        <v>1.5453752914323584E-3</v>
      </c>
      <c r="D438" s="10">
        <v>162</v>
      </c>
      <c r="E438" s="10">
        <v>0</v>
      </c>
      <c r="F438" s="10">
        <v>0</v>
      </c>
      <c r="G438" s="10">
        <v>0</v>
      </c>
      <c r="H438" s="10">
        <v>0</v>
      </c>
      <c r="I438" s="10">
        <v>0</v>
      </c>
      <c r="J438" s="10">
        <v>0</v>
      </c>
      <c r="K438" s="10">
        <v>0</v>
      </c>
      <c r="L438" s="10">
        <v>0</v>
      </c>
      <c r="M438" s="10">
        <v>0</v>
      </c>
      <c r="N438" s="10">
        <v>0</v>
      </c>
      <c r="O438" s="10">
        <v>0</v>
      </c>
      <c r="P438" s="10">
        <v>28</v>
      </c>
    </row>
    <row r="439" spans="1:16">
      <c r="A439" s="10" t="s">
        <v>466</v>
      </c>
      <c r="B439" s="10">
        <v>377</v>
      </c>
      <c r="C439" s="21">
        <v>1.0940291466712414E-3</v>
      </c>
      <c r="D439" s="10">
        <v>144</v>
      </c>
      <c r="E439" s="10">
        <v>0</v>
      </c>
      <c r="F439" s="10">
        <v>0</v>
      </c>
      <c r="G439" s="10">
        <v>0</v>
      </c>
      <c r="H439" s="10">
        <v>0</v>
      </c>
      <c r="I439" s="10">
        <v>0</v>
      </c>
      <c r="J439" s="10">
        <v>0</v>
      </c>
      <c r="K439" s="10">
        <v>0</v>
      </c>
      <c r="L439" s="10">
        <v>0</v>
      </c>
      <c r="M439" s="10">
        <v>0</v>
      </c>
      <c r="N439" s="10">
        <v>0</v>
      </c>
      <c r="O439" s="10">
        <v>0</v>
      </c>
      <c r="P439" s="10">
        <v>27</v>
      </c>
    </row>
    <row r="440" spans="1:16">
      <c r="A440" s="10" t="s">
        <v>467</v>
      </c>
      <c r="B440" s="10">
        <v>57</v>
      </c>
      <c r="C440" s="21">
        <v>2.6552074914936189E-3</v>
      </c>
      <c r="D440" s="10">
        <v>120</v>
      </c>
      <c r="E440" s="10">
        <v>1</v>
      </c>
      <c r="F440" s="10">
        <v>0</v>
      </c>
      <c r="G440" s="10">
        <v>0</v>
      </c>
      <c r="H440" s="10">
        <v>0</v>
      </c>
      <c r="I440" s="10">
        <v>0</v>
      </c>
      <c r="J440" s="10">
        <v>0</v>
      </c>
      <c r="K440" s="10">
        <v>0</v>
      </c>
      <c r="L440" s="10">
        <v>0</v>
      </c>
      <c r="M440" s="10">
        <v>0</v>
      </c>
      <c r="N440" s="10">
        <v>0</v>
      </c>
      <c r="O440" s="10">
        <v>1</v>
      </c>
      <c r="P440" s="10">
        <v>28</v>
      </c>
    </row>
    <row r="441" spans="1:16">
      <c r="A441" s="10" t="s">
        <v>468</v>
      </c>
      <c r="B441" s="10">
        <v>79</v>
      </c>
      <c r="C441" s="21">
        <v>6.0165222139853508E-4</v>
      </c>
      <c r="D441" s="10">
        <v>188</v>
      </c>
      <c r="E441" s="10">
        <v>0</v>
      </c>
      <c r="F441" s="10">
        <v>0</v>
      </c>
      <c r="G441" s="10">
        <v>0</v>
      </c>
      <c r="H441" s="10">
        <v>0</v>
      </c>
      <c r="I441" s="10">
        <v>0</v>
      </c>
      <c r="J441" s="10">
        <v>0</v>
      </c>
      <c r="K441" s="10">
        <v>1</v>
      </c>
      <c r="L441" s="10">
        <v>0</v>
      </c>
      <c r="M441" s="10">
        <v>0</v>
      </c>
      <c r="N441" s="10">
        <v>0</v>
      </c>
      <c r="O441" s="10">
        <v>0</v>
      </c>
      <c r="P441" s="10">
        <v>14</v>
      </c>
    </row>
    <row r="442" spans="1:16">
      <c r="A442" s="10" t="s">
        <v>469</v>
      </c>
      <c r="B442" s="10">
        <v>48</v>
      </c>
      <c r="C442" s="21">
        <v>1.3770818956090299E-3</v>
      </c>
      <c r="D442" s="10">
        <v>112</v>
      </c>
      <c r="E442" s="10">
        <v>0</v>
      </c>
      <c r="F442" s="10">
        <v>0</v>
      </c>
      <c r="G442" s="10">
        <v>1</v>
      </c>
      <c r="H442" s="10">
        <v>0</v>
      </c>
      <c r="I442" s="10">
        <v>0</v>
      </c>
      <c r="J442" s="10">
        <v>0</v>
      </c>
      <c r="K442" s="10">
        <v>0</v>
      </c>
      <c r="L442" s="10">
        <v>0</v>
      </c>
      <c r="M442" s="10">
        <v>0</v>
      </c>
      <c r="N442" s="10">
        <v>0</v>
      </c>
      <c r="O442" s="10">
        <v>1</v>
      </c>
      <c r="P442" s="10">
        <v>30</v>
      </c>
    </row>
    <row r="443" spans="1:16">
      <c r="A443" s="10" t="s">
        <v>470</v>
      </c>
      <c r="B443" s="10">
        <v>214</v>
      </c>
      <c r="C443" s="21">
        <v>1.2629078204108425E-3</v>
      </c>
      <c r="D443" s="10">
        <v>171</v>
      </c>
      <c r="E443" s="10">
        <v>0</v>
      </c>
      <c r="F443" s="10">
        <v>0</v>
      </c>
      <c r="G443" s="10">
        <v>0</v>
      </c>
      <c r="H443" s="10">
        <v>1</v>
      </c>
      <c r="I443" s="10">
        <v>0</v>
      </c>
      <c r="J443" s="10">
        <v>0</v>
      </c>
      <c r="K443" s="10">
        <v>0</v>
      </c>
      <c r="L443" s="10">
        <v>0</v>
      </c>
      <c r="M443" s="10">
        <v>0</v>
      </c>
      <c r="N443" s="10">
        <v>0</v>
      </c>
      <c r="O443" s="10">
        <v>0</v>
      </c>
      <c r="P443" s="10">
        <v>13</v>
      </c>
    </row>
    <row r="444" spans="1:16">
      <c r="A444" s="10" t="s">
        <v>471</v>
      </c>
      <c r="B444" s="10">
        <v>315</v>
      </c>
      <c r="C444" s="21">
        <v>7.2679011003973096E-4</v>
      </c>
      <c r="D444" s="10">
        <v>78</v>
      </c>
      <c r="E444" s="10">
        <v>0</v>
      </c>
      <c r="F444" s="10">
        <v>0</v>
      </c>
      <c r="G444" s="10">
        <v>0</v>
      </c>
      <c r="H444" s="10">
        <v>0</v>
      </c>
      <c r="I444" s="10">
        <v>1</v>
      </c>
      <c r="J444" s="10">
        <v>0</v>
      </c>
      <c r="K444" s="10">
        <v>0</v>
      </c>
      <c r="L444" s="10">
        <v>0</v>
      </c>
      <c r="M444" s="10">
        <v>0</v>
      </c>
      <c r="N444" s="10">
        <v>0</v>
      </c>
      <c r="O444" s="10">
        <v>1</v>
      </c>
      <c r="P444" s="10">
        <v>45</v>
      </c>
    </row>
    <row r="445" spans="1:16">
      <c r="A445" s="10" t="s">
        <v>472</v>
      </c>
      <c r="B445" s="10">
        <v>87</v>
      </c>
      <c r="C445" s="21">
        <v>1.2716322659779139E-3</v>
      </c>
      <c r="D445" s="10">
        <v>203</v>
      </c>
      <c r="E445" s="10">
        <v>0</v>
      </c>
      <c r="F445" s="10">
        <v>1</v>
      </c>
      <c r="G445" s="10">
        <v>0</v>
      </c>
      <c r="H445" s="10">
        <v>0</v>
      </c>
      <c r="I445" s="10">
        <v>0</v>
      </c>
      <c r="J445" s="10">
        <v>0</v>
      </c>
      <c r="K445" s="10">
        <v>0</v>
      </c>
      <c r="L445" s="10">
        <v>0</v>
      </c>
      <c r="M445" s="10">
        <v>0</v>
      </c>
      <c r="N445" s="10">
        <v>0</v>
      </c>
      <c r="O445" s="10">
        <v>0</v>
      </c>
      <c r="P445" s="10">
        <v>11</v>
      </c>
    </row>
    <row r="446" spans="1:16">
      <c r="A446" s="10" t="s">
        <v>473</v>
      </c>
      <c r="B446" s="10">
        <v>359</v>
      </c>
      <c r="C446" s="21">
        <v>2.1130992759316796E-3</v>
      </c>
      <c r="D446" s="10">
        <v>126</v>
      </c>
      <c r="E446" s="10">
        <v>0</v>
      </c>
      <c r="F446" s="10">
        <v>0</v>
      </c>
      <c r="G446" s="10">
        <v>0</v>
      </c>
      <c r="H446" s="10">
        <v>0</v>
      </c>
      <c r="I446" s="10">
        <v>0</v>
      </c>
      <c r="J446" s="10">
        <v>0</v>
      </c>
      <c r="K446" s="10">
        <v>0</v>
      </c>
      <c r="L446" s="10">
        <v>0</v>
      </c>
      <c r="M446" s="10">
        <v>0</v>
      </c>
      <c r="N446" s="10">
        <v>0</v>
      </c>
      <c r="O446" s="10">
        <v>0</v>
      </c>
      <c r="P446" s="10">
        <v>36</v>
      </c>
    </row>
    <row r="447" spans="1:16">
      <c r="A447" s="10" t="s">
        <v>474</v>
      </c>
      <c r="B447" s="10">
        <v>91</v>
      </c>
      <c r="C447" s="21">
        <v>5.0526754631870315E-5</v>
      </c>
      <c r="D447" s="10">
        <v>128</v>
      </c>
      <c r="E447" s="10">
        <v>1</v>
      </c>
      <c r="F447" s="10">
        <v>0</v>
      </c>
      <c r="G447" s="10">
        <v>0</v>
      </c>
      <c r="H447" s="10">
        <v>0</v>
      </c>
      <c r="I447" s="10">
        <v>0</v>
      </c>
      <c r="J447" s="10">
        <v>0</v>
      </c>
      <c r="K447" s="10">
        <v>0</v>
      </c>
      <c r="L447" s="10">
        <v>0</v>
      </c>
      <c r="M447" s="10">
        <v>0</v>
      </c>
      <c r="N447" s="10">
        <v>0</v>
      </c>
      <c r="O447" s="10">
        <v>0</v>
      </c>
      <c r="P447" s="10">
        <v>27</v>
      </c>
    </row>
    <row r="448" spans="1:16">
      <c r="A448" s="10" t="s">
        <v>475</v>
      </c>
      <c r="B448" s="10">
        <v>87</v>
      </c>
      <c r="C448" s="21">
        <v>2.452452891464708E-3</v>
      </c>
      <c r="D448" s="10">
        <v>130</v>
      </c>
      <c r="E448" s="10">
        <v>1</v>
      </c>
      <c r="F448" s="10">
        <v>0</v>
      </c>
      <c r="G448" s="10">
        <v>0</v>
      </c>
      <c r="H448" s="10">
        <v>0</v>
      </c>
      <c r="I448" s="10">
        <v>0</v>
      </c>
      <c r="J448" s="10">
        <v>0</v>
      </c>
      <c r="K448" s="10">
        <v>0</v>
      </c>
      <c r="L448" s="10">
        <v>0</v>
      </c>
      <c r="M448" s="10">
        <v>0</v>
      </c>
      <c r="N448" s="10">
        <v>0</v>
      </c>
      <c r="O448" s="10">
        <v>1</v>
      </c>
      <c r="P448" s="10">
        <v>41</v>
      </c>
    </row>
    <row r="449" spans="1:16">
      <c r="A449" s="10" t="s">
        <v>476</v>
      </c>
      <c r="B449" s="10">
        <v>108</v>
      </c>
      <c r="C449" s="21">
        <v>4.8180072219132752E-4</v>
      </c>
      <c r="D449" s="10">
        <v>121</v>
      </c>
      <c r="E449" s="10">
        <v>0</v>
      </c>
      <c r="F449" s="10">
        <v>0</v>
      </c>
      <c r="G449" s="10">
        <v>0</v>
      </c>
      <c r="H449" s="10">
        <v>0</v>
      </c>
      <c r="I449" s="10">
        <v>0</v>
      </c>
      <c r="J449" s="10">
        <v>0</v>
      </c>
      <c r="K449" s="10">
        <v>1</v>
      </c>
      <c r="L449" s="10">
        <v>0</v>
      </c>
      <c r="M449" s="10">
        <v>0</v>
      </c>
      <c r="N449" s="10">
        <v>0</v>
      </c>
      <c r="O449" s="10">
        <v>1</v>
      </c>
      <c r="P449" s="10">
        <v>34</v>
      </c>
    </row>
    <row r="450" spans="1:16">
      <c r="A450" s="10" t="s">
        <v>477</v>
      </c>
      <c r="B450" s="10">
        <v>37</v>
      </c>
      <c r="C450" s="21">
        <v>2.9303987591541222E-3</v>
      </c>
      <c r="D450" s="10">
        <v>79</v>
      </c>
      <c r="E450" s="10">
        <v>0</v>
      </c>
      <c r="F450" s="10">
        <v>0</v>
      </c>
      <c r="G450" s="10">
        <v>1</v>
      </c>
      <c r="H450" s="10">
        <v>0</v>
      </c>
      <c r="I450" s="10">
        <v>0</v>
      </c>
      <c r="J450" s="10">
        <v>0</v>
      </c>
      <c r="K450" s="10">
        <v>0</v>
      </c>
      <c r="L450" s="10">
        <v>0</v>
      </c>
      <c r="M450" s="10">
        <v>0</v>
      </c>
      <c r="N450" s="10">
        <v>0</v>
      </c>
      <c r="O450" s="10">
        <v>1</v>
      </c>
      <c r="P450" s="10">
        <v>51</v>
      </c>
    </row>
    <row r="451" spans="1:16">
      <c r="A451" s="10" t="s">
        <v>478</v>
      </c>
      <c r="B451" s="10">
        <v>168</v>
      </c>
      <c r="C451" s="21">
        <v>1.5158102827036669E-3</v>
      </c>
      <c r="D451" s="10">
        <v>150</v>
      </c>
      <c r="E451" s="10">
        <v>0</v>
      </c>
      <c r="F451" s="10">
        <v>0</v>
      </c>
      <c r="G451" s="10">
        <v>0</v>
      </c>
      <c r="H451" s="10">
        <v>1</v>
      </c>
      <c r="I451" s="10">
        <v>0</v>
      </c>
      <c r="J451" s="10">
        <v>0</v>
      </c>
      <c r="K451" s="10">
        <v>0</v>
      </c>
      <c r="L451" s="10">
        <v>0</v>
      </c>
      <c r="M451" s="10">
        <v>0</v>
      </c>
      <c r="N451" s="10">
        <v>0</v>
      </c>
      <c r="O451" s="10">
        <v>1</v>
      </c>
      <c r="P451" s="10">
        <v>38</v>
      </c>
    </row>
    <row r="452" spans="1:16">
      <c r="A452" s="10" t="s">
        <v>479</v>
      </c>
      <c r="B452" s="10">
        <v>382</v>
      </c>
      <c r="C452" s="21">
        <v>1.0975336164482739E-3</v>
      </c>
      <c r="D452" s="10">
        <v>135</v>
      </c>
      <c r="E452" s="10">
        <v>0</v>
      </c>
      <c r="F452" s="10">
        <v>0</v>
      </c>
      <c r="G452" s="10">
        <v>0</v>
      </c>
      <c r="H452" s="10">
        <v>0</v>
      </c>
      <c r="I452" s="10">
        <v>1</v>
      </c>
      <c r="J452" s="10">
        <v>0</v>
      </c>
      <c r="K452" s="10">
        <v>0</v>
      </c>
      <c r="L452" s="10">
        <v>0</v>
      </c>
      <c r="M452" s="10">
        <v>0</v>
      </c>
      <c r="N452" s="10">
        <v>0</v>
      </c>
      <c r="O452" s="10">
        <v>1</v>
      </c>
      <c r="P452" s="10">
        <v>19</v>
      </c>
    </row>
    <row r="453" spans="1:16">
      <c r="A453" s="10" t="s">
        <v>480</v>
      </c>
      <c r="B453" s="10">
        <v>411</v>
      </c>
      <c r="C453" s="21">
        <v>1.1665421647025977E-3</v>
      </c>
      <c r="D453" s="10">
        <v>226</v>
      </c>
      <c r="E453" s="10">
        <v>0</v>
      </c>
      <c r="F453" s="10">
        <v>0</v>
      </c>
      <c r="G453" s="10">
        <v>0</v>
      </c>
      <c r="H453" s="10">
        <v>0</v>
      </c>
      <c r="I453" s="10">
        <v>0</v>
      </c>
      <c r="J453" s="10">
        <v>0</v>
      </c>
      <c r="K453" s="10">
        <v>0</v>
      </c>
      <c r="L453" s="10">
        <v>0</v>
      </c>
      <c r="M453" s="10">
        <v>0</v>
      </c>
      <c r="N453" s="10">
        <v>0</v>
      </c>
      <c r="O453" s="10">
        <v>0</v>
      </c>
      <c r="P453" s="10">
        <v>9</v>
      </c>
    </row>
    <row r="454" spans="1:16">
      <c r="A454" s="10" t="s">
        <v>481</v>
      </c>
      <c r="B454" s="10">
        <v>558</v>
      </c>
      <c r="C454" s="21">
        <v>3.9222864888453562E-4</v>
      </c>
      <c r="D454" s="10">
        <v>176</v>
      </c>
      <c r="E454" s="10">
        <v>0</v>
      </c>
      <c r="F454" s="10">
        <v>0</v>
      </c>
      <c r="G454" s="10">
        <v>0</v>
      </c>
      <c r="H454" s="10">
        <v>0</v>
      </c>
      <c r="I454" s="10">
        <v>0</v>
      </c>
      <c r="J454" s="10">
        <v>0</v>
      </c>
      <c r="K454" s="10">
        <v>0</v>
      </c>
      <c r="L454" s="10">
        <v>0</v>
      </c>
      <c r="M454" s="10">
        <v>0</v>
      </c>
      <c r="N454" s="10">
        <v>0</v>
      </c>
      <c r="O454" s="10">
        <v>0</v>
      </c>
      <c r="P454" s="10">
        <v>19</v>
      </c>
    </row>
    <row r="455" spans="1:16">
      <c r="A455" s="10" t="s">
        <v>482</v>
      </c>
      <c r="B455" s="10">
        <v>95</v>
      </c>
      <c r="C455" s="21">
        <v>7.2253342293772469E-4</v>
      </c>
      <c r="D455" s="10">
        <v>158</v>
      </c>
      <c r="E455" s="10">
        <v>1</v>
      </c>
      <c r="F455" s="10">
        <v>0</v>
      </c>
      <c r="G455" s="10">
        <v>0</v>
      </c>
      <c r="H455" s="10">
        <v>0</v>
      </c>
      <c r="I455" s="10">
        <v>0</v>
      </c>
      <c r="J455" s="10">
        <v>0</v>
      </c>
      <c r="K455" s="10">
        <v>0</v>
      </c>
      <c r="L455" s="10">
        <v>0</v>
      </c>
      <c r="M455" s="10">
        <v>0</v>
      </c>
      <c r="N455" s="10">
        <v>0</v>
      </c>
      <c r="O455" s="10">
        <v>0</v>
      </c>
      <c r="P455" s="10">
        <v>24</v>
      </c>
    </row>
    <row r="456" spans="1:16">
      <c r="A456" s="10" t="s">
        <v>483</v>
      </c>
      <c r="B456" s="10">
        <v>89</v>
      </c>
      <c r="C456" s="21">
        <v>1.2417317094581084E-3</v>
      </c>
      <c r="D456" s="10">
        <v>136</v>
      </c>
      <c r="E456" s="10">
        <v>0</v>
      </c>
      <c r="F456" s="10">
        <v>0</v>
      </c>
      <c r="G456" s="10">
        <v>0</v>
      </c>
      <c r="H456" s="10">
        <v>0</v>
      </c>
      <c r="I456" s="10">
        <v>0</v>
      </c>
      <c r="J456" s="10">
        <v>0</v>
      </c>
      <c r="K456" s="10">
        <v>0</v>
      </c>
      <c r="L456" s="10">
        <v>0</v>
      </c>
      <c r="M456" s="10">
        <v>0</v>
      </c>
      <c r="N456" s="10">
        <v>0</v>
      </c>
      <c r="O456" s="10">
        <v>0</v>
      </c>
      <c r="P456" s="10">
        <v>29</v>
      </c>
    </row>
    <row r="457" spans="1:16">
      <c r="A457" s="10" t="s">
        <v>484</v>
      </c>
      <c r="B457" s="10">
        <v>172</v>
      </c>
      <c r="C457" s="21">
        <v>3.4658317582169604E-4</v>
      </c>
      <c r="D457" s="10">
        <v>134</v>
      </c>
      <c r="E457" s="10">
        <v>0</v>
      </c>
      <c r="F457" s="10">
        <v>0</v>
      </c>
      <c r="G457" s="10">
        <v>0</v>
      </c>
      <c r="H457" s="10">
        <v>1</v>
      </c>
      <c r="I457" s="10">
        <v>0</v>
      </c>
      <c r="J457" s="10">
        <v>0</v>
      </c>
      <c r="K457" s="10">
        <v>0</v>
      </c>
      <c r="L457" s="10">
        <v>0</v>
      </c>
      <c r="M457" s="10">
        <v>0</v>
      </c>
      <c r="N457" s="10">
        <v>0</v>
      </c>
      <c r="O457" s="10">
        <v>0</v>
      </c>
      <c r="P457" s="10">
        <v>30</v>
      </c>
    </row>
    <row r="458" spans="1:16">
      <c r="A458" s="10" t="s">
        <v>485</v>
      </c>
      <c r="B458" s="10">
        <v>257</v>
      </c>
      <c r="C458" s="21">
        <v>8.2548058192567363E-4</v>
      </c>
      <c r="D458" s="10">
        <v>171</v>
      </c>
      <c r="E458" s="10">
        <v>0</v>
      </c>
      <c r="F458" s="10">
        <v>0</v>
      </c>
      <c r="G458" s="10">
        <v>0</v>
      </c>
      <c r="H458" s="10">
        <v>0</v>
      </c>
      <c r="I458" s="10">
        <v>1</v>
      </c>
      <c r="J458" s="10">
        <v>0</v>
      </c>
      <c r="K458" s="10">
        <v>0</v>
      </c>
      <c r="L458" s="10">
        <v>0</v>
      </c>
      <c r="M458" s="10">
        <v>0</v>
      </c>
      <c r="N458" s="10">
        <v>0</v>
      </c>
      <c r="O458" s="10">
        <v>0</v>
      </c>
      <c r="P458" s="10">
        <v>25</v>
      </c>
    </row>
    <row r="459" spans="1:16">
      <c r="A459" s="10" t="s">
        <v>486</v>
      </c>
      <c r="B459" s="10">
        <v>108</v>
      </c>
      <c r="C459" s="21">
        <v>4.1370908715067487E-4</v>
      </c>
      <c r="D459" s="10">
        <v>192</v>
      </c>
      <c r="E459" s="10">
        <v>0</v>
      </c>
      <c r="F459" s="10">
        <v>1</v>
      </c>
      <c r="G459" s="10">
        <v>0</v>
      </c>
      <c r="H459" s="10">
        <v>0</v>
      </c>
      <c r="I459" s="10">
        <v>0</v>
      </c>
      <c r="J459" s="10">
        <v>0</v>
      </c>
      <c r="K459" s="10">
        <v>0</v>
      </c>
      <c r="L459" s="10">
        <v>0</v>
      </c>
      <c r="M459" s="10">
        <v>0</v>
      </c>
      <c r="N459" s="10">
        <v>0</v>
      </c>
      <c r="O459" s="10">
        <v>0</v>
      </c>
      <c r="P459" s="10">
        <v>10</v>
      </c>
    </row>
    <row r="460" spans="1:16">
      <c r="A460" s="10" t="s">
        <v>487</v>
      </c>
      <c r="B460" s="10">
        <v>484</v>
      </c>
      <c r="C460" s="21">
        <v>1.4566385932371128E-3</v>
      </c>
      <c r="D460" s="10">
        <v>184</v>
      </c>
      <c r="E460" s="10">
        <v>0</v>
      </c>
      <c r="F460" s="10">
        <v>0</v>
      </c>
      <c r="G460" s="10">
        <v>0</v>
      </c>
      <c r="H460" s="10">
        <v>0</v>
      </c>
      <c r="I460" s="10">
        <v>0</v>
      </c>
      <c r="J460" s="10">
        <v>0</v>
      </c>
      <c r="K460" s="10">
        <v>0</v>
      </c>
      <c r="L460" s="10">
        <v>0</v>
      </c>
      <c r="M460" s="10">
        <v>0</v>
      </c>
      <c r="N460" s="10">
        <v>0</v>
      </c>
      <c r="O460" s="10">
        <v>0</v>
      </c>
      <c r="P460" s="10">
        <v>35</v>
      </c>
    </row>
    <row r="461" spans="1:16">
      <c r="A461" s="10" t="s">
        <v>488</v>
      </c>
      <c r="B461" s="10">
        <v>474</v>
      </c>
      <c r="C461" s="21">
        <v>2.3132191057017078E-3</v>
      </c>
      <c r="D461" s="10">
        <v>137</v>
      </c>
      <c r="E461" s="10">
        <v>0</v>
      </c>
      <c r="F461" s="10">
        <v>0</v>
      </c>
      <c r="G461" s="10">
        <v>0</v>
      </c>
      <c r="H461" s="10">
        <v>0</v>
      </c>
      <c r="I461" s="10">
        <v>0</v>
      </c>
      <c r="J461" s="10">
        <v>0</v>
      </c>
      <c r="K461" s="10">
        <v>0</v>
      </c>
      <c r="L461" s="10">
        <v>0</v>
      </c>
      <c r="M461" s="10">
        <v>0</v>
      </c>
      <c r="N461" s="10">
        <v>0</v>
      </c>
      <c r="O461" s="10">
        <v>0</v>
      </c>
      <c r="P461" s="10">
        <v>43</v>
      </c>
    </row>
    <row r="462" spans="1:16">
      <c r="A462" s="10" t="s">
        <v>489</v>
      </c>
      <c r="B462" s="10">
        <v>81</v>
      </c>
      <c r="C462" s="21">
        <v>1.4317558513957497E-4</v>
      </c>
      <c r="D462" s="10">
        <v>161</v>
      </c>
      <c r="E462" s="10">
        <v>1</v>
      </c>
      <c r="F462" s="10">
        <v>0</v>
      </c>
      <c r="G462" s="10">
        <v>0</v>
      </c>
      <c r="H462" s="10">
        <v>0</v>
      </c>
      <c r="I462" s="10">
        <v>0</v>
      </c>
      <c r="J462" s="10">
        <v>0</v>
      </c>
      <c r="K462" s="10">
        <v>0</v>
      </c>
      <c r="L462" s="10">
        <v>0</v>
      </c>
      <c r="M462" s="10">
        <v>0</v>
      </c>
      <c r="N462" s="10">
        <v>0</v>
      </c>
      <c r="O462" s="10">
        <v>0</v>
      </c>
      <c r="P462" s="10">
        <v>30</v>
      </c>
    </row>
    <row r="463" spans="1:16">
      <c r="A463" s="10" t="s">
        <v>490</v>
      </c>
      <c r="B463" s="10">
        <v>79</v>
      </c>
      <c r="C463" s="21">
        <v>6.7915136875968296E-4</v>
      </c>
      <c r="D463" s="10">
        <v>205</v>
      </c>
      <c r="E463" s="10">
        <v>1</v>
      </c>
      <c r="F463" s="10">
        <v>0</v>
      </c>
      <c r="G463" s="10">
        <v>0</v>
      </c>
      <c r="H463" s="10">
        <v>0</v>
      </c>
      <c r="I463" s="10">
        <v>0</v>
      </c>
      <c r="J463" s="10">
        <v>0</v>
      </c>
      <c r="K463" s="10">
        <v>0</v>
      </c>
      <c r="L463" s="10">
        <v>0</v>
      </c>
      <c r="M463" s="10">
        <v>0</v>
      </c>
      <c r="N463" s="10">
        <v>0</v>
      </c>
      <c r="O463" s="10">
        <v>0</v>
      </c>
      <c r="P463" s="10">
        <v>13</v>
      </c>
    </row>
    <row r="464" spans="1:16">
      <c r="A464" s="10" t="s">
        <v>491</v>
      </c>
      <c r="B464" s="10">
        <v>88</v>
      </c>
      <c r="C464" s="21">
        <v>1.366898609417252E-3</v>
      </c>
      <c r="D464" s="10">
        <v>146</v>
      </c>
      <c r="E464" s="10">
        <v>0</v>
      </c>
      <c r="F464" s="10">
        <v>0</v>
      </c>
      <c r="G464" s="10">
        <v>0</v>
      </c>
      <c r="H464" s="10">
        <v>0</v>
      </c>
      <c r="I464" s="10">
        <v>0</v>
      </c>
      <c r="J464" s="10">
        <v>0</v>
      </c>
      <c r="K464" s="10">
        <v>1</v>
      </c>
      <c r="L464" s="10">
        <v>0</v>
      </c>
      <c r="M464" s="10">
        <v>0</v>
      </c>
      <c r="N464" s="10">
        <v>0</v>
      </c>
      <c r="O464" s="10">
        <v>1</v>
      </c>
      <c r="P464" s="10">
        <v>34</v>
      </c>
    </row>
    <row r="465" spans="1:16">
      <c r="A465" s="10" t="s">
        <v>492</v>
      </c>
      <c r="B465" s="10">
        <v>49</v>
      </c>
      <c r="C465" s="21">
        <v>2.2594233125458542E-3</v>
      </c>
      <c r="D465" s="10">
        <v>127</v>
      </c>
      <c r="E465" s="10">
        <v>0</v>
      </c>
      <c r="F465" s="10">
        <v>0</v>
      </c>
      <c r="G465" s="10">
        <v>1</v>
      </c>
      <c r="H465" s="10">
        <v>0</v>
      </c>
      <c r="I465" s="10">
        <v>0</v>
      </c>
      <c r="J465" s="10">
        <v>0</v>
      </c>
      <c r="K465" s="10">
        <v>0</v>
      </c>
      <c r="L465" s="10">
        <v>0</v>
      </c>
      <c r="M465" s="10">
        <v>0</v>
      </c>
      <c r="N465" s="10">
        <v>0</v>
      </c>
      <c r="O465" s="10">
        <v>1</v>
      </c>
      <c r="P465" s="10">
        <v>42</v>
      </c>
    </row>
    <row r="466" spans="1:16">
      <c r="A466" s="10" t="s">
        <v>493</v>
      </c>
      <c r="B466" s="10">
        <v>168</v>
      </c>
      <c r="C466" s="21">
        <v>1.0366360920322549E-3</v>
      </c>
      <c r="D466" s="10">
        <v>182</v>
      </c>
      <c r="E466" s="10">
        <v>0</v>
      </c>
      <c r="F466" s="10">
        <v>0</v>
      </c>
      <c r="G466" s="10">
        <v>0</v>
      </c>
      <c r="H466" s="10">
        <v>1</v>
      </c>
      <c r="I466" s="10">
        <v>0</v>
      </c>
      <c r="J466" s="10">
        <v>0</v>
      </c>
      <c r="K466" s="10">
        <v>0</v>
      </c>
      <c r="L466" s="10">
        <v>0</v>
      </c>
      <c r="M466" s="10">
        <v>0</v>
      </c>
      <c r="N466" s="10">
        <v>0</v>
      </c>
      <c r="O466" s="10">
        <v>0</v>
      </c>
      <c r="P466" s="10">
        <v>18</v>
      </c>
    </row>
    <row r="467" spans="1:16">
      <c r="A467" s="10" t="s">
        <v>494</v>
      </c>
      <c r="B467" s="10">
        <v>424</v>
      </c>
      <c r="C467" s="21">
        <v>5.9731351653085653E-4</v>
      </c>
      <c r="D467" s="10">
        <v>176</v>
      </c>
      <c r="E467" s="10">
        <v>0</v>
      </c>
      <c r="F467" s="10">
        <v>0</v>
      </c>
      <c r="G467" s="10">
        <v>0</v>
      </c>
      <c r="H467" s="10">
        <v>0</v>
      </c>
      <c r="I467" s="10">
        <v>1</v>
      </c>
      <c r="J467" s="10">
        <v>0</v>
      </c>
      <c r="K467" s="10">
        <v>0</v>
      </c>
      <c r="L467" s="10">
        <v>0</v>
      </c>
      <c r="M467" s="10">
        <v>0</v>
      </c>
      <c r="N467" s="10">
        <v>0</v>
      </c>
      <c r="O467" s="10">
        <v>0</v>
      </c>
      <c r="P467" s="10">
        <v>18</v>
      </c>
    </row>
    <row r="468" spans="1:16">
      <c r="A468" s="10" t="s">
        <v>495</v>
      </c>
      <c r="B468" s="10">
        <v>107</v>
      </c>
      <c r="C468" s="21">
        <v>4.409629758166273E-4</v>
      </c>
      <c r="D468" s="10">
        <v>177</v>
      </c>
      <c r="E468" s="10">
        <v>0</v>
      </c>
      <c r="F468" s="10">
        <v>1</v>
      </c>
      <c r="G468" s="10">
        <v>0</v>
      </c>
      <c r="H468" s="10">
        <v>0</v>
      </c>
      <c r="I468" s="10">
        <v>0</v>
      </c>
      <c r="J468" s="10">
        <v>0</v>
      </c>
      <c r="K468" s="10">
        <v>0</v>
      </c>
      <c r="L468" s="10">
        <v>0</v>
      </c>
      <c r="M468" s="10">
        <v>0</v>
      </c>
      <c r="N468" s="10">
        <v>0</v>
      </c>
      <c r="O468" s="10">
        <v>0</v>
      </c>
      <c r="P468" s="10">
        <v>18</v>
      </c>
    </row>
    <row r="469" spans="1:16">
      <c r="A469" s="10" t="s">
        <v>496</v>
      </c>
      <c r="B469" s="10">
        <v>474</v>
      </c>
      <c r="C469" s="21">
        <v>1.0183700202399161E-3</v>
      </c>
      <c r="D469" s="10">
        <v>138</v>
      </c>
      <c r="E469" s="10">
        <v>0</v>
      </c>
      <c r="F469" s="10">
        <v>0</v>
      </c>
      <c r="G469" s="10">
        <v>0</v>
      </c>
      <c r="H469" s="10">
        <v>0</v>
      </c>
      <c r="I469" s="10">
        <v>0</v>
      </c>
      <c r="J469" s="10">
        <v>0</v>
      </c>
      <c r="K469" s="10">
        <v>0</v>
      </c>
      <c r="L469" s="10">
        <v>0</v>
      </c>
      <c r="M469" s="10">
        <v>0</v>
      </c>
      <c r="N469" s="10">
        <v>0</v>
      </c>
      <c r="O469" s="10">
        <v>0</v>
      </c>
      <c r="P469" s="10">
        <v>28</v>
      </c>
    </row>
    <row r="470" spans="1:16">
      <c r="A470" s="10" t="s">
        <v>497</v>
      </c>
      <c r="B470" s="10">
        <v>514</v>
      </c>
      <c r="C470" s="21">
        <v>4.9697144120999174E-4</v>
      </c>
      <c r="D470" s="10">
        <v>133</v>
      </c>
      <c r="E470" s="10">
        <v>0</v>
      </c>
      <c r="F470" s="10">
        <v>0</v>
      </c>
      <c r="G470" s="10">
        <v>0</v>
      </c>
      <c r="H470" s="10">
        <v>0</v>
      </c>
      <c r="I470" s="10">
        <v>0</v>
      </c>
      <c r="J470" s="10">
        <v>0</v>
      </c>
      <c r="K470" s="10">
        <v>0</v>
      </c>
      <c r="L470" s="10">
        <v>0</v>
      </c>
      <c r="M470" s="10">
        <v>0</v>
      </c>
      <c r="N470" s="10">
        <v>0</v>
      </c>
      <c r="O470" s="10">
        <v>0</v>
      </c>
      <c r="P470" s="10">
        <v>17</v>
      </c>
    </row>
    <row r="471" spans="1:16">
      <c r="A471" s="10" t="s">
        <v>498</v>
      </c>
      <c r="B471" s="10">
        <v>39</v>
      </c>
      <c r="C471" s="21">
        <v>1.5676548917442853E-3</v>
      </c>
      <c r="D471" s="10">
        <v>112</v>
      </c>
      <c r="E471" s="10">
        <v>0</v>
      </c>
      <c r="F471" s="10">
        <v>0</v>
      </c>
      <c r="G471" s="10">
        <v>1</v>
      </c>
      <c r="H471" s="10">
        <v>0</v>
      </c>
      <c r="I471" s="10">
        <v>0</v>
      </c>
      <c r="J471" s="10">
        <v>0</v>
      </c>
      <c r="K471" s="10">
        <v>0</v>
      </c>
      <c r="L471" s="10">
        <v>0</v>
      </c>
      <c r="M471" s="10">
        <v>0</v>
      </c>
      <c r="N471" s="10">
        <v>0</v>
      </c>
      <c r="O471" s="10">
        <v>1</v>
      </c>
      <c r="P471" s="10">
        <v>36</v>
      </c>
    </row>
    <row r="472" spans="1:16">
      <c r="A472" s="10" t="s">
        <v>499</v>
      </c>
      <c r="B472" s="10">
        <v>292</v>
      </c>
      <c r="C472" s="21">
        <v>1.7613632518899513E-3</v>
      </c>
      <c r="D472" s="10">
        <v>144</v>
      </c>
      <c r="E472" s="10">
        <v>0</v>
      </c>
      <c r="F472" s="10">
        <v>0</v>
      </c>
      <c r="G472" s="10">
        <v>0</v>
      </c>
      <c r="H472" s="10">
        <v>0</v>
      </c>
      <c r="I472" s="10">
        <v>1</v>
      </c>
      <c r="J472" s="10">
        <v>0</v>
      </c>
      <c r="K472" s="10">
        <v>0</v>
      </c>
      <c r="L472" s="10">
        <v>0</v>
      </c>
      <c r="M472" s="10">
        <v>0</v>
      </c>
      <c r="N472" s="10">
        <v>0</v>
      </c>
      <c r="O472" s="10">
        <v>0</v>
      </c>
      <c r="P472" s="10">
        <v>24</v>
      </c>
    </row>
    <row r="473" spans="1:16">
      <c r="A473" s="10" t="s">
        <v>500</v>
      </c>
      <c r="B473" s="10">
        <v>606</v>
      </c>
      <c r="C473" s="21">
        <v>2.2019660152202917E-3</v>
      </c>
      <c r="D473" s="10">
        <v>159</v>
      </c>
      <c r="E473" s="10">
        <v>0</v>
      </c>
      <c r="F473" s="10">
        <v>0</v>
      </c>
      <c r="G473" s="10">
        <v>0</v>
      </c>
      <c r="H473" s="10">
        <v>0</v>
      </c>
      <c r="I473" s="10">
        <v>0</v>
      </c>
      <c r="J473" s="10">
        <v>0</v>
      </c>
      <c r="K473" s="10">
        <v>0</v>
      </c>
      <c r="L473" s="10">
        <v>0</v>
      </c>
      <c r="M473" s="10">
        <v>0</v>
      </c>
      <c r="N473" s="10">
        <v>0</v>
      </c>
      <c r="O473" s="10">
        <v>0</v>
      </c>
      <c r="P473" s="10">
        <v>21</v>
      </c>
    </row>
    <row r="474" spans="1:16">
      <c r="A474" s="10" t="s">
        <v>501</v>
      </c>
      <c r="B474" s="10">
        <v>106</v>
      </c>
      <c r="C474" s="21">
        <v>1.7736518381051745E-3</v>
      </c>
      <c r="D474" s="10">
        <v>165</v>
      </c>
      <c r="E474" s="10">
        <v>1</v>
      </c>
      <c r="F474" s="10">
        <v>0</v>
      </c>
      <c r="G474" s="10">
        <v>0</v>
      </c>
      <c r="H474" s="10">
        <v>0</v>
      </c>
      <c r="I474" s="10">
        <v>0</v>
      </c>
      <c r="J474" s="10">
        <v>0</v>
      </c>
      <c r="K474" s="10">
        <v>0</v>
      </c>
      <c r="L474" s="10">
        <v>0</v>
      </c>
      <c r="M474" s="10">
        <v>0</v>
      </c>
      <c r="N474" s="10">
        <v>0</v>
      </c>
      <c r="O474" s="10">
        <v>0</v>
      </c>
      <c r="P474" s="10">
        <v>24</v>
      </c>
    </row>
    <row r="475" spans="1:16">
      <c r="A475" s="10" t="s">
        <v>502</v>
      </c>
      <c r="B475" s="10">
        <v>89</v>
      </c>
      <c r="C475" s="21">
        <v>1.2066367727129957E-3</v>
      </c>
      <c r="D475" s="10">
        <v>150</v>
      </c>
      <c r="E475" s="10">
        <v>0</v>
      </c>
      <c r="F475" s="10">
        <v>0</v>
      </c>
      <c r="G475" s="10">
        <v>0</v>
      </c>
      <c r="H475" s="10">
        <v>0</v>
      </c>
      <c r="I475" s="10">
        <v>0</v>
      </c>
      <c r="J475" s="10">
        <v>0</v>
      </c>
      <c r="K475" s="10">
        <v>1</v>
      </c>
      <c r="L475" s="10">
        <v>0</v>
      </c>
      <c r="M475" s="10">
        <v>0</v>
      </c>
      <c r="N475" s="10">
        <v>0</v>
      </c>
      <c r="O475" s="10">
        <v>0</v>
      </c>
      <c r="P475" s="10">
        <v>25</v>
      </c>
    </row>
    <row r="476" spans="1:16">
      <c r="A476" s="10" t="s">
        <v>503</v>
      </c>
      <c r="B476" s="10">
        <v>165</v>
      </c>
      <c r="C476" s="21">
        <v>2.6097036362009232E-3</v>
      </c>
      <c r="D476" s="10">
        <v>141</v>
      </c>
      <c r="E476" s="10">
        <v>0</v>
      </c>
      <c r="F476" s="10">
        <v>0</v>
      </c>
      <c r="G476" s="10">
        <v>0</v>
      </c>
      <c r="H476" s="10">
        <v>1</v>
      </c>
      <c r="I476" s="10">
        <v>0</v>
      </c>
      <c r="J476" s="10">
        <v>0</v>
      </c>
      <c r="K476" s="10">
        <v>0</v>
      </c>
      <c r="L476" s="10">
        <v>0</v>
      </c>
      <c r="M476" s="10">
        <v>0</v>
      </c>
      <c r="N476" s="10">
        <v>0</v>
      </c>
      <c r="O476" s="10">
        <v>1</v>
      </c>
      <c r="P476" s="10">
        <v>43</v>
      </c>
    </row>
    <row r="477" spans="1:16">
      <c r="A477" s="10" t="s">
        <v>504</v>
      </c>
      <c r="B477" s="10">
        <v>103</v>
      </c>
      <c r="C477" s="21">
        <v>1.5924123813612402E-3</v>
      </c>
      <c r="D477" s="10">
        <v>99</v>
      </c>
      <c r="E477" s="10">
        <v>0</v>
      </c>
      <c r="F477" s="10">
        <v>1</v>
      </c>
      <c r="G477" s="10">
        <v>0</v>
      </c>
      <c r="H477" s="10">
        <v>0</v>
      </c>
      <c r="I477" s="10">
        <v>0</v>
      </c>
      <c r="J477" s="10">
        <v>0</v>
      </c>
      <c r="K477" s="10">
        <v>0</v>
      </c>
      <c r="L477" s="10">
        <v>0</v>
      </c>
      <c r="M477" s="10">
        <v>0</v>
      </c>
      <c r="N477" s="10">
        <v>0</v>
      </c>
      <c r="O477" s="10">
        <v>0</v>
      </c>
      <c r="P477" s="10">
        <v>32</v>
      </c>
    </row>
    <row r="478" spans="1:16">
      <c r="A478" s="10" t="s">
        <v>505</v>
      </c>
      <c r="B478" s="10">
        <v>54</v>
      </c>
      <c r="C478" s="21">
        <v>1.412290843103558E-3</v>
      </c>
      <c r="D478" s="10">
        <v>170</v>
      </c>
      <c r="E478" s="10">
        <v>0</v>
      </c>
      <c r="F478" s="10">
        <v>0</v>
      </c>
      <c r="G478" s="10">
        <v>1</v>
      </c>
      <c r="H478" s="10">
        <v>0</v>
      </c>
      <c r="I478" s="10">
        <v>0</v>
      </c>
      <c r="J478" s="10">
        <v>0</v>
      </c>
      <c r="K478" s="10">
        <v>0</v>
      </c>
      <c r="L478" s="10">
        <v>0</v>
      </c>
      <c r="M478" s="10">
        <v>0</v>
      </c>
      <c r="N478" s="10">
        <v>0</v>
      </c>
      <c r="O478" s="10">
        <v>0</v>
      </c>
      <c r="P478" s="10">
        <v>29</v>
      </c>
    </row>
    <row r="479" spans="1:16">
      <c r="A479" s="10" t="s">
        <v>506</v>
      </c>
      <c r="B479" s="10">
        <v>230</v>
      </c>
      <c r="C479" s="21">
        <v>4.99844529871639E-5</v>
      </c>
      <c r="D479" s="10">
        <v>100</v>
      </c>
      <c r="E479" s="10">
        <v>0</v>
      </c>
      <c r="F479" s="10">
        <v>0</v>
      </c>
      <c r="G479" s="10">
        <v>0</v>
      </c>
      <c r="H479" s="10">
        <v>1</v>
      </c>
      <c r="I479" s="10">
        <v>0</v>
      </c>
      <c r="J479" s="10">
        <v>0</v>
      </c>
      <c r="K479" s="10">
        <v>0</v>
      </c>
      <c r="L479" s="10">
        <v>0</v>
      </c>
      <c r="M479" s="10">
        <v>0</v>
      </c>
      <c r="N479" s="10">
        <v>0</v>
      </c>
      <c r="O479" s="10">
        <v>1</v>
      </c>
      <c r="P479" s="10">
        <v>36</v>
      </c>
    </row>
    <row r="480" spans="1:16">
      <c r="A480" s="10" t="s">
        <v>507</v>
      </c>
      <c r="B480" s="10">
        <v>603</v>
      </c>
      <c r="C480" s="21">
        <v>1.9391484435501453E-5</v>
      </c>
      <c r="D480" s="10">
        <v>129</v>
      </c>
      <c r="E480" s="10">
        <v>0</v>
      </c>
      <c r="F480" s="10">
        <v>0</v>
      </c>
      <c r="G480" s="10">
        <v>0</v>
      </c>
      <c r="H480" s="10">
        <v>0</v>
      </c>
      <c r="I480" s="10">
        <v>0</v>
      </c>
      <c r="J480" s="10">
        <v>0</v>
      </c>
      <c r="K480" s="10">
        <v>0</v>
      </c>
      <c r="L480" s="10">
        <v>0</v>
      </c>
      <c r="M480" s="10">
        <v>0</v>
      </c>
      <c r="N480" s="10">
        <v>0</v>
      </c>
      <c r="O480" s="10">
        <v>0</v>
      </c>
      <c r="P480" s="10">
        <v>19</v>
      </c>
    </row>
    <row r="481" spans="1:16">
      <c r="A481" s="10" t="s">
        <v>508</v>
      </c>
      <c r="B481" s="10">
        <v>114</v>
      </c>
      <c r="C481" s="21">
        <v>2.0151855483134017E-3</v>
      </c>
      <c r="D481" s="10">
        <v>144</v>
      </c>
      <c r="E481" s="10">
        <v>1</v>
      </c>
      <c r="F481" s="10">
        <v>0</v>
      </c>
      <c r="G481" s="10">
        <v>0</v>
      </c>
      <c r="H481" s="10">
        <v>0</v>
      </c>
      <c r="I481" s="10">
        <v>0</v>
      </c>
      <c r="J481" s="10">
        <v>0</v>
      </c>
      <c r="K481" s="10">
        <v>0</v>
      </c>
      <c r="L481" s="10">
        <v>0</v>
      </c>
      <c r="M481" s="10">
        <v>0</v>
      </c>
      <c r="N481" s="10">
        <v>0</v>
      </c>
      <c r="O481" s="10">
        <v>0</v>
      </c>
      <c r="P481" s="10">
        <v>46</v>
      </c>
    </row>
    <row r="482" spans="1:16">
      <c r="A482" s="10" t="s">
        <v>509</v>
      </c>
      <c r="B482" s="10">
        <v>41</v>
      </c>
      <c r="C482" s="21">
        <v>1.0584939568117808E-3</v>
      </c>
      <c r="D482" s="10">
        <v>200</v>
      </c>
      <c r="E482" s="10">
        <v>0</v>
      </c>
      <c r="F482" s="10">
        <v>0</v>
      </c>
      <c r="G482" s="10">
        <v>1</v>
      </c>
      <c r="H482" s="10">
        <v>0</v>
      </c>
      <c r="I482" s="10">
        <v>0</v>
      </c>
      <c r="J482" s="10">
        <v>0</v>
      </c>
      <c r="K482" s="10">
        <v>0</v>
      </c>
      <c r="L482" s="10">
        <v>0</v>
      </c>
      <c r="M482" s="10">
        <v>0</v>
      </c>
      <c r="N482" s="10">
        <v>0</v>
      </c>
      <c r="O482" s="10">
        <v>1</v>
      </c>
      <c r="P482" s="10">
        <v>27</v>
      </c>
    </row>
    <row r="483" spans="1:16">
      <c r="A483" s="10" t="s">
        <v>510</v>
      </c>
      <c r="B483" s="10">
        <v>83</v>
      </c>
      <c r="C483" s="21">
        <v>1.9125741147187072E-3</v>
      </c>
      <c r="D483" s="10">
        <v>152</v>
      </c>
      <c r="E483" s="10">
        <v>0</v>
      </c>
      <c r="F483" s="10">
        <v>0</v>
      </c>
      <c r="G483" s="10">
        <v>0</v>
      </c>
      <c r="H483" s="10">
        <v>0</v>
      </c>
      <c r="I483" s="10">
        <v>1</v>
      </c>
      <c r="J483" s="10">
        <v>0</v>
      </c>
      <c r="K483" s="10">
        <v>0</v>
      </c>
      <c r="L483" s="10">
        <v>0</v>
      </c>
      <c r="M483" s="10">
        <v>0</v>
      </c>
      <c r="N483" s="10">
        <v>0</v>
      </c>
      <c r="O483" s="10">
        <v>0</v>
      </c>
      <c r="P483" s="10">
        <v>32</v>
      </c>
    </row>
    <row r="484" spans="1:16">
      <c r="A484" s="10" t="s">
        <v>511</v>
      </c>
      <c r="B484" s="10">
        <v>295</v>
      </c>
      <c r="C484" s="21">
        <v>1.143114642126142E-3</v>
      </c>
      <c r="D484" s="10">
        <v>154</v>
      </c>
      <c r="E484" s="10">
        <v>0</v>
      </c>
      <c r="F484" s="10">
        <v>0</v>
      </c>
      <c r="G484" s="10">
        <v>0</v>
      </c>
      <c r="H484" s="10">
        <v>0</v>
      </c>
      <c r="I484" s="10">
        <v>0</v>
      </c>
      <c r="J484" s="10">
        <v>0</v>
      </c>
      <c r="K484" s="10">
        <v>0</v>
      </c>
      <c r="L484" s="10">
        <v>0</v>
      </c>
      <c r="M484" s="10">
        <v>0</v>
      </c>
      <c r="N484" s="10">
        <v>0</v>
      </c>
      <c r="O484" s="10">
        <v>0</v>
      </c>
      <c r="P484" s="10">
        <v>27</v>
      </c>
    </row>
    <row r="485" spans="1:16">
      <c r="A485" s="10" t="s">
        <v>512</v>
      </c>
      <c r="B485" s="10">
        <v>683</v>
      </c>
      <c r="C485" s="21">
        <v>6.4250769911445996E-4</v>
      </c>
      <c r="D485" s="10">
        <v>166</v>
      </c>
      <c r="E485" s="10">
        <v>0</v>
      </c>
      <c r="F485" s="10">
        <v>0</v>
      </c>
      <c r="G485" s="10">
        <v>0</v>
      </c>
      <c r="H485" s="10">
        <v>0</v>
      </c>
      <c r="I485" s="10">
        <v>0</v>
      </c>
      <c r="J485" s="10">
        <v>0</v>
      </c>
      <c r="K485" s="10">
        <v>0</v>
      </c>
      <c r="L485" s="10">
        <v>0</v>
      </c>
      <c r="M485" s="10">
        <v>0</v>
      </c>
      <c r="N485" s="10">
        <v>0</v>
      </c>
      <c r="O485" s="10">
        <v>0</v>
      </c>
      <c r="P485" s="10">
        <v>13</v>
      </c>
    </row>
    <row r="486" spans="1:16">
      <c r="A486" s="10" t="s">
        <v>513</v>
      </c>
      <c r="B486" s="10">
        <v>85</v>
      </c>
      <c r="C486" s="21">
        <v>2.1517265188980609E-3</v>
      </c>
      <c r="D486" s="10">
        <v>142</v>
      </c>
      <c r="E486" s="10">
        <v>1</v>
      </c>
      <c r="F486" s="10">
        <v>0</v>
      </c>
      <c r="G486" s="10">
        <v>0</v>
      </c>
      <c r="H486" s="10">
        <v>0</v>
      </c>
      <c r="I486" s="10">
        <v>0</v>
      </c>
      <c r="J486" s="10">
        <v>0</v>
      </c>
      <c r="K486" s="10">
        <v>0</v>
      </c>
      <c r="L486" s="10">
        <v>0</v>
      </c>
      <c r="M486" s="10">
        <v>0</v>
      </c>
      <c r="N486" s="10">
        <v>0</v>
      </c>
      <c r="O486" s="10">
        <v>0</v>
      </c>
      <c r="P486" s="10">
        <v>45</v>
      </c>
    </row>
    <row r="487" spans="1:16">
      <c r="A487" s="10" t="s">
        <v>514</v>
      </c>
      <c r="B487" s="10">
        <v>43</v>
      </c>
      <c r="C487" s="21">
        <v>2.1928257200041117E-3</v>
      </c>
      <c r="D487" s="10">
        <v>183</v>
      </c>
      <c r="E487" s="10">
        <v>0</v>
      </c>
      <c r="F487" s="10">
        <v>0</v>
      </c>
      <c r="G487" s="10">
        <v>1</v>
      </c>
      <c r="H487" s="10">
        <v>0</v>
      </c>
      <c r="I487" s="10">
        <v>0</v>
      </c>
      <c r="J487" s="10">
        <v>0</v>
      </c>
      <c r="K487" s="10">
        <v>0</v>
      </c>
      <c r="L487" s="10">
        <v>0</v>
      </c>
      <c r="M487" s="10">
        <v>0</v>
      </c>
      <c r="N487" s="10">
        <v>0</v>
      </c>
      <c r="O487" s="10">
        <v>0</v>
      </c>
      <c r="P487" s="10">
        <v>14</v>
      </c>
    </row>
    <row r="488" spans="1:16">
      <c r="A488" s="10" t="s">
        <v>515</v>
      </c>
      <c r="B488" s="10">
        <v>216</v>
      </c>
      <c r="C488" s="21">
        <v>1.1954786555576191E-3</v>
      </c>
      <c r="D488" s="10">
        <v>151</v>
      </c>
      <c r="E488" s="10">
        <v>0</v>
      </c>
      <c r="F488" s="10">
        <v>0</v>
      </c>
      <c r="G488" s="10">
        <v>0</v>
      </c>
      <c r="H488" s="10">
        <v>1</v>
      </c>
      <c r="I488" s="10">
        <v>0</v>
      </c>
      <c r="J488" s="10">
        <v>0</v>
      </c>
      <c r="K488" s="10">
        <v>0</v>
      </c>
      <c r="L488" s="10">
        <v>0</v>
      </c>
      <c r="M488" s="10">
        <v>0</v>
      </c>
      <c r="N488" s="10">
        <v>0</v>
      </c>
      <c r="O488" s="10">
        <v>0</v>
      </c>
      <c r="P488" s="10">
        <v>24</v>
      </c>
    </row>
    <row r="489" spans="1:16">
      <c r="A489" s="10" t="s">
        <v>516</v>
      </c>
      <c r="B489" s="10">
        <v>146</v>
      </c>
      <c r="C489" s="21">
        <v>2.2594233125458542E-3</v>
      </c>
      <c r="D489" s="10">
        <v>118</v>
      </c>
      <c r="E489" s="10">
        <v>0</v>
      </c>
      <c r="F489" s="10">
        <v>1</v>
      </c>
      <c r="G489" s="10">
        <v>0</v>
      </c>
      <c r="H489" s="10">
        <v>0</v>
      </c>
      <c r="I489" s="10">
        <v>0</v>
      </c>
      <c r="J489" s="10">
        <v>0</v>
      </c>
      <c r="K489" s="10">
        <v>0</v>
      </c>
      <c r="L489" s="10">
        <v>0</v>
      </c>
      <c r="M489" s="10">
        <v>0</v>
      </c>
      <c r="N489" s="10">
        <v>0</v>
      </c>
      <c r="O489" s="10">
        <v>1</v>
      </c>
      <c r="P489" s="10">
        <v>42</v>
      </c>
    </row>
    <row r="490" spans="1:16">
      <c r="A490" s="10" t="s">
        <v>517</v>
      </c>
      <c r="B490" s="10">
        <v>660</v>
      </c>
      <c r="C490" s="21">
        <v>8.6254428308314492E-5</v>
      </c>
      <c r="D490" s="10">
        <v>142</v>
      </c>
      <c r="E490" s="10">
        <v>0</v>
      </c>
      <c r="F490" s="10">
        <v>0</v>
      </c>
      <c r="G490" s="10">
        <v>0</v>
      </c>
      <c r="H490" s="10">
        <v>0</v>
      </c>
      <c r="I490" s="10">
        <v>0</v>
      </c>
      <c r="J490" s="10">
        <v>0</v>
      </c>
      <c r="K490" s="10">
        <v>0</v>
      </c>
      <c r="L490" s="10">
        <v>0</v>
      </c>
      <c r="M490" s="10">
        <v>0</v>
      </c>
      <c r="N490" s="10">
        <v>0</v>
      </c>
      <c r="O490" s="10">
        <v>0</v>
      </c>
      <c r="P490" s="10">
        <v>22</v>
      </c>
    </row>
    <row r="491" spans="1:16">
      <c r="A491" s="10" t="s">
        <v>518</v>
      </c>
      <c r="B491" s="10">
        <v>376</v>
      </c>
      <c r="C491" s="21">
        <v>1.1124533664373468E-3</v>
      </c>
      <c r="D491" s="10">
        <v>158</v>
      </c>
      <c r="E491" s="10">
        <v>0</v>
      </c>
      <c r="F491" s="10">
        <v>0</v>
      </c>
      <c r="G491" s="10">
        <v>0</v>
      </c>
      <c r="H491" s="10">
        <v>0</v>
      </c>
      <c r="I491" s="10">
        <v>0</v>
      </c>
      <c r="J491" s="10">
        <v>0</v>
      </c>
      <c r="K491" s="10">
        <v>0</v>
      </c>
      <c r="L491" s="10">
        <v>0</v>
      </c>
      <c r="M491" s="10">
        <v>0</v>
      </c>
      <c r="N491" s="10">
        <v>0</v>
      </c>
      <c r="O491" s="10">
        <v>1</v>
      </c>
      <c r="P491" s="10">
        <v>17</v>
      </c>
    </row>
    <row r="492" spans="1:16">
      <c r="A492" s="10" t="s">
        <v>519</v>
      </c>
      <c r="B492" s="10">
        <v>119</v>
      </c>
      <c r="C492" s="21">
        <v>1.2787492045871955E-3</v>
      </c>
      <c r="D492" s="10">
        <v>130</v>
      </c>
      <c r="E492" s="10">
        <v>1</v>
      </c>
      <c r="F492" s="10">
        <v>0</v>
      </c>
      <c r="G492" s="10">
        <v>0</v>
      </c>
      <c r="H492" s="10">
        <v>0</v>
      </c>
      <c r="I492" s="10">
        <v>0</v>
      </c>
      <c r="J492" s="10">
        <v>0</v>
      </c>
      <c r="K492" s="10">
        <v>0</v>
      </c>
      <c r="L492" s="10">
        <v>0</v>
      </c>
      <c r="M492" s="10">
        <v>0</v>
      </c>
      <c r="N492" s="10">
        <v>0</v>
      </c>
      <c r="O492" s="10">
        <v>0</v>
      </c>
      <c r="P492" s="10">
        <v>33</v>
      </c>
    </row>
    <row r="493" spans="1:16">
      <c r="A493" s="10" t="s">
        <v>520</v>
      </c>
      <c r="B493" s="10">
        <v>101</v>
      </c>
      <c r="C493" s="21">
        <v>1.4350045645014373E-4</v>
      </c>
      <c r="D493" s="10">
        <v>138</v>
      </c>
      <c r="E493" s="10">
        <v>0</v>
      </c>
      <c r="F493" s="10">
        <v>0</v>
      </c>
      <c r="G493" s="10">
        <v>0</v>
      </c>
      <c r="H493" s="10">
        <v>0</v>
      </c>
      <c r="I493" s="10">
        <v>0</v>
      </c>
      <c r="J493" s="10">
        <v>0</v>
      </c>
      <c r="K493" s="10">
        <v>1</v>
      </c>
      <c r="L493" s="10">
        <v>0</v>
      </c>
      <c r="M493" s="10">
        <v>0</v>
      </c>
      <c r="N493" s="10">
        <v>0</v>
      </c>
      <c r="O493" s="10">
        <v>0</v>
      </c>
      <c r="P493" s="10">
        <v>18</v>
      </c>
    </row>
    <row r="494" spans="1:16">
      <c r="A494" s="10" t="s">
        <v>521</v>
      </c>
      <c r="B494" s="10">
        <v>58</v>
      </c>
      <c r="C494" s="21">
        <v>2.6759780983936585E-3</v>
      </c>
      <c r="D494" s="10">
        <v>76</v>
      </c>
      <c r="E494" s="10">
        <v>0</v>
      </c>
      <c r="F494" s="10">
        <v>0</v>
      </c>
      <c r="G494" s="10">
        <v>1</v>
      </c>
      <c r="H494" s="10">
        <v>0</v>
      </c>
      <c r="I494" s="10">
        <v>0</v>
      </c>
      <c r="J494" s="10">
        <v>0</v>
      </c>
      <c r="K494" s="10">
        <v>0</v>
      </c>
      <c r="L494" s="10">
        <v>0</v>
      </c>
      <c r="M494" s="10">
        <v>0</v>
      </c>
      <c r="N494" s="10">
        <v>0</v>
      </c>
      <c r="O494" s="10">
        <v>1</v>
      </c>
      <c r="P494" s="10">
        <v>47</v>
      </c>
    </row>
    <row r="495" spans="1:16">
      <c r="A495" s="10" t="s">
        <v>522</v>
      </c>
      <c r="B495" s="10">
        <v>312</v>
      </c>
      <c r="C495" s="21">
        <v>6.3980452260375725E-4</v>
      </c>
      <c r="D495" s="10">
        <v>164</v>
      </c>
      <c r="E495" s="10">
        <v>0</v>
      </c>
      <c r="F495" s="10">
        <v>0</v>
      </c>
      <c r="G495" s="10">
        <v>0</v>
      </c>
      <c r="H495" s="10">
        <v>0</v>
      </c>
      <c r="I495" s="10">
        <v>1</v>
      </c>
      <c r="J495" s="10">
        <v>0</v>
      </c>
      <c r="K495" s="10">
        <v>0</v>
      </c>
      <c r="L495" s="10">
        <v>0</v>
      </c>
      <c r="M495" s="10">
        <v>0</v>
      </c>
      <c r="N495" s="10">
        <v>0</v>
      </c>
      <c r="O495" s="10">
        <v>0</v>
      </c>
      <c r="P495" s="10">
        <v>22</v>
      </c>
    </row>
    <row r="496" spans="1:16">
      <c r="A496" s="10" t="s">
        <v>523</v>
      </c>
      <c r="B496" s="10">
        <v>102</v>
      </c>
      <c r="C496" s="21">
        <v>1.9801372720380192E-3</v>
      </c>
      <c r="D496" s="10">
        <v>102</v>
      </c>
      <c r="E496" s="10">
        <v>0</v>
      </c>
      <c r="F496" s="10">
        <v>1</v>
      </c>
      <c r="G496" s="10">
        <v>0</v>
      </c>
      <c r="H496" s="10">
        <v>0</v>
      </c>
      <c r="I496" s="10">
        <v>0</v>
      </c>
      <c r="J496" s="10">
        <v>0</v>
      </c>
      <c r="K496" s="10">
        <v>0</v>
      </c>
      <c r="L496" s="10">
        <v>0</v>
      </c>
      <c r="M496" s="10">
        <v>0</v>
      </c>
      <c r="N496" s="10">
        <v>0</v>
      </c>
      <c r="O496" s="10">
        <v>1</v>
      </c>
      <c r="P496" s="10">
        <v>42</v>
      </c>
    </row>
    <row r="497" spans="1:16">
      <c r="A497" s="10" t="s">
        <v>524</v>
      </c>
      <c r="B497" s="10">
        <v>440</v>
      </c>
      <c r="C497" s="21">
        <v>1.7798186393856534E-3</v>
      </c>
      <c r="D497" s="10">
        <v>113</v>
      </c>
      <c r="E497" s="10">
        <v>0</v>
      </c>
      <c r="F497" s="10">
        <v>0</v>
      </c>
      <c r="G497" s="10">
        <v>0</v>
      </c>
      <c r="H497" s="10">
        <v>0</v>
      </c>
      <c r="I497" s="10">
        <v>0</v>
      </c>
      <c r="J497" s="10">
        <v>0</v>
      </c>
      <c r="K497" s="10">
        <v>0</v>
      </c>
      <c r="L497" s="10">
        <v>0</v>
      </c>
      <c r="M497" s="10">
        <v>0</v>
      </c>
      <c r="N497" s="10">
        <v>0</v>
      </c>
      <c r="O497" s="10">
        <v>0</v>
      </c>
      <c r="P497" s="10">
        <v>40</v>
      </c>
    </row>
    <row r="498" spans="1:16">
      <c r="A498" s="10" t="s">
        <v>525</v>
      </c>
      <c r="B498" s="10">
        <v>524</v>
      </c>
      <c r="C498" s="21">
        <v>1.0940003444260455E-3</v>
      </c>
      <c r="D498" s="10">
        <v>161</v>
      </c>
      <c r="E498" s="10">
        <v>0</v>
      </c>
      <c r="F498" s="10">
        <v>0</v>
      </c>
      <c r="G498" s="10">
        <v>0</v>
      </c>
      <c r="H498" s="10">
        <v>0</v>
      </c>
      <c r="I498" s="10">
        <v>0</v>
      </c>
      <c r="J498" s="10">
        <v>0</v>
      </c>
      <c r="K498" s="10">
        <v>0</v>
      </c>
      <c r="L498" s="10">
        <v>0</v>
      </c>
      <c r="M498" s="10">
        <v>0</v>
      </c>
      <c r="N498" s="10">
        <v>0</v>
      </c>
      <c r="O498" s="10">
        <v>1</v>
      </c>
      <c r="P498" s="10">
        <v>19</v>
      </c>
    </row>
    <row r="499" spans="1:16">
      <c r="A499" s="10" t="s">
        <v>526</v>
      </c>
      <c r="B499" s="10">
        <v>119</v>
      </c>
      <c r="C499" s="21">
        <v>1.11603491676765E-3</v>
      </c>
      <c r="D499" s="10">
        <v>149</v>
      </c>
      <c r="E499" s="10">
        <v>1</v>
      </c>
      <c r="F499" s="10">
        <v>0</v>
      </c>
      <c r="G499" s="10">
        <v>0</v>
      </c>
      <c r="H499" s="10">
        <v>0</v>
      </c>
      <c r="I499" s="10">
        <v>0</v>
      </c>
      <c r="J499" s="10">
        <v>0</v>
      </c>
      <c r="K499" s="10">
        <v>0</v>
      </c>
      <c r="L499" s="10">
        <v>0</v>
      </c>
      <c r="M499" s="10">
        <v>0</v>
      </c>
      <c r="N499" s="10">
        <v>0</v>
      </c>
      <c r="O499" s="10">
        <v>0</v>
      </c>
      <c r="P499" s="10">
        <v>25</v>
      </c>
    </row>
    <row r="500" spans="1:16">
      <c r="A500" s="10" t="s">
        <v>527</v>
      </c>
      <c r="B500" s="10">
        <v>55</v>
      </c>
      <c r="C500" s="21">
        <v>1.1629921571647622E-3</v>
      </c>
      <c r="D500" s="10">
        <v>184</v>
      </c>
      <c r="E500" s="10">
        <v>1</v>
      </c>
      <c r="F500" s="10">
        <v>0</v>
      </c>
      <c r="G500" s="10">
        <v>0</v>
      </c>
      <c r="H500" s="10">
        <v>0</v>
      </c>
      <c r="I500" s="10">
        <v>0</v>
      </c>
      <c r="J500" s="10">
        <v>0</v>
      </c>
      <c r="K500" s="10">
        <v>0</v>
      </c>
      <c r="L500" s="10">
        <v>0</v>
      </c>
      <c r="M500" s="10">
        <v>0</v>
      </c>
      <c r="N500" s="10">
        <v>0</v>
      </c>
      <c r="O500" s="10">
        <v>0</v>
      </c>
      <c r="P500" s="10">
        <v>33</v>
      </c>
    </row>
    <row r="501" spans="1:16">
      <c r="A501" s="10" t="s">
        <v>528</v>
      </c>
      <c r="B501" s="10">
        <v>59</v>
      </c>
      <c r="C501" s="21">
        <v>8.0454520793031103E-4</v>
      </c>
      <c r="D501" s="10">
        <v>152</v>
      </c>
      <c r="E501" s="10">
        <v>0</v>
      </c>
      <c r="F501" s="10">
        <v>0</v>
      </c>
      <c r="G501" s="10">
        <v>1</v>
      </c>
      <c r="H501" s="10">
        <v>0</v>
      </c>
      <c r="I501" s="10">
        <v>0</v>
      </c>
      <c r="J501" s="10">
        <v>0</v>
      </c>
      <c r="K501" s="10">
        <v>0</v>
      </c>
      <c r="L501" s="10">
        <v>0</v>
      </c>
      <c r="M501" s="10">
        <v>0</v>
      </c>
      <c r="N501" s="10">
        <v>0</v>
      </c>
      <c r="O501" s="10">
        <v>0</v>
      </c>
      <c r="P501" s="10">
        <v>16</v>
      </c>
    </row>
    <row r="502" spans="1:16">
      <c r="A502" s="10" t="s">
        <v>529</v>
      </c>
      <c r="B502" s="10">
        <v>224</v>
      </c>
      <c r="C502" s="21">
        <v>5.1430246113888739E-4</v>
      </c>
      <c r="D502" s="10">
        <v>224</v>
      </c>
      <c r="E502" s="10">
        <v>0</v>
      </c>
      <c r="F502" s="10">
        <v>0</v>
      </c>
      <c r="G502" s="10">
        <v>0</v>
      </c>
      <c r="H502" s="10">
        <v>1</v>
      </c>
      <c r="I502" s="10">
        <v>0</v>
      </c>
      <c r="J502" s="10">
        <v>0</v>
      </c>
      <c r="K502" s="10">
        <v>0</v>
      </c>
      <c r="L502" s="10">
        <v>0</v>
      </c>
      <c r="M502" s="10">
        <v>0</v>
      </c>
      <c r="N502" s="10">
        <v>0</v>
      </c>
      <c r="O502" s="10">
        <v>0</v>
      </c>
      <c r="P502" s="10">
        <v>7</v>
      </c>
    </row>
    <row r="503" spans="1:16">
      <c r="A503" s="10" t="s">
        <v>530</v>
      </c>
      <c r="B503" s="10">
        <v>184</v>
      </c>
      <c r="C503" s="21">
        <v>3.4176233496554008E-3</v>
      </c>
      <c r="D503" s="10">
        <v>193</v>
      </c>
      <c r="E503" s="10">
        <v>0</v>
      </c>
      <c r="F503" s="10">
        <v>0</v>
      </c>
      <c r="G503" s="10">
        <v>0</v>
      </c>
      <c r="H503" s="10">
        <v>0</v>
      </c>
      <c r="I503" s="10">
        <v>1</v>
      </c>
      <c r="J503" s="10">
        <v>0</v>
      </c>
      <c r="K503" s="10">
        <v>0</v>
      </c>
      <c r="L503" s="10">
        <v>0</v>
      </c>
      <c r="M503" s="10">
        <v>0</v>
      </c>
      <c r="N503" s="10">
        <v>0</v>
      </c>
      <c r="O503" s="10">
        <v>0</v>
      </c>
      <c r="P503" s="10">
        <v>9</v>
      </c>
    </row>
    <row r="504" spans="1:16">
      <c r="A504" s="10" t="s">
        <v>531</v>
      </c>
      <c r="B504" s="10">
        <v>111</v>
      </c>
      <c r="C504" s="21">
        <v>3.0083082587812507E-3</v>
      </c>
      <c r="D504" s="10">
        <v>167</v>
      </c>
      <c r="E504" s="10">
        <v>0</v>
      </c>
      <c r="F504" s="10">
        <v>1</v>
      </c>
      <c r="G504" s="10">
        <v>0</v>
      </c>
      <c r="H504" s="10">
        <v>0</v>
      </c>
      <c r="I504" s="10">
        <v>0</v>
      </c>
      <c r="J504" s="10">
        <v>0</v>
      </c>
      <c r="K504" s="10">
        <v>0</v>
      </c>
      <c r="L504" s="10">
        <v>0</v>
      </c>
      <c r="M504" s="10">
        <v>0</v>
      </c>
      <c r="N504" s="10">
        <v>0</v>
      </c>
      <c r="O504" s="10">
        <v>1</v>
      </c>
      <c r="P504" s="10">
        <v>30</v>
      </c>
    </row>
    <row r="505" spans="1:16">
      <c r="A505" s="10" t="s">
        <v>532</v>
      </c>
      <c r="B505" s="10">
        <v>472</v>
      </c>
      <c r="C505" s="21">
        <v>8.9301258450014587E-4</v>
      </c>
      <c r="D505" s="10">
        <v>191</v>
      </c>
      <c r="E505" s="10">
        <v>0</v>
      </c>
      <c r="F505" s="10">
        <v>0</v>
      </c>
      <c r="G505" s="10">
        <v>0</v>
      </c>
      <c r="H505" s="10">
        <v>0</v>
      </c>
      <c r="I505" s="10">
        <v>0</v>
      </c>
      <c r="J505" s="10">
        <v>0</v>
      </c>
      <c r="K505" s="10">
        <v>0</v>
      </c>
      <c r="L505" s="10">
        <v>0</v>
      </c>
      <c r="M505" s="10">
        <v>0</v>
      </c>
      <c r="N505" s="10">
        <v>0</v>
      </c>
      <c r="O505" s="10">
        <v>1</v>
      </c>
      <c r="P505" s="10">
        <v>19</v>
      </c>
    </row>
    <row r="506" spans="1:16">
      <c r="A506" s="10" t="s">
        <v>533</v>
      </c>
      <c r="B506" s="10">
        <v>69</v>
      </c>
      <c r="C506" s="21">
        <v>1.9049248596662834E-3</v>
      </c>
      <c r="D506" s="10">
        <v>181</v>
      </c>
      <c r="E506" s="10">
        <v>1</v>
      </c>
      <c r="F506" s="10">
        <v>0</v>
      </c>
      <c r="G506" s="10">
        <v>0</v>
      </c>
      <c r="H506" s="10">
        <v>0</v>
      </c>
      <c r="I506" s="10">
        <v>0</v>
      </c>
      <c r="J506" s="10">
        <v>0</v>
      </c>
      <c r="K506" s="10">
        <v>0</v>
      </c>
      <c r="L506" s="10">
        <v>0</v>
      </c>
      <c r="M506" s="10">
        <v>0</v>
      </c>
      <c r="N506" s="10">
        <v>0</v>
      </c>
      <c r="O506" s="10">
        <v>1</v>
      </c>
      <c r="P506" s="10">
        <v>37</v>
      </c>
    </row>
    <row r="507" spans="1:16">
      <c r="A507" s="10" t="s">
        <v>534</v>
      </c>
      <c r="B507" s="10">
        <v>44</v>
      </c>
      <c r="C507" s="21">
        <v>2.0408050604642626E-3</v>
      </c>
      <c r="D507" s="10">
        <v>143</v>
      </c>
      <c r="E507" s="10">
        <v>0</v>
      </c>
      <c r="F507" s="10">
        <v>0</v>
      </c>
      <c r="G507" s="10">
        <v>1</v>
      </c>
      <c r="H507" s="10">
        <v>0</v>
      </c>
      <c r="I507" s="10">
        <v>0</v>
      </c>
      <c r="J507" s="10">
        <v>0</v>
      </c>
      <c r="K507" s="10">
        <v>0</v>
      </c>
      <c r="L507" s="10">
        <v>0</v>
      </c>
      <c r="M507" s="10">
        <v>0</v>
      </c>
      <c r="N507" s="10">
        <v>0</v>
      </c>
      <c r="O507" s="10">
        <v>0</v>
      </c>
      <c r="P507" s="10">
        <v>21</v>
      </c>
    </row>
    <row r="508" spans="1:16">
      <c r="A508" s="10" t="s">
        <v>535</v>
      </c>
      <c r="B508" s="10">
        <v>147</v>
      </c>
      <c r="C508" s="21">
        <v>7.8418707025182605E-4</v>
      </c>
      <c r="D508" s="10">
        <v>123</v>
      </c>
      <c r="E508" s="10">
        <v>0</v>
      </c>
      <c r="F508" s="10">
        <v>0</v>
      </c>
      <c r="G508" s="10">
        <v>0</v>
      </c>
      <c r="H508" s="10">
        <v>1</v>
      </c>
      <c r="I508" s="10">
        <v>0</v>
      </c>
      <c r="J508" s="10">
        <v>0</v>
      </c>
      <c r="K508" s="10">
        <v>0</v>
      </c>
      <c r="L508" s="10">
        <v>0</v>
      </c>
      <c r="M508" s="10">
        <v>0</v>
      </c>
      <c r="N508" s="10">
        <v>0</v>
      </c>
      <c r="O508" s="10">
        <v>1</v>
      </c>
      <c r="P508" s="10">
        <v>24</v>
      </c>
    </row>
    <row r="509" spans="1:16">
      <c r="A509" s="10" t="s">
        <v>536</v>
      </c>
      <c r="B509" s="10">
        <v>294</v>
      </c>
      <c r="C509" s="21">
        <v>1.3960415944455349E-3</v>
      </c>
      <c r="D509" s="10">
        <v>168</v>
      </c>
      <c r="E509" s="10">
        <v>0</v>
      </c>
      <c r="F509" s="10">
        <v>0</v>
      </c>
      <c r="G509" s="10">
        <v>0</v>
      </c>
      <c r="H509" s="10">
        <v>0</v>
      </c>
      <c r="I509" s="10">
        <v>1</v>
      </c>
      <c r="J509" s="10">
        <v>0</v>
      </c>
      <c r="K509" s="10">
        <v>0</v>
      </c>
      <c r="L509" s="10">
        <v>0</v>
      </c>
      <c r="M509" s="10">
        <v>0</v>
      </c>
      <c r="N509" s="10">
        <v>0</v>
      </c>
      <c r="O509" s="10">
        <v>1</v>
      </c>
      <c r="P509" s="10">
        <v>26</v>
      </c>
    </row>
    <row r="510" spans="1:16">
      <c r="A510" s="10" t="s">
        <v>537</v>
      </c>
      <c r="B510" s="10">
        <v>78</v>
      </c>
      <c r="C510" s="21">
        <v>1.5158744201015459E-4</v>
      </c>
      <c r="D510" s="10">
        <v>188</v>
      </c>
      <c r="E510" s="10">
        <v>1</v>
      </c>
      <c r="F510" s="10">
        <v>0</v>
      </c>
      <c r="G510" s="10">
        <v>0</v>
      </c>
      <c r="H510" s="10">
        <v>0</v>
      </c>
      <c r="I510" s="10">
        <v>0</v>
      </c>
      <c r="J510" s="10">
        <v>0</v>
      </c>
      <c r="K510" s="10">
        <v>0</v>
      </c>
      <c r="L510" s="10">
        <v>0</v>
      </c>
      <c r="M510" s="10">
        <v>0</v>
      </c>
      <c r="N510" s="10">
        <v>0</v>
      </c>
      <c r="O510" s="10">
        <v>0</v>
      </c>
      <c r="P510" s="10">
        <v>15</v>
      </c>
    </row>
    <row r="511" spans="1:16">
      <c r="A511" s="10" t="s">
        <v>538</v>
      </c>
      <c r="B511" s="10">
        <v>45</v>
      </c>
      <c r="C511" s="21">
        <v>1.758389878806019E-3</v>
      </c>
      <c r="D511" s="10">
        <v>177</v>
      </c>
      <c r="E511" s="10">
        <v>0</v>
      </c>
      <c r="F511" s="10">
        <v>0</v>
      </c>
      <c r="G511" s="10">
        <v>1</v>
      </c>
      <c r="H511" s="10">
        <v>0</v>
      </c>
      <c r="I511" s="10">
        <v>0</v>
      </c>
      <c r="J511" s="10">
        <v>0</v>
      </c>
      <c r="K511" s="10">
        <v>0</v>
      </c>
      <c r="L511" s="10">
        <v>0</v>
      </c>
      <c r="M511" s="10">
        <v>0</v>
      </c>
      <c r="N511" s="10">
        <v>0</v>
      </c>
      <c r="O511" s="10">
        <v>0</v>
      </c>
      <c r="P511" s="10">
        <v>22</v>
      </c>
    </row>
    <row r="512" spans="1:16">
      <c r="A512" s="10" t="s">
        <v>539</v>
      </c>
      <c r="B512" s="10">
        <v>345</v>
      </c>
      <c r="C512" s="21">
        <v>1.1995693568212047E-3</v>
      </c>
      <c r="D512" s="10">
        <v>173</v>
      </c>
      <c r="E512" s="10">
        <v>0</v>
      </c>
      <c r="F512" s="10">
        <v>0</v>
      </c>
      <c r="G512" s="10">
        <v>0</v>
      </c>
      <c r="H512" s="10">
        <v>0</v>
      </c>
      <c r="I512" s="10">
        <v>1</v>
      </c>
      <c r="J512" s="10">
        <v>0</v>
      </c>
      <c r="K512" s="10">
        <v>0</v>
      </c>
      <c r="L512" s="10">
        <v>0</v>
      </c>
      <c r="M512" s="10">
        <v>0</v>
      </c>
      <c r="N512" s="10">
        <v>0</v>
      </c>
      <c r="O512" s="10">
        <v>0</v>
      </c>
      <c r="P512" s="10">
        <v>31</v>
      </c>
    </row>
    <row r="513" spans="1:16">
      <c r="A513" s="10" t="s">
        <v>540</v>
      </c>
      <c r="B513" s="10">
        <v>97</v>
      </c>
      <c r="C513" s="21">
        <v>1.1336917901301133E-3</v>
      </c>
      <c r="D513" s="10">
        <v>167</v>
      </c>
      <c r="E513" s="10">
        <v>0</v>
      </c>
      <c r="F513" s="10">
        <v>1</v>
      </c>
      <c r="G513" s="10">
        <v>0</v>
      </c>
      <c r="H513" s="10">
        <v>0</v>
      </c>
      <c r="I513" s="10">
        <v>0</v>
      </c>
      <c r="J513" s="10">
        <v>0</v>
      </c>
      <c r="K513" s="10">
        <v>0</v>
      </c>
      <c r="L513" s="10">
        <v>0</v>
      </c>
      <c r="M513" s="10">
        <v>0</v>
      </c>
      <c r="N513" s="10">
        <v>0</v>
      </c>
      <c r="O513" s="10">
        <v>0</v>
      </c>
      <c r="P513" s="10">
        <v>24</v>
      </c>
    </row>
    <row r="514" spans="1:16">
      <c r="A514" s="10" t="s">
        <v>541</v>
      </c>
      <c r="B514" s="10">
        <v>371</v>
      </c>
      <c r="C514" s="21">
        <v>1.2898041113461347E-3</v>
      </c>
      <c r="D514" s="10">
        <v>204</v>
      </c>
      <c r="E514" s="10">
        <v>0</v>
      </c>
      <c r="F514" s="10">
        <v>0</v>
      </c>
      <c r="G514" s="10">
        <v>0</v>
      </c>
      <c r="H514" s="10">
        <v>0</v>
      </c>
      <c r="I514" s="10">
        <v>0</v>
      </c>
      <c r="J514" s="10">
        <v>0</v>
      </c>
      <c r="K514" s="10">
        <v>0</v>
      </c>
      <c r="L514" s="10">
        <v>0</v>
      </c>
      <c r="M514" s="10">
        <v>0</v>
      </c>
      <c r="N514" s="10">
        <v>0</v>
      </c>
      <c r="O514" s="10">
        <v>1</v>
      </c>
      <c r="P514" s="10">
        <v>22</v>
      </c>
    </row>
    <row r="515" spans="1:16">
      <c r="A515" s="10" t="s">
        <v>542</v>
      </c>
      <c r="B515" s="10">
        <v>575</v>
      </c>
      <c r="C515" s="21">
        <v>1.6737136217756358E-3</v>
      </c>
      <c r="D515" s="10">
        <v>148</v>
      </c>
      <c r="E515" s="10">
        <v>0</v>
      </c>
      <c r="F515" s="10">
        <v>0</v>
      </c>
      <c r="G515" s="10">
        <v>0</v>
      </c>
      <c r="H515" s="10">
        <v>0</v>
      </c>
      <c r="I515" s="10">
        <v>0</v>
      </c>
      <c r="J515" s="10">
        <v>0</v>
      </c>
      <c r="K515" s="10">
        <v>0</v>
      </c>
      <c r="L515" s="10">
        <v>0</v>
      </c>
      <c r="M515" s="10">
        <v>0</v>
      </c>
      <c r="N515" s="10">
        <v>0</v>
      </c>
      <c r="O515" s="10">
        <v>0</v>
      </c>
      <c r="P515" s="10">
        <v>39</v>
      </c>
    </row>
    <row r="516" spans="1:16">
      <c r="A516" s="10" t="s">
        <v>543</v>
      </c>
      <c r="B516" s="10">
        <v>41</v>
      </c>
      <c r="C516" s="21">
        <v>7.0495734871097663E-4</v>
      </c>
      <c r="D516" s="10">
        <v>162</v>
      </c>
      <c r="E516" s="10">
        <v>0</v>
      </c>
      <c r="F516" s="10">
        <v>0</v>
      </c>
      <c r="G516" s="10">
        <v>1</v>
      </c>
      <c r="H516" s="10">
        <v>0</v>
      </c>
      <c r="I516" s="10">
        <v>0</v>
      </c>
      <c r="J516" s="10">
        <v>0</v>
      </c>
      <c r="K516" s="10">
        <v>0</v>
      </c>
      <c r="L516" s="10">
        <v>0</v>
      </c>
      <c r="M516" s="10">
        <v>0</v>
      </c>
      <c r="N516" s="10">
        <v>0</v>
      </c>
      <c r="O516" s="10">
        <v>0</v>
      </c>
      <c r="P516" s="10">
        <v>17</v>
      </c>
    </row>
    <row r="517" spans="1:16">
      <c r="A517" s="10" t="s">
        <v>544</v>
      </c>
      <c r="B517" s="10">
        <v>417</v>
      </c>
      <c r="C517" s="21">
        <v>9.0506449139425983E-4</v>
      </c>
      <c r="D517" s="10">
        <v>133</v>
      </c>
      <c r="E517" s="10">
        <v>0</v>
      </c>
      <c r="F517" s="10">
        <v>0</v>
      </c>
      <c r="G517" s="10">
        <v>0</v>
      </c>
      <c r="H517" s="10">
        <v>0</v>
      </c>
      <c r="I517" s="10">
        <v>1</v>
      </c>
      <c r="J517" s="10">
        <v>0</v>
      </c>
      <c r="K517" s="10">
        <v>0</v>
      </c>
      <c r="L517" s="10">
        <v>0</v>
      </c>
      <c r="M517" s="10">
        <v>0</v>
      </c>
      <c r="N517" s="10">
        <v>0</v>
      </c>
      <c r="O517" s="10">
        <v>0</v>
      </c>
      <c r="P517" s="10">
        <v>17</v>
      </c>
    </row>
    <row r="518" spans="1:16">
      <c r="A518" s="10" t="s">
        <v>545</v>
      </c>
      <c r="B518" s="10">
        <v>78</v>
      </c>
      <c r="C518" s="21">
        <v>1.7147361984993701E-4</v>
      </c>
      <c r="D518" s="10">
        <v>134</v>
      </c>
      <c r="E518" s="10">
        <v>0</v>
      </c>
      <c r="F518" s="10">
        <v>1</v>
      </c>
      <c r="G518" s="10">
        <v>0</v>
      </c>
      <c r="H518" s="10">
        <v>0</v>
      </c>
      <c r="I518" s="10">
        <v>0</v>
      </c>
      <c r="J518" s="10">
        <v>0</v>
      </c>
      <c r="K518" s="10">
        <v>0</v>
      </c>
      <c r="L518" s="10">
        <v>0</v>
      </c>
      <c r="M518" s="10">
        <v>0</v>
      </c>
      <c r="N518" s="10">
        <v>0</v>
      </c>
      <c r="O518" s="10">
        <v>0</v>
      </c>
      <c r="P518" s="10">
        <v>17</v>
      </c>
    </row>
    <row r="519" spans="1:16">
      <c r="A519" s="10" t="s">
        <v>546</v>
      </c>
      <c r="B519" s="10">
        <v>474</v>
      </c>
      <c r="C519" s="21">
        <v>1.1986091678556185E-3</v>
      </c>
      <c r="D519" s="10">
        <v>175</v>
      </c>
      <c r="E519" s="10">
        <v>0</v>
      </c>
      <c r="F519" s="10">
        <v>0</v>
      </c>
      <c r="G519" s="10">
        <v>0</v>
      </c>
      <c r="H519" s="10">
        <v>0</v>
      </c>
      <c r="I519" s="10">
        <v>0</v>
      </c>
      <c r="J519" s="10">
        <v>0</v>
      </c>
      <c r="K519" s="10">
        <v>0</v>
      </c>
      <c r="L519" s="10">
        <v>0</v>
      </c>
      <c r="M519" s="10">
        <v>0</v>
      </c>
      <c r="N519" s="10">
        <v>0</v>
      </c>
      <c r="O519" s="10">
        <v>0</v>
      </c>
      <c r="P519" s="10">
        <v>24</v>
      </c>
    </row>
    <row r="520" spans="1:16">
      <c r="A520" s="10" t="s">
        <v>547</v>
      </c>
      <c r="B520" s="10">
        <v>99</v>
      </c>
      <c r="C520" s="21">
        <v>1.5881418004151265E-3</v>
      </c>
      <c r="D520" s="10">
        <v>165</v>
      </c>
      <c r="E520" s="10">
        <v>1</v>
      </c>
      <c r="F520" s="10">
        <v>0</v>
      </c>
      <c r="G520" s="10">
        <v>0</v>
      </c>
      <c r="H520" s="10">
        <v>0</v>
      </c>
      <c r="I520" s="10">
        <v>0</v>
      </c>
      <c r="J520" s="10">
        <v>0</v>
      </c>
      <c r="K520" s="10">
        <v>0</v>
      </c>
      <c r="L520" s="10">
        <v>0</v>
      </c>
      <c r="M520" s="10">
        <v>0</v>
      </c>
      <c r="N520" s="10">
        <v>0</v>
      </c>
      <c r="O520" s="10">
        <v>0</v>
      </c>
      <c r="P520" s="10">
        <v>33</v>
      </c>
    </row>
    <row r="521" spans="1:16">
      <c r="A521" s="10" t="s">
        <v>548</v>
      </c>
      <c r="B521" s="10">
        <v>104</v>
      </c>
      <c r="C521" s="21">
        <v>2.2263032287186577E-4</v>
      </c>
      <c r="D521" s="10">
        <v>144</v>
      </c>
      <c r="E521" s="10">
        <v>1</v>
      </c>
      <c r="F521" s="10">
        <v>0</v>
      </c>
      <c r="G521" s="10">
        <v>0</v>
      </c>
      <c r="H521" s="10">
        <v>0</v>
      </c>
      <c r="I521" s="10">
        <v>0</v>
      </c>
      <c r="J521" s="10">
        <v>0</v>
      </c>
      <c r="K521" s="10">
        <v>0</v>
      </c>
      <c r="L521" s="10">
        <v>0</v>
      </c>
      <c r="M521" s="10">
        <v>0</v>
      </c>
      <c r="N521" s="10">
        <v>0</v>
      </c>
      <c r="O521" s="10">
        <v>0</v>
      </c>
      <c r="P521" s="10">
        <v>16</v>
      </c>
    </row>
    <row r="522" spans="1:16">
      <c r="A522" s="10" t="s">
        <v>549</v>
      </c>
      <c r="B522" s="10">
        <v>31</v>
      </c>
      <c r="C522" s="21">
        <v>1.8988229763858549E-3</v>
      </c>
      <c r="D522" s="10">
        <v>185</v>
      </c>
      <c r="E522" s="10">
        <v>0</v>
      </c>
      <c r="F522" s="10">
        <v>0</v>
      </c>
      <c r="G522" s="10">
        <v>1</v>
      </c>
      <c r="H522" s="10">
        <v>0</v>
      </c>
      <c r="I522" s="10">
        <v>0</v>
      </c>
      <c r="J522" s="10">
        <v>0</v>
      </c>
      <c r="K522" s="10">
        <v>0</v>
      </c>
      <c r="L522" s="10">
        <v>0</v>
      </c>
      <c r="M522" s="10">
        <v>0</v>
      </c>
      <c r="N522" s="10">
        <v>0</v>
      </c>
      <c r="O522" s="10">
        <v>0</v>
      </c>
      <c r="P522" s="10">
        <v>32</v>
      </c>
    </row>
    <row r="523" spans="1:16">
      <c r="A523" s="10" t="s">
        <v>550</v>
      </c>
      <c r="B523" s="10">
        <v>265</v>
      </c>
      <c r="C523" s="21">
        <v>1.1207255226062369E-3</v>
      </c>
      <c r="D523" s="10">
        <v>205</v>
      </c>
      <c r="E523" s="10">
        <v>0</v>
      </c>
      <c r="F523" s="10">
        <v>0</v>
      </c>
      <c r="G523" s="10">
        <v>0</v>
      </c>
      <c r="H523" s="10">
        <v>0</v>
      </c>
      <c r="I523" s="10">
        <v>1</v>
      </c>
      <c r="J523" s="10">
        <v>0</v>
      </c>
      <c r="K523" s="10">
        <v>0</v>
      </c>
      <c r="L523" s="10">
        <v>0</v>
      </c>
      <c r="M523" s="10">
        <v>0</v>
      </c>
      <c r="N523" s="10">
        <v>0</v>
      </c>
      <c r="O523" s="10">
        <v>0</v>
      </c>
      <c r="P523" s="10">
        <v>4</v>
      </c>
    </row>
    <row r="524" spans="1:16">
      <c r="A524" s="10" t="s">
        <v>551</v>
      </c>
      <c r="B524" s="10">
        <v>532</v>
      </c>
      <c r="C524" s="21">
        <v>2.0431225745847618E-3</v>
      </c>
      <c r="D524" s="10">
        <v>180</v>
      </c>
      <c r="E524" s="10">
        <v>0</v>
      </c>
      <c r="F524" s="10">
        <v>0</v>
      </c>
      <c r="G524" s="10">
        <v>0</v>
      </c>
      <c r="H524" s="10">
        <v>0</v>
      </c>
      <c r="I524" s="10">
        <v>0</v>
      </c>
      <c r="J524" s="10">
        <v>0</v>
      </c>
      <c r="K524" s="10">
        <v>0</v>
      </c>
      <c r="L524" s="10">
        <v>0</v>
      </c>
      <c r="M524" s="10">
        <v>0</v>
      </c>
      <c r="N524" s="10">
        <v>0</v>
      </c>
      <c r="O524" s="10">
        <v>0</v>
      </c>
      <c r="P524" s="10">
        <v>30</v>
      </c>
    </row>
    <row r="525" spans="1:16">
      <c r="A525" s="10" t="s">
        <v>552</v>
      </c>
      <c r="B525" s="10">
        <v>113</v>
      </c>
      <c r="C525" s="21">
        <v>1.8417522753570383E-3</v>
      </c>
      <c r="D525" s="10">
        <v>157</v>
      </c>
      <c r="E525" s="10">
        <v>1</v>
      </c>
      <c r="F525" s="10">
        <v>0</v>
      </c>
      <c r="G525" s="10">
        <v>0</v>
      </c>
      <c r="H525" s="10">
        <v>0</v>
      </c>
      <c r="I525" s="10">
        <v>0</v>
      </c>
      <c r="J525" s="10">
        <v>0</v>
      </c>
      <c r="K525" s="10">
        <v>0</v>
      </c>
      <c r="L525" s="10">
        <v>0</v>
      </c>
      <c r="M525" s="10">
        <v>0</v>
      </c>
      <c r="N525" s="10">
        <v>0</v>
      </c>
      <c r="O525" s="10">
        <v>0</v>
      </c>
      <c r="P525" s="10">
        <v>24</v>
      </c>
    </row>
    <row r="526" spans="1:16">
      <c r="A526" s="10" t="s">
        <v>553</v>
      </c>
      <c r="B526" s="10">
        <v>59</v>
      </c>
      <c r="C526" s="21">
        <v>2.543452193132126E-3</v>
      </c>
      <c r="D526" s="10">
        <v>188</v>
      </c>
      <c r="E526" s="10">
        <v>0</v>
      </c>
      <c r="F526" s="10">
        <v>0</v>
      </c>
      <c r="G526" s="10">
        <v>1</v>
      </c>
      <c r="H526" s="10">
        <v>0</v>
      </c>
      <c r="I526" s="10">
        <v>0</v>
      </c>
      <c r="J526" s="10">
        <v>0</v>
      </c>
      <c r="K526" s="10">
        <v>0</v>
      </c>
      <c r="L526" s="10">
        <v>0</v>
      </c>
      <c r="M526" s="10">
        <v>0</v>
      </c>
      <c r="N526" s="10">
        <v>0</v>
      </c>
      <c r="O526" s="10">
        <v>1</v>
      </c>
      <c r="P526" s="10">
        <v>17</v>
      </c>
    </row>
    <row r="527" spans="1:16">
      <c r="A527" s="10" t="s">
        <v>554</v>
      </c>
      <c r="B527" s="10">
        <v>214</v>
      </c>
      <c r="C527" s="21">
        <v>8.0337430708301454E-4</v>
      </c>
      <c r="D527" s="10">
        <v>178</v>
      </c>
      <c r="E527" s="10">
        <v>0</v>
      </c>
      <c r="F527" s="10">
        <v>0</v>
      </c>
      <c r="G527" s="10">
        <v>0</v>
      </c>
      <c r="H527" s="10">
        <v>1</v>
      </c>
      <c r="I527" s="10">
        <v>0</v>
      </c>
      <c r="J527" s="10">
        <v>0</v>
      </c>
      <c r="K527" s="10">
        <v>0</v>
      </c>
      <c r="L527" s="10">
        <v>0</v>
      </c>
      <c r="M527" s="10">
        <v>0</v>
      </c>
      <c r="N527" s="10">
        <v>0</v>
      </c>
      <c r="O527" s="10">
        <v>0</v>
      </c>
      <c r="P527" s="10">
        <v>22</v>
      </c>
    </row>
    <row r="528" spans="1:16">
      <c r="A528" s="10" t="s">
        <v>555</v>
      </c>
      <c r="B528" s="10">
        <v>84</v>
      </c>
      <c r="C528" s="21">
        <v>1.6676695878314639E-3</v>
      </c>
      <c r="D528" s="10">
        <v>128</v>
      </c>
      <c r="E528" s="10">
        <v>0</v>
      </c>
      <c r="F528" s="10">
        <v>1</v>
      </c>
      <c r="G528" s="10">
        <v>0</v>
      </c>
      <c r="H528" s="10">
        <v>0</v>
      </c>
      <c r="I528" s="10">
        <v>0</v>
      </c>
      <c r="J528" s="10">
        <v>0</v>
      </c>
      <c r="K528" s="10">
        <v>0</v>
      </c>
      <c r="L528" s="10">
        <v>0</v>
      </c>
      <c r="M528" s="10">
        <v>0</v>
      </c>
      <c r="N528" s="10">
        <v>0</v>
      </c>
      <c r="O528" s="10">
        <v>0</v>
      </c>
      <c r="P528" s="10">
        <v>31</v>
      </c>
    </row>
    <row r="529" spans="1:16">
      <c r="A529" s="10" t="s">
        <v>556</v>
      </c>
      <c r="B529" s="10">
        <v>505</v>
      </c>
      <c r="C529" s="21">
        <v>1.187953628111285E-3</v>
      </c>
      <c r="D529" s="10">
        <v>196</v>
      </c>
      <c r="E529" s="10">
        <v>0</v>
      </c>
      <c r="F529" s="10">
        <v>0</v>
      </c>
      <c r="G529" s="10">
        <v>0</v>
      </c>
      <c r="H529" s="10">
        <v>0</v>
      </c>
      <c r="I529" s="10">
        <v>0</v>
      </c>
      <c r="J529" s="10">
        <v>0</v>
      </c>
      <c r="K529" s="10">
        <v>0</v>
      </c>
      <c r="L529" s="10">
        <v>0</v>
      </c>
      <c r="M529" s="10">
        <v>0</v>
      </c>
      <c r="N529" s="10">
        <v>0</v>
      </c>
      <c r="O529" s="10">
        <v>0</v>
      </c>
      <c r="P529" s="10">
        <v>23</v>
      </c>
    </row>
    <row r="530" spans="1:16">
      <c r="A530" s="10" t="s">
        <v>557</v>
      </c>
      <c r="B530" s="10">
        <v>100</v>
      </c>
      <c r="C530" s="21">
        <v>4.3294353184578482E-3</v>
      </c>
      <c r="D530" s="10">
        <v>151</v>
      </c>
      <c r="E530" s="10">
        <v>1</v>
      </c>
      <c r="F530" s="10">
        <v>0</v>
      </c>
      <c r="G530" s="10">
        <v>0</v>
      </c>
      <c r="H530" s="10">
        <v>0</v>
      </c>
      <c r="I530" s="10">
        <v>0</v>
      </c>
      <c r="J530" s="10">
        <v>0</v>
      </c>
      <c r="K530" s="10">
        <v>0</v>
      </c>
      <c r="L530" s="10">
        <v>0</v>
      </c>
      <c r="M530" s="10">
        <v>0</v>
      </c>
      <c r="N530" s="10">
        <v>0</v>
      </c>
      <c r="O530" s="10">
        <v>1</v>
      </c>
      <c r="P530" s="10">
        <v>35</v>
      </c>
    </row>
    <row r="531" spans="1:16">
      <c r="A531" s="10" t="s">
        <v>558</v>
      </c>
      <c r="B531" s="10">
        <v>125</v>
      </c>
      <c r="C531" s="21">
        <v>3.8982871030393447E-3</v>
      </c>
      <c r="D531" s="10">
        <v>132</v>
      </c>
      <c r="E531" s="10">
        <v>1</v>
      </c>
      <c r="F531" s="10">
        <v>0</v>
      </c>
      <c r="G531" s="10">
        <v>0</v>
      </c>
      <c r="H531" s="10">
        <v>0</v>
      </c>
      <c r="I531" s="10">
        <v>0</v>
      </c>
      <c r="J531" s="10">
        <v>0</v>
      </c>
      <c r="K531" s="10">
        <v>0</v>
      </c>
      <c r="L531" s="10">
        <v>0</v>
      </c>
      <c r="M531" s="10">
        <v>0</v>
      </c>
      <c r="N531" s="10">
        <v>0</v>
      </c>
      <c r="O531" s="10">
        <v>0</v>
      </c>
      <c r="P531" s="10">
        <v>39</v>
      </c>
    </row>
    <row r="532" spans="1:16">
      <c r="A532" s="10" t="s">
        <v>559</v>
      </c>
      <c r="B532" s="10">
        <v>41</v>
      </c>
      <c r="C532" s="21">
        <v>3.140714044512547E-3</v>
      </c>
      <c r="D532" s="10">
        <v>90</v>
      </c>
      <c r="E532" s="10">
        <v>0</v>
      </c>
      <c r="F532" s="10">
        <v>0</v>
      </c>
      <c r="G532" s="10">
        <v>1</v>
      </c>
      <c r="H532" s="10">
        <v>0</v>
      </c>
      <c r="I532" s="10">
        <v>0</v>
      </c>
      <c r="J532" s="10">
        <v>0</v>
      </c>
      <c r="K532" s="10">
        <v>0</v>
      </c>
      <c r="L532" s="10">
        <v>0</v>
      </c>
      <c r="M532" s="10">
        <v>0</v>
      </c>
      <c r="N532" s="10">
        <v>0</v>
      </c>
      <c r="O532" s="10">
        <v>0</v>
      </c>
      <c r="P532" s="10">
        <v>50</v>
      </c>
    </row>
    <row r="533" spans="1:16">
      <c r="A533" s="10" t="s">
        <v>560</v>
      </c>
      <c r="B533" s="10">
        <v>224</v>
      </c>
      <c r="C533" s="21">
        <v>1.4729551543504562E-3</v>
      </c>
      <c r="D533" s="10">
        <v>181</v>
      </c>
      <c r="E533" s="10">
        <v>0</v>
      </c>
      <c r="F533" s="10">
        <v>0</v>
      </c>
      <c r="G533" s="10">
        <v>0</v>
      </c>
      <c r="H533" s="10">
        <v>0</v>
      </c>
      <c r="I533" s="10">
        <v>1</v>
      </c>
      <c r="J533" s="10">
        <v>0</v>
      </c>
      <c r="K533" s="10">
        <v>0</v>
      </c>
      <c r="L533" s="10">
        <v>0</v>
      </c>
      <c r="M533" s="10">
        <v>0</v>
      </c>
      <c r="N533" s="10">
        <v>0</v>
      </c>
      <c r="O533" s="10">
        <v>1</v>
      </c>
      <c r="P533" s="10">
        <v>26</v>
      </c>
    </row>
    <row r="534" spans="1:16">
      <c r="A534" s="10" t="s">
        <v>561</v>
      </c>
      <c r="B534" s="10">
        <v>556</v>
      </c>
      <c r="C534" s="21">
        <v>9.2901974948471073E-4</v>
      </c>
      <c r="D534" s="10">
        <v>139</v>
      </c>
      <c r="E534" s="10">
        <v>0</v>
      </c>
      <c r="F534" s="10">
        <v>0</v>
      </c>
      <c r="G534" s="10">
        <v>0</v>
      </c>
      <c r="H534" s="10">
        <v>0</v>
      </c>
      <c r="I534" s="10">
        <v>0</v>
      </c>
      <c r="J534" s="10">
        <v>0</v>
      </c>
      <c r="K534" s="10">
        <v>0</v>
      </c>
      <c r="L534" s="10">
        <v>0</v>
      </c>
      <c r="M534" s="10">
        <v>0</v>
      </c>
      <c r="N534" s="10">
        <v>0</v>
      </c>
      <c r="O534" s="10">
        <v>0</v>
      </c>
      <c r="P534" s="10">
        <v>23</v>
      </c>
    </row>
    <row r="535" spans="1:16">
      <c r="A535" s="10" t="s">
        <v>562</v>
      </c>
      <c r="B535" s="10">
        <v>113</v>
      </c>
      <c r="C535" s="21">
        <v>1.5553272924701848E-3</v>
      </c>
      <c r="D535" s="10">
        <v>150</v>
      </c>
      <c r="E535" s="10">
        <v>1</v>
      </c>
      <c r="F535" s="10">
        <v>0</v>
      </c>
      <c r="G535" s="10">
        <v>0</v>
      </c>
      <c r="H535" s="10">
        <v>0</v>
      </c>
      <c r="I535" s="10">
        <v>0</v>
      </c>
      <c r="J535" s="10">
        <v>0</v>
      </c>
      <c r="K535" s="10">
        <v>0</v>
      </c>
      <c r="L535" s="10">
        <v>0</v>
      </c>
      <c r="M535" s="10">
        <v>0</v>
      </c>
      <c r="N535" s="10">
        <v>0</v>
      </c>
      <c r="O535" s="10">
        <v>1</v>
      </c>
      <c r="P535" s="10">
        <v>37</v>
      </c>
    </row>
    <row r="536" spans="1:16">
      <c r="A536" s="10" t="s">
        <v>563</v>
      </c>
      <c r="B536" s="10">
        <v>92</v>
      </c>
      <c r="C536" s="21">
        <v>2.0817306126104727E-3</v>
      </c>
      <c r="D536" s="10">
        <v>84</v>
      </c>
      <c r="E536" s="10">
        <v>1</v>
      </c>
      <c r="F536" s="10">
        <v>0</v>
      </c>
      <c r="G536" s="10">
        <v>0</v>
      </c>
      <c r="H536" s="10">
        <v>0</v>
      </c>
      <c r="I536" s="10">
        <v>0</v>
      </c>
      <c r="J536" s="10">
        <v>0</v>
      </c>
      <c r="K536" s="10">
        <v>0</v>
      </c>
      <c r="L536" s="10">
        <v>0</v>
      </c>
      <c r="M536" s="10">
        <v>0</v>
      </c>
      <c r="N536" s="10">
        <v>0</v>
      </c>
      <c r="O536" s="10">
        <v>1</v>
      </c>
      <c r="P536" s="10">
        <v>50</v>
      </c>
    </row>
    <row r="537" spans="1:16">
      <c r="A537" s="10" t="s">
        <v>564</v>
      </c>
      <c r="B537" s="10">
        <v>87</v>
      </c>
      <c r="C537" s="21">
        <v>1.9838516806935454E-3</v>
      </c>
      <c r="D537" s="10">
        <v>150</v>
      </c>
      <c r="E537" s="10">
        <v>0</v>
      </c>
      <c r="F537" s="10">
        <v>0</v>
      </c>
      <c r="G537" s="10">
        <v>0</v>
      </c>
      <c r="H537" s="10">
        <v>0</v>
      </c>
      <c r="I537" s="10">
        <v>0</v>
      </c>
      <c r="J537" s="10">
        <v>0</v>
      </c>
      <c r="K537" s="10">
        <v>1</v>
      </c>
      <c r="L537" s="10">
        <v>0</v>
      </c>
      <c r="M537" s="10">
        <v>0</v>
      </c>
      <c r="N537" s="10">
        <v>0</v>
      </c>
      <c r="O537" s="10">
        <v>1</v>
      </c>
      <c r="P537" s="10">
        <v>31</v>
      </c>
    </row>
    <row r="538" spans="1:16">
      <c r="A538" s="10" t="s">
        <v>565</v>
      </c>
      <c r="B538" s="10">
        <v>62</v>
      </c>
      <c r="C538" s="21">
        <v>3.0581307819163867E-3</v>
      </c>
      <c r="D538" s="10">
        <v>196</v>
      </c>
      <c r="E538" s="10">
        <v>0</v>
      </c>
      <c r="F538" s="10">
        <v>0</v>
      </c>
      <c r="G538" s="10">
        <v>1</v>
      </c>
      <c r="H538" s="10">
        <v>0</v>
      </c>
      <c r="I538" s="10">
        <v>0</v>
      </c>
      <c r="J538" s="10">
        <v>0</v>
      </c>
      <c r="K538" s="10">
        <v>0</v>
      </c>
      <c r="L538" s="10">
        <v>0</v>
      </c>
      <c r="M538" s="10">
        <v>0</v>
      </c>
      <c r="N538" s="10">
        <v>0</v>
      </c>
      <c r="O538" s="10">
        <v>0</v>
      </c>
      <c r="P538" s="10">
        <v>23</v>
      </c>
    </row>
    <row r="539" spans="1:16">
      <c r="A539" s="10" t="s">
        <v>566</v>
      </c>
      <c r="B539" s="10">
        <v>187</v>
      </c>
      <c r="C539" s="21">
        <v>2.2833161990234519E-3</v>
      </c>
      <c r="D539" s="10">
        <v>125</v>
      </c>
      <c r="E539" s="10">
        <v>0</v>
      </c>
      <c r="F539" s="10">
        <v>0</v>
      </c>
      <c r="G539" s="10">
        <v>0</v>
      </c>
      <c r="H539" s="10">
        <v>1</v>
      </c>
      <c r="I539" s="10">
        <v>0</v>
      </c>
      <c r="J539" s="10">
        <v>0</v>
      </c>
      <c r="K539" s="10">
        <v>0</v>
      </c>
      <c r="L539" s="10">
        <v>0</v>
      </c>
      <c r="M539" s="10">
        <v>0</v>
      </c>
      <c r="N539" s="10">
        <v>0</v>
      </c>
      <c r="O539" s="10">
        <v>1</v>
      </c>
      <c r="P539" s="10">
        <v>34</v>
      </c>
    </row>
    <row r="540" spans="1:16">
      <c r="A540" s="10" t="s">
        <v>567</v>
      </c>
      <c r="B540" s="10">
        <v>604</v>
      </c>
      <c r="C540" s="21">
        <v>1.2149982201569074E-3</v>
      </c>
      <c r="D540" s="10">
        <v>164</v>
      </c>
      <c r="E540" s="10">
        <v>0</v>
      </c>
      <c r="F540" s="10">
        <v>0</v>
      </c>
      <c r="G540" s="10">
        <v>0</v>
      </c>
      <c r="H540" s="10">
        <v>0</v>
      </c>
      <c r="I540" s="10">
        <v>0</v>
      </c>
      <c r="J540" s="10">
        <v>0</v>
      </c>
      <c r="K540" s="10">
        <v>0</v>
      </c>
      <c r="L540" s="10">
        <v>0</v>
      </c>
      <c r="M540" s="10">
        <v>0</v>
      </c>
      <c r="N540" s="10">
        <v>0</v>
      </c>
      <c r="O540" s="10">
        <v>1</v>
      </c>
      <c r="P540" s="10">
        <v>34</v>
      </c>
    </row>
    <row r="541" spans="1:16">
      <c r="A541" s="10" t="s">
        <v>568</v>
      </c>
      <c r="B541" s="10">
        <v>106</v>
      </c>
      <c r="C541" s="21">
        <v>1.8173104510061744E-3</v>
      </c>
      <c r="D541" s="10">
        <v>134</v>
      </c>
      <c r="E541" s="10">
        <v>1</v>
      </c>
      <c r="F541" s="10">
        <v>0</v>
      </c>
      <c r="G541" s="10">
        <v>0</v>
      </c>
      <c r="H541" s="10">
        <v>0</v>
      </c>
      <c r="I541" s="10">
        <v>0</v>
      </c>
      <c r="J541" s="10">
        <v>0</v>
      </c>
      <c r="K541" s="10">
        <v>0</v>
      </c>
      <c r="L541" s="10">
        <v>0</v>
      </c>
      <c r="M541" s="10">
        <v>0</v>
      </c>
      <c r="N541" s="10">
        <v>0</v>
      </c>
      <c r="O541" s="10">
        <v>0</v>
      </c>
      <c r="P541" s="10">
        <v>33</v>
      </c>
    </row>
    <row r="542" spans="1:16">
      <c r="A542" s="10" t="s">
        <v>569</v>
      </c>
      <c r="B542" s="10">
        <v>97</v>
      </c>
      <c r="C542" s="21">
        <v>2.3729319839809718E-3</v>
      </c>
      <c r="D542" s="10">
        <v>139</v>
      </c>
      <c r="E542" s="10">
        <v>1</v>
      </c>
      <c r="F542" s="10">
        <v>0</v>
      </c>
      <c r="G542" s="10">
        <v>0</v>
      </c>
      <c r="H542" s="10">
        <v>0</v>
      </c>
      <c r="I542" s="10">
        <v>0</v>
      </c>
      <c r="J542" s="10">
        <v>0</v>
      </c>
      <c r="K542" s="10">
        <v>0</v>
      </c>
      <c r="L542" s="10">
        <v>0</v>
      </c>
      <c r="M542" s="10">
        <v>0</v>
      </c>
      <c r="N542" s="10">
        <v>0</v>
      </c>
      <c r="O542" s="10">
        <v>0</v>
      </c>
      <c r="P542" s="10">
        <v>48</v>
      </c>
    </row>
    <row r="543" spans="1:16">
      <c r="A543" s="10" t="s">
        <v>570</v>
      </c>
      <c r="B543" s="10">
        <v>92</v>
      </c>
      <c r="C543" s="21">
        <v>1.0468887201323933E-3</v>
      </c>
      <c r="D543" s="10">
        <v>105</v>
      </c>
      <c r="E543" s="10">
        <v>0</v>
      </c>
      <c r="F543" s="10">
        <v>0</v>
      </c>
      <c r="G543" s="10">
        <v>0</v>
      </c>
      <c r="H543" s="10">
        <v>0</v>
      </c>
      <c r="I543" s="10">
        <v>0</v>
      </c>
      <c r="J543" s="10">
        <v>0</v>
      </c>
      <c r="K543" s="10">
        <v>1</v>
      </c>
      <c r="L543" s="10">
        <v>0</v>
      </c>
      <c r="M543" s="10">
        <v>0</v>
      </c>
      <c r="N543" s="10">
        <v>0</v>
      </c>
      <c r="O543" s="10">
        <v>0</v>
      </c>
      <c r="P543" s="10">
        <v>29</v>
      </c>
    </row>
    <row r="544" spans="1:16">
      <c r="A544" s="10" t="s">
        <v>571</v>
      </c>
      <c r="B544" s="10">
        <v>175</v>
      </c>
      <c r="C544" s="21">
        <v>4.947163182912785E-4</v>
      </c>
      <c r="D544" s="10">
        <v>185</v>
      </c>
      <c r="E544" s="10">
        <v>0</v>
      </c>
      <c r="F544" s="10">
        <v>0</v>
      </c>
      <c r="G544" s="10">
        <v>0</v>
      </c>
      <c r="H544" s="10">
        <v>1</v>
      </c>
      <c r="I544" s="10">
        <v>0</v>
      </c>
      <c r="J544" s="10">
        <v>0</v>
      </c>
      <c r="K544" s="10">
        <v>0</v>
      </c>
      <c r="L544" s="10">
        <v>0</v>
      </c>
      <c r="M544" s="10">
        <v>0</v>
      </c>
      <c r="N544" s="10">
        <v>0</v>
      </c>
      <c r="O544" s="10">
        <v>1</v>
      </c>
      <c r="P544" s="10">
        <v>35</v>
      </c>
    </row>
    <row r="545" spans="1:16">
      <c r="A545" s="10" t="s">
        <v>572</v>
      </c>
      <c r="B545" s="10">
        <v>337</v>
      </c>
      <c r="C545" s="21">
        <v>9.3014183735731424E-4</v>
      </c>
      <c r="D545" s="10">
        <v>138</v>
      </c>
      <c r="E545" s="10">
        <v>0</v>
      </c>
      <c r="F545" s="10">
        <v>0</v>
      </c>
      <c r="G545" s="10">
        <v>0</v>
      </c>
      <c r="H545" s="10">
        <v>0</v>
      </c>
      <c r="I545" s="10">
        <v>1</v>
      </c>
      <c r="J545" s="10">
        <v>0</v>
      </c>
      <c r="K545" s="10">
        <v>0</v>
      </c>
      <c r="L545" s="10">
        <v>0</v>
      </c>
      <c r="M545" s="10">
        <v>0</v>
      </c>
      <c r="N545" s="10">
        <v>0</v>
      </c>
      <c r="O545" s="10">
        <v>1</v>
      </c>
      <c r="P545" s="10">
        <v>28</v>
      </c>
    </row>
    <row r="546" spans="1:16">
      <c r="A546" s="10" t="s">
        <v>573</v>
      </c>
      <c r="B546" s="10">
        <v>83</v>
      </c>
      <c r="C546" s="21">
        <v>1.8414856295507832E-3</v>
      </c>
      <c r="D546" s="10">
        <v>158</v>
      </c>
      <c r="E546" s="10">
        <v>0</v>
      </c>
      <c r="F546" s="10">
        <v>1</v>
      </c>
      <c r="G546" s="10">
        <v>0</v>
      </c>
      <c r="H546" s="10">
        <v>0</v>
      </c>
      <c r="I546" s="10">
        <v>0</v>
      </c>
      <c r="J546" s="10">
        <v>0</v>
      </c>
      <c r="K546" s="10">
        <v>0</v>
      </c>
      <c r="L546" s="10">
        <v>0</v>
      </c>
      <c r="M546" s="10">
        <v>0</v>
      </c>
      <c r="N546" s="10">
        <v>0</v>
      </c>
      <c r="O546" s="10">
        <v>0</v>
      </c>
      <c r="P546" s="10">
        <v>28</v>
      </c>
    </row>
    <row r="547" spans="1:16">
      <c r="A547" s="10" t="s">
        <v>574</v>
      </c>
      <c r="B547" s="10">
        <v>677</v>
      </c>
      <c r="C547" s="21">
        <v>1.0221200699612198E-3</v>
      </c>
      <c r="D547" s="10">
        <v>130</v>
      </c>
      <c r="E547" s="10">
        <v>0</v>
      </c>
      <c r="F547" s="10">
        <v>0</v>
      </c>
      <c r="G547" s="10">
        <v>0</v>
      </c>
      <c r="H547" s="10">
        <v>0</v>
      </c>
      <c r="I547" s="10">
        <v>0</v>
      </c>
      <c r="J547" s="10">
        <v>0</v>
      </c>
      <c r="K547" s="10">
        <v>0</v>
      </c>
      <c r="L547" s="10">
        <v>0</v>
      </c>
      <c r="M547" s="10">
        <v>0</v>
      </c>
      <c r="N547" s="10">
        <v>0</v>
      </c>
      <c r="O547" s="10">
        <v>0</v>
      </c>
      <c r="P547" s="10">
        <v>19</v>
      </c>
    </row>
    <row r="548" spans="1:16">
      <c r="A548" s="10" t="s">
        <v>575</v>
      </c>
      <c r="B548" s="10">
        <v>482</v>
      </c>
      <c r="C548" s="21">
        <v>9.7659907042466857E-4</v>
      </c>
      <c r="D548" s="10">
        <v>162</v>
      </c>
      <c r="E548" s="10">
        <v>0</v>
      </c>
      <c r="F548" s="10">
        <v>0</v>
      </c>
      <c r="G548" s="10">
        <v>0</v>
      </c>
      <c r="H548" s="10">
        <v>0</v>
      </c>
      <c r="I548" s="10">
        <v>0</v>
      </c>
      <c r="J548" s="10">
        <v>0</v>
      </c>
      <c r="K548" s="10">
        <v>0</v>
      </c>
      <c r="L548" s="10">
        <v>0</v>
      </c>
      <c r="M548" s="10">
        <v>0</v>
      </c>
      <c r="N548" s="10">
        <v>0</v>
      </c>
      <c r="O548" s="10">
        <v>0</v>
      </c>
      <c r="P548" s="10">
        <v>22</v>
      </c>
    </row>
    <row r="549" spans="1:16">
      <c r="A549" s="10" t="s">
        <v>576</v>
      </c>
      <c r="B549" s="10">
        <v>75</v>
      </c>
      <c r="C549" s="21">
        <v>1.0075541514560228E-3</v>
      </c>
      <c r="D549" s="10">
        <v>153</v>
      </c>
      <c r="E549" s="10">
        <v>1</v>
      </c>
      <c r="F549" s="10">
        <v>0</v>
      </c>
      <c r="G549" s="10">
        <v>0</v>
      </c>
      <c r="H549" s="10">
        <v>0</v>
      </c>
      <c r="I549" s="10">
        <v>0</v>
      </c>
      <c r="J549" s="10">
        <v>0</v>
      </c>
      <c r="K549" s="10">
        <v>0</v>
      </c>
      <c r="L549" s="10">
        <v>0</v>
      </c>
      <c r="M549" s="10">
        <v>0</v>
      </c>
      <c r="N549" s="10">
        <v>0</v>
      </c>
      <c r="O549" s="10">
        <v>0</v>
      </c>
      <c r="P549" s="10">
        <v>26</v>
      </c>
    </row>
    <row r="550" spans="1:16">
      <c r="A550" s="10" t="s">
        <v>577</v>
      </c>
      <c r="B550" s="10">
        <v>120</v>
      </c>
      <c r="C550" s="21">
        <v>1.5789745625351145E-3</v>
      </c>
      <c r="D550" s="10">
        <v>154</v>
      </c>
      <c r="E550" s="10">
        <v>0</v>
      </c>
      <c r="F550" s="10">
        <v>0</v>
      </c>
      <c r="G550" s="10">
        <v>0</v>
      </c>
      <c r="H550" s="10">
        <v>1</v>
      </c>
      <c r="I550" s="10">
        <v>0</v>
      </c>
      <c r="J550" s="10">
        <v>0</v>
      </c>
      <c r="K550" s="10">
        <v>0</v>
      </c>
      <c r="L550" s="10">
        <v>0</v>
      </c>
      <c r="M550" s="10">
        <v>0</v>
      </c>
      <c r="N550" s="10">
        <v>0</v>
      </c>
      <c r="O550" s="10">
        <v>0</v>
      </c>
      <c r="P550" s="10">
        <v>29</v>
      </c>
    </row>
    <row r="551" spans="1:16">
      <c r="A551" s="10" t="s">
        <v>578</v>
      </c>
      <c r="B551" s="10">
        <v>71</v>
      </c>
      <c r="C551" s="21">
        <v>2.3856496052785106E-3</v>
      </c>
      <c r="D551" s="10">
        <v>152</v>
      </c>
      <c r="E551" s="10">
        <v>0</v>
      </c>
      <c r="F551" s="10">
        <v>1</v>
      </c>
      <c r="G551" s="10">
        <v>0</v>
      </c>
      <c r="H551" s="10">
        <v>0</v>
      </c>
      <c r="I551" s="10">
        <v>0</v>
      </c>
      <c r="J551" s="10">
        <v>0</v>
      </c>
      <c r="K551" s="10">
        <v>0</v>
      </c>
      <c r="L551" s="10">
        <v>0</v>
      </c>
      <c r="M551" s="10">
        <v>0</v>
      </c>
      <c r="N551" s="10">
        <v>0</v>
      </c>
      <c r="O551" s="10">
        <v>0</v>
      </c>
      <c r="P551" s="10">
        <v>35</v>
      </c>
    </row>
    <row r="552" spans="1:16">
      <c r="A552" s="10" t="s">
        <v>579</v>
      </c>
      <c r="B552" s="10">
        <v>108</v>
      </c>
      <c r="C552" s="21">
        <v>3.0746699872019156E-3</v>
      </c>
      <c r="D552" s="10">
        <v>174</v>
      </c>
      <c r="E552" s="10">
        <v>1</v>
      </c>
      <c r="F552" s="10">
        <v>0</v>
      </c>
      <c r="G552" s="10">
        <v>0</v>
      </c>
      <c r="H552" s="10">
        <v>0</v>
      </c>
      <c r="I552" s="10">
        <v>0</v>
      </c>
      <c r="J552" s="10">
        <v>0</v>
      </c>
      <c r="K552" s="10">
        <v>0</v>
      </c>
      <c r="L552" s="10">
        <v>0</v>
      </c>
      <c r="M552" s="10">
        <v>0</v>
      </c>
      <c r="N552" s="10">
        <v>0</v>
      </c>
      <c r="O552" s="10">
        <v>0</v>
      </c>
      <c r="P552" s="10">
        <v>32</v>
      </c>
    </row>
    <row r="553" spans="1:16">
      <c r="A553" s="10" t="s">
        <v>580</v>
      </c>
      <c r="B553" s="10">
        <v>36</v>
      </c>
      <c r="C553" s="21">
        <v>2.7688064798372957E-3</v>
      </c>
      <c r="D553" s="10">
        <v>134</v>
      </c>
      <c r="E553" s="10">
        <v>0</v>
      </c>
      <c r="F553" s="10">
        <v>0</v>
      </c>
      <c r="G553" s="10">
        <v>1</v>
      </c>
      <c r="H553" s="10">
        <v>0</v>
      </c>
      <c r="I553" s="10">
        <v>0</v>
      </c>
      <c r="J553" s="10">
        <v>0</v>
      </c>
      <c r="K553" s="10">
        <v>0</v>
      </c>
      <c r="L553" s="10">
        <v>0</v>
      </c>
      <c r="M553" s="10">
        <v>0</v>
      </c>
      <c r="N553" s="10">
        <v>0</v>
      </c>
      <c r="O553" s="10">
        <v>0</v>
      </c>
      <c r="P553" s="10">
        <v>44</v>
      </c>
    </row>
    <row r="554" spans="1:16">
      <c r="A554" s="10" t="s">
        <v>581</v>
      </c>
      <c r="B554" s="10">
        <v>187</v>
      </c>
      <c r="C554" s="21">
        <v>1.6720620844230827E-3</v>
      </c>
      <c r="D554" s="10">
        <v>170</v>
      </c>
      <c r="E554" s="10">
        <v>0</v>
      </c>
      <c r="F554" s="10">
        <v>0</v>
      </c>
      <c r="G554" s="10">
        <v>0</v>
      </c>
      <c r="H554" s="10">
        <v>1</v>
      </c>
      <c r="I554" s="10">
        <v>0</v>
      </c>
      <c r="J554" s="10">
        <v>0</v>
      </c>
      <c r="K554" s="10">
        <v>0</v>
      </c>
      <c r="L554" s="10">
        <v>0</v>
      </c>
      <c r="M554" s="10">
        <v>0</v>
      </c>
      <c r="N554" s="10">
        <v>0</v>
      </c>
      <c r="O554" s="10">
        <v>1</v>
      </c>
      <c r="P554" s="10">
        <v>32</v>
      </c>
    </row>
    <row r="555" spans="1:16">
      <c r="A555" s="10" t="s">
        <v>582</v>
      </c>
      <c r="B555" s="10">
        <v>182</v>
      </c>
      <c r="C555" s="21">
        <v>6.2525235177803441E-4</v>
      </c>
      <c r="D555" s="10">
        <v>205</v>
      </c>
      <c r="E555" s="10">
        <v>0</v>
      </c>
      <c r="F555" s="10">
        <v>0</v>
      </c>
      <c r="G555" s="10">
        <v>0</v>
      </c>
      <c r="H555" s="10">
        <v>1</v>
      </c>
      <c r="I555" s="10">
        <v>0</v>
      </c>
      <c r="J555" s="10">
        <v>0</v>
      </c>
      <c r="K555" s="10">
        <v>0</v>
      </c>
      <c r="L555" s="10">
        <v>0</v>
      </c>
      <c r="M555" s="10">
        <v>0</v>
      </c>
      <c r="N555" s="10">
        <v>0</v>
      </c>
      <c r="O555" s="10">
        <v>0</v>
      </c>
      <c r="P555" s="10">
        <v>8</v>
      </c>
    </row>
    <row r="556" spans="1:16">
      <c r="A556" s="10" t="s">
        <v>583</v>
      </c>
      <c r="B556" s="10">
        <v>356</v>
      </c>
      <c r="C556" s="21">
        <v>1.920359226579823E-3</v>
      </c>
      <c r="D556" s="10">
        <v>148</v>
      </c>
      <c r="E556" s="10">
        <v>0</v>
      </c>
      <c r="F556" s="10">
        <v>0</v>
      </c>
      <c r="G556" s="10">
        <v>0</v>
      </c>
      <c r="H556" s="10">
        <v>0</v>
      </c>
      <c r="I556" s="10">
        <v>0</v>
      </c>
      <c r="J556" s="10">
        <v>0</v>
      </c>
      <c r="K556" s="10">
        <v>0</v>
      </c>
      <c r="L556" s="10">
        <v>0</v>
      </c>
      <c r="M556" s="10">
        <v>0</v>
      </c>
      <c r="N556" s="10">
        <v>0</v>
      </c>
      <c r="O556" s="10">
        <v>0</v>
      </c>
      <c r="P556" s="10">
        <v>30</v>
      </c>
    </row>
    <row r="557" spans="1:16">
      <c r="A557" s="10" t="s">
        <v>584</v>
      </c>
      <c r="B557" s="10">
        <v>92</v>
      </c>
      <c r="C557" s="21">
        <v>2.5711306692622173E-3</v>
      </c>
      <c r="D557" s="10">
        <v>139</v>
      </c>
      <c r="E557" s="10">
        <v>1</v>
      </c>
      <c r="F557" s="10">
        <v>0</v>
      </c>
      <c r="G557" s="10">
        <v>0</v>
      </c>
      <c r="H557" s="10">
        <v>0</v>
      </c>
      <c r="I557" s="10">
        <v>0</v>
      </c>
      <c r="J557" s="10">
        <v>0</v>
      </c>
      <c r="K557" s="10">
        <v>0</v>
      </c>
      <c r="L557" s="10">
        <v>0</v>
      </c>
      <c r="M557" s="10">
        <v>0</v>
      </c>
      <c r="N557" s="10">
        <v>0</v>
      </c>
      <c r="O557" s="10">
        <v>1</v>
      </c>
      <c r="P557" s="10">
        <v>42</v>
      </c>
    </row>
    <row r="558" spans="1:16">
      <c r="A558" s="10" t="s">
        <v>585</v>
      </c>
      <c r="B558" s="10">
        <v>113</v>
      </c>
      <c r="C558" s="21">
        <v>1.9072651390531555E-3</v>
      </c>
      <c r="D558" s="10">
        <v>140</v>
      </c>
      <c r="E558" s="10">
        <v>1</v>
      </c>
      <c r="F558" s="10">
        <v>0</v>
      </c>
      <c r="G558" s="10">
        <v>0</v>
      </c>
      <c r="H558" s="10">
        <v>0</v>
      </c>
      <c r="I558" s="10">
        <v>0</v>
      </c>
      <c r="J558" s="10">
        <v>0</v>
      </c>
      <c r="K558" s="10">
        <v>0</v>
      </c>
      <c r="L558" s="10">
        <v>0</v>
      </c>
      <c r="M558" s="10">
        <v>0</v>
      </c>
      <c r="N558" s="10">
        <v>0</v>
      </c>
      <c r="O558" s="10">
        <v>0</v>
      </c>
      <c r="P558" s="10">
        <v>44</v>
      </c>
    </row>
    <row r="559" spans="1:16">
      <c r="A559" s="10" t="s">
        <v>586</v>
      </c>
      <c r="B559" s="10">
        <v>108</v>
      </c>
      <c r="C559" s="21">
        <v>2.6272966663581135E-3</v>
      </c>
      <c r="D559" s="10">
        <v>86</v>
      </c>
      <c r="E559" s="10">
        <v>0</v>
      </c>
      <c r="F559" s="10">
        <v>0</v>
      </c>
      <c r="G559" s="10">
        <v>0</v>
      </c>
      <c r="H559" s="10">
        <v>0</v>
      </c>
      <c r="I559" s="10">
        <v>0</v>
      </c>
      <c r="J559" s="10">
        <v>0</v>
      </c>
      <c r="K559" s="10">
        <v>1</v>
      </c>
      <c r="L559" s="10">
        <v>0</v>
      </c>
      <c r="M559" s="10">
        <v>0</v>
      </c>
      <c r="N559" s="10">
        <v>0</v>
      </c>
      <c r="O559" s="10">
        <v>1</v>
      </c>
      <c r="P559" s="10">
        <v>41</v>
      </c>
    </row>
    <row r="560" spans="1:16">
      <c r="A560" s="10" t="s">
        <v>587</v>
      </c>
      <c r="B560" s="10">
        <v>60</v>
      </c>
      <c r="C560" s="21">
        <v>8.4414757447350333E-4</v>
      </c>
      <c r="D560" s="10">
        <v>169</v>
      </c>
      <c r="E560" s="10">
        <v>0</v>
      </c>
      <c r="F560" s="10">
        <v>0</v>
      </c>
      <c r="G560" s="10">
        <v>1</v>
      </c>
      <c r="H560" s="10">
        <v>0</v>
      </c>
      <c r="I560" s="10">
        <v>0</v>
      </c>
      <c r="J560" s="10">
        <v>0</v>
      </c>
      <c r="K560" s="10">
        <v>0</v>
      </c>
      <c r="L560" s="10">
        <v>0</v>
      </c>
      <c r="M560" s="10">
        <v>0</v>
      </c>
      <c r="N560" s="10">
        <v>0</v>
      </c>
      <c r="O560" s="10">
        <v>1</v>
      </c>
      <c r="P560" s="10">
        <v>19</v>
      </c>
    </row>
    <row r="561" spans="1:16">
      <c r="A561" s="10" t="s">
        <v>588</v>
      </c>
      <c r="B561" s="10">
        <v>252</v>
      </c>
      <c r="C561" s="21">
        <v>2.2594233125458542E-3</v>
      </c>
      <c r="D561" s="10">
        <v>138</v>
      </c>
      <c r="E561" s="10">
        <v>0</v>
      </c>
      <c r="F561" s="10">
        <v>0</v>
      </c>
      <c r="G561" s="10">
        <v>0</v>
      </c>
      <c r="H561" s="10">
        <v>0</v>
      </c>
      <c r="I561" s="10">
        <v>1</v>
      </c>
      <c r="J561" s="10">
        <v>0</v>
      </c>
      <c r="K561" s="10">
        <v>0</v>
      </c>
      <c r="L561" s="10">
        <v>0</v>
      </c>
      <c r="M561" s="10">
        <v>0</v>
      </c>
      <c r="N561" s="10">
        <v>0</v>
      </c>
      <c r="O561" s="10">
        <v>0</v>
      </c>
      <c r="P561" s="10">
        <v>42</v>
      </c>
    </row>
    <row r="562" spans="1:16">
      <c r="A562" s="10" t="s">
        <v>589</v>
      </c>
      <c r="B562" s="10">
        <v>299</v>
      </c>
      <c r="C562" s="21">
        <v>8.961612504037067E-4</v>
      </c>
      <c r="D562" s="10">
        <v>167</v>
      </c>
      <c r="E562" s="10">
        <v>0</v>
      </c>
      <c r="F562" s="10">
        <v>0</v>
      </c>
      <c r="G562" s="10">
        <v>0</v>
      </c>
      <c r="H562" s="10">
        <v>0</v>
      </c>
      <c r="I562" s="10">
        <v>0</v>
      </c>
      <c r="J562" s="10">
        <v>0</v>
      </c>
      <c r="K562" s="10">
        <v>0</v>
      </c>
      <c r="L562" s="10">
        <v>0</v>
      </c>
      <c r="M562" s="10">
        <v>0</v>
      </c>
      <c r="N562" s="10">
        <v>0</v>
      </c>
      <c r="O562" s="10">
        <v>0</v>
      </c>
      <c r="P562" s="10">
        <v>30</v>
      </c>
    </row>
    <row r="563" spans="1:16">
      <c r="A563" s="10" t="s">
        <v>590</v>
      </c>
      <c r="B563" s="10">
        <v>130</v>
      </c>
      <c r="C563" s="21">
        <v>2.263224003553536E-4</v>
      </c>
      <c r="D563" s="10">
        <v>234</v>
      </c>
      <c r="E563" s="10">
        <v>1</v>
      </c>
      <c r="F563" s="10">
        <v>0</v>
      </c>
      <c r="G563" s="10">
        <v>0</v>
      </c>
      <c r="H563" s="10">
        <v>0</v>
      </c>
      <c r="I563" s="10">
        <v>0</v>
      </c>
      <c r="J563" s="10">
        <v>0</v>
      </c>
      <c r="K563" s="10">
        <v>0</v>
      </c>
      <c r="L563" s="10">
        <v>0</v>
      </c>
      <c r="M563" s="10">
        <v>0</v>
      </c>
      <c r="N563" s="10">
        <v>0</v>
      </c>
      <c r="O563" s="10">
        <v>0</v>
      </c>
      <c r="P563" s="10">
        <v>13</v>
      </c>
    </row>
    <row r="564" spans="1:16">
      <c r="A564" s="10" t="s">
        <v>591</v>
      </c>
      <c r="B564" s="10">
        <v>134</v>
      </c>
      <c r="C564" s="21">
        <v>1.188792614600634E-3</v>
      </c>
      <c r="D564" s="10">
        <v>171</v>
      </c>
      <c r="E564" s="10">
        <v>1</v>
      </c>
      <c r="F564" s="10">
        <v>0</v>
      </c>
      <c r="G564" s="10">
        <v>0</v>
      </c>
      <c r="H564" s="10">
        <v>0</v>
      </c>
      <c r="I564" s="10">
        <v>0</v>
      </c>
      <c r="J564" s="10">
        <v>0</v>
      </c>
      <c r="K564" s="10">
        <v>0</v>
      </c>
      <c r="L564" s="10">
        <v>0</v>
      </c>
      <c r="M564" s="10">
        <v>0</v>
      </c>
      <c r="N564" s="10">
        <v>0</v>
      </c>
      <c r="O564" s="10">
        <v>0</v>
      </c>
      <c r="P564" s="10">
        <v>34</v>
      </c>
    </row>
    <row r="565" spans="1:16">
      <c r="A565" s="10" t="s">
        <v>592</v>
      </c>
      <c r="B565" s="10">
        <v>97</v>
      </c>
      <c r="C565" s="21">
        <v>3.052730371448412E-3</v>
      </c>
      <c r="D565" s="10">
        <v>125</v>
      </c>
      <c r="E565" s="10">
        <v>0</v>
      </c>
      <c r="F565" s="10">
        <v>0</v>
      </c>
      <c r="G565" s="10">
        <v>0</v>
      </c>
      <c r="H565" s="10">
        <v>0</v>
      </c>
      <c r="I565" s="10">
        <v>0</v>
      </c>
      <c r="J565" s="10">
        <v>0</v>
      </c>
      <c r="K565" s="10">
        <v>1</v>
      </c>
      <c r="L565" s="10">
        <v>0</v>
      </c>
      <c r="M565" s="10">
        <v>0</v>
      </c>
      <c r="N565" s="10">
        <v>0</v>
      </c>
      <c r="O565" s="10">
        <v>1</v>
      </c>
      <c r="P565" s="10">
        <v>38</v>
      </c>
    </row>
    <row r="566" spans="1:16">
      <c r="A566" s="10" t="s">
        <v>593</v>
      </c>
      <c r="B566" s="10">
        <v>39</v>
      </c>
      <c r="C566" s="21">
        <v>1.0850048989338502E-3</v>
      </c>
      <c r="D566" s="10">
        <v>181</v>
      </c>
      <c r="E566" s="10">
        <v>0</v>
      </c>
      <c r="F566" s="10">
        <v>0</v>
      </c>
      <c r="G566" s="10">
        <v>1</v>
      </c>
      <c r="H566" s="10">
        <v>0</v>
      </c>
      <c r="I566" s="10">
        <v>0</v>
      </c>
      <c r="J566" s="10">
        <v>0</v>
      </c>
      <c r="K566" s="10">
        <v>0</v>
      </c>
      <c r="L566" s="10">
        <v>0</v>
      </c>
      <c r="M566" s="10">
        <v>0</v>
      </c>
      <c r="N566" s="10">
        <v>0</v>
      </c>
      <c r="O566" s="10">
        <v>0</v>
      </c>
      <c r="P566" s="10">
        <v>17</v>
      </c>
    </row>
    <row r="567" spans="1:16">
      <c r="A567" s="10" t="s">
        <v>594</v>
      </c>
      <c r="B567" s="10">
        <v>153</v>
      </c>
      <c r="C567" s="21">
        <v>2.917371841535159E-3</v>
      </c>
      <c r="D567" s="10">
        <v>111</v>
      </c>
      <c r="E567" s="10">
        <v>0</v>
      </c>
      <c r="F567" s="10">
        <v>0</v>
      </c>
      <c r="G567" s="10">
        <v>0</v>
      </c>
      <c r="H567" s="10">
        <v>1</v>
      </c>
      <c r="I567" s="10">
        <v>0</v>
      </c>
      <c r="J567" s="10">
        <v>0</v>
      </c>
      <c r="K567" s="10">
        <v>0</v>
      </c>
      <c r="L567" s="10">
        <v>0</v>
      </c>
      <c r="M567" s="10">
        <v>0</v>
      </c>
      <c r="N567" s="10">
        <v>0</v>
      </c>
      <c r="O567" s="10">
        <v>0</v>
      </c>
      <c r="P567" s="10">
        <v>37</v>
      </c>
    </row>
    <row r="568" spans="1:16">
      <c r="A568" s="10" t="s">
        <v>595</v>
      </c>
      <c r="B568" s="10">
        <v>302</v>
      </c>
      <c r="C568" s="21">
        <v>1.6698627894121754E-3</v>
      </c>
      <c r="D568" s="10">
        <v>184</v>
      </c>
      <c r="E568" s="10">
        <v>0</v>
      </c>
      <c r="F568" s="10">
        <v>0</v>
      </c>
      <c r="G568" s="10">
        <v>0</v>
      </c>
      <c r="H568" s="10">
        <v>0</v>
      </c>
      <c r="I568" s="10">
        <v>1</v>
      </c>
      <c r="J568" s="10">
        <v>0</v>
      </c>
      <c r="K568" s="10">
        <v>0</v>
      </c>
      <c r="L568" s="10">
        <v>0</v>
      </c>
      <c r="M568" s="10">
        <v>0</v>
      </c>
      <c r="N568" s="10">
        <v>0</v>
      </c>
      <c r="O568" s="10">
        <v>0</v>
      </c>
      <c r="P568" s="10">
        <v>27</v>
      </c>
    </row>
    <row r="569" spans="1:16">
      <c r="A569" s="10" t="s">
        <v>596</v>
      </c>
      <c r="B569" s="10">
        <v>287</v>
      </c>
      <c r="C569" s="21">
        <v>1.9366485536107321E-3</v>
      </c>
      <c r="D569" s="10">
        <v>180</v>
      </c>
      <c r="E569" s="10">
        <v>0</v>
      </c>
      <c r="F569" s="10">
        <v>0</v>
      </c>
      <c r="G569" s="10">
        <v>0</v>
      </c>
      <c r="H569" s="10">
        <v>0</v>
      </c>
      <c r="I569" s="10">
        <v>0</v>
      </c>
      <c r="J569" s="10">
        <v>0</v>
      </c>
      <c r="K569" s="10">
        <v>0</v>
      </c>
      <c r="L569" s="10">
        <v>0</v>
      </c>
      <c r="M569" s="10">
        <v>0</v>
      </c>
      <c r="N569" s="10">
        <v>0</v>
      </c>
      <c r="O569" s="10">
        <v>1</v>
      </c>
      <c r="P569" s="10">
        <v>36</v>
      </c>
    </row>
    <row r="570" spans="1:16">
      <c r="A570" s="10" t="s">
        <v>597</v>
      </c>
      <c r="B570" s="10">
        <v>522</v>
      </c>
      <c r="C570" s="21">
        <v>1.9640303746596881E-3</v>
      </c>
      <c r="D570" s="10">
        <v>195</v>
      </c>
      <c r="E570" s="10">
        <v>0</v>
      </c>
      <c r="F570" s="10">
        <v>0</v>
      </c>
      <c r="G570" s="10">
        <v>0</v>
      </c>
      <c r="H570" s="10">
        <v>0</v>
      </c>
      <c r="I570" s="10">
        <v>0</v>
      </c>
      <c r="J570" s="10">
        <v>0</v>
      </c>
      <c r="K570" s="10">
        <v>0</v>
      </c>
      <c r="L570" s="10">
        <v>0</v>
      </c>
      <c r="M570" s="10">
        <v>0</v>
      </c>
      <c r="N570" s="10">
        <v>0</v>
      </c>
      <c r="O570" s="10">
        <v>1</v>
      </c>
      <c r="P570" s="10">
        <v>22</v>
      </c>
    </row>
    <row r="571" spans="1:16">
      <c r="A571" s="10" t="s">
        <v>598</v>
      </c>
      <c r="B571" s="10">
        <v>47</v>
      </c>
      <c r="C571" s="21">
        <v>1.6397802860435196E-3</v>
      </c>
      <c r="D571" s="10">
        <v>130</v>
      </c>
      <c r="E571" s="10">
        <v>0</v>
      </c>
      <c r="F571" s="10">
        <v>0</v>
      </c>
      <c r="G571" s="10">
        <v>1</v>
      </c>
      <c r="H571" s="10">
        <v>0</v>
      </c>
      <c r="I571" s="10">
        <v>0</v>
      </c>
      <c r="J571" s="10">
        <v>0</v>
      </c>
      <c r="K571" s="10">
        <v>0</v>
      </c>
      <c r="L571" s="10">
        <v>0</v>
      </c>
      <c r="M571" s="10">
        <v>0</v>
      </c>
      <c r="N571" s="10">
        <v>0</v>
      </c>
      <c r="O571" s="10">
        <v>0</v>
      </c>
      <c r="P571" s="10">
        <v>30</v>
      </c>
    </row>
    <row r="572" spans="1:16">
      <c r="A572" s="10" t="s">
        <v>599</v>
      </c>
      <c r="B572" s="10">
        <v>176</v>
      </c>
      <c r="C572" s="21">
        <v>3.7968061123726719E-5</v>
      </c>
      <c r="D572" s="10">
        <v>168</v>
      </c>
      <c r="E572" s="10">
        <v>0</v>
      </c>
      <c r="F572" s="10">
        <v>0</v>
      </c>
      <c r="G572" s="10">
        <v>0</v>
      </c>
      <c r="H572" s="10">
        <v>1</v>
      </c>
      <c r="I572" s="10">
        <v>0</v>
      </c>
      <c r="J572" s="10">
        <v>0</v>
      </c>
      <c r="K572" s="10">
        <v>0</v>
      </c>
      <c r="L572" s="10">
        <v>0</v>
      </c>
      <c r="M572" s="10">
        <v>0</v>
      </c>
      <c r="N572" s="10">
        <v>0</v>
      </c>
      <c r="O572" s="10">
        <v>1</v>
      </c>
      <c r="P572" s="10">
        <v>10</v>
      </c>
    </row>
    <row r="573" spans="1:16">
      <c r="A573" s="10" t="s">
        <v>600</v>
      </c>
      <c r="B573" s="10">
        <v>602</v>
      </c>
      <c r="C573" s="21">
        <v>1.5062822083639028E-3</v>
      </c>
      <c r="D573" s="10">
        <v>118</v>
      </c>
      <c r="E573" s="10">
        <v>0</v>
      </c>
      <c r="F573" s="10">
        <v>0</v>
      </c>
      <c r="G573" s="10">
        <v>0</v>
      </c>
      <c r="H573" s="10">
        <v>0</v>
      </c>
      <c r="I573" s="10">
        <v>0</v>
      </c>
      <c r="J573" s="10">
        <v>0</v>
      </c>
      <c r="K573" s="10">
        <v>0</v>
      </c>
      <c r="L573" s="10">
        <v>0</v>
      </c>
      <c r="M573" s="10">
        <v>0</v>
      </c>
      <c r="N573" s="10">
        <v>0</v>
      </c>
      <c r="O573" s="10">
        <v>0</v>
      </c>
      <c r="P573" s="10">
        <v>28</v>
      </c>
    </row>
    <row r="574" spans="1:16">
      <c r="A574" s="10" t="s">
        <v>601</v>
      </c>
      <c r="B574" s="10">
        <v>437</v>
      </c>
      <c r="C574" s="21">
        <v>7.8656153387764768E-4</v>
      </c>
      <c r="D574" s="10">
        <v>153</v>
      </c>
      <c r="E574" s="10">
        <v>0</v>
      </c>
      <c r="F574" s="10">
        <v>0</v>
      </c>
      <c r="G574" s="10">
        <v>0</v>
      </c>
      <c r="H574" s="10">
        <v>0</v>
      </c>
      <c r="I574" s="10">
        <v>0</v>
      </c>
      <c r="J574" s="10">
        <v>0</v>
      </c>
      <c r="K574" s="10">
        <v>0</v>
      </c>
      <c r="L574" s="10">
        <v>0</v>
      </c>
      <c r="M574" s="10">
        <v>0</v>
      </c>
      <c r="N574" s="10">
        <v>0</v>
      </c>
      <c r="O574" s="10">
        <v>1</v>
      </c>
      <c r="P574" s="10">
        <v>15</v>
      </c>
    </row>
    <row r="575" spans="1:16">
      <c r="A575" s="10" t="s">
        <v>602</v>
      </c>
      <c r="B575" s="10">
        <v>117</v>
      </c>
      <c r="C575" s="21">
        <v>2.3754834705071652E-3</v>
      </c>
      <c r="D575" s="10">
        <v>142</v>
      </c>
      <c r="E575" s="10">
        <v>1</v>
      </c>
      <c r="F575" s="10">
        <v>0</v>
      </c>
      <c r="G575" s="10">
        <v>0</v>
      </c>
      <c r="H575" s="10">
        <v>0</v>
      </c>
      <c r="I575" s="10">
        <v>0</v>
      </c>
      <c r="J575" s="10">
        <v>0</v>
      </c>
      <c r="K575" s="10">
        <v>0</v>
      </c>
      <c r="L575" s="10">
        <v>0</v>
      </c>
      <c r="M575" s="10">
        <v>0</v>
      </c>
      <c r="N575" s="10">
        <v>0</v>
      </c>
      <c r="O575" s="10">
        <v>0</v>
      </c>
      <c r="P575" s="10">
        <v>35</v>
      </c>
    </row>
    <row r="576" spans="1:16">
      <c r="A576" s="10" t="s">
        <v>603</v>
      </c>
      <c r="B576" s="10">
        <v>96</v>
      </c>
      <c r="C576" s="21">
        <v>2.8476924892382135E-3</v>
      </c>
      <c r="D576" s="10">
        <v>135</v>
      </c>
      <c r="E576" s="10">
        <v>0</v>
      </c>
      <c r="F576" s="10">
        <v>0</v>
      </c>
      <c r="G576" s="10">
        <v>0</v>
      </c>
      <c r="H576" s="10">
        <v>1</v>
      </c>
      <c r="I576" s="10">
        <v>0</v>
      </c>
      <c r="J576" s="10">
        <v>0</v>
      </c>
      <c r="K576" s="10">
        <v>0</v>
      </c>
      <c r="L576" s="10">
        <v>0</v>
      </c>
      <c r="M576" s="10">
        <v>0</v>
      </c>
      <c r="N576" s="10">
        <v>0</v>
      </c>
      <c r="O576" s="10">
        <v>1</v>
      </c>
      <c r="P576" s="10">
        <v>32</v>
      </c>
    </row>
    <row r="577" spans="1:16">
      <c r="A577" s="10" t="s">
        <v>604</v>
      </c>
      <c r="B577" s="10">
        <v>248</v>
      </c>
      <c r="C577" s="21">
        <v>9.9849734149906741E-4</v>
      </c>
      <c r="D577" s="10">
        <v>150</v>
      </c>
      <c r="E577" s="10">
        <v>0</v>
      </c>
      <c r="F577" s="10">
        <v>0</v>
      </c>
      <c r="G577" s="10">
        <v>0</v>
      </c>
      <c r="H577" s="10">
        <v>1</v>
      </c>
      <c r="I577" s="10">
        <v>0</v>
      </c>
      <c r="J577" s="10">
        <v>0</v>
      </c>
      <c r="K577" s="10">
        <v>0</v>
      </c>
      <c r="L577" s="10">
        <v>0</v>
      </c>
      <c r="M577" s="10">
        <v>0</v>
      </c>
      <c r="N577" s="10">
        <v>0</v>
      </c>
      <c r="O577" s="10">
        <v>1</v>
      </c>
      <c r="P577" s="10">
        <v>23</v>
      </c>
    </row>
    <row r="578" spans="1:16">
      <c r="A578" s="10" t="s">
        <v>605</v>
      </c>
      <c r="B578" s="10">
        <v>113</v>
      </c>
      <c r="C578" s="21">
        <v>9.3881852935500949E-4</v>
      </c>
      <c r="D578" s="10">
        <v>179</v>
      </c>
      <c r="E578" s="10">
        <v>0</v>
      </c>
      <c r="F578" s="10">
        <v>1</v>
      </c>
      <c r="G578" s="10">
        <v>0</v>
      </c>
      <c r="H578" s="10">
        <v>0</v>
      </c>
      <c r="I578" s="10">
        <v>0</v>
      </c>
      <c r="J578" s="10">
        <v>0</v>
      </c>
      <c r="K578" s="10">
        <v>0</v>
      </c>
      <c r="L578" s="10">
        <v>0</v>
      </c>
      <c r="M578" s="10">
        <v>0</v>
      </c>
      <c r="N578" s="10">
        <v>0</v>
      </c>
      <c r="O578" s="10">
        <v>1</v>
      </c>
      <c r="P578" s="10">
        <v>24</v>
      </c>
    </row>
    <row r="579" spans="1:16">
      <c r="A579" s="10" t="s">
        <v>606</v>
      </c>
      <c r="B579" s="10">
        <v>520</v>
      </c>
      <c r="C579" s="21">
        <v>1.0691862806893044E-3</v>
      </c>
      <c r="D579" s="10">
        <v>166</v>
      </c>
      <c r="E579" s="10">
        <v>0</v>
      </c>
      <c r="F579" s="10">
        <v>0</v>
      </c>
      <c r="G579" s="10">
        <v>0</v>
      </c>
      <c r="H579" s="10">
        <v>0</v>
      </c>
      <c r="I579" s="10">
        <v>0</v>
      </c>
      <c r="J579" s="10">
        <v>0</v>
      </c>
      <c r="K579" s="10">
        <v>0</v>
      </c>
      <c r="L579" s="10">
        <v>0</v>
      </c>
      <c r="M579" s="10">
        <v>0</v>
      </c>
      <c r="N579" s="10">
        <v>0</v>
      </c>
      <c r="O579" s="10">
        <v>0</v>
      </c>
      <c r="P579" s="10">
        <v>27</v>
      </c>
    </row>
    <row r="580" spans="1:16">
      <c r="A580" s="10" t="s">
        <v>607</v>
      </c>
      <c r="B580" s="10">
        <v>413</v>
      </c>
      <c r="C580" s="21">
        <v>2.4208106920134151E-3</v>
      </c>
      <c r="D580" s="10">
        <v>161</v>
      </c>
      <c r="E580" s="10">
        <v>0</v>
      </c>
      <c r="F580" s="10">
        <v>0</v>
      </c>
      <c r="G580" s="10">
        <v>0</v>
      </c>
      <c r="H580" s="10">
        <v>0</v>
      </c>
      <c r="I580" s="10">
        <v>0</v>
      </c>
      <c r="J580" s="10">
        <v>0</v>
      </c>
      <c r="K580" s="10">
        <v>0</v>
      </c>
      <c r="L580" s="10">
        <v>0</v>
      </c>
      <c r="M580" s="10">
        <v>0</v>
      </c>
      <c r="N580" s="10">
        <v>0</v>
      </c>
      <c r="O580" s="10">
        <v>1</v>
      </c>
      <c r="P580" s="10">
        <v>45</v>
      </c>
    </row>
    <row r="581" spans="1:16">
      <c r="A581" s="10" t="s">
        <v>608</v>
      </c>
      <c r="B581" s="10">
        <v>69</v>
      </c>
      <c r="C581" s="21">
        <v>1.7115216846821995E-3</v>
      </c>
      <c r="D581" s="10">
        <v>152</v>
      </c>
      <c r="E581" s="10">
        <v>1</v>
      </c>
      <c r="F581" s="10">
        <v>0</v>
      </c>
      <c r="G581" s="10">
        <v>0</v>
      </c>
      <c r="H581" s="10">
        <v>0</v>
      </c>
      <c r="I581" s="10">
        <v>0</v>
      </c>
      <c r="J581" s="10">
        <v>0</v>
      </c>
      <c r="K581" s="10">
        <v>0</v>
      </c>
      <c r="L581" s="10">
        <v>0</v>
      </c>
      <c r="M581" s="10">
        <v>0</v>
      </c>
      <c r="N581" s="10">
        <v>0</v>
      </c>
      <c r="O581" s="10">
        <v>0</v>
      </c>
      <c r="P581" s="10">
        <v>25</v>
      </c>
    </row>
    <row r="582" spans="1:16">
      <c r="A582" s="10" t="s">
        <v>609</v>
      </c>
      <c r="B582" s="10">
        <v>144</v>
      </c>
      <c r="C582" s="21">
        <v>1.1406515128995181E-3</v>
      </c>
      <c r="D582" s="10">
        <v>143</v>
      </c>
      <c r="E582" s="10">
        <v>1</v>
      </c>
      <c r="F582" s="10">
        <v>0</v>
      </c>
      <c r="G582" s="10">
        <v>0</v>
      </c>
      <c r="H582" s="10">
        <v>0</v>
      </c>
      <c r="I582" s="10">
        <v>0</v>
      </c>
      <c r="J582" s="10">
        <v>0</v>
      </c>
      <c r="K582" s="10">
        <v>0</v>
      </c>
      <c r="L582" s="10">
        <v>0</v>
      </c>
      <c r="M582" s="10">
        <v>0</v>
      </c>
      <c r="N582" s="10">
        <v>0</v>
      </c>
      <c r="O582" s="10">
        <v>0</v>
      </c>
      <c r="P582" s="10">
        <v>25</v>
      </c>
    </row>
    <row r="583" spans="1:16">
      <c r="A583" s="10" t="s">
        <v>610</v>
      </c>
      <c r="B583" s="10">
        <v>53</v>
      </c>
      <c r="C583" s="21">
        <v>1.3547201511424263E-3</v>
      </c>
      <c r="D583" s="10">
        <v>151</v>
      </c>
      <c r="E583" s="10">
        <v>0</v>
      </c>
      <c r="F583" s="10">
        <v>0</v>
      </c>
      <c r="G583" s="10">
        <v>1</v>
      </c>
      <c r="H583" s="10">
        <v>0</v>
      </c>
      <c r="I583" s="10">
        <v>0</v>
      </c>
      <c r="J583" s="10">
        <v>0</v>
      </c>
      <c r="K583" s="10">
        <v>0</v>
      </c>
      <c r="L583" s="10">
        <v>0</v>
      </c>
      <c r="M583" s="10">
        <v>0</v>
      </c>
      <c r="N583" s="10">
        <v>0</v>
      </c>
      <c r="O583" s="10">
        <v>0</v>
      </c>
      <c r="P583" s="10">
        <v>33</v>
      </c>
    </row>
    <row r="584" spans="1:16">
      <c r="A584" s="10" t="s">
        <v>611</v>
      </c>
      <c r="B584" s="10">
        <v>164</v>
      </c>
      <c r="C584" s="21">
        <v>2.607579695086861E-3</v>
      </c>
      <c r="D584" s="10">
        <v>184</v>
      </c>
      <c r="E584" s="10">
        <v>0</v>
      </c>
      <c r="F584" s="10">
        <v>0</v>
      </c>
      <c r="G584" s="10">
        <v>0</v>
      </c>
      <c r="H584" s="10">
        <v>1</v>
      </c>
      <c r="I584" s="10">
        <v>0</v>
      </c>
      <c r="J584" s="10">
        <v>0</v>
      </c>
      <c r="K584" s="10">
        <v>0</v>
      </c>
      <c r="L584" s="10">
        <v>0</v>
      </c>
      <c r="M584" s="10">
        <v>0</v>
      </c>
      <c r="N584" s="10">
        <v>0</v>
      </c>
      <c r="O584" s="10">
        <v>0</v>
      </c>
      <c r="P584" s="10">
        <v>30</v>
      </c>
    </row>
    <row r="585" spans="1:16">
      <c r="A585" s="10" t="s">
        <v>612</v>
      </c>
      <c r="B585" s="10">
        <v>413</v>
      </c>
      <c r="C585" s="21">
        <v>1.5147723799035721E-3</v>
      </c>
      <c r="D585" s="10">
        <v>166</v>
      </c>
      <c r="E585" s="10">
        <v>0</v>
      </c>
      <c r="F585" s="10">
        <v>0</v>
      </c>
      <c r="G585" s="10">
        <v>0</v>
      </c>
      <c r="H585" s="10">
        <v>0</v>
      </c>
      <c r="I585" s="10">
        <v>0</v>
      </c>
      <c r="J585" s="10">
        <v>0</v>
      </c>
      <c r="K585" s="10">
        <v>0</v>
      </c>
      <c r="L585" s="10">
        <v>0</v>
      </c>
      <c r="M585" s="10">
        <v>0</v>
      </c>
      <c r="N585" s="10">
        <v>0</v>
      </c>
      <c r="O585" s="10">
        <v>1</v>
      </c>
      <c r="P585" s="10">
        <v>30</v>
      </c>
    </row>
    <row r="586" spans="1:16">
      <c r="A586" s="10" t="s">
        <v>613</v>
      </c>
      <c r="B586" s="10">
        <v>108</v>
      </c>
      <c r="C586" s="21">
        <v>8.3489867134745792E-4</v>
      </c>
      <c r="D586" s="10">
        <v>156</v>
      </c>
      <c r="E586" s="10">
        <v>1</v>
      </c>
      <c r="F586" s="10">
        <v>0</v>
      </c>
      <c r="G586" s="10">
        <v>0</v>
      </c>
      <c r="H586" s="10">
        <v>0</v>
      </c>
      <c r="I586" s="10">
        <v>0</v>
      </c>
      <c r="J586" s="10">
        <v>0</v>
      </c>
      <c r="K586" s="10">
        <v>0</v>
      </c>
      <c r="L586" s="10">
        <v>0</v>
      </c>
      <c r="M586" s="10">
        <v>0</v>
      </c>
      <c r="N586" s="10">
        <v>0</v>
      </c>
      <c r="O586" s="10">
        <v>0</v>
      </c>
      <c r="P586" s="10">
        <v>32</v>
      </c>
    </row>
    <row r="587" spans="1:16">
      <c r="A587" s="10" t="s">
        <v>614</v>
      </c>
      <c r="B587" s="10">
        <v>143</v>
      </c>
      <c r="C587" s="21">
        <v>1.5511539697444223E-3</v>
      </c>
      <c r="D587" s="10">
        <v>132</v>
      </c>
      <c r="E587" s="10">
        <v>0</v>
      </c>
      <c r="F587" s="10">
        <v>0</v>
      </c>
      <c r="G587" s="10">
        <v>0</v>
      </c>
      <c r="H587" s="10">
        <v>0</v>
      </c>
      <c r="I587" s="10">
        <v>0</v>
      </c>
      <c r="J587" s="10">
        <v>0</v>
      </c>
      <c r="K587" s="10">
        <v>1</v>
      </c>
      <c r="L587" s="10">
        <v>0</v>
      </c>
      <c r="M587" s="10">
        <v>0</v>
      </c>
      <c r="N587" s="10">
        <v>0</v>
      </c>
      <c r="O587" s="10">
        <v>0</v>
      </c>
      <c r="P587" s="10">
        <v>30</v>
      </c>
    </row>
    <row r="588" spans="1:16">
      <c r="A588" s="10" t="s">
        <v>615</v>
      </c>
      <c r="B588" s="10">
        <v>57</v>
      </c>
      <c r="C588" s="21">
        <v>1.1536629123639378E-3</v>
      </c>
      <c r="D588" s="10">
        <v>140</v>
      </c>
      <c r="E588" s="10">
        <v>0</v>
      </c>
      <c r="F588" s="10">
        <v>0</v>
      </c>
      <c r="G588" s="10">
        <v>1</v>
      </c>
      <c r="H588" s="10">
        <v>0</v>
      </c>
      <c r="I588" s="10">
        <v>0</v>
      </c>
      <c r="J588" s="10">
        <v>0</v>
      </c>
      <c r="K588" s="10">
        <v>0</v>
      </c>
      <c r="L588" s="10">
        <v>0</v>
      </c>
      <c r="M588" s="10">
        <v>0</v>
      </c>
      <c r="N588" s="10">
        <v>0</v>
      </c>
      <c r="O588" s="10">
        <v>0</v>
      </c>
      <c r="P588" s="10">
        <v>22</v>
      </c>
    </row>
    <row r="589" spans="1:16">
      <c r="A589" s="10" t="s">
        <v>616</v>
      </c>
      <c r="B589" s="10">
        <v>231</v>
      </c>
      <c r="C589" s="21">
        <v>1.4416965798596075E-3</v>
      </c>
      <c r="D589" s="10">
        <v>161</v>
      </c>
      <c r="E589" s="10">
        <v>0</v>
      </c>
      <c r="F589" s="10">
        <v>0</v>
      </c>
      <c r="G589" s="10">
        <v>0</v>
      </c>
      <c r="H589" s="10">
        <v>1</v>
      </c>
      <c r="I589" s="10">
        <v>0</v>
      </c>
      <c r="J589" s="10">
        <v>0</v>
      </c>
      <c r="K589" s="10">
        <v>0</v>
      </c>
      <c r="L589" s="10">
        <v>0</v>
      </c>
      <c r="M589" s="10">
        <v>0</v>
      </c>
      <c r="N589" s="10">
        <v>0</v>
      </c>
      <c r="O589" s="10">
        <v>0</v>
      </c>
      <c r="P589" s="10">
        <v>29</v>
      </c>
    </row>
    <row r="590" spans="1:16">
      <c r="A590" s="10" t="s">
        <v>617</v>
      </c>
      <c r="B590" s="10">
        <v>294</v>
      </c>
      <c r="C590" s="21">
        <v>9.2288028607156027E-4</v>
      </c>
      <c r="D590" s="10">
        <v>163</v>
      </c>
      <c r="E590" s="10">
        <v>0</v>
      </c>
      <c r="F590" s="10">
        <v>0</v>
      </c>
      <c r="G590" s="10">
        <v>0</v>
      </c>
      <c r="H590" s="10">
        <v>0</v>
      </c>
      <c r="I590" s="10">
        <v>1</v>
      </c>
      <c r="J590" s="10">
        <v>0</v>
      </c>
      <c r="K590" s="10">
        <v>0</v>
      </c>
      <c r="L590" s="10">
        <v>0</v>
      </c>
      <c r="M590" s="10">
        <v>0</v>
      </c>
      <c r="N590" s="10">
        <v>0</v>
      </c>
      <c r="O590" s="10">
        <v>0</v>
      </c>
      <c r="P590" s="10">
        <v>14</v>
      </c>
    </row>
    <row r="591" spans="1:16">
      <c r="A591" s="10" t="s">
        <v>618</v>
      </c>
      <c r="B591" s="10">
        <v>114</v>
      </c>
      <c r="C591" s="21">
        <v>5.6180428397912771E-4</v>
      </c>
      <c r="D591" s="10">
        <v>136</v>
      </c>
      <c r="E591" s="10">
        <v>0</v>
      </c>
      <c r="F591" s="10">
        <v>1</v>
      </c>
      <c r="G591" s="10">
        <v>0</v>
      </c>
      <c r="H591" s="10">
        <v>0</v>
      </c>
      <c r="I591" s="10">
        <v>0</v>
      </c>
      <c r="J591" s="10">
        <v>0</v>
      </c>
      <c r="K591" s="10">
        <v>0</v>
      </c>
      <c r="L591" s="10">
        <v>0</v>
      </c>
      <c r="M591" s="10">
        <v>0</v>
      </c>
      <c r="N591" s="10">
        <v>0</v>
      </c>
      <c r="O591" s="10">
        <v>1</v>
      </c>
      <c r="P591" s="10">
        <v>18</v>
      </c>
    </row>
    <row r="592" spans="1:16">
      <c r="A592" s="10" t="s">
        <v>619</v>
      </c>
      <c r="B592" s="10">
        <v>389</v>
      </c>
      <c r="C592" s="21">
        <v>1.9643054755370047E-3</v>
      </c>
      <c r="D592" s="10">
        <v>178</v>
      </c>
      <c r="E592" s="10">
        <v>0</v>
      </c>
      <c r="F592" s="10">
        <v>0</v>
      </c>
      <c r="G592" s="10">
        <v>0</v>
      </c>
      <c r="H592" s="10">
        <v>0</v>
      </c>
      <c r="I592" s="10">
        <v>0</v>
      </c>
      <c r="J592" s="10">
        <v>0</v>
      </c>
      <c r="K592" s="10">
        <v>0</v>
      </c>
      <c r="L592" s="10">
        <v>0</v>
      </c>
      <c r="M592" s="10">
        <v>0</v>
      </c>
      <c r="N592" s="10">
        <v>0</v>
      </c>
      <c r="O592" s="10">
        <v>0</v>
      </c>
      <c r="P592" s="10">
        <v>34</v>
      </c>
    </row>
    <row r="593" spans="1:16">
      <c r="A593" s="10" t="s">
        <v>620</v>
      </c>
      <c r="B593" s="10">
        <v>36</v>
      </c>
      <c r="C593" s="21">
        <v>1.7793120119596656E-3</v>
      </c>
      <c r="D593" s="10">
        <v>190</v>
      </c>
      <c r="E593" s="10">
        <v>0</v>
      </c>
      <c r="F593" s="10">
        <v>0</v>
      </c>
      <c r="G593" s="10">
        <v>1</v>
      </c>
      <c r="H593" s="10">
        <v>0</v>
      </c>
      <c r="I593" s="10">
        <v>0</v>
      </c>
      <c r="J593" s="10">
        <v>0</v>
      </c>
      <c r="K593" s="10">
        <v>0</v>
      </c>
      <c r="L593" s="10">
        <v>0</v>
      </c>
      <c r="M593" s="10">
        <v>0</v>
      </c>
      <c r="N593" s="10">
        <v>0</v>
      </c>
      <c r="O593" s="10">
        <v>1</v>
      </c>
      <c r="P593" s="10">
        <v>24</v>
      </c>
    </row>
    <row r="594" spans="1:16">
      <c r="A594" s="10" t="s">
        <v>621</v>
      </c>
      <c r="B594" s="10">
        <v>228</v>
      </c>
      <c r="C594" s="21">
        <v>1.7214653809873176E-3</v>
      </c>
      <c r="D594" s="10">
        <v>159</v>
      </c>
      <c r="E594" s="10">
        <v>0</v>
      </c>
      <c r="F594" s="10">
        <v>0</v>
      </c>
      <c r="G594" s="10">
        <v>0</v>
      </c>
      <c r="H594" s="10">
        <v>1</v>
      </c>
      <c r="I594" s="10">
        <v>0</v>
      </c>
      <c r="J594" s="10">
        <v>0</v>
      </c>
      <c r="K594" s="10">
        <v>0</v>
      </c>
      <c r="L594" s="10">
        <v>0</v>
      </c>
      <c r="M594" s="10">
        <v>0</v>
      </c>
      <c r="N594" s="10">
        <v>0</v>
      </c>
      <c r="O594" s="10">
        <v>0</v>
      </c>
      <c r="P594" s="10">
        <v>32</v>
      </c>
    </row>
    <row r="595" spans="1:16">
      <c r="A595" s="10" t="s">
        <v>622</v>
      </c>
      <c r="B595" s="10">
        <v>113</v>
      </c>
      <c r="C595" s="21">
        <v>1.0583445581276349E-3</v>
      </c>
      <c r="D595" s="10">
        <v>144</v>
      </c>
      <c r="E595" s="10">
        <v>0</v>
      </c>
      <c r="F595" s="10">
        <v>0</v>
      </c>
      <c r="G595" s="10">
        <v>0</v>
      </c>
      <c r="H595" s="10">
        <v>0</v>
      </c>
      <c r="I595" s="10">
        <v>1</v>
      </c>
      <c r="J595" s="10">
        <v>0</v>
      </c>
      <c r="K595" s="10">
        <v>0</v>
      </c>
      <c r="L595" s="10">
        <v>0</v>
      </c>
      <c r="M595" s="10">
        <v>0</v>
      </c>
      <c r="N595" s="10">
        <v>0</v>
      </c>
      <c r="O595" s="10">
        <v>0</v>
      </c>
      <c r="P595" s="10">
        <v>22</v>
      </c>
    </row>
    <row r="596" spans="1:16">
      <c r="A596" s="10" t="s">
        <v>623</v>
      </c>
      <c r="B596" s="10">
        <v>114</v>
      </c>
      <c r="C596" s="21">
        <v>1.9244327709396342E-3</v>
      </c>
      <c r="D596" s="10">
        <v>117</v>
      </c>
      <c r="E596" s="10">
        <v>0</v>
      </c>
      <c r="F596" s="10">
        <v>1</v>
      </c>
      <c r="G596" s="10">
        <v>0</v>
      </c>
      <c r="H596" s="10">
        <v>0</v>
      </c>
      <c r="I596" s="10">
        <v>0</v>
      </c>
      <c r="J596" s="10">
        <v>0</v>
      </c>
      <c r="K596" s="10">
        <v>0</v>
      </c>
      <c r="L596" s="10">
        <v>0</v>
      </c>
      <c r="M596" s="10">
        <v>0</v>
      </c>
      <c r="N596" s="10">
        <v>0</v>
      </c>
      <c r="O596" s="10">
        <v>0</v>
      </c>
      <c r="P596" s="10">
        <v>38</v>
      </c>
    </row>
    <row r="597" spans="1:16">
      <c r="A597" s="10" t="s">
        <v>624</v>
      </c>
      <c r="B597" s="10">
        <v>576</v>
      </c>
      <c r="C597" s="21">
        <v>1.8839650646760204E-3</v>
      </c>
      <c r="D597" s="10">
        <v>157</v>
      </c>
      <c r="E597" s="10">
        <v>0</v>
      </c>
      <c r="F597" s="10">
        <v>0</v>
      </c>
      <c r="G597" s="10">
        <v>0</v>
      </c>
      <c r="H597" s="10">
        <v>0</v>
      </c>
      <c r="I597" s="10">
        <v>0</v>
      </c>
      <c r="J597" s="10">
        <v>0</v>
      </c>
      <c r="K597" s="10">
        <v>0</v>
      </c>
      <c r="L597" s="10">
        <v>0</v>
      </c>
      <c r="M597" s="10">
        <v>0</v>
      </c>
      <c r="N597" s="10">
        <v>0</v>
      </c>
      <c r="O597" s="10">
        <v>0</v>
      </c>
      <c r="P597" s="10">
        <v>28</v>
      </c>
    </row>
    <row r="598" spans="1:16">
      <c r="A598" s="10" t="s">
        <v>625</v>
      </c>
      <c r="B598" s="10">
        <v>579</v>
      </c>
      <c r="C598" s="21">
        <v>1.2568173220802073E-3</v>
      </c>
      <c r="D598" s="10">
        <v>179</v>
      </c>
      <c r="E598" s="10">
        <v>0</v>
      </c>
      <c r="F598" s="10">
        <v>0</v>
      </c>
      <c r="G598" s="10">
        <v>0</v>
      </c>
      <c r="H598" s="10">
        <v>0</v>
      </c>
      <c r="I598" s="10">
        <v>0</v>
      </c>
      <c r="J598" s="10">
        <v>0</v>
      </c>
      <c r="K598" s="10">
        <v>0</v>
      </c>
      <c r="L598" s="10">
        <v>0</v>
      </c>
      <c r="M598" s="10">
        <v>0</v>
      </c>
      <c r="N598" s="10">
        <v>0</v>
      </c>
      <c r="O598" s="10">
        <v>0</v>
      </c>
      <c r="P598" s="10">
        <v>19</v>
      </c>
    </row>
    <row r="599" spans="1:16">
      <c r="A599" s="10" t="s">
        <v>626</v>
      </c>
      <c r="B599" s="10">
        <v>85</v>
      </c>
      <c r="C599" s="21">
        <v>1.3496970485346832E-3</v>
      </c>
      <c r="D599" s="10">
        <v>150</v>
      </c>
      <c r="E599" s="10">
        <v>1</v>
      </c>
      <c r="F599" s="10">
        <v>0</v>
      </c>
      <c r="G599" s="10">
        <v>0</v>
      </c>
      <c r="H599" s="10">
        <v>0</v>
      </c>
      <c r="I599" s="10">
        <v>0</v>
      </c>
      <c r="J599" s="10">
        <v>0</v>
      </c>
      <c r="K599" s="10">
        <v>0</v>
      </c>
      <c r="L599" s="10">
        <v>0</v>
      </c>
      <c r="M599" s="10">
        <v>0</v>
      </c>
      <c r="N599" s="10">
        <v>0</v>
      </c>
      <c r="O599" s="10">
        <v>0</v>
      </c>
      <c r="P599" s="10">
        <v>29</v>
      </c>
    </row>
    <row r="600" spans="1:16">
      <c r="A600" s="10" t="s">
        <v>627</v>
      </c>
      <c r="B600" s="10">
        <v>68</v>
      </c>
      <c r="C600" s="21">
        <v>1.7835145898871738E-3</v>
      </c>
      <c r="D600" s="10">
        <v>158</v>
      </c>
      <c r="E600" s="10">
        <v>0</v>
      </c>
      <c r="F600" s="10">
        <v>0</v>
      </c>
      <c r="G600" s="10">
        <v>0</v>
      </c>
      <c r="H600" s="10">
        <v>0</v>
      </c>
      <c r="I600" s="10">
        <v>0</v>
      </c>
      <c r="J600" s="10">
        <v>1</v>
      </c>
      <c r="K600" s="10">
        <v>0</v>
      </c>
      <c r="L600" s="10">
        <v>0</v>
      </c>
      <c r="M600" s="10">
        <v>0</v>
      </c>
      <c r="N600" s="10">
        <v>0</v>
      </c>
      <c r="O600" s="10">
        <v>1</v>
      </c>
      <c r="P600" s="10">
        <v>29</v>
      </c>
    </row>
    <row r="601" spans="1:16">
      <c r="A601" s="10" t="s">
        <v>629</v>
      </c>
      <c r="B601" s="10">
        <v>98</v>
      </c>
      <c r="C601" s="21">
        <v>5.1070402355257892E-3</v>
      </c>
      <c r="D601" s="10">
        <v>150</v>
      </c>
      <c r="E601" s="10">
        <v>0</v>
      </c>
      <c r="F601" s="10">
        <v>0</v>
      </c>
      <c r="G601" s="10">
        <v>0</v>
      </c>
      <c r="H601" s="10">
        <v>0</v>
      </c>
      <c r="I601" s="10">
        <v>0</v>
      </c>
      <c r="J601" s="10">
        <v>1</v>
      </c>
      <c r="K601" s="10">
        <v>0</v>
      </c>
      <c r="L601" s="10">
        <v>0</v>
      </c>
      <c r="M601" s="10">
        <v>0</v>
      </c>
      <c r="N601" s="10">
        <v>0</v>
      </c>
      <c r="O601" s="10">
        <v>1</v>
      </c>
      <c r="P601" s="10">
        <v>37</v>
      </c>
    </row>
    <row r="602" spans="1:16">
      <c r="A602" s="10" t="s">
        <v>630</v>
      </c>
      <c r="B602" s="10">
        <v>80</v>
      </c>
      <c r="C602" s="21">
        <v>1.3777217048856824E-5</v>
      </c>
      <c r="D602" s="10">
        <v>222</v>
      </c>
      <c r="E602" s="10">
        <v>0</v>
      </c>
      <c r="F602" s="10">
        <v>0</v>
      </c>
      <c r="G602" s="10">
        <v>0</v>
      </c>
      <c r="H602" s="10">
        <v>0</v>
      </c>
      <c r="I602" s="10">
        <v>0</v>
      </c>
      <c r="J602" s="10">
        <v>1</v>
      </c>
      <c r="K602" s="10">
        <v>0</v>
      </c>
      <c r="L602" s="10">
        <v>0</v>
      </c>
      <c r="M602" s="10">
        <v>0</v>
      </c>
      <c r="N602" s="10">
        <v>0</v>
      </c>
      <c r="O602" s="10">
        <v>0</v>
      </c>
      <c r="P602" s="10">
        <v>2</v>
      </c>
    </row>
    <row r="603" spans="1:16">
      <c r="A603" s="10" t="s">
        <v>631</v>
      </c>
      <c r="B603" s="10">
        <v>124</v>
      </c>
      <c r="C603" s="21">
        <v>1.3913311901432436E-3</v>
      </c>
      <c r="D603" s="10">
        <v>140</v>
      </c>
      <c r="E603" s="10">
        <v>0</v>
      </c>
      <c r="F603" s="10">
        <v>0</v>
      </c>
      <c r="G603" s="10">
        <v>0</v>
      </c>
      <c r="H603" s="10">
        <v>0</v>
      </c>
      <c r="I603" s="10">
        <v>0</v>
      </c>
      <c r="J603" s="10">
        <v>1</v>
      </c>
      <c r="K603" s="10">
        <v>0</v>
      </c>
      <c r="L603" s="10">
        <v>0</v>
      </c>
      <c r="M603" s="10">
        <v>0</v>
      </c>
      <c r="N603" s="10">
        <v>0</v>
      </c>
      <c r="O603" s="10">
        <v>0</v>
      </c>
      <c r="P603" s="10">
        <v>26</v>
      </c>
    </row>
    <row r="604" spans="1:16">
      <c r="A604" s="10" t="s">
        <v>632</v>
      </c>
      <c r="B604" s="10">
        <v>136</v>
      </c>
      <c r="C604" s="21">
        <v>1.9233226179038593E-3</v>
      </c>
      <c r="D604" s="10">
        <v>102</v>
      </c>
      <c r="E604" s="10">
        <v>0</v>
      </c>
      <c r="F604" s="10">
        <v>0</v>
      </c>
      <c r="G604" s="10">
        <v>0</v>
      </c>
      <c r="H604" s="10">
        <v>0</v>
      </c>
      <c r="I604" s="10">
        <v>0</v>
      </c>
      <c r="J604" s="10">
        <v>1</v>
      </c>
      <c r="K604" s="10">
        <v>0</v>
      </c>
      <c r="L604" s="10">
        <v>0</v>
      </c>
      <c r="M604" s="10">
        <v>0</v>
      </c>
      <c r="N604" s="10">
        <v>0</v>
      </c>
      <c r="O604" s="10">
        <v>0</v>
      </c>
      <c r="P604" s="10">
        <v>32</v>
      </c>
    </row>
    <row r="605" spans="1:16">
      <c r="A605" s="10" t="s">
        <v>633</v>
      </c>
      <c r="B605" s="10">
        <v>97</v>
      </c>
      <c r="C605" s="21">
        <v>1.3013304101209665E-3</v>
      </c>
      <c r="D605" s="10">
        <v>127</v>
      </c>
      <c r="E605" s="10">
        <v>0</v>
      </c>
      <c r="F605" s="10">
        <v>0</v>
      </c>
      <c r="G605" s="10">
        <v>0</v>
      </c>
      <c r="H605" s="10">
        <v>0</v>
      </c>
      <c r="I605" s="10">
        <v>0</v>
      </c>
      <c r="J605" s="10">
        <v>1</v>
      </c>
      <c r="K605" s="10">
        <v>0</v>
      </c>
      <c r="L605" s="10">
        <v>0</v>
      </c>
      <c r="M605" s="10">
        <v>0</v>
      </c>
      <c r="N605" s="10">
        <v>0</v>
      </c>
      <c r="O605" s="10">
        <v>0</v>
      </c>
      <c r="P605" s="10">
        <v>21</v>
      </c>
    </row>
    <row r="606" spans="1:16">
      <c r="A606" s="10" t="s">
        <v>634</v>
      </c>
      <c r="B606" s="10">
        <v>120</v>
      </c>
      <c r="C606" s="21">
        <v>8.0693689733780504E-4</v>
      </c>
      <c r="D606" s="10">
        <v>154</v>
      </c>
      <c r="E606" s="10">
        <v>0</v>
      </c>
      <c r="F606" s="10">
        <v>0</v>
      </c>
      <c r="G606" s="10">
        <v>0</v>
      </c>
      <c r="H606" s="10">
        <v>0</v>
      </c>
      <c r="I606" s="10">
        <v>0</v>
      </c>
      <c r="J606" s="10">
        <v>1</v>
      </c>
      <c r="K606" s="10">
        <v>0</v>
      </c>
      <c r="L606" s="10">
        <v>0</v>
      </c>
      <c r="M606" s="10">
        <v>0</v>
      </c>
      <c r="N606" s="10">
        <v>0</v>
      </c>
      <c r="O606" s="10">
        <v>0</v>
      </c>
      <c r="P606" s="10">
        <v>15</v>
      </c>
    </row>
    <row r="607" spans="1:16">
      <c r="A607" s="10" t="s">
        <v>635</v>
      </c>
      <c r="B607" s="10">
        <v>142</v>
      </c>
      <c r="C607" s="21">
        <v>1.7188008872500893E-3</v>
      </c>
      <c r="D607" s="10">
        <v>153</v>
      </c>
      <c r="E607" s="10">
        <v>0</v>
      </c>
      <c r="F607" s="10">
        <v>0</v>
      </c>
      <c r="G607" s="10">
        <v>0</v>
      </c>
      <c r="H607" s="10">
        <v>0</v>
      </c>
      <c r="I607" s="10">
        <v>0</v>
      </c>
      <c r="J607" s="10">
        <v>1</v>
      </c>
      <c r="K607" s="10">
        <v>0</v>
      </c>
      <c r="L607" s="10">
        <v>0</v>
      </c>
      <c r="M607" s="10">
        <v>0</v>
      </c>
      <c r="N607" s="10">
        <v>0</v>
      </c>
      <c r="O607" s="10">
        <v>0</v>
      </c>
      <c r="P607" s="10">
        <v>33</v>
      </c>
    </row>
    <row r="608" spans="1:16">
      <c r="A608" s="10" t="s">
        <v>636</v>
      </c>
      <c r="B608" s="10">
        <v>102</v>
      </c>
      <c r="C608" s="21">
        <v>2.0133549035410529E-3</v>
      </c>
      <c r="D608" s="10">
        <v>154</v>
      </c>
      <c r="E608" s="10">
        <v>0</v>
      </c>
      <c r="F608" s="10">
        <v>0</v>
      </c>
      <c r="G608" s="10">
        <v>0</v>
      </c>
      <c r="H608" s="10">
        <v>0</v>
      </c>
      <c r="I608" s="10">
        <v>0</v>
      </c>
      <c r="J608" s="10">
        <v>1</v>
      </c>
      <c r="K608" s="10">
        <v>0</v>
      </c>
      <c r="L608" s="10">
        <v>0</v>
      </c>
      <c r="M608" s="10">
        <v>0</v>
      </c>
      <c r="N608" s="10">
        <v>0</v>
      </c>
      <c r="O608" s="10">
        <v>0</v>
      </c>
      <c r="P608" s="10">
        <v>27</v>
      </c>
    </row>
    <row r="609" spans="1:16">
      <c r="A609" s="10" t="s">
        <v>637</v>
      </c>
      <c r="B609" s="10">
        <v>84</v>
      </c>
      <c r="C609" s="21">
        <v>1.5600780015197564E-3</v>
      </c>
      <c r="D609" s="10">
        <v>127</v>
      </c>
      <c r="E609" s="10">
        <v>0</v>
      </c>
      <c r="F609" s="10">
        <v>0</v>
      </c>
      <c r="G609" s="10">
        <v>0</v>
      </c>
      <c r="H609" s="10">
        <v>0</v>
      </c>
      <c r="I609" s="10">
        <v>0</v>
      </c>
      <c r="J609" s="10">
        <v>1</v>
      </c>
      <c r="K609" s="10">
        <v>0</v>
      </c>
      <c r="L609" s="10">
        <v>0</v>
      </c>
      <c r="M609" s="10">
        <v>0</v>
      </c>
      <c r="N609" s="10">
        <v>0</v>
      </c>
      <c r="O609" s="10">
        <v>1</v>
      </c>
      <c r="P609" s="10">
        <v>29</v>
      </c>
    </row>
    <row r="610" spans="1:16">
      <c r="A610" s="10" t="s">
        <v>638</v>
      </c>
      <c r="B610" s="10">
        <v>104</v>
      </c>
      <c r="C610" s="21">
        <v>3.0169166803655279E-3</v>
      </c>
      <c r="D610" s="10">
        <v>81</v>
      </c>
      <c r="E610" s="10">
        <v>0</v>
      </c>
      <c r="F610" s="10">
        <v>0</v>
      </c>
      <c r="G610" s="10">
        <v>0</v>
      </c>
      <c r="H610" s="10">
        <v>0</v>
      </c>
      <c r="I610" s="10">
        <v>0</v>
      </c>
      <c r="J610" s="10">
        <v>1</v>
      </c>
      <c r="K610" s="10">
        <v>0</v>
      </c>
      <c r="L610" s="10">
        <v>0</v>
      </c>
      <c r="M610" s="10">
        <v>0</v>
      </c>
      <c r="N610" s="10">
        <v>0</v>
      </c>
      <c r="O610" s="10">
        <v>1</v>
      </c>
      <c r="P610" s="10">
        <v>47</v>
      </c>
    </row>
    <row r="611" spans="1:16">
      <c r="A611" s="10" t="s">
        <v>639</v>
      </c>
      <c r="B611" s="10">
        <v>106</v>
      </c>
      <c r="C611" s="21">
        <v>1.3339493144649858E-3</v>
      </c>
      <c r="D611" s="10">
        <v>168</v>
      </c>
      <c r="E611" s="10">
        <v>0</v>
      </c>
      <c r="F611" s="10">
        <v>0</v>
      </c>
      <c r="G611" s="10">
        <v>0</v>
      </c>
      <c r="H611" s="10">
        <v>0</v>
      </c>
      <c r="I611" s="10">
        <v>0</v>
      </c>
      <c r="J611" s="10">
        <v>1</v>
      </c>
      <c r="K611" s="10">
        <v>0</v>
      </c>
      <c r="L611" s="10">
        <v>0</v>
      </c>
      <c r="M611" s="10">
        <v>0</v>
      </c>
      <c r="N611" s="10">
        <v>0</v>
      </c>
      <c r="O611" s="10">
        <v>0</v>
      </c>
      <c r="P611" s="10">
        <v>19</v>
      </c>
    </row>
    <row r="612" spans="1:16">
      <c r="A612" s="10" t="s">
        <v>640</v>
      </c>
      <c r="B612" s="10">
        <v>128</v>
      </c>
      <c r="C612" s="21">
        <v>6.7168223840495371E-4</v>
      </c>
      <c r="D612" s="10">
        <v>149</v>
      </c>
      <c r="E612" s="10">
        <v>0</v>
      </c>
      <c r="F612" s="10">
        <v>0</v>
      </c>
      <c r="G612" s="10">
        <v>0</v>
      </c>
      <c r="H612" s="10">
        <v>0</v>
      </c>
      <c r="I612" s="10">
        <v>0</v>
      </c>
      <c r="J612" s="10">
        <v>1</v>
      </c>
      <c r="K612" s="10">
        <v>0</v>
      </c>
      <c r="L612" s="10">
        <v>0</v>
      </c>
      <c r="M612" s="10">
        <v>0</v>
      </c>
      <c r="N612" s="10">
        <v>0</v>
      </c>
      <c r="O612" s="10">
        <v>1</v>
      </c>
      <c r="P612" s="10">
        <v>23</v>
      </c>
    </row>
    <row r="613" spans="1:16">
      <c r="A613" s="10" t="s">
        <v>641</v>
      </c>
      <c r="B613" s="10">
        <v>98</v>
      </c>
      <c r="C613" s="21">
        <v>1.4214120544219862E-3</v>
      </c>
      <c r="D613" s="10">
        <v>142</v>
      </c>
      <c r="E613" s="10">
        <v>0</v>
      </c>
      <c r="F613" s="10">
        <v>0</v>
      </c>
      <c r="G613" s="10">
        <v>0</v>
      </c>
      <c r="H613" s="10">
        <v>0</v>
      </c>
      <c r="I613" s="10">
        <v>0</v>
      </c>
      <c r="J613" s="10">
        <v>1</v>
      </c>
      <c r="K613" s="10">
        <v>0</v>
      </c>
      <c r="L613" s="10">
        <v>0</v>
      </c>
      <c r="M613" s="10">
        <v>0</v>
      </c>
      <c r="N613" s="10">
        <v>0</v>
      </c>
      <c r="O613" s="10">
        <v>0</v>
      </c>
      <c r="P613" s="10">
        <v>26</v>
      </c>
    </row>
    <row r="614" spans="1:16">
      <c r="A614" s="10" t="s">
        <v>642</v>
      </c>
      <c r="B614" s="10">
        <v>76</v>
      </c>
      <c r="C614" s="21">
        <v>1.543723827899442E-3</v>
      </c>
      <c r="D614" s="10">
        <v>126</v>
      </c>
      <c r="E614" s="10">
        <v>0</v>
      </c>
      <c r="F614" s="10">
        <v>0</v>
      </c>
      <c r="G614" s="10">
        <v>0</v>
      </c>
      <c r="H614" s="10">
        <v>0</v>
      </c>
      <c r="I614" s="10">
        <v>0</v>
      </c>
      <c r="J614" s="10">
        <v>1</v>
      </c>
      <c r="K614" s="10">
        <v>0</v>
      </c>
      <c r="L614" s="10">
        <v>0</v>
      </c>
      <c r="M614" s="10">
        <v>0</v>
      </c>
      <c r="N614" s="10">
        <v>0</v>
      </c>
      <c r="O614" s="10">
        <v>0</v>
      </c>
      <c r="P614" s="10">
        <v>29</v>
      </c>
    </row>
    <row r="615" spans="1:16">
      <c r="A615" s="10" t="s">
        <v>643</v>
      </c>
      <c r="B615" s="10">
        <v>206</v>
      </c>
      <c r="C615" s="21">
        <v>8.8765317915685262E-4</v>
      </c>
      <c r="D615" s="10">
        <v>145</v>
      </c>
      <c r="E615" s="10">
        <v>0</v>
      </c>
      <c r="F615" s="10">
        <v>0</v>
      </c>
      <c r="G615" s="10">
        <v>0</v>
      </c>
      <c r="H615" s="10">
        <v>1</v>
      </c>
      <c r="I615" s="10">
        <v>0</v>
      </c>
      <c r="J615" s="10">
        <v>0</v>
      </c>
      <c r="K615" s="10">
        <v>0</v>
      </c>
      <c r="L615" s="10">
        <v>0</v>
      </c>
      <c r="M615" s="10">
        <v>0</v>
      </c>
      <c r="N615" s="10">
        <v>0</v>
      </c>
      <c r="O615" s="10">
        <v>0</v>
      </c>
      <c r="P615" s="10">
        <v>17</v>
      </c>
    </row>
    <row r="616" spans="1:16">
      <c r="A616" s="10" t="s">
        <v>644</v>
      </c>
      <c r="B616" s="10">
        <v>114</v>
      </c>
      <c r="C616" s="21">
        <v>1.3569854922031235E-3</v>
      </c>
      <c r="D616" s="10">
        <v>161</v>
      </c>
      <c r="E616" s="10">
        <v>0</v>
      </c>
      <c r="F616" s="10">
        <v>0</v>
      </c>
      <c r="G616" s="10">
        <v>0</v>
      </c>
      <c r="H616" s="10">
        <v>0</v>
      </c>
      <c r="I616" s="10">
        <v>0</v>
      </c>
      <c r="J616" s="10">
        <v>1</v>
      </c>
      <c r="K616" s="10">
        <v>0</v>
      </c>
      <c r="L616" s="10">
        <v>0</v>
      </c>
      <c r="M616" s="10">
        <v>0</v>
      </c>
      <c r="N616" s="10">
        <v>0</v>
      </c>
      <c r="O616" s="10">
        <v>1</v>
      </c>
      <c r="P616" s="10">
        <v>13</v>
      </c>
    </row>
    <row r="617" spans="1:16">
      <c r="A617" s="10" t="s">
        <v>645</v>
      </c>
      <c r="B617" s="10">
        <v>71</v>
      </c>
      <c r="C617" s="21">
        <v>2.4943552268314796E-3</v>
      </c>
      <c r="D617" s="10">
        <v>138</v>
      </c>
      <c r="E617" s="10">
        <v>0</v>
      </c>
      <c r="F617" s="10">
        <v>0</v>
      </c>
      <c r="G617" s="10">
        <v>0</v>
      </c>
      <c r="H617" s="10">
        <v>0</v>
      </c>
      <c r="I617" s="10">
        <v>0</v>
      </c>
      <c r="J617" s="10">
        <v>1</v>
      </c>
      <c r="K617" s="10">
        <v>0</v>
      </c>
      <c r="L617" s="10">
        <v>0</v>
      </c>
      <c r="M617" s="10">
        <v>0</v>
      </c>
      <c r="N617" s="10">
        <v>0</v>
      </c>
      <c r="O617" s="10">
        <v>1</v>
      </c>
      <c r="P617" s="10">
        <v>45</v>
      </c>
    </row>
    <row r="618" spans="1:16">
      <c r="A618" s="10" t="s">
        <v>646</v>
      </c>
      <c r="B618" s="10">
        <v>121</v>
      </c>
      <c r="C618" s="21">
        <v>2.6897896577926838E-3</v>
      </c>
      <c r="D618" s="10">
        <v>111</v>
      </c>
      <c r="E618" s="10">
        <v>0</v>
      </c>
      <c r="F618" s="10">
        <v>0</v>
      </c>
      <c r="G618" s="10">
        <v>0</v>
      </c>
      <c r="H618" s="10">
        <v>0</v>
      </c>
      <c r="I618" s="10">
        <v>0</v>
      </c>
      <c r="J618" s="10">
        <v>1</v>
      </c>
      <c r="K618" s="10">
        <v>0</v>
      </c>
      <c r="L618" s="10">
        <v>0</v>
      </c>
      <c r="M618" s="10">
        <v>0</v>
      </c>
      <c r="N618" s="10">
        <v>0</v>
      </c>
      <c r="O618" s="10">
        <v>1</v>
      </c>
      <c r="P618" s="10">
        <v>50</v>
      </c>
    </row>
    <row r="619" spans="1:16">
      <c r="A619" s="10" t="s">
        <v>647</v>
      </c>
      <c r="B619" s="10">
        <v>99</v>
      </c>
      <c r="C619" s="21">
        <v>5.0810894198339196E-4</v>
      </c>
      <c r="D619" s="10">
        <v>184</v>
      </c>
      <c r="E619" s="10">
        <v>0</v>
      </c>
      <c r="F619" s="10">
        <v>0</v>
      </c>
      <c r="G619" s="10">
        <v>0</v>
      </c>
      <c r="H619" s="10">
        <v>0</v>
      </c>
      <c r="I619" s="10">
        <v>0</v>
      </c>
      <c r="J619" s="10">
        <v>1</v>
      </c>
      <c r="K619" s="10">
        <v>0</v>
      </c>
      <c r="L619" s="10">
        <v>0</v>
      </c>
      <c r="M619" s="10">
        <v>0</v>
      </c>
      <c r="N619" s="10">
        <v>0</v>
      </c>
      <c r="O619" s="10">
        <v>0</v>
      </c>
      <c r="P619" s="10">
        <v>12</v>
      </c>
    </row>
    <row r="620" spans="1:16">
      <c r="A620" s="10" t="s">
        <v>648</v>
      </c>
      <c r="B620" s="10">
        <v>185</v>
      </c>
      <c r="C620" s="21">
        <v>7.2092874289690439E-4</v>
      </c>
      <c r="D620" s="10">
        <v>111</v>
      </c>
      <c r="E620" s="10">
        <v>0</v>
      </c>
      <c r="F620" s="10">
        <v>0</v>
      </c>
      <c r="G620" s="10">
        <v>0</v>
      </c>
      <c r="H620" s="10">
        <v>1</v>
      </c>
      <c r="I620" s="10">
        <v>0</v>
      </c>
      <c r="J620" s="10">
        <v>0</v>
      </c>
      <c r="K620" s="10">
        <v>0</v>
      </c>
      <c r="L620" s="10">
        <v>0</v>
      </c>
      <c r="M620" s="10">
        <v>0</v>
      </c>
      <c r="N620" s="10">
        <v>0</v>
      </c>
      <c r="O620" s="10">
        <v>0</v>
      </c>
      <c r="P620" s="10">
        <v>27</v>
      </c>
    </row>
    <row r="621" spans="1:16">
      <c r="A621" s="10" t="s">
        <v>649</v>
      </c>
      <c r="B621" s="10">
        <v>52</v>
      </c>
      <c r="C621" s="21">
        <v>1.9661390309548854E-3</v>
      </c>
      <c r="D621" s="10">
        <v>136</v>
      </c>
      <c r="E621" s="10">
        <v>0</v>
      </c>
      <c r="F621" s="10">
        <v>0</v>
      </c>
      <c r="G621" s="10">
        <v>0</v>
      </c>
      <c r="H621" s="10">
        <v>0</v>
      </c>
      <c r="I621" s="10">
        <v>0</v>
      </c>
      <c r="J621" s="10">
        <v>0</v>
      </c>
      <c r="K621" s="10">
        <v>0</v>
      </c>
      <c r="L621" s="10">
        <v>1</v>
      </c>
      <c r="M621" s="10">
        <v>0</v>
      </c>
      <c r="N621" s="10">
        <v>0</v>
      </c>
      <c r="O621" s="10">
        <v>0</v>
      </c>
      <c r="P621" s="10">
        <v>50</v>
      </c>
    </row>
    <row r="622" spans="1:16">
      <c r="A622" s="10" t="s">
        <v>651</v>
      </c>
      <c r="B622" s="10">
        <v>68</v>
      </c>
      <c r="C622" s="21">
        <v>2.373009776526019E-3</v>
      </c>
      <c r="D622" s="10">
        <v>96</v>
      </c>
      <c r="E622" s="10">
        <v>0</v>
      </c>
      <c r="F622" s="10">
        <v>0</v>
      </c>
      <c r="G622" s="10">
        <v>0</v>
      </c>
      <c r="H622" s="10">
        <v>0</v>
      </c>
      <c r="I622" s="10">
        <v>0</v>
      </c>
      <c r="J622" s="10">
        <v>1</v>
      </c>
      <c r="K622" s="10">
        <v>0</v>
      </c>
      <c r="L622" s="10">
        <v>0</v>
      </c>
      <c r="M622" s="10">
        <v>0</v>
      </c>
      <c r="N622" s="10">
        <v>0</v>
      </c>
      <c r="O622" s="10">
        <v>1</v>
      </c>
      <c r="P622" s="10">
        <v>34</v>
      </c>
    </row>
    <row r="623" spans="1:16">
      <c r="A623" s="10" t="s">
        <v>652</v>
      </c>
      <c r="B623" s="10">
        <v>194</v>
      </c>
      <c r="C623" s="21">
        <v>5.1965596296481581E-5</v>
      </c>
      <c r="D623" s="10">
        <v>196</v>
      </c>
      <c r="E623" s="10">
        <v>0</v>
      </c>
      <c r="F623" s="10">
        <v>0</v>
      </c>
      <c r="G623" s="10">
        <v>0</v>
      </c>
      <c r="H623" s="10">
        <v>1</v>
      </c>
      <c r="I623" s="10">
        <v>0</v>
      </c>
      <c r="J623" s="10">
        <v>0</v>
      </c>
      <c r="K623" s="10">
        <v>0</v>
      </c>
      <c r="L623" s="10">
        <v>0</v>
      </c>
      <c r="M623" s="10">
        <v>0</v>
      </c>
      <c r="N623" s="10">
        <v>0</v>
      </c>
      <c r="O623" s="10">
        <v>0</v>
      </c>
      <c r="P623" s="10">
        <v>7</v>
      </c>
    </row>
    <row r="624" spans="1:16">
      <c r="A624" s="10" t="s">
        <v>653</v>
      </c>
      <c r="B624" s="10">
        <v>133</v>
      </c>
      <c r="C624" s="21">
        <v>2.7221242926362388E-3</v>
      </c>
      <c r="D624" s="10">
        <v>126</v>
      </c>
      <c r="E624" s="10">
        <v>0</v>
      </c>
      <c r="F624" s="10">
        <v>0</v>
      </c>
      <c r="G624" s="10">
        <v>0</v>
      </c>
      <c r="H624" s="10">
        <v>0</v>
      </c>
      <c r="I624" s="10">
        <v>0</v>
      </c>
      <c r="J624" s="10">
        <v>1</v>
      </c>
      <c r="K624" s="10">
        <v>0</v>
      </c>
      <c r="L624" s="10">
        <v>0</v>
      </c>
      <c r="M624" s="10">
        <v>0</v>
      </c>
      <c r="N624" s="10">
        <v>0</v>
      </c>
      <c r="O624" s="10">
        <v>0</v>
      </c>
      <c r="P624" s="10">
        <v>50</v>
      </c>
    </row>
    <row r="625" spans="1:16">
      <c r="A625" s="10" t="s">
        <v>654</v>
      </c>
      <c r="B625" s="10">
        <v>126</v>
      </c>
      <c r="C625" s="21">
        <v>2.0142103799001732E-3</v>
      </c>
      <c r="D625" s="10">
        <v>109</v>
      </c>
      <c r="E625" s="10">
        <v>0</v>
      </c>
      <c r="F625" s="10">
        <v>0</v>
      </c>
      <c r="G625" s="10">
        <v>0</v>
      </c>
      <c r="H625" s="10">
        <v>0</v>
      </c>
      <c r="I625" s="10">
        <v>0</v>
      </c>
      <c r="J625" s="10">
        <v>1</v>
      </c>
      <c r="K625" s="10">
        <v>0</v>
      </c>
      <c r="L625" s="10">
        <v>0</v>
      </c>
      <c r="M625" s="10">
        <v>0</v>
      </c>
      <c r="N625" s="10">
        <v>0</v>
      </c>
      <c r="O625" s="10">
        <v>1</v>
      </c>
      <c r="P625" s="10">
        <v>35</v>
      </c>
    </row>
    <row r="626" spans="1:16">
      <c r="A626" s="10" t="s">
        <v>655</v>
      </c>
      <c r="B626" s="10">
        <v>226</v>
      </c>
      <c r="C626" s="21">
        <v>2.2587317923246147E-3</v>
      </c>
      <c r="D626" s="10">
        <v>145</v>
      </c>
      <c r="E626" s="10">
        <v>0</v>
      </c>
      <c r="F626" s="10">
        <v>0</v>
      </c>
      <c r="G626" s="10">
        <v>0</v>
      </c>
      <c r="H626" s="10">
        <v>1</v>
      </c>
      <c r="I626" s="10">
        <v>0</v>
      </c>
      <c r="J626" s="10">
        <v>0</v>
      </c>
      <c r="K626" s="10">
        <v>0</v>
      </c>
      <c r="L626" s="10">
        <v>0</v>
      </c>
      <c r="M626" s="10">
        <v>0</v>
      </c>
      <c r="N626" s="10">
        <v>0</v>
      </c>
      <c r="O626" s="10">
        <v>0</v>
      </c>
      <c r="P626" s="10">
        <v>33</v>
      </c>
    </row>
    <row r="627" spans="1:16">
      <c r="A627" s="10" t="s">
        <v>656</v>
      </c>
      <c r="B627" s="10">
        <v>74</v>
      </c>
      <c r="C627" s="21">
        <v>1.3084648166145425E-3</v>
      </c>
      <c r="D627" s="10">
        <v>167</v>
      </c>
      <c r="E627" s="10">
        <v>0</v>
      </c>
      <c r="F627" s="10">
        <v>0</v>
      </c>
      <c r="G627" s="10">
        <v>0</v>
      </c>
      <c r="H627" s="10">
        <v>0</v>
      </c>
      <c r="I627" s="10">
        <v>0</v>
      </c>
      <c r="J627" s="10">
        <v>1</v>
      </c>
      <c r="K627" s="10">
        <v>0</v>
      </c>
      <c r="L627" s="10">
        <v>0</v>
      </c>
      <c r="M627" s="10">
        <v>0</v>
      </c>
      <c r="N627" s="10">
        <v>0</v>
      </c>
      <c r="O627" s="10">
        <v>0</v>
      </c>
      <c r="P627" s="10">
        <v>24</v>
      </c>
    </row>
    <row r="628" spans="1:16">
      <c r="A628" s="10" t="s">
        <v>657</v>
      </c>
      <c r="B628" s="10">
        <v>54</v>
      </c>
      <c r="C628" s="21">
        <v>6.8158685435039173E-4</v>
      </c>
      <c r="D628" s="10">
        <v>178</v>
      </c>
      <c r="E628" s="10">
        <v>0</v>
      </c>
      <c r="F628" s="10">
        <v>0</v>
      </c>
      <c r="G628" s="10">
        <v>0</v>
      </c>
      <c r="H628" s="10">
        <v>0</v>
      </c>
      <c r="I628" s="10">
        <v>0</v>
      </c>
      <c r="J628" s="10">
        <v>0</v>
      </c>
      <c r="K628" s="10">
        <v>0</v>
      </c>
      <c r="L628" s="10">
        <v>1</v>
      </c>
      <c r="M628" s="10">
        <v>0</v>
      </c>
      <c r="N628" s="10">
        <v>0</v>
      </c>
      <c r="O628" s="10">
        <v>0</v>
      </c>
      <c r="P628" s="10">
        <v>24</v>
      </c>
    </row>
    <row r="629" spans="1:16">
      <c r="A629" s="10" t="s">
        <v>658</v>
      </c>
      <c r="B629" s="10">
        <v>88</v>
      </c>
      <c r="C629" s="21">
        <v>1.3716215018994343E-3</v>
      </c>
      <c r="D629" s="10">
        <v>170</v>
      </c>
      <c r="E629" s="10">
        <v>0</v>
      </c>
      <c r="F629" s="10">
        <v>0</v>
      </c>
      <c r="G629" s="10">
        <v>0</v>
      </c>
      <c r="H629" s="10">
        <v>0</v>
      </c>
      <c r="I629" s="10">
        <v>0</v>
      </c>
      <c r="J629" s="10">
        <v>1</v>
      </c>
      <c r="K629" s="10">
        <v>0</v>
      </c>
      <c r="L629" s="10">
        <v>0</v>
      </c>
      <c r="M629" s="10">
        <v>0</v>
      </c>
      <c r="N629" s="10">
        <v>0</v>
      </c>
      <c r="O629" s="10">
        <v>0</v>
      </c>
      <c r="P629" s="10">
        <v>24</v>
      </c>
    </row>
    <row r="630" spans="1:16">
      <c r="A630" s="10" t="s">
        <v>659</v>
      </c>
      <c r="B630" s="10">
        <v>104</v>
      </c>
      <c r="C630" s="21">
        <v>1.0180375759588193E-3</v>
      </c>
      <c r="D630" s="10">
        <v>165</v>
      </c>
      <c r="E630" s="10">
        <v>0</v>
      </c>
      <c r="F630" s="10">
        <v>0</v>
      </c>
      <c r="G630" s="10">
        <v>0</v>
      </c>
      <c r="H630" s="10">
        <v>0</v>
      </c>
      <c r="I630" s="10">
        <v>0</v>
      </c>
      <c r="J630" s="10">
        <v>1</v>
      </c>
      <c r="K630" s="10">
        <v>0</v>
      </c>
      <c r="L630" s="10">
        <v>0</v>
      </c>
      <c r="M630" s="10">
        <v>0</v>
      </c>
      <c r="N630" s="10">
        <v>0</v>
      </c>
      <c r="O630" s="10">
        <v>1</v>
      </c>
      <c r="P630" s="10">
        <v>21</v>
      </c>
    </row>
    <row r="631" spans="1:16">
      <c r="A631" s="10" t="s">
        <v>660</v>
      </c>
      <c r="B631" s="10">
        <v>123</v>
      </c>
      <c r="C631" s="21">
        <v>2.7257415691996079E-4</v>
      </c>
      <c r="D631" s="10">
        <v>218</v>
      </c>
      <c r="E631" s="10">
        <v>0</v>
      </c>
      <c r="F631" s="10">
        <v>0</v>
      </c>
      <c r="G631" s="10">
        <v>0</v>
      </c>
      <c r="H631" s="10">
        <v>0</v>
      </c>
      <c r="I631" s="10">
        <v>0</v>
      </c>
      <c r="J631" s="10">
        <v>1</v>
      </c>
      <c r="K631" s="10">
        <v>0</v>
      </c>
      <c r="L631" s="10">
        <v>0</v>
      </c>
      <c r="M631" s="10">
        <v>0</v>
      </c>
      <c r="N631" s="10">
        <v>0</v>
      </c>
      <c r="O631" s="10">
        <v>1</v>
      </c>
      <c r="P631" s="10">
        <v>14</v>
      </c>
    </row>
    <row r="632" spans="1:16">
      <c r="A632" s="10" t="s">
        <v>661</v>
      </c>
      <c r="B632" s="10">
        <v>87</v>
      </c>
      <c r="C632" s="21">
        <v>2.9019112780128958E-3</v>
      </c>
      <c r="D632" s="10">
        <v>176</v>
      </c>
      <c r="E632" s="10">
        <v>0</v>
      </c>
      <c r="F632" s="10">
        <v>0</v>
      </c>
      <c r="G632" s="10">
        <v>0</v>
      </c>
      <c r="H632" s="10">
        <v>0</v>
      </c>
      <c r="I632" s="10">
        <v>0</v>
      </c>
      <c r="J632" s="10">
        <v>1</v>
      </c>
      <c r="K632" s="10">
        <v>0</v>
      </c>
      <c r="L632" s="10">
        <v>0</v>
      </c>
      <c r="M632" s="10">
        <v>0</v>
      </c>
      <c r="N632" s="10">
        <v>0</v>
      </c>
      <c r="O632" s="10">
        <v>0</v>
      </c>
      <c r="P632" s="10">
        <v>21</v>
      </c>
    </row>
    <row r="633" spans="1:16">
      <c r="A633" s="10" t="s">
        <v>662</v>
      </c>
      <c r="B633" s="10">
        <v>71</v>
      </c>
      <c r="C633" s="21">
        <v>1.9123614890860761E-3</v>
      </c>
      <c r="D633" s="10">
        <v>80</v>
      </c>
      <c r="E633" s="10">
        <v>0</v>
      </c>
      <c r="F633" s="10">
        <v>0</v>
      </c>
      <c r="G633" s="10">
        <v>0</v>
      </c>
      <c r="H633" s="10">
        <v>0</v>
      </c>
      <c r="I633" s="10">
        <v>0</v>
      </c>
      <c r="J633" s="10">
        <v>0</v>
      </c>
      <c r="K633" s="10">
        <v>0</v>
      </c>
      <c r="L633" s="10">
        <v>1</v>
      </c>
      <c r="M633" s="10">
        <v>0</v>
      </c>
      <c r="N633" s="10">
        <v>0</v>
      </c>
      <c r="O633" s="10">
        <v>0</v>
      </c>
      <c r="P633" s="10">
        <v>57</v>
      </c>
    </row>
    <row r="634" spans="1:16">
      <c r="A634" s="10" t="s">
        <v>663</v>
      </c>
      <c r="B634" s="10">
        <v>129</v>
      </c>
      <c r="C634" s="21">
        <v>1.4198806480747598E-3</v>
      </c>
      <c r="D634" s="10">
        <v>120</v>
      </c>
      <c r="E634" s="10">
        <v>0</v>
      </c>
      <c r="F634" s="10">
        <v>0</v>
      </c>
      <c r="G634" s="10">
        <v>0</v>
      </c>
      <c r="H634" s="10">
        <v>0</v>
      </c>
      <c r="I634" s="10">
        <v>0</v>
      </c>
      <c r="J634" s="10">
        <v>1</v>
      </c>
      <c r="K634" s="10">
        <v>0</v>
      </c>
      <c r="L634" s="10">
        <v>0</v>
      </c>
      <c r="M634" s="10">
        <v>0</v>
      </c>
      <c r="N634" s="10">
        <v>0</v>
      </c>
      <c r="O634" s="10">
        <v>0</v>
      </c>
      <c r="P634" s="10">
        <v>25</v>
      </c>
    </row>
    <row r="635" spans="1:16">
      <c r="A635" s="10" t="s">
        <v>664</v>
      </c>
      <c r="B635" s="10">
        <v>311</v>
      </c>
      <c r="C635" s="21">
        <v>1.4235788888124525E-3</v>
      </c>
      <c r="D635" s="10">
        <v>116</v>
      </c>
      <c r="E635" s="10">
        <v>0</v>
      </c>
      <c r="F635" s="10">
        <v>0</v>
      </c>
      <c r="G635" s="10">
        <v>0</v>
      </c>
      <c r="H635" s="10">
        <v>1</v>
      </c>
      <c r="I635" s="10">
        <v>0</v>
      </c>
      <c r="J635" s="10">
        <v>0</v>
      </c>
      <c r="K635" s="10">
        <v>0</v>
      </c>
      <c r="L635" s="10">
        <v>0</v>
      </c>
      <c r="M635" s="10">
        <v>0</v>
      </c>
      <c r="N635" s="10">
        <v>0</v>
      </c>
      <c r="O635" s="10">
        <v>1</v>
      </c>
      <c r="P635" s="10">
        <v>32</v>
      </c>
    </row>
    <row r="636" spans="1:16">
      <c r="A636" s="10" t="s">
        <v>665</v>
      </c>
      <c r="B636" s="10">
        <v>177</v>
      </c>
      <c r="C636" s="21">
        <v>1.2373032425846344E-3</v>
      </c>
      <c r="D636" s="10">
        <v>139</v>
      </c>
      <c r="E636" s="10">
        <v>0</v>
      </c>
      <c r="F636" s="10">
        <v>0</v>
      </c>
      <c r="G636" s="10">
        <v>0</v>
      </c>
      <c r="H636" s="10">
        <v>1</v>
      </c>
      <c r="I636" s="10">
        <v>0</v>
      </c>
      <c r="J636" s="10">
        <v>0</v>
      </c>
      <c r="K636" s="10">
        <v>0</v>
      </c>
      <c r="L636" s="10">
        <v>0</v>
      </c>
      <c r="M636" s="10">
        <v>0</v>
      </c>
      <c r="N636" s="10">
        <v>0</v>
      </c>
      <c r="O636" s="10">
        <v>0</v>
      </c>
      <c r="P636" s="10">
        <v>23</v>
      </c>
    </row>
    <row r="637" spans="1:16">
      <c r="A637" s="10" t="s">
        <v>666</v>
      </c>
      <c r="B637" s="10">
        <v>113</v>
      </c>
      <c r="C637" s="21">
        <v>1.1426898254894753E-3</v>
      </c>
      <c r="D637" s="10">
        <v>163</v>
      </c>
      <c r="E637" s="10">
        <v>0</v>
      </c>
      <c r="F637" s="10">
        <v>0</v>
      </c>
      <c r="G637" s="10">
        <v>0</v>
      </c>
      <c r="H637" s="10">
        <v>0</v>
      </c>
      <c r="I637" s="10">
        <v>0</v>
      </c>
      <c r="J637" s="10">
        <v>1</v>
      </c>
      <c r="K637" s="10">
        <v>0</v>
      </c>
      <c r="L637" s="10">
        <v>0</v>
      </c>
      <c r="M637" s="10">
        <v>0</v>
      </c>
      <c r="N637" s="10">
        <v>0</v>
      </c>
      <c r="O637" s="10">
        <v>0</v>
      </c>
      <c r="P637" s="10">
        <v>28</v>
      </c>
    </row>
    <row r="638" spans="1:16">
      <c r="A638" s="10" t="s">
        <v>667</v>
      </c>
      <c r="B638" s="10">
        <v>203</v>
      </c>
      <c r="C638" s="21">
        <v>1.1297116562729271E-3</v>
      </c>
      <c r="D638" s="10">
        <v>178</v>
      </c>
      <c r="E638" s="10">
        <v>0</v>
      </c>
      <c r="F638" s="10">
        <v>0</v>
      </c>
      <c r="G638" s="10">
        <v>0</v>
      </c>
      <c r="H638" s="10">
        <v>1</v>
      </c>
      <c r="I638" s="10">
        <v>0</v>
      </c>
      <c r="J638" s="10">
        <v>0</v>
      </c>
      <c r="K638" s="10">
        <v>0</v>
      </c>
      <c r="L638" s="10">
        <v>0</v>
      </c>
      <c r="M638" s="10">
        <v>0</v>
      </c>
      <c r="N638" s="10">
        <v>0</v>
      </c>
      <c r="O638" s="10">
        <v>0</v>
      </c>
      <c r="P638" s="10">
        <v>21</v>
      </c>
    </row>
    <row r="639" spans="1:16">
      <c r="A639" s="10" t="s">
        <v>668</v>
      </c>
      <c r="B639" s="10">
        <v>43</v>
      </c>
      <c r="C639" s="21">
        <v>1.6629633433017975E-3</v>
      </c>
      <c r="D639" s="10">
        <v>155</v>
      </c>
      <c r="E639" s="10">
        <v>0</v>
      </c>
      <c r="F639" s="10">
        <v>0</v>
      </c>
      <c r="G639" s="10">
        <v>0</v>
      </c>
      <c r="H639" s="10">
        <v>0</v>
      </c>
      <c r="I639" s="10">
        <v>0</v>
      </c>
      <c r="J639" s="10">
        <v>0</v>
      </c>
      <c r="K639" s="10">
        <v>0</v>
      </c>
      <c r="L639" s="10">
        <v>1</v>
      </c>
      <c r="M639" s="10">
        <v>0</v>
      </c>
      <c r="N639" s="10">
        <v>0</v>
      </c>
      <c r="O639" s="10">
        <v>1</v>
      </c>
      <c r="P639" s="10">
        <v>26</v>
      </c>
    </row>
    <row r="640" spans="1:16">
      <c r="A640" s="10" t="s">
        <v>669</v>
      </c>
      <c r="B640" s="10">
        <v>62</v>
      </c>
      <c r="C640" s="21">
        <v>1.6849419614151314E-3</v>
      </c>
      <c r="D640" s="10">
        <v>177</v>
      </c>
      <c r="E640" s="10">
        <v>0</v>
      </c>
      <c r="F640" s="10">
        <v>0</v>
      </c>
      <c r="G640" s="10">
        <v>0</v>
      </c>
      <c r="H640" s="10">
        <v>0</v>
      </c>
      <c r="I640" s="10">
        <v>0</v>
      </c>
      <c r="J640" s="10">
        <v>0</v>
      </c>
      <c r="K640" s="10">
        <v>0</v>
      </c>
      <c r="L640" s="10">
        <v>1</v>
      </c>
      <c r="M640" s="10">
        <v>0</v>
      </c>
      <c r="N640" s="10">
        <v>0</v>
      </c>
      <c r="O640" s="10">
        <v>0</v>
      </c>
      <c r="P640" s="10">
        <v>28</v>
      </c>
    </row>
    <row r="641" spans="1:16">
      <c r="A641" s="10" t="s">
        <v>670</v>
      </c>
      <c r="B641" s="10">
        <v>96</v>
      </c>
      <c r="C641" s="21">
        <v>5.8927935206429954E-4</v>
      </c>
      <c r="D641" s="10">
        <v>152</v>
      </c>
      <c r="E641" s="10">
        <v>0</v>
      </c>
      <c r="F641" s="10">
        <v>0</v>
      </c>
      <c r="G641" s="10">
        <v>0</v>
      </c>
      <c r="H641" s="10">
        <v>0</v>
      </c>
      <c r="I641" s="10">
        <v>0</v>
      </c>
      <c r="J641" s="10">
        <v>1</v>
      </c>
      <c r="K641" s="10">
        <v>0</v>
      </c>
      <c r="L641" s="10">
        <v>0</v>
      </c>
      <c r="M641" s="10">
        <v>0</v>
      </c>
      <c r="N641" s="10">
        <v>0</v>
      </c>
      <c r="O641" s="10">
        <v>0</v>
      </c>
      <c r="P641" s="10">
        <v>10</v>
      </c>
    </row>
    <row r="642" spans="1:16">
      <c r="A642" s="10" t="s">
        <v>671</v>
      </c>
      <c r="B642" s="10">
        <v>119</v>
      </c>
      <c r="C642" s="21">
        <v>1.5102163140849971E-3</v>
      </c>
      <c r="D642" s="10">
        <v>131</v>
      </c>
      <c r="E642" s="10">
        <v>0</v>
      </c>
      <c r="F642" s="10">
        <v>0</v>
      </c>
      <c r="G642" s="10">
        <v>0</v>
      </c>
      <c r="H642" s="10">
        <v>0</v>
      </c>
      <c r="I642" s="10">
        <v>0</v>
      </c>
      <c r="J642" s="10">
        <v>1</v>
      </c>
      <c r="K642" s="10">
        <v>0</v>
      </c>
      <c r="L642" s="10">
        <v>0</v>
      </c>
      <c r="M642" s="10">
        <v>0</v>
      </c>
      <c r="N642" s="10">
        <v>0</v>
      </c>
      <c r="O642" s="10">
        <v>0</v>
      </c>
      <c r="P642" s="10">
        <v>21</v>
      </c>
    </row>
    <row r="643" spans="1:16">
      <c r="A643" s="10" t="s">
        <v>672</v>
      </c>
      <c r="B643" s="10">
        <v>234</v>
      </c>
      <c r="C643" s="21">
        <v>2.003214586291113E-3</v>
      </c>
      <c r="D643" s="10">
        <v>59</v>
      </c>
      <c r="E643" s="10">
        <v>0</v>
      </c>
      <c r="F643" s="10">
        <v>0</v>
      </c>
      <c r="G643" s="10">
        <v>0</v>
      </c>
      <c r="H643" s="10">
        <v>1</v>
      </c>
      <c r="I643" s="10">
        <v>0</v>
      </c>
      <c r="J643" s="10">
        <v>0</v>
      </c>
      <c r="K643" s="10">
        <v>0</v>
      </c>
      <c r="L643" s="10">
        <v>0</v>
      </c>
      <c r="M643" s="10">
        <v>0</v>
      </c>
      <c r="N643" s="10">
        <v>0</v>
      </c>
      <c r="O643" s="10">
        <v>1</v>
      </c>
      <c r="P643" s="10">
        <v>56</v>
      </c>
    </row>
    <row r="644" spans="1:16">
      <c r="A644" s="10" t="s">
        <v>673</v>
      </c>
      <c r="B644" s="10">
        <v>182</v>
      </c>
      <c r="C644" s="21">
        <v>1.8699847393746805E-3</v>
      </c>
      <c r="D644" s="10">
        <v>148</v>
      </c>
      <c r="E644" s="10">
        <v>0</v>
      </c>
      <c r="F644" s="10">
        <v>0</v>
      </c>
      <c r="G644" s="10">
        <v>0</v>
      </c>
      <c r="H644" s="10">
        <v>1</v>
      </c>
      <c r="I644" s="10">
        <v>0</v>
      </c>
      <c r="J644" s="10">
        <v>0</v>
      </c>
      <c r="K644" s="10">
        <v>0</v>
      </c>
      <c r="L644" s="10">
        <v>0</v>
      </c>
      <c r="M644" s="10">
        <v>0</v>
      </c>
      <c r="N644" s="10">
        <v>0</v>
      </c>
      <c r="O644" s="10">
        <v>0</v>
      </c>
      <c r="P644" s="10">
        <v>35</v>
      </c>
    </row>
    <row r="645" spans="1:16">
      <c r="A645" s="10" t="s">
        <v>674</v>
      </c>
      <c r="B645" s="10">
        <v>43</v>
      </c>
      <c r="C645" s="21">
        <v>1.1140493975313795E-3</v>
      </c>
      <c r="D645" s="10">
        <v>201</v>
      </c>
      <c r="E645" s="10">
        <v>0</v>
      </c>
      <c r="F645" s="10">
        <v>0</v>
      </c>
      <c r="G645" s="10">
        <v>0</v>
      </c>
      <c r="H645" s="10">
        <v>0</v>
      </c>
      <c r="I645" s="10">
        <v>0</v>
      </c>
      <c r="J645" s="10">
        <v>0</v>
      </c>
      <c r="K645" s="10">
        <v>0</v>
      </c>
      <c r="L645" s="10">
        <v>1</v>
      </c>
      <c r="M645" s="10">
        <v>0</v>
      </c>
      <c r="N645" s="10">
        <v>0</v>
      </c>
      <c r="O645" s="10">
        <v>0</v>
      </c>
      <c r="P645" s="10">
        <v>23</v>
      </c>
    </row>
    <row r="646" spans="1:16">
      <c r="A646" s="10" t="s">
        <v>675</v>
      </c>
      <c r="B646" s="10">
        <v>73</v>
      </c>
      <c r="C646" s="21">
        <v>9.235927332861178E-4</v>
      </c>
      <c r="D646" s="10">
        <v>186</v>
      </c>
      <c r="E646" s="10">
        <v>0</v>
      </c>
      <c r="F646" s="10">
        <v>0</v>
      </c>
      <c r="G646" s="10">
        <v>0</v>
      </c>
      <c r="H646" s="10">
        <v>0</v>
      </c>
      <c r="I646" s="10">
        <v>0</v>
      </c>
      <c r="J646" s="10">
        <v>1</v>
      </c>
      <c r="K646" s="10">
        <v>0</v>
      </c>
      <c r="L646" s="10">
        <v>0</v>
      </c>
      <c r="M646" s="10">
        <v>0</v>
      </c>
      <c r="N646" s="10">
        <v>0</v>
      </c>
      <c r="O646" s="10">
        <v>0</v>
      </c>
      <c r="P646" s="10">
        <v>14</v>
      </c>
    </row>
    <row r="647" spans="1:16">
      <c r="A647" s="10" t="s">
        <v>676</v>
      </c>
      <c r="B647" s="10">
        <v>52</v>
      </c>
      <c r="C647" s="21">
        <v>9.1452848364951243E-4</v>
      </c>
      <c r="D647" s="10">
        <v>191</v>
      </c>
      <c r="E647" s="10">
        <v>0</v>
      </c>
      <c r="F647" s="10">
        <v>0</v>
      </c>
      <c r="G647" s="10">
        <v>0</v>
      </c>
      <c r="H647" s="10">
        <v>0</v>
      </c>
      <c r="I647" s="10">
        <v>0</v>
      </c>
      <c r="J647" s="10">
        <v>0</v>
      </c>
      <c r="K647" s="10">
        <v>0</v>
      </c>
      <c r="L647" s="10">
        <v>1</v>
      </c>
      <c r="M647" s="10">
        <v>0</v>
      </c>
      <c r="N647" s="10">
        <v>0</v>
      </c>
      <c r="O647" s="10">
        <v>0</v>
      </c>
      <c r="P647" s="10">
        <v>29</v>
      </c>
    </row>
    <row r="648" spans="1:16">
      <c r="A648" s="10" t="s">
        <v>677</v>
      </c>
      <c r="B648" s="10">
        <v>141</v>
      </c>
      <c r="C648" s="21">
        <v>7.9524527268505236E-4</v>
      </c>
      <c r="D648" s="10">
        <v>166</v>
      </c>
      <c r="E648" s="10">
        <v>0</v>
      </c>
      <c r="F648" s="10">
        <v>0</v>
      </c>
      <c r="G648" s="10">
        <v>0</v>
      </c>
      <c r="H648" s="10">
        <v>0</v>
      </c>
      <c r="I648" s="10">
        <v>0</v>
      </c>
      <c r="J648" s="10">
        <v>1</v>
      </c>
      <c r="K648" s="10">
        <v>0</v>
      </c>
      <c r="L648" s="10">
        <v>0</v>
      </c>
      <c r="M648" s="10">
        <v>0</v>
      </c>
      <c r="N648" s="10">
        <v>0</v>
      </c>
      <c r="O648" s="10">
        <v>0</v>
      </c>
      <c r="P648" s="10">
        <v>22</v>
      </c>
    </row>
    <row r="649" spans="1:16">
      <c r="A649" s="10" t="s">
        <v>678</v>
      </c>
      <c r="B649" s="10">
        <v>187</v>
      </c>
      <c r="C649" s="21">
        <v>6.1338297487642263E-4</v>
      </c>
      <c r="D649" s="10">
        <v>187</v>
      </c>
      <c r="E649" s="10">
        <v>0</v>
      </c>
      <c r="F649" s="10">
        <v>0</v>
      </c>
      <c r="G649" s="10">
        <v>0</v>
      </c>
      <c r="H649" s="10">
        <v>1</v>
      </c>
      <c r="I649" s="10">
        <v>0</v>
      </c>
      <c r="J649" s="10">
        <v>0</v>
      </c>
      <c r="K649" s="10">
        <v>0</v>
      </c>
      <c r="L649" s="10">
        <v>0</v>
      </c>
      <c r="M649" s="10">
        <v>0</v>
      </c>
      <c r="N649" s="10">
        <v>0</v>
      </c>
      <c r="O649" s="10">
        <v>0</v>
      </c>
      <c r="P649" s="10">
        <v>25</v>
      </c>
    </row>
    <row r="650" spans="1:16">
      <c r="A650" s="10" t="s">
        <v>679</v>
      </c>
      <c r="B650" s="10">
        <v>33</v>
      </c>
      <c r="C650" s="21">
        <v>1.8941122618604588E-3</v>
      </c>
      <c r="D650" s="10">
        <v>143</v>
      </c>
      <c r="E650" s="10">
        <v>0</v>
      </c>
      <c r="F650" s="10">
        <v>0</v>
      </c>
      <c r="G650" s="10">
        <v>0</v>
      </c>
      <c r="H650" s="10">
        <v>0</v>
      </c>
      <c r="I650" s="10">
        <v>0</v>
      </c>
      <c r="J650" s="10">
        <v>0</v>
      </c>
      <c r="K650" s="10">
        <v>0</v>
      </c>
      <c r="L650" s="10">
        <v>1</v>
      </c>
      <c r="M650" s="10">
        <v>0</v>
      </c>
      <c r="N650" s="10">
        <v>0</v>
      </c>
      <c r="O650" s="10">
        <v>0</v>
      </c>
      <c r="P650" s="10">
        <v>44</v>
      </c>
    </row>
    <row r="651" spans="1:16">
      <c r="A651" s="10" t="s">
        <v>680</v>
      </c>
      <c r="B651" s="10">
        <v>58</v>
      </c>
      <c r="C651" s="21">
        <v>1.3986906220521955E-3</v>
      </c>
      <c r="D651" s="10">
        <v>113</v>
      </c>
      <c r="E651" s="10">
        <v>0</v>
      </c>
      <c r="F651" s="10">
        <v>0</v>
      </c>
      <c r="G651" s="10">
        <v>0</v>
      </c>
      <c r="H651" s="10">
        <v>0</v>
      </c>
      <c r="I651" s="10">
        <v>0</v>
      </c>
      <c r="J651" s="10">
        <v>0</v>
      </c>
      <c r="K651" s="10">
        <v>0</v>
      </c>
      <c r="L651" s="10">
        <v>1</v>
      </c>
      <c r="M651" s="10">
        <v>0</v>
      </c>
      <c r="N651" s="10">
        <v>0</v>
      </c>
      <c r="O651" s="10">
        <v>0</v>
      </c>
      <c r="P651" s="10">
        <v>32</v>
      </c>
    </row>
    <row r="652" spans="1:16">
      <c r="A652" s="10" t="s">
        <v>681</v>
      </c>
      <c r="B652" s="10">
        <v>120</v>
      </c>
      <c r="C652" s="21">
        <v>1.7651255227039862E-3</v>
      </c>
      <c r="D652" s="10">
        <v>106</v>
      </c>
      <c r="E652" s="10">
        <v>0</v>
      </c>
      <c r="F652" s="10">
        <v>0</v>
      </c>
      <c r="G652" s="10">
        <v>0</v>
      </c>
      <c r="H652" s="10">
        <v>0</v>
      </c>
      <c r="I652" s="10">
        <v>0</v>
      </c>
      <c r="J652" s="10">
        <v>1</v>
      </c>
      <c r="K652" s="10">
        <v>0</v>
      </c>
      <c r="L652" s="10">
        <v>0</v>
      </c>
      <c r="M652" s="10">
        <v>0</v>
      </c>
      <c r="N652" s="10">
        <v>0</v>
      </c>
      <c r="O652" s="10">
        <v>0</v>
      </c>
      <c r="P652" s="10">
        <v>28</v>
      </c>
    </row>
    <row r="653" spans="1:16">
      <c r="A653" s="10" t="s">
        <v>682</v>
      </c>
      <c r="B653" s="10">
        <v>107</v>
      </c>
      <c r="C653" s="21">
        <v>9.5327513530995739E-5</v>
      </c>
      <c r="D653" s="10">
        <v>194</v>
      </c>
      <c r="E653" s="10">
        <v>0</v>
      </c>
      <c r="F653" s="10">
        <v>0</v>
      </c>
      <c r="G653" s="10">
        <v>0</v>
      </c>
      <c r="H653" s="10">
        <v>0</v>
      </c>
      <c r="I653" s="10">
        <v>0</v>
      </c>
      <c r="J653" s="10">
        <v>1</v>
      </c>
      <c r="K653" s="10">
        <v>0</v>
      </c>
      <c r="L653" s="10">
        <v>0</v>
      </c>
      <c r="M653" s="10">
        <v>0</v>
      </c>
      <c r="N653" s="10">
        <v>0</v>
      </c>
      <c r="O653" s="10">
        <v>0</v>
      </c>
      <c r="P653" s="10">
        <v>17</v>
      </c>
    </row>
    <row r="654" spans="1:16">
      <c r="A654" s="10" t="s">
        <v>683</v>
      </c>
      <c r="B654" s="10">
        <v>57</v>
      </c>
      <c r="C654" s="21">
        <v>4.8145100249820258E-4</v>
      </c>
      <c r="D654" s="10">
        <v>216</v>
      </c>
      <c r="E654" s="10">
        <v>0</v>
      </c>
      <c r="F654" s="10">
        <v>0</v>
      </c>
      <c r="G654" s="10">
        <v>0</v>
      </c>
      <c r="H654" s="10">
        <v>0</v>
      </c>
      <c r="I654" s="10">
        <v>0</v>
      </c>
      <c r="J654" s="10">
        <v>0</v>
      </c>
      <c r="K654" s="10">
        <v>0</v>
      </c>
      <c r="L654" s="10">
        <v>1</v>
      </c>
      <c r="M654" s="10">
        <v>0</v>
      </c>
      <c r="N654" s="10">
        <v>0</v>
      </c>
      <c r="O654" s="10">
        <v>0</v>
      </c>
      <c r="P654" s="10">
        <v>22</v>
      </c>
    </row>
    <row r="655" spans="1:16">
      <c r="A655" s="10" t="s">
        <v>684</v>
      </c>
      <c r="B655" s="10">
        <v>50</v>
      </c>
      <c r="C655" s="21">
        <v>7.6744666331988337E-4</v>
      </c>
      <c r="D655" s="10">
        <v>122</v>
      </c>
      <c r="E655" s="10">
        <v>0</v>
      </c>
      <c r="F655" s="10">
        <v>0</v>
      </c>
      <c r="G655" s="10">
        <v>0</v>
      </c>
      <c r="H655" s="10">
        <v>0</v>
      </c>
      <c r="I655" s="10">
        <v>0</v>
      </c>
      <c r="J655" s="10">
        <v>0</v>
      </c>
      <c r="K655" s="10">
        <v>0</v>
      </c>
      <c r="L655" s="10">
        <v>1</v>
      </c>
      <c r="M655" s="10">
        <v>0</v>
      </c>
      <c r="N655" s="10">
        <v>0</v>
      </c>
      <c r="O655" s="10">
        <v>0</v>
      </c>
      <c r="P655" s="10">
        <v>32</v>
      </c>
    </row>
    <row r="656" spans="1:16">
      <c r="A656" s="10" t="s">
        <v>685</v>
      </c>
      <c r="B656" s="10">
        <v>75</v>
      </c>
      <c r="C656" s="21">
        <v>1.9668115049834758E-3</v>
      </c>
      <c r="D656" s="10">
        <v>159</v>
      </c>
      <c r="E656" s="10">
        <v>0</v>
      </c>
      <c r="F656" s="10">
        <v>0</v>
      </c>
      <c r="G656" s="10">
        <v>0</v>
      </c>
      <c r="H656" s="10">
        <v>0</v>
      </c>
      <c r="I656" s="10">
        <v>0</v>
      </c>
      <c r="J656" s="10">
        <v>1</v>
      </c>
      <c r="K656" s="10">
        <v>0</v>
      </c>
      <c r="L656" s="10">
        <v>0</v>
      </c>
      <c r="M656" s="10">
        <v>0</v>
      </c>
      <c r="N656" s="10">
        <v>0</v>
      </c>
      <c r="O656" s="10">
        <v>0</v>
      </c>
      <c r="P656" s="10">
        <v>33</v>
      </c>
    </row>
    <row r="657" spans="1:16">
      <c r="A657" s="10" t="s">
        <v>686</v>
      </c>
      <c r="B657" s="10">
        <v>250</v>
      </c>
      <c r="C657" s="21">
        <v>2.3092915220357139E-3</v>
      </c>
      <c r="D657" s="10">
        <v>147</v>
      </c>
      <c r="E657" s="10">
        <v>0</v>
      </c>
      <c r="F657" s="10">
        <v>0</v>
      </c>
      <c r="G657" s="10">
        <v>0</v>
      </c>
      <c r="H657" s="10">
        <v>1</v>
      </c>
      <c r="I657" s="10">
        <v>0</v>
      </c>
      <c r="J657" s="10">
        <v>0</v>
      </c>
      <c r="K657" s="10">
        <v>0</v>
      </c>
      <c r="L657" s="10">
        <v>0</v>
      </c>
      <c r="M657" s="10">
        <v>0</v>
      </c>
      <c r="N657" s="10">
        <v>0</v>
      </c>
      <c r="O657" s="10">
        <v>0</v>
      </c>
      <c r="P657" s="10">
        <v>18</v>
      </c>
    </row>
    <row r="658" spans="1:16">
      <c r="A658" s="10" t="s">
        <v>687</v>
      </c>
      <c r="B658" s="10">
        <v>104</v>
      </c>
      <c r="C658" s="21">
        <v>1.4454814719909673E-3</v>
      </c>
      <c r="D658" s="10">
        <v>100</v>
      </c>
      <c r="E658" s="10">
        <v>0</v>
      </c>
      <c r="F658" s="10">
        <v>0</v>
      </c>
      <c r="G658" s="10">
        <v>0</v>
      </c>
      <c r="H658" s="10">
        <v>0</v>
      </c>
      <c r="I658" s="10">
        <v>0</v>
      </c>
      <c r="J658" s="10">
        <v>1</v>
      </c>
      <c r="K658" s="10">
        <v>0</v>
      </c>
      <c r="L658" s="10">
        <v>0</v>
      </c>
      <c r="M658" s="10">
        <v>0</v>
      </c>
      <c r="N658" s="10">
        <v>0</v>
      </c>
      <c r="O658" s="10">
        <v>0</v>
      </c>
      <c r="P658" s="10">
        <v>33</v>
      </c>
    </row>
    <row r="659" spans="1:16">
      <c r="A659" s="10" t="s">
        <v>688</v>
      </c>
      <c r="B659" s="10">
        <v>58</v>
      </c>
      <c r="C659" s="21">
        <v>8.3860147491108964E-4</v>
      </c>
      <c r="D659" s="10">
        <v>205</v>
      </c>
      <c r="E659" s="10">
        <v>0</v>
      </c>
      <c r="F659" s="10">
        <v>0</v>
      </c>
      <c r="G659" s="10">
        <v>0</v>
      </c>
      <c r="H659" s="10">
        <v>0</v>
      </c>
      <c r="I659" s="10">
        <v>0</v>
      </c>
      <c r="J659" s="10">
        <v>0</v>
      </c>
      <c r="K659" s="10">
        <v>0</v>
      </c>
      <c r="L659" s="10">
        <v>1</v>
      </c>
      <c r="M659" s="10">
        <v>0</v>
      </c>
      <c r="N659" s="10">
        <v>0</v>
      </c>
      <c r="O659" s="10">
        <v>1</v>
      </c>
      <c r="P659" s="10">
        <v>29</v>
      </c>
    </row>
    <row r="660" spans="1:16">
      <c r="A660" s="10" t="s">
        <v>689</v>
      </c>
      <c r="B660" s="10">
        <v>83</v>
      </c>
      <c r="C660" s="21">
        <v>1.0111311626965444E-3</v>
      </c>
      <c r="D660" s="10">
        <v>170</v>
      </c>
      <c r="E660" s="10">
        <v>0</v>
      </c>
      <c r="F660" s="10">
        <v>0</v>
      </c>
      <c r="G660" s="10">
        <v>0</v>
      </c>
      <c r="H660" s="10">
        <v>0</v>
      </c>
      <c r="I660" s="10">
        <v>0</v>
      </c>
      <c r="J660" s="10">
        <v>1</v>
      </c>
      <c r="K660" s="10">
        <v>0</v>
      </c>
      <c r="L660" s="10">
        <v>0</v>
      </c>
      <c r="M660" s="10">
        <v>0</v>
      </c>
      <c r="N660" s="10">
        <v>0</v>
      </c>
      <c r="O660" s="10">
        <v>0</v>
      </c>
      <c r="P660" s="10">
        <v>36</v>
      </c>
    </row>
    <row r="661" spans="1:16">
      <c r="A661" s="10" t="s">
        <v>690</v>
      </c>
      <c r="B661" s="10">
        <v>51</v>
      </c>
      <c r="C661" s="21">
        <v>1.0690427444627483E-3</v>
      </c>
      <c r="D661" s="10">
        <v>164</v>
      </c>
      <c r="E661" s="10">
        <v>0</v>
      </c>
      <c r="F661" s="10">
        <v>0</v>
      </c>
      <c r="G661" s="10">
        <v>0</v>
      </c>
      <c r="H661" s="10">
        <v>0</v>
      </c>
      <c r="I661" s="10">
        <v>0</v>
      </c>
      <c r="J661" s="10">
        <v>0</v>
      </c>
      <c r="K661" s="10">
        <v>0</v>
      </c>
      <c r="L661" s="10">
        <v>1</v>
      </c>
      <c r="M661" s="10">
        <v>0</v>
      </c>
      <c r="N661" s="10">
        <v>0</v>
      </c>
      <c r="O661" s="10">
        <v>1</v>
      </c>
      <c r="P661" s="10">
        <v>33</v>
      </c>
    </row>
    <row r="662" spans="1:16">
      <c r="A662" s="10" t="s">
        <v>691</v>
      </c>
      <c r="B662" s="10">
        <v>47</v>
      </c>
      <c r="C662" s="21">
        <v>9.4381244674807564E-4</v>
      </c>
      <c r="D662" s="10">
        <v>114</v>
      </c>
      <c r="E662" s="10">
        <v>0</v>
      </c>
      <c r="F662" s="10">
        <v>0</v>
      </c>
      <c r="G662" s="10">
        <v>0</v>
      </c>
      <c r="H662" s="10">
        <v>0</v>
      </c>
      <c r="I662" s="10">
        <v>0</v>
      </c>
      <c r="J662" s="10">
        <v>0</v>
      </c>
      <c r="K662" s="10">
        <v>0</v>
      </c>
      <c r="L662" s="10">
        <v>1</v>
      </c>
      <c r="M662" s="10">
        <v>0</v>
      </c>
      <c r="N662" s="10">
        <v>0</v>
      </c>
      <c r="O662" s="10">
        <v>0</v>
      </c>
      <c r="P662" s="10">
        <v>35</v>
      </c>
    </row>
    <row r="663" spans="1:16">
      <c r="A663" s="10" t="s">
        <v>692</v>
      </c>
      <c r="B663" s="10">
        <v>114</v>
      </c>
      <c r="C663" s="21">
        <v>2.6786639616444654E-3</v>
      </c>
      <c r="D663" s="10">
        <v>113</v>
      </c>
      <c r="E663" s="10">
        <v>0</v>
      </c>
      <c r="F663" s="10">
        <v>0</v>
      </c>
      <c r="G663" s="10">
        <v>0</v>
      </c>
      <c r="H663" s="10">
        <v>0</v>
      </c>
      <c r="I663" s="10">
        <v>0</v>
      </c>
      <c r="J663" s="10">
        <v>1</v>
      </c>
      <c r="K663" s="10">
        <v>0</v>
      </c>
      <c r="L663" s="10">
        <v>0</v>
      </c>
      <c r="M663" s="10">
        <v>0</v>
      </c>
      <c r="N663" s="10">
        <v>0</v>
      </c>
      <c r="O663" s="10">
        <v>0</v>
      </c>
      <c r="P663" s="10">
        <v>27</v>
      </c>
    </row>
    <row r="664" spans="1:16">
      <c r="A664" s="10" t="s">
        <v>693</v>
      </c>
      <c r="B664" s="10">
        <v>64</v>
      </c>
      <c r="C664" s="21">
        <v>4.5165284057089244E-5</v>
      </c>
      <c r="D664" s="10">
        <v>186</v>
      </c>
      <c r="E664" s="10">
        <v>0</v>
      </c>
      <c r="F664" s="10">
        <v>0</v>
      </c>
      <c r="G664" s="10">
        <v>0</v>
      </c>
      <c r="H664" s="10">
        <v>0</v>
      </c>
      <c r="I664" s="10">
        <v>0</v>
      </c>
      <c r="J664" s="10">
        <v>0</v>
      </c>
      <c r="K664" s="10">
        <v>0</v>
      </c>
      <c r="L664" s="10">
        <v>1</v>
      </c>
      <c r="M664" s="10">
        <v>0</v>
      </c>
      <c r="N664" s="10">
        <v>0</v>
      </c>
      <c r="O664" s="10">
        <v>0</v>
      </c>
      <c r="P664" s="10">
        <v>14</v>
      </c>
    </row>
    <row r="665" spans="1:16">
      <c r="A665" s="10" t="s">
        <v>694</v>
      </c>
      <c r="B665" s="10">
        <v>50</v>
      </c>
      <c r="C665" s="21">
        <v>1.9366485536107321E-3</v>
      </c>
      <c r="D665" s="10">
        <v>146</v>
      </c>
      <c r="E665" s="10">
        <v>0</v>
      </c>
      <c r="F665" s="10">
        <v>0</v>
      </c>
      <c r="G665" s="10">
        <v>0</v>
      </c>
      <c r="H665" s="10">
        <v>0</v>
      </c>
      <c r="I665" s="10">
        <v>0</v>
      </c>
      <c r="J665" s="10">
        <v>0</v>
      </c>
      <c r="K665" s="10">
        <v>0</v>
      </c>
      <c r="L665" s="10">
        <v>1</v>
      </c>
      <c r="M665" s="10">
        <v>0</v>
      </c>
      <c r="N665" s="10">
        <v>0</v>
      </c>
      <c r="O665" s="10">
        <v>0</v>
      </c>
      <c r="P665" s="10">
        <v>43</v>
      </c>
    </row>
    <row r="666" spans="1:16">
      <c r="A666" s="10" t="s">
        <v>695</v>
      </c>
      <c r="B666" s="10">
        <v>30</v>
      </c>
      <c r="C666" s="21">
        <v>8.7796873972812686E-4</v>
      </c>
      <c r="D666" s="10">
        <v>157</v>
      </c>
      <c r="E666" s="10">
        <v>0</v>
      </c>
      <c r="F666" s="10">
        <v>0</v>
      </c>
      <c r="G666" s="10">
        <v>0</v>
      </c>
      <c r="H666" s="10">
        <v>0</v>
      </c>
      <c r="I666" s="10">
        <v>0</v>
      </c>
      <c r="J666" s="10">
        <v>0</v>
      </c>
      <c r="K666" s="10">
        <v>0</v>
      </c>
      <c r="L666" s="10">
        <v>1</v>
      </c>
      <c r="M666" s="10">
        <v>0</v>
      </c>
      <c r="N666" s="10">
        <v>0</v>
      </c>
      <c r="O666" s="10">
        <v>1</v>
      </c>
      <c r="P666" s="10">
        <v>42</v>
      </c>
    </row>
    <row r="667" spans="1:16">
      <c r="A667" s="10" t="s">
        <v>696</v>
      </c>
      <c r="B667" s="10">
        <v>89</v>
      </c>
      <c r="C667" s="21">
        <v>1.4252914288792992E-3</v>
      </c>
      <c r="D667" s="10">
        <v>161</v>
      </c>
      <c r="E667" s="10">
        <v>0</v>
      </c>
      <c r="F667" s="10">
        <v>0</v>
      </c>
      <c r="G667" s="10">
        <v>0</v>
      </c>
      <c r="H667" s="10">
        <v>0</v>
      </c>
      <c r="I667" s="10">
        <v>0</v>
      </c>
      <c r="J667" s="10">
        <v>1</v>
      </c>
      <c r="K667" s="10">
        <v>0</v>
      </c>
      <c r="L667" s="10">
        <v>0</v>
      </c>
      <c r="M667" s="10">
        <v>0</v>
      </c>
      <c r="N667" s="10">
        <v>0</v>
      </c>
      <c r="O667" s="10">
        <v>0</v>
      </c>
      <c r="P667" s="10">
        <v>34</v>
      </c>
    </row>
    <row r="668" spans="1:16">
      <c r="A668" s="10" t="s">
        <v>697</v>
      </c>
      <c r="B668" s="10">
        <v>51</v>
      </c>
      <c r="C668" s="21">
        <v>1.2479773904986093E-3</v>
      </c>
      <c r="D668" s="10">
        <v>204</v>
      </c>
      <c r="E668" s="10">
        <v>0</v>
      </c>
      <c r="F668" s="10">
        <v>0</v>
      </c>
      <c r="G668" s="10">
        <v>0</v>
      </c>
      <c r="H668" s="10">
        <v>0</v>
      </c>
      <c r="I668" s="10">
        <v>0</v>
      </c>
      <c r="J668" s="10">
        <v>0</v>
      </c>
      <c r="K668" s="10">
        <v>0</v>
      </c>
      <c r="L668" s="10">
        <v>1</v>
      </c>
      <c r="M668" s="10">
        <v>0</v>
      </c>
      <c r="N668" s="10">
        <v>0</v>
      </c>
      <c r="O668" s="10">
        <v>0</v>
      </c>
      <c r="P668" s="10">
        <v>21</v>
      </c>
    </row>
    <row r="669" spans="1:16">
      <c r="A669" s="10" t="s">
        <v>698</v>
      </c>
      <c r="B669" s="10">
        <v>93</v>
      </c>
      <c r="C669" s="21">
        <v>2.5893057931747712E-3</v>
      </c>
      <c r="D669" s="10">
        <v>137</v>
      </c>
      <c r="E669" s="10">
        <v>0</v>
      </c>
      <c r="F669" s="10">
        <v>0</v>
      </c>
      <c r="G669" s="10">
        <v>0</v>
      </c>
      <c r="H669" s="10">
        <v>0</v>
      </c>
      <c r="I669" s="10">
        <v>0</v>
      </c>
      <c r="J669" s="10">
        <v>1</v>
      </c>
      <c r="K669" s="10">
        <v>0</v>
      </c>
      <c r="L669" s="10">
        <v>0</v>
      </c>
      <c r="M669" s="10">
        <v>0</v>
      </c>
      <c r="N669" s="10">
        <v>0</v>
      </c>
      <c r="O669" s="10">
        <v>1</v>
      </c>
      <c r="P669" s="10">
        <v>14</v>
      </c>
    </row>
    <row r="670" spans="1:16">
      <c r="A670" s="10" t="s">
        <v>699</v>
      </c>
      <c r="B670" s="10">
        <v>57</v>
      </c>
      <c r="C670" s="21">
        <v>1.056842027736018E-3</v>
      </c>
      <c r="D670" s="10">
        <v>171</v>
      </c>
      <c r="E670" s="10">
        <v>0</v>
      </c>
      <c r="F670" s="10">
        <v>0</v>
      </c>
      <c r="G670" s="10">
        <v>0</v>
      </c>
      <c r="H670" s="10">
        <v>0</v>
      </c>
      <c r="I670" s="10">
        <v>0</v>
      </c>
      <c r="J670" s="10">
        <v>0</v>
      </c>
      <c r="K670" s="10">
        <v>0</v>
      </c>
      <c r="L670" s="10">
        <v>1</v>
      </c>
      <c r="M670" s="10">
        <v>0</v>
      </c>
      <c r="N670" s="10">
        <v>0</v>
      </c>
      <c r="O670" s="10">
        <v>0</v>
      </c>
      <c r="P670" s="10">
        <v>30</v>
      </c>
    </row>
    <row r="671" spans="1:16">
      <c r="A671" s="10" t="s">
        <v>700</v>
      </c>
      <c r="B671" s="10">
        <v>116</v>
      </c>
      <c r="C671" s="21">
        <v>1.8186504109473851E-3</v>
      </c>
      <c r="D671" s="10">
        <v>134</v>
      </c>
      <c r="E671" s="10">
        <v>0</v>
      </c>
      <c r="F671" s="10">
        <v>0</v>
      </c>
      <c r="G671" s="10">
        <v>0</v>
      </c>
      <c r="H671" s="10">
        <v>0</v>
      </c>
      <c r="I671" s="10">
        <v>0</v>
      </c>
      <c r="J671" s="10">
        <v>1</v>
      </c>
      <c r="K671" s="10">
        <v>0</v>
      </c>
      <c r="L671" s="10">
        <v>0</v>
      </c>
      <c r="M671" s="10">
        <v>0</v>
      </c>
      <c r="N671" s="10">
        <v>0</v>
      </c>
      <c r="O671" s="10">
        <v>0</v>
      </c>
      <c r="P671" s="10">
        <v>27</v>
      </c>
    </row>
    <row r="672" spans="1:16">
      <c r="A672" s="10" t="s">
        <v>701</v>
      </c>
      <c r="B672" s="10">
        <v>56</v>
      </c>
      <c r="C672" s="21">
        <v>8.833030129086789E-4</v>
      </c>
      <c r="D672" s="10">
        <v>190</v>
      </c>
      <c r="E672" s="10">
        <v>0</v>
      </c>
      <c r="F672" s="10">
        <v>0</v>
      </c>
      <c r="G672" s="10">
        <v>0</v>
      </c>
      <c r="H672" s="10">
        <v>0</v>
      </c>
      <c r="I672" s="10">
        <v>0</v>
      </c>
      <c r="J672" s="10">
        <v>0</v>
      </c>
      <c r="K672" s="10">
        <v>0</v>
      </c>
      <c r="L672" s="10">
        <v>1</v>
      </c>
      <c r="M672" s="10">
        <v>0</v>
      </c>
      <c r="N672" s="10">
        <v>0</v>
      </c>
      <c r="O672" s="10">
        <v>0</v>
      </c>
      <c r="P672" s="10">
        <v>25</v>
      </c>
    </row>
    <row r="673" spans="1:16">
      <c r="A673" s="10" t="s">
        <v>702</v>
      </c>
      <c r="B673" s="10">
        <v>61</v>
      </c>
      <c r="C673" s="21">
        <v>1.2269376151985776E-3</v>
      </c>
      <c r="D673" s="10">
        <v>112</v>
      </c>
      <c r="E673" s="10">
        <v>0</v>
      </c>
      <c r="F673" s="10">
        <v>0</v>
      </c>
      <c r="G673" s="10">
        <v>0</v>
      </c>
      <c r="H673" s="10">
        <v>0</v>
      </c>
      <c r="I673" s="10">
        <v>0</v>
      </c>
      <c r="J673" s="10">
        <v>0</v>
      </c>
      <c r="K673" s="10">
        <v>0</v>
      </c>
      <c r="L673" s="10">
        <v>1</v>
      </c>
      <c r="M673" s="10">
        <v>0</v>
      </c>
      <c r="N673" s="10">
        <v>0</v>
      </c>
      <c r="O673" s="10">
        <v>1</v>
      </c>
      <c r="P673" s="10">
        <v>34</v>
      </c>
    </row>
    <row r="674" spans="1:16">
      <c r="A674" s="10" t="s">
        <v>703</v>
      </c>
      <c r="B674" s="10">
        <v>66</v>
      </c>
      <c r="C674" s="21">
        <v>2.5233127493796823E-4</v>
      </c>
      <c r="D674" s="10">
        <v>150</v>
      </c>
      <c r="E674" s="10">
        <v>0</v>
      </c>
      <c r="F674" s="10">
        <v>0</v>
      </c>
      <c r="G674" s="10">
        <v>0</v>
      </c>
      <c r="H674" s="10">
        <v>0</v>
      </c>
      <c r="I674" s="10">
        <v>0</v>
      </c>
      <c r="J674" s="10">
        <v>0</v>
      </c>
      <c r="K674" s="10">
        <v>0</v>
      </c>
      <c r="L674" s="10">
        <v>1</v>
      </c>
      <c r="M674" s="10">
        <v>0</v>
      </c>
      <c r="N674" s="10">
        <v>0</v>
      </c>
      <c r="O674" s="10">
        <v>1</v>
      </c>
      <c r="P674" s="10">
        <v>34</v>
      </c>
    </row>
    <row r="675" spans="1:16">
      <c r="A675" s="10" t="s">
        <v>704</v>
      </c>
      <c r="B675" s="10">
        <v>43</v>
      </c>
      <c r="C675" s="21">
        <v>3.8625191213990571E-3</v>
      </c>
      <c r="D675" s="10">
        <v>110</v>
      </c>
      <c r="E675" s="10">
        <v>0</v>
      </c>
      <c r="F675" s="10">
        <v>0</v>
      </c>
      <c r="G675" s="10">
        <v>0</v>
      </c>
      <c r="H675" s="10">
        <v>0</v>
      </c>
      <c r="I675" s="10">
        <v>0</v>
      </c>
      <c r="J675" s="10">
        <v>0</v>
      </c>
      <c r="K675" s="10">
        <v>0</v>
      </c>
      <c r="L675" s="10">
        <v>1</v>
      </c>
      <c r="M675" s="10">
        <v>0</v>
      </c>
      <c r="N675" s="10">
        <v>0</v>
      </c>
      <c r="O675" s="10">
        <v>0</v>
      </c>
      <c r="P675" s="10">
        <v>55</v>
      </c>
    </row>
    <row r="676" spans="1:16">
      <c r="A676" s="10" t="s">
        <v>705</v>
      </c>
      <c r="B676" s="10">
        <v>100</v>
      </c>
      <c r="C676" s="21">
        <v>4.9504093667417733E-4</v>
      </c>
      <c r="D676" s="10">
        <v>130</v>
      </c>
      <c r="E676" s="10">
        <v>0</v>
      </c>
      <c r="F676" s="10">
        <v>0</v>
      </c>
      <c r="G676" s="10">
        <v>0</v>
      </c>
      <c r="H676" s="10">
        <v>0</v>
      </c>
      <c r="I676" s="10">
        <v>0</v>
      </c>
      <c r="J676" s="10">
        <v>1</v>
      </c>
      <c r="K676" s="10">
        <v>0</v>
      </c>
      <c r="L676" s="10">
        <v>0</v>
      </c>
      <c r="M676" s="10">
        <v>0</v>
      </c>
      <c r="N676" s="10">
        <v>0</v>
      </c>
      <c r="O676" s="10">
        <v>0</v>
      </c>
      <c r="P676" s="10">
        <v>18</v>
      </c>
    </row>
    <row r="677" spans="1:16">
      <c r="A677" s="10" t="s">
        <v>706</v>
      </c>
      <c r="B677" s="10">
        <v>90</v>
      </c>
      <c r="C677" s="21">
        <v>8.3996249918305175E-4</v>
      </c>
      <c r="D677" s="10">
        <v>167</v>
      </c>
      <c r="E677" s="10">
        <v>0</v>
      </c>
      <c r="F677" s="10">
        <v>0</v>
      </c>
      <c r="G677" s="10">
        <v>0</v>
      </c>
      <c r="H677" s="10">
        <v>0</v>
      </c>
      <c r="I677" s="10">
        <v>0</v>
      </c>
      <c r="J677" s="10">
        <v>1</v>
      </c>
      <c r="K677" s="10">
        <v>0</v>
      </c>
      <c r="L677" s="10">
        <v>0</v>
      </c>
      <c r="M677" s="10">
        <v>0</v>
      </c>
      <c r="N677" s="10">
        <v>0</v>
      </c>
      <c r="O677" s="10">
        <v>0</v>
      </c>
      <c r="P677" s="10">
        <v>16</v>
      </c>
    </row>
    <row r="678" spans="1:16">
      <c r="A678" s="10" t="s">
        <v>707</v>
      </c>
      <c r="B678" s="10">
        <v>112</v>
      </c>
      <c r="C678" s="21">
        <v>1.0221200699612198E-3</v>
      </c>
      <c r="D678" s="10">
        <v>160</v>
      </c>
      <c r="E678" s="10">
        <v>0</v>
      </c>
      <c r="F678" s="10">
        <v>0</v>
      </c>
      <c r="G678" s="10">
        <v>0</v>
      </c>
      <c r="H678" s="10">
        <v>0</v>
      </c>
      <c r="I678" s="10">
        <v>0</v>
      </c>
      <c r="J678" s="10">
        <v>1</v>
      </c>
      <c r="K678" s="10">
        <v>0</v>
      </c>
      <c r="L678" s="10">
        <v>0</v>
      </c>
      <c r="M678" s="10">
        <v>0</v>
      </c>
      <c r="N678" s="10">
        <v>0</v>
      </c>
      <c r="O678" s="10">
        <v>1</v>
      </c>
      <c r="P678" s="10">
        <v>19</v>
      </c>
    </row>
  </sheetData>
  <phoneticPr fontId="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E148-B830-404D-BCAE-F029BCF7CF42}">
  <dimension ref="A1:N678"/>
  <sheetViews>
    <sheetView topLeftCell="A13" workbookViewId="0">
      <selection activeCell="C9" sqref="C9"/>
    </sheetView>
  </sheetViews>
  <sheetFormatPr defaultColWidth="12.25" defaultRowHeight="18.75"/>
  <cols>
    <col min="1" max="1" width="10.75" style="10" bestFit="1" customWidth="1"/>
    <col min="2" max="4" width="12.625" style="10" bestFit="1" customWidth="1"/>
    <col min="5" max="9" width="12.25" style="10"/>
    <col min="10" max="10" width="14.625" style="10" bestFit="1" customWidth="1"/>
    <col min="11" max="16384" width="12.25" style="10"/>
  </cols>
  <sheetData>
    <row r="1" spans="1:14">
      <c r="A1" s="10" t="s">
        <v>3</v>
      </c>
      <c r="B1" s="10" t="s">
        <v>8</v>
      </c>
      <c r="C1" s="10" t="s">
        <v>9</v>
      </c>
      <c r="D1" s="10" t="s">
        <v>10</v>
      </c>
    </row>
    <row r="2" spans="1:14">
      <c r="A2" s="10" t="s">
        <v>11</v>
      </c>
      <c r="B2" s="10">
        <v>65</v>
      </c>
      <c r="C2" s="10">
        <v>120</v>
      </c>
      <c r="D2" s="10">
        <v>22</v>
      </c>
      <c r="F2" s="10" t="s">
        <v>965</v>
      </c>
      <c r="I2" s="10">
        <f>CORREL(B:B,C:C)</f>
        <v>0.65840645489139193</v>
      </c>
    </row>
    <row r="3" spans="1:14">
      <c r="A3" s="10" t="s">
        <v>15</v>
      </c>
      <c r="B3" s="10">
        <v>139</v>
      </c>
      <c r="C3" s="10">
        <v>208</v>
      </c>
      <c r="D3" s="10">
        <v>19</v>
      </c>
    </row>
    <row r="4" spans="1:14">
      <c r="A4" s="10" t="s">
        <v>17</v>
      </c>
      <c r="B4" s="10">
        <v>41</v>
      </c>
      <c r="C4" s="10">
        <v>142</v>
      </c>
      <c r="D4" s="10">
        <v>14</v>
      </c>
    </row>
    <row r="5" spans="1:14">
      <c r="A5" s="10" t="s">
        <v>18</v>
      </c>
      <c r="B5" s="10">
        <v>66</v>
      </c>
      <c r="C5" s="10">
        <v>127</v>
      </c>
      <c r="D5" s="10">
        <v>19</v>
      </c>
    </row>
    <row r="6" spans="1:14">
      <c r="A6" s="10" t="s">
        <v>19</v>
      </c>
      <c r="B6" s="10">
        <v>82</v>
      </c>
      <c r="C6" s="10">
        <v>157</v>
      </c>
      <c r="D6" s="10">
        <v>25</v>
      </c>
    </row>
    <row r="7" spans="1:14">
      <c r="A7" s="10" t="s">
        <v>21</v>
      </c>
      <c r="B7" s="10">
        <v>69</v>
      </c>
      <c r="C7" s="10">
        <v>129</v>
      </c>
      <c r="D7" s="10">
        <v>27</v>
      </c>
    </row>
    <row r="8" spans="1:14">
      <c r="A8" s="10" t="s">
        <v>23</v>
      </c>
      <c r="B8" s="10">
        <v>61</v>
      </c>
      <c r="C8" s="10">
        <v>149</v>
      </c>
      <c r="D8" s="10">
        <v>33</v>
      </c>
    </row>
    <row r="9" spans="1:14">
      <c r="A9" s="10" t="s">
        <v>24</v>
      </c>
      <c r="B9" s="10">
        <v>100</v>
      </c>
      <c r="C9" s="10">
        <v>195</v>
      </c>
      <c r="D9" s="10">
        <v>14</v>
      </c>
    </row>
    <row r="10" spans="1:14">
      <c r="A10" s="10" t="s">
        <v>25</v>
      </c>
      <c r="B10" s="10">
        <v>41</v>
      </c>
      <c r="C10" s="10">
        <v>150</v>
      </c>
      <c r="D10" s="10">
        <v>25</v>
      </c>
    </row>
    <row r="11" spans="1:14">
      <c r="A11" s="10" t="s">
        <v>26</v>
      </c>
      <c r="B11" s="10">
        <v>41</v>
      </c>
      <c r="C11" s="10">
        <v>108</v>
      </c>
      <c r="D11" s="10">
        <v>34</v>
      </c>
    </row>
    <row r="12" spans="1:14">
      <c r="A12" s="10" t="s">
        <v>27</v>
      </c>
      <c r="B12" s="10">
        <v>59</v>
      </c>
      <c r="C12" s="10">
        <v>150</v>
      </c>
      <c r="D12" s="10">
        <v>21</v>
      </c>
    </row>
    <row r="13" spans="1:14">
      <c r="A13" s="10" t="s">
        <v>28</v>
      </c>
      <c r="B13" s="10">
        <v>43</v>
      </c>
      <c r="C13" s="10">
        <v>130</v>
      </c>
      <c r="D13" s="10">
        <v>26</v>
      </c>
    </row>
    <row r="14" spans="1:14" ht="19.5" thickBot="1">
      <c r="A14" s="10" t="s">
        <v>29</v>
      </c>
      <c r="B14" s="10">
        <v>101</v>
      </c>
      <c r="C14" s="10">
        <v>163</v>
      </c>
      <c r="D14" s="10">
        <v>15</v>
      </c>
    </row>
    <row r="15" spans="1:14" ht="19.5">
      <c r="A15" s="10" t="s">
        <v>30</v>
      </c>
      <c r="B15" s="10">
        <v>63</v>
      </c>
      <c r="C15" s="10">
        <v>137</v>
      </c>
      <c r="D15" s="10">
        <v>18</v>
      </c>
      <c r="F15" s="95" t="s">
        <v>966</v>
      </c>
      <c r="G15" s="96"/>
      <c r="H15" s="96"/>
      <c r="I15" s="96"/>
      <c r="J15" s="96"/>
      <c r="K15" s="96"/>
      <c r="L15" s="96"/>
      <c r="M15" s="96"/>
      <c r="N15" s="97"/>
    </row>
    <row r="16" spans="1:14">
      <c r="A16" s="10" t="s">
        <v>33</v>
      </c>
      <c r="B16" s="10">
        <v>70</v>
      </c>
      <c r="C16" s="10">
        <v>155</v>
      </c>
      <c r="D16" s="10">
        <v>26</v>
      </c>
      <c r="F16" s="64" t="s">
        <v>922</v>
      </c>
      <c r="N16" s="65"/>
    </row>
    <row r="17" spans="1:14" ht="19.5" thickBot="1">
      <c r="A17" s="10" t="s">
        <v>35</v>
      </c>
      <c r="B17" s="10">
        <v>77</v>
      </c>
      <c r="C17" s="10">
        <v>162</v>
      </c>
      <c r="D17" s="10">
        <v>23</v>
      </c>
      <c r="F17" s="64"/>
      <c r="N17" s="65"/>
    </row>
    <row r="18" spans="1:14">
      <c r="A18" s="10" t="s">
        <v>36</v>
      </c>
      <c r="B18" s="10">
        <v>114</v>
      </c>
      <c r="C18" s="10">
        <v>211</v>
      </c>
      <c r="D18" s="10">
        <v>21</v>
      </c>
      <c r="F18" s="66" t="s">
        <v>923</v>
      </c>
      <c r="G18" s="57"/>
      <c r="N18" s="65"/>
    </row>
    <row r="19" spans="1:14">
      <c r="A19" s="10" t="s">
        <v>38</v>
      </c>
      <c r="B19" s="10">
        <v>85</v>
      </c>
      <c r="C19" s="10">
        <v>126</v>
      </c>
      <c r="D19" s="10">
        <v>36</v>
      </c>
      <c r="F19" s="64" t="s">
        <v>924</v>
      </c>
      <c r="G19" s="10">
        <v>0.3952584126122296</v>
      </c>
      <c r="N19" s="65"/>
    </row>
    <row r="20" spans="1:14">
      <c r="A20" s="10" t="s">
        <v>40</v>
      </c>
      <c r="B20" s="10">
        <v>86</v>
      </c>
      <c r="C20" s="10">
        <v>167</v>
      </c>
      <c r="D20" s="10">
        <v>24</v>
      </c>
      <c r="F20" s="64" t="s">
        <v>925</v>
      </c>
      <c r="G20" s="10">
        <v>0.15622921274073956</v>
      </c>
      <c r="N20" s="65"/>
    </row>
    <row r="21" spans="1:14">
      <c r="A21" s="10" t="s">
        <v>41</v>
      </c>
      <c r="B21" s="10">
        <v>44</v>
      </c>
      <c r="C21" s="10">
        <v>142</v>
      </c>
      <c r="D21" s="10">
        <v>35</v>
      </c>
      <c r="F21" s="64" t="s">
        <v>926</v>
      </c>
      <c r="G21" s="10">
        <v>0.1549791819447999</v>
      </c>
      <c r="N21" s="65"/>
    </row>
    <row r="22" spans="1:14">
      <c r="A22" s="10" t="s">
        <v>43</v>
      </c>
      <c r="B22" s="10">
        <v>62</v>
      </c>
      <c r="C22" s="10">
        <v>129</v>
      </c>
      <c r="D22" s="10">
        <v>18</v>
      </c>
      <c r="F22" s="64" t="s">
        <v>718</v>
      </c>
      <c r="G22" s="10">
        <v>8.922412387126391</v>
      </c>
      <c r="N22" s="65"/>
    </row>
    <row r="23" spans="1:14" ht="19.5" thickBot="1">
      <c r="A23" s="10" t="s">
        <v>44</v>
      </c>
      <c r="B23" s="10">
        <v>102</v>
      </c>
      <c r="C23" s="10">
        <v>199</v>
      </c>
      <c r="D23" s="10">
        <v>25</v>
      </c>
      <c r="F23" s="67" t="s">
        <v>868</v>
      </c>
      <c r="G23" s="58">
        <v>677</v>
      </c>
      <c r="N23" s="65"/>
    </row>
    <row r="24" spans="1:14">
      <c r="A24" s="10" t="s">
        <v>45</v>
      </c>
      <c r="B24" s="10">
        <v>54</v>
      </c>
      <c r="C24" s="10">
        <v>176</v>
      </c>
      <c r="D24" s="10">
        <v>31</v>
      </c>
      <c r="F24" s="64"/>
      <c r="N24" s="65"/>
    </row>
    <row r="25" spans="1:14" ht="19.5" thickBot="1">
      <c r="A25" s="10" t="s">
        <v>46</v>
      </c>
      <c r="B25" s="10">
        <v>86</v>
      </c>
      <c r="C25" s="10">
        <v>158</v>
      </c>
      <c r="D25" s="10">
        <v>33</v>
      </c>
      <c r="F25" s="64" t="s">
        <v>927</v>
      </c>
      <c r="N25" s="65"/>
    </row>
    <row r="26" spans="1:14">
      <c r="A26" s="10" t="s">
        <v>47</v>
      </c>
      <c r="B26" s="10">
        <v>105</v>
      </c>
      <c r="C26" s="10">
        <v>206</v>
      </c>
      <c r="D26" s="10">
        <v>15</v>
      </c>
      <c r="F26" s="68"/>
      <c r="G26" s="69" t="s">
        <v>870</v>
      </c>
      <c r="H26" s="69" t="s">
        <v>931</v>
      </c>
      <c r="I26" s="69" t="s">
        <v>722</v>
      </c>
      <c r="J26" s="69" t="s">
        <v>932</v>
      </c>
      <c r="K26" s="69" t="s">
        <v>933</v>
      </c>
      <c r="N26" s="65"/>
    </row>
    <row r="27" spans="1:14">
      <c r="A27" s="10" t="s">
        <v>48</v>
      </c>
      <c r="B27" s="10">
        <v>55</v>
      </c>
      <c r="C27" s="10">
        <v>152</v>
      </c>
      <c r="D27" s="10">
        <v>24</v>
      </c>
      <c r="F27" s="64" t="s">
        <v>928</v>
      </c>
      <c r="G27" s="10">
        <v>1</v>
      </c>
      <c r="H27" s="10">
        <v>9949.6113349374282</v>
      </c>
      <c r="I27" s="10">
        <v>9949.6113349374282</v>
      </c>
      <c r="J27" s="10">
        <v>124.98029108419081</v>
      </c>
      <c r="K27" s="10">
        <v>9.7187780124647273E-27</v>
      </c>
      <c r="N27" s="65"/>
    </row>
    <row r="28" spans="1:14">
      <c r="A28" s="10" t="s">
        <v>49</v>
      </c>
      <c r="B28" s="10">
        <v>69</v>
      </c>
      <c r="C28" s="10">
        <v>112</v>
      </c>
      <c r="D28" s="10">
        <v>26</v>
      </c>
      <c r="F28" s="64" t="s">
        <v>929</v>
      </c>
      <c r="G28" s="10">
        <v>675</v>
      </c>
      <c r="H28" s="10">
        <v>53736.373894013857</v>
      </c>
      <c r="I28" s="10">
        <v>79.609442805946458</v>
      </c>
      <c r="N28" s="65"/>
    </row>
    <row r="29" spans="1:14" ht="19.5" thickBot="1">
      <c r="A29" s="10" t="s">
        <v>51</v>
      </c>
      <c r="B29" s="10">
        <v>84</v>
      </c>
      <c r="C29" s="10">
        <v>177</v>
      </c>
      <c r="D29" s="10">
        <v>25</v>
      </c>
      <c r="F29" s="67" t="s">
        <v>728</v>
      </c>
      <c r="G29" s="58">
        <v>676</v>
      </c>
      <c r="H29" s="58">
        <v>63685.985228951286</v>
      </c>
      <c r="I29" s="58"/>
      <c r="J29" s="58"/>
      <c r="K29" s="58"/>
      <c r="N29" s="65"/>
    </row>
    <row r="30" spans="1:14" ht="19.5" thickBot="1">
      <c r="A30" s="10" t="s">
        <v>52</v>
      </c>
      <c r="B30" s="10">
        <v>82</v>
      </c>
      <c r="C30" s="10">
        <v>112</v>
      </c>
      <c r="D30" s="10">
        <v>30</v>
      </c>
      <c r="F30" s="64"/>
      <c r="N30" s="65"/>
    </row>
    <row r="31" spans="1:14">
      <c r="A31" s="10" t="s">
        <v>53</v>
      </c>
      <c r="B31" s="10">
        <v>70</v>
      </c>
      <c r="C31" s="10">
        <v>160</v>
      </c>
      <c r="D31" s="10">
        <v>37</v>
      </c>
      <c r="F31" s="68"/>
      <c r="G31" s="69" t="s">
        <v>934</v>
      </c>
      <c r="H31" s="69" t="s">
        <v>718</v>
      </c>
      <c r="I31" s="69" t="s">
        <v>871</v>
      </c>
      <c r="J31" s="69" t="s">
        <v>935</v>
      </c>
      <c r="K31" s="69" t="s">
        <v>936</v>
      </c>
      <c r="L31" s="69" t="s">
        <v>937</v>
      </c>
      <c r="M31" s="69" t="s">
        <v>938</v>
      </c>
      <c r="N31" s="70" t="s">
        <v>939</v>
      </c>
    </row>
    <row r="32" spans="1:14">
      <c r="A32" s="10" t="s">
        <v>54</v>
      </c>
      <c r="B32" s="10">
        <v>55</v>
      </c>
      <c r="C32" s="10">
        <v>168</v>
      </c>
      <c r="D32" s="10">
        <v>38</v>
      </c>
      <c r="F32" s="64" t="s">
        <v>930</v>
      </c>
      <c r="G32" s="10">
        <v>39.578220857183702</v>
      </c>
      <c r="H32" s="10">
        <v>1.1177154720886309</v>
      </c>
      <c r="I32" s="10">
        <v>35.409924838228676</v>
      </c>
      <c r="J32" s="10">
        <v>4.7987932050970594E-156</v>
      </c>
      <c r="K32" s="10">
        <v>37.383603669537159</v>
      </c>
      <c r="L32" s="10">
        <v>41.772838044830245</v>
      </c>
      <c r="M32" s="10">
        <v>37.383603669537159</v>
      </c>
      <c r="N32" s="65">
        <v>41.772838044830245</v>
      </c>
    </row>
    <row r="33" spans="1:14" ht="20.25" thickBot="1">
      <c r="A33" s="10" t="s">
        <v>55</v>
      </c>
      <c r="B33" s="10">
        <v>43</v>
      </c>
      <c r="C33" s="10">
        <v>134</v>
      </c>
      <c r="D33" s="10">
        <v>25</v>
      </c>
      <c r="F33" s="71" t="s">
        <v>776</v>
      </c>
      <c r="G33" s="72">
        <v>-0.15624185982134142</v>
      </c>
      <c r="H33" s="58">
        <v>1.3975798614447216E-2</v>
      </c>
      <c r="I33" s="58">
        <v>-11.179458443242691</v>
      </c>
      <c r="J33" s="72">
        <v>9.7187780124669543E-27</v>
      </c>
      <c r="K33" s="58">
        <v>-0.18368312606152143</v>
      </c>
      <c r="L33" s="58">
        <v>-0.12880059358116142</v>
      </c>
      <c r="M33" s="58">
        <v>-0.18368312606152143</v>
      </c>
      <c r="N33" s="73">
        <v>-0.12880059358116142</v>
      </c>
    </row>
    <row r="34" spans="1:14">
      <c r="A34" s="10" t="s">
        <v>56</v>
      </c>
      <c r="B34" s="10">
        <v>52</v>
      </c>
      <c r="C34" s="10">
        <v>155</v>
      </c>
      <c r="D34" s="10">
        <v>17</v>
      </c>
    </row>
    <row r="35" spans="1:14">
      <c r="A35" s="10" t="s">
        <v>57</v>
      </c>
      <c r="B35" s="10">
        <v>76</v>
      </c>
      <c r="C35" s="10">
        <v>135</v>
      </c>
      <c r="D35" s="10">
        <v>30</v>
      </c>
    </row>
    <row r="36" spans="1:14" ht="19.5" thickBot="1">
      <c r="A36" s="10" t="s">
        <v>58</v>
      </c>
      <c r="B36" s="10">
        <v>88</v>
      </c>
      <c r="C36" s="10">
        <v>170</v>
      </c>
      <c r="D36" s="10">
        <v>25</v>
      </c>
    </row>
    <row r="37" spans="1:14" ht="19.5">
      <c r="A37" s="10" t="s">
        <v>59</v>
      </c>
      <c r="B37" s="10">
        <v>109</v>
      </c>
      <c r="C37" s="10">
        <v>191</v>
      </c>
      <c r="D37" s="10">
        <v>24</v>
      </c>
      <c r="F37" s="95" t="s">
        <v>967</v>
      </c>
      <c r="G37" s="96"/>
      <c r="H37" s="96"/>
      <c r="I37" s="96"/>
      <c r="J37" s="96"/>
      <c r="K37" s="96"/>
      <c r="L37" s="96"/>
      <c r="M37" s="96"/>
      <c r="N37" s="97"/>
    </row>
    <row r="38" spans="1:14">
      <c r="A38" s="10" t="s">
        <v>60</v>
      </c>
      <c r="B38" s="10">
        <v>48</v>
      </c>
      <c r="C38" s="10">
        <v>127</v>
      </c>
      <c r="D38" s="10">
        <v>36</v>
      </c>
      <c r="F38" s="64" t="s">
        <v>922</v>
      </c>
      <c r="N38" s="65"/>
    </row>
    <row r="39" spans="1:14" ht="19.5" thickBot="1">
      <c r="A39" s="10" t="s">
        <v>61</v>
      </c>
      <c r="B39" s="10">
        <v>44</v>
      </c>
      <c r="C39" s="10">
        <v>97</v>
      </c>
      <c r="D39" s="10">
        <v>40</v>
      </c>
      <c r="F39" s="64"/>
      <c r="N39" s="65"/>
    </row>
    <row r="40" spans="1:14">
      <c r="A40" s="10" t="s">
        <v>62</v>
      </c>
      <c r="B40" s="10">
        <v>90</v>
      </c>
      <c r="C40" s="10">
        <v>146</v>
      </c>
      <c r="D40" s="10">
        <v>37</v>
      </c>
      <c r="F40" s="66" t="s">
        <v>923</v>
      </c>
      <c r="G40" s="57"/>
      <c r="N40" s="65"/>
    </row>
    <row r="41" spans="1:14">
      <c r="A41" s="10" t="s">
        <v>63</v>
      </c>
      <c r="B41" s="10">
        <v>60</v>
      </c>
      <c r="C41" s="10">
        <v>107</v>
      </c>
      <c r="D41" s="10">
        <v>39</v>
      </c>
      <c r="F41" s="64" t="s">
        <v>924</v>
      </c>
      <c r="G41" s="10">
        <v>0.59975584772606327</v>
      </c>
      <c r="N41" s="65"/>
    </row>
    <row r="42" spans="1:14">
      <c r="A42" s="10" t="s">
        <v>64</v>
      </c>
      <c r="B42" s="10">
        <v>96</v>
      </c>
      <c r="C42" s="10">
        <v>210</v>
      </c>
      <c r="D42" s="10">
        <v>19</v>
      </c>
      <c r="F42" s="64" t="s">
        <v>925</v>
      </c>
      <c r="G42" s="10">
        <v>0.3597070768816088</v>
      </c>
      <c r="N42" s="65"/>
    </row>
    <row r="43" spans="1:14">
      <c r="A43" s="10" t="s">
        <v>65</v>
      </c>
      <c r="B43" s="10">
        <v>93</v>
      </c>
      <c r="C43" s="10">
        <v>176</v>
      </c>
      <c r="D43" s="10">
        <v>19</v>
      </c>
      <c r="F43" s="64" t="s">
        <v>926</v>
      </c>
      <c r="G43" s="10">
        <v>0.35875849477328525</v>
      </c>
      <c r="N43" s="65"/>
    </row>
    <row r="44" spans="1:14">
      <c r="A44" s="10" t="s">
        <v>66</v>
      </c>
      <c r="B44" s="10">
        <v>29</v>
      </c>
      <c r="C44" s="10">
        <v>120</v>
      </c>
      <c r="D44" s="10">
        <v>33</v>
      </c>
      <c r="F44" s="64" t="s">
        <v>718</v>
      </c>
      <c r="G44" s="10">
        <v>7.7724761909664668</v>
      </c>
      <c r="N44" s="65"/>
    </row>
    <row r="45" spans="1:14" ht="19.5" thickBot="1">
      <c r="A45" s="10" t="s">
        <v>67</v>
      </c>
      <c r="B45" s="10">
        <v>37</v>
      </c>
      <c r="C45" s="10">
        <v>155</v>
      </c>
      <c r="D45" s="10">
        <v>33</v>
      </c>
      <c r="F45" s="67" t="s">
        <v>868</v>
      </c>
      <c r="G45" s="58">
        <v>677</v>
      </c>
      <c r="N45" s="65"/>
    </row>
    <row r="46" spans="1:14">
      <c r="A46" s="10" t="s">
        <v>68</v>
      </c>
      <c r="B46" s="10">
        <v>95</v>
      </c>
      <c r="C46" s="10">
        <v>192</v>
      </c>
      <c r="D46" s="10">
        <v>27</v>
      </c>
      <c r="F46" s="64"/>
      <c r="N46" s="65"/>
    </row>
    <row r="47" spans="1:14" ht="19.5" thickBot="1">
      <c r="A47" s="10" t="s">
        <v>69</v>
      </c>
      <c r="B47" s="10">
        <v>101</v>
      </c>
      <c r="C47" s="10">
        <v>178</v>
      </c>
      <c r="D47" s="10">
        <v>23</v>
      </c>
      <c r="F47" s="64" t="s">
        <v>927</v>
      </c>
      <c r="N47" s="65"/>
    </row>
    <row r="48" spans="1:14">
      <c r="A48" s="10" t="s">
        <v>70</v>
      </c>
      <c r="B48" s="10">
        <v>42</v>
      </c>
      <c r="C48" s="10">
        <v>118</v>
      </c>
      <c r="D48" s="10">
        <v>27</v>
      </c>
      <c r="F48" s="68"/>
      <c r="G48" s="69" t="s">
        <v>870</v>
      </c>
      <c r="H48" s="69" t="s">
        <v>931</v>
      </c>
      <c r="I48" s="69" t="s">
        <v>722</v>
      </c>
      <c r="J48" s="69" t="s">
        <v>932</v>
      </c>
      <c r="K48" s="69" t="s">
        <v>933</v>
      </c>
      <c r="N48" s="65"/>
    </row>
    <row r="49" spans="1:14">
      <c r="A49" s="10" t="s">
        <v>71</v>
      </c>
      <c r="B49" s="10">
        <v>77</v>
      </c>
      <c r="C49" s="10">
        <v>168</v>
      </c>
      <c r="D49" s="10">
        <v>30</v>
      </c>
      <c r="F49" s="64" t="s">
        <v>928</v>
      </c>
      <c r="G49" s="10">
        <v>1</v>
      </c>
      <c r="H49" s="10">
        <v>22908.299585031382</v>
      </c>
      <c r="I49" s="10">
        <v>22908.299585031382</v>
      </c>
      <c r="J49" s="10">
        <v>379.2049984131894</v>
      </c>
      <c r="K49" s="10">
        <v>2.2952509575006184E-67</v>
      </c>
      <c r="N49" s="65"/>
    </row>
    <row r="50" spans="1:14">
      <c r="A50" s="10" t="s">
        <v>72</v>
      </c>
      <c r="B50" s="10">
        <v>42</v>
      </c>
      <c r="C50" s="10">
        <v>103</v>
      </c>
      <c r="D50" s="10">
        <v>42</v>
      </c>
      <c r="F50" s="64" t="s">
        <v>929</v>
      </c>
      <c r="G50" s="10">
        <v>675</v>
      </c>
      <c r="H50" s="10">
        <v>40777.685643919904</v>
      </c>
      <c r="I50" s="10">
        <v>60.411386139140596</v>
      </c>
      <c r="N50" s="65"/>
    </row>
    <row r="51" spans="1:14" ht="19.5" thickBot="1">
      <c r="A51" s="10" t="s">
        <v>73</v>
      </c>
      <c r="B51" s="10">
        <v>57</v>
      </c>
      <c r="C51" s="10">
        <v>136</v>
      </c>
      <c r="D51" s="10">
        <v>28</v>
      </c>
      <c r="F51" s="67" t="s">
        <v>728</v>
      </c>
      <c r="G51" s="58">
        <v>676</v>
      </c>
      <c r="H51" s="58">
        <v>63685.985228951286</v>
      </c>
      <c r="I51" s="58"/>
      <c r="J51" s="58"/>
      <c r="K51" s="58"/>
      <c r="N51" s="65"/>
    </row>
    <row r="52" spans="1:14" ht="19.5" thickBot="1">
      <c r="A52" s="10" t="s">
        <v>74</v>
      </c>
      <c r="B52" s="10">
        <v>89</v>
      </c>
      <c r="C52" s="10">
        <v>169</v>
      </c>
      <c r="D52" s="10">
        <v>22</v>
      </c>
      <c r="F52" s="64"/>
      <c r="N52" s="65"/>
    </row>
    <row r="53" spans="1:14">
      <c r="A53" s="10" t="s">
        <v>75</v>
      </c>
      <c r="B53" s="10">
        <v>89</v>
      </c>
      <c r="C53" s="10">
        <v>150</v>
      </c>
      <c r="D53" s="10">
        <v>29</v>
      </c>
      <c r="F53" s="68"/>
      <c r="G53" s="69" t="s">
        <v>934</v>
      </c>
      <c r="H53" s="69" t="s">
        <v>718</v>
      </c>
      <c r="I53" s="69" t="s">
        <v>871</v>
      </c>
      <c r="J53" s="69" t="s">
        <v>935</v>
      </c>
      <c r="K53" s="69" t="s">
        <v>936</v>
      </c>
      <c r="L53" s="69" t="s">
        <v>937</v>
      </c>
      <c r="M53" s="69" t="s">
        <v>938</v>
      </c>
      <c r="N53" s="70" t="s">
        <v>939</v>
      </c>
    </row>
    <row r="54" spans="1:14">
      <c r="A54" s="10" t="s">
        <v>76</v>
      </c>
      <c r="B54" s="10">
        <v>79</v>
      </c>
      <c r="C54" s="10">
        <v>168</v>
      </c>
      <c r="D54" s="10">
        <v>33</v>
      </c>
      <c r="F54" s="64" t="s">
        <v>930</v>
      </c>
      <c r="G54" s="10">
        <v>55.465622176465217</v>
      </c>
      <c r="H54" s="10">
        <v>1.4575293593857852</v>
      </c>
      <c r="I54" s="10">
        <v>38.054548829012191</v>
      </c>
      <c r="J54" s="10">
        <v>4.0183486744147855E-170</v>
      </c>
      <c r="K54" s="10">
        <v>52.603785632653057</v>
      </c>
      <c r="L54" s="10">
        <v>58.327458720277377</v>
      </c>
      <c r="M54" s="10">
        <v>52.603785632653057</v>
      </c>
      <c r="N54" s="65">
        <v>58.327458720277377</v>
      </c>
    </row>
    <row r="55" spans="1:14" ht="20.25" thickBot="1">
      <c r="A55" s="10" t="s">
        <v>77</v>
      </c>
      <c r="B55" s="10">
        <v>109</v>
      </c>
      <c r="C55" s="10">
        <v>220</v>
      </c>
      <c r="D55" s="10">
        <v>16</v>
      </c>
      <c r="F55" s="74" t="s">
        <v>9</v>
      </c>
      <c r="G55" s="75">
        <v>-0.18128670091926155</v>
      </c>
      <c r="H55" s="58">
        <v>9.3095549358161705E-3</v>
      </c>
      <c r="I55" s="58">
        <v>-19.47318665275894</v>
      </c>
      <c r="J55" s="75">
        <v>2.2952509575007495E-67</v>
      </c>
      <c r="K55" s="58">
        <v>-0.1995658692601126</v>
      </c>
      <c r="L55" s="58">
        <v>-0.1630075325784105</v>
      </c>
      <c r="M55" s="58">
        <v>-0.1995658692601126</v>
      </c>
      <c r="N55" s="73">
        <v>-0.1630075325784105</v>
      </c>
    </row>
    <row r="56" spans="1:14">
      <c r="A56" s="10" t="s">
        <v>78</v>
      </c>
      <c r="B56" s="10">
        <v>74</v>
      </c>
      <c r="C56" s="10">
        <v>138</v>
      </c>
      <c r="D56" s="10">
        <v>35</v>
      </c>
    </row>
    <row r="57" spans="1:14">
      <c r="A57" s="10" t="s">
        <v>79</v>
      </c>
      <c r="B57" s="10">
        <v>72</v>
      </c>
      <c r="C57" s="10">
        <v>177</v>
      </c>
      <c r="D57" s="10">
        <v>24</v>
      </c>
    </row>
    <row r="58" spans="1:14" ht="19.5" thickBot="1">
      <c r="A58" s="10" t="s">
        <v>80</v>
      </c>
      <c r="B58" s="10">
        <v>86</v>
      </c>
      <c r="C58" s="10">
        <v>177</v>
      </c>
      <c r="D58" s="10">
        <v>31</v>
      </c>
    </row>
    <row r="59" spans="1:14" ht="19.5">
      <c r="A59" s="10" t="s">
        <v>81</v>
      </c>
      <c r="B59" s="10">
        <v>58</v>
      </c>
      <c r="C59" s="10">
        <v>141</v>
      </c>
      <c r="D59" s="10">
        <v>38</v>
      </c>
      <c r="F59" s="95" t="s">
        <v>968</v>
      </c>
      <c r="G59" s="96"/>
      <c r="H59" s="96"/>
      <c r="I59" s="96"/>
      <c r="J59" s="96"/>
      <c r="K59" s="96"/>
      <c r="L59" s="96"/>
      <c r="M59" s="96"/>
      <c r="N59" s="97"/>
    </row>
    <row r="60" spans="1:14">
      <c r="A60" s="10" t="s">
        <v>82</v>
      </c>
      <c r="B60" s="10">
        <v>51</v>
      </c>
      <c r="C60" s="10">
        <v>186</v>
      </c>
      <c r="D60" s="10">
        <v>26</v>
      </c>
      <c r="F60" s="64" t="s">
        <v>922</v>
      </c>
      <c r="N60" s="65"/>
    </row>
    <row r="61" spans="1:14" ht="19.5" thickBot="1">
      <c r="A61" s="10" t="s">
        <v>83</v>
      </c>
      <c r="B61" s="10">
        <v>98</v>
      </c>
      <c r="C61" s="10">
        <v>221</v>
      </c>
      <c r="D61" s="10">
        <v>16</v>
      </c>
      <c r="F61" s="64"/>
      <c r="N61" s="65"/>
    </row>
    <row r="62" spans="1:14">
      <c r="A62" s="10" t="s">
        <v>84</v>
      </c>
      <c r="B62" s="10">
        <v>114</v>
      </c>
      <c r="C62" s="10">
        <v>210</v>
      </c>
      <c r="D62" s="10">
        <v>18</v>
      </c>
      <c r="F62" s="66" t="s">
        <v>923</v>
      </c>
      <c r="G62" s="57"/>
      <c r="N62" s="65"/>
    </row>
    <row r="63" spans="1:14">
      <c r="A63" s="10" t="s">
        <v>85</v>
      </c>
      <c r="B63" s="10">
        <v>119</v>
      </c>
      <c r="C63" s="10">
        <v>198</v>
      </c>
      <c r="D63" s="10">
        <v>21</v>
      </c>
      <c r="F63" s="64" t="s">
        <v>924</v>
      </c>
      <c r="G63" s="10">
        <v>0.59975605499363449</v>
      </c>
      <c r="N63" s="65"/>
    </row>
    <row r="64" spans="1:14">
      <c r="A64" s="10" t="s">
        <v>86</v>
      </c>
      <c r="B64" s="10">
        <v>93</v>
      </c>
      <c r="C64" s="10">
        <v>170</v>
      </c>
      <c r="D64" s="10">
        <v>19</v>
      </c>
      <c r="F64" s="64" t="s">
        <v>925</v>
      </c>
      <c r="G64" s="10">
        <v>0.35970732550152751</v>
      </c>
      <c r="N64" s="65"/>
    </row>
    <row r="65" spans="1:14">
      <c r="A65" s="10" t="s">
        <v>87</v>
      </c>
      <c r="B65" s="10">
        <v>15</v>
      </c>
      <c r="C65" s="10">
        <v>102</v>
      </c>
      <c r="D65" s="10">
        <v>32</v>
      </c>
      <c r="F65" s="64" t="s">
        <v>926</v>
      </c>
      <c r="G65" s="10">
        <v>0.35780734723892077</v>
      </c>
      <c r="N65" s="65"/>
    </row>
    <row r="66" spans="1:14">
      <c r="A66" s="10" t="s">
        <v>88</v>
      </c>
      <c r="B66" s="10">
        <v>46</v>
      </c>
      <c r="C66" s="10">
        <v>129</v>
      </c>
      <c r="D66" s="10">
        <v>28</v>
      </c>
      <c r="F66" s="64" t="s">
        <v>718</v>
      </c>
      <c r="G66" s="10">
        <v>7.7782384756351357</v>
      </c>
      <c r="N66" s="65"/>
    </row>
    <row r="67" spans="1:14" ht="19.5" thickBot="1">
      <c r="A67" s="10" t="s">
        <v>89</v>
      </c>
      <c r="B67" s="10">
        <v>76</v>
      </c>
      <c r="C67" s="10">
        <v>141</v>
      </c>
      <c r="D67" s="10">
        <v>46</v>
      </c>
      <c r="F67" s="67" t="s">
        <v>868</v>
      </c>
      <c r="G67" s="58">
        <v>677</v>
      </c>
      <c r="N67" s="65"/>
    </row>
    <row r="68" spans="1:14">
      <c r="A68" s="10" t="s">
        <v>90</v>
      </c>
      <c r="B68" s="10">
        <v>30</v>
      </c>
      <c r="C68" s="10">
        <v>148</v>
      </c>
      <c r="D68" s="10">
        <v>22</v>
      </c>
      <c r="F68" s="64"/>
      <c r="N68" s="65"/>
    </row>
    <row r="69" spans="1:14" ht="19.5" thickBot="1">
      <c r="A69" s="10" t="s">
        <v>91</v>
      </c>
      <c r="B69" s="10">
        <v>61</v>
      </c>
      <c r="C69" s="10">
        <v>162</v>
      </c>
      <c r="D69" s="10">
        <v>16</v>
      </c>
      <c r="F69" s="64" t="s">
        <v>927</v>
      </c>
      <c r="N69" s="65"/>
    </row>
    <row r="70" spans="1:14">
      <c r="A70" s="10" t="s">
        <v>92</v>
      </c>
      <c r="B70" s="10">
        <v>48</v>
      </c>
      <c r="C70" s="10">
        <v>134</v>
      </c>
      <c r="D70" s="10">
        <v>26</v>
      </c>
      <c r="F70" s="68"/>
      <c r="G70" s="69" t="s">
        <v>870</v>
      </c>
      <c r="H70" s="69" t="s">
        <v>931</v>
      </c>
      <c r="I70" s="69" t="s">
        <v>722</v>
      </c>
      <c r="J70" s="69" t="s">
        <v>932</v>
      </c>
      <c r="K70" s="69" t="s">
        <v>933</v>
      </c>
      <c r="N70" s="65"/>
    </row>
    <row r="71" spans="1:14">
      <c r="A71" s="10" t="s">
        <v>93</v>
      </c>
      <c r="B71" s="10">
        <v>63</v>
      </c>
      <c r="C71" s="10">
        <v>154</v>
      </c>
      <c r="D71" s="10">
        <v>37</v>
      </c>
      <c r="F71" s="64" t="s">
        <v>928</v>
      </c>
      <c r="G71" s="10">
        <v>2</v>
      </c>
      <c r="H71" s="10">
        <v>22908.315418635852</v>
      </c>
      <c r="I71" s="10">
        <v>11454.157709317926</v>
      </c>
      <c r="J71" s="10">
        <v>189.32181098114989</v>
      </c>
      <c r="K71" s="10">
        <v>5.617792203083632E-66</v>
      </c>
      <c r="N71" s="65"/>
    </row>
    <row r="72" spans="1:14">
      <c r="A72" s="10" t="s">
        <v>94</v>
      </c>
      <c r="B72" s="10">
        <v>47</v>
      </c>
      <c r="C72" s="10">
        <v>116</v>
      </c>
      <c r="D72" s="10">
        <v>32</v>
      </c>
      <c r="F72" s="64" t="s">
        <v>929</v>
      </c>
      <c r="G72" s="10">
        <v>674</v>
      </c>
      <c r="H72" s="10">
        <v>40777.669810315434</v>
      </c>
      <c r="I72" s="10">
        <v>60.500993783850795</v>
      </c>
      <c r="N72" s="65"/>
    </row>
    <row r="73" spans="1:14" ht="19.5" thickBot="1">
      <c r="A73" s="10" t="s">
        <v>95</v>
      </c>
      <c r="B73" s="10">
        <v>60</v>
      </c>
      <c r="C73" s="10">
        <v>104</v>
      </c>
      <c r="D73" s="10">
        <v>46</v>
      </c>
      <c r="F73" s="67" t="s">
        <v>728</v>
      </c>
      <c r="G73" s="58">
        <v>676</v>
      </c>
      <c r="H73" s="58">
        <v>63685.985228951286</v>
      </c>
      <c r="I73" s="58"/>
      <c r="J73" s="58"/>
      <c r="K73" s="58"/>
      <c r="N73" s="65"/>
    </row>
    <row r="74" spans="1:14" ht="19.5" thickBot="1">
      <c r="A74" s="10" t="s">
        <v>96</v>
      </c>
      <c r="B74" s="10">
        <v>60</v>
      </c>
      <c r="C74" s="10">
        <v>178</v>
      </c>
      <c r="D74" s="10">
        <v>20</v>
      </c>
      <c r="F74" s="64"/>
      <c r="N74" s="65"/>
    </row>
    <row r="75" spans="1:14">
      <c r="A75" s="10" t="s">
        <v>97</v>
      </c>
      <c r="B75" s="10">
        <v>82</v>
      </c>
      <c r="C75" s="10">
        <v>145</v>
      </c>
      <c r="D75" s="10">
        <v>45</v>
      </c>
      <c r="F75" s="68"/>
      <c r="G75" s="69" t="s">
        <v>934</v>
      </c>
      <c r="H75" s="69" t="s">
        <v>718</v>
      </c>
      <c r="I75" s="69" t="s">
        <v>871</v>
      </c>
      <c r="J75" s="69" t="s">
        <v>935</v>
      </c>
      <c r="K75" s="69" t="s">
        <v>936</v>
      </c>
      <c r="L75" s="69" t="s">
        <v>937</v>
      </c>
      <c r="M75" s="69" t="s">
        <v>938</v>
      </c>
      <c r="N75" s="70" t="s">
        <v>939</v>
      </c>
    </row>
    <row r="76" spans="1:14">
      <c r="A76" s="10" t="s">
        <v>98</v>
      </c>
      <c r="B76" s="10">
        <v>44</v>
      </c>
      <c r="C76" s="10">
        <v>119</v>
      </c>
      <c r="D76" s="10">
        <v>34</v>
      </c>
      <c r="F76" s="64" t="s">
        <v>930</v>
      </c>
      <c r="G76" s="10">
        <v>55.465351810887142</v>
      </c>
      <c r="H76" s="10">
        <v>1.4587056705886075</v>
      </c>
      <c r="I76" s="10">
        <v>38.023676008955341</v>
      </c>
      <c r="J76" s="10">
        <v>7.3664059873472305E-170</v>
      </c>
      <c r="K76" s="10">
        <v>52.601197964969963</v>
      </c>
      <c r="L76" s="10">
        <v>58.329505656804322</v>
      </c>
      <c r="M76" s="10">
        <v>52.601197964969963</v>
      </c>
      <c r="N76" s="65">
        <v>58.329505656804322</v>
      </c>
    </row>
    <row r="77" spans="1:14" ht="19.5">
      <c r="A77" s="10" t="s">
        <v>99</v>
      </c>
      <c r="B77" s="10">
        <v>15</v>
      </c>
      <c r="C77" s="10">
        <v>128</v>
      </c>
      <c r="D77" s="10">
        <v>30</v>
      </c>
      <c r="F77" s="76" t="s">
        <v>776</v>
      </c>
      <c r="G77" s="77">
        <v>-2.6186889780130835E-4</v>
      </c>
      <c r="H77" s="10">
        <v>1.6187332166810044E-2</v>
      </c>
      <c r="I77" s="10">
        <v>-1.6177396936243482E-2</v>
      </c>
      <c r="J77" s="77">
        <v>0.98709765519402359</v>
      </c>
      <c r="K77" s="10">
        <v>-3.2045532055839016E-2</v>
      </c>
      <c r="L77" s="10">
        <v>3.1521794260236394E-2</v>
      </c>
      <c r="M77" s="10">
        <v>-3.2045532055839016E-2</v>
      </c>
      <c r="N77" s="65">
        <v>3.1521794260236394E-2</v>
      </c>
    </row>
    <row r="78" spans="1:14" ht="20.25" thickBot="1">
      <c r="A78" s="10" t="s">
        <v>100</v>
      </c>
      <c r="B78" s="10">
        <v>85</v>
      </c>
      <c r="C78" s="10">
        <v>142</v>
      </c>
      <c r="D78" s="10">
        <v>19</v>
      </c>
      <c r="F78" s="71" t="s">
        <v>9</v>
      </c>
      <c r="G78" s="72">
        <v>-0.18115485910306331</v>
      </c>
      <c r="H78" s="58">
        <v>1.2377999346022402E-2</v>
      </c>
      <c r="I78" s="58">
        <v>-14.635229332216467</v>
      </c>
      <c r="J78" s="72">
        <v>2.5481080960377141E-42</v>
      </c>
      <c r="K78" s="58">
        <v>-0.20545893575573362</v>
      </c>
      <c r="L78" s="58">
        <v>-0.15685078245039299</v>
      </c>
      <c r="M78" s="58">
        <v>-0.20545893575573362</v>
      </c>
      <c r="N78" s="73">
        <v>-0.15685078245039299</v>
      </c>
    </row>
    <row r="79" spans="1:14">
      <c r="A79" s="10" t="s">
        <v>101</v>
      </c>
      <c r="B79" s="10">
        <v>105</v>
      </c>
      <c r="C79" s="10">
        <v>150</v>
      </c>
      <c r="D79" s="10">
        <v>24</v>
      </c>
    </row>
    <row r="80" spans="1:14">
      <c r="A80" s="10" t="s">
        <v>102</v>
      </c>
      <c r="B80" s="10">
        <v>51</v>
      </c>
      <c r="C80" s="10">
        <v>142</v>
      </c>
      <c r="D80" s="10">
        <v>11</v>
      </c>
    </row>
    <row r="81" spans="1:4">
      <c r="A81" s="10" t="s">
        <v>103</v>
      </c>
      <c r="B81" s="10">
        <v>79</v>
      </c>
      <c r="C81" s="10">
        <v>156</v>
      </c>
      <c r="D81" s="10">
        <v>33</v>
      </c>
    </row>
    <row r="82" spans="1:4">
      <c r="A82" s="10" t="s">
        <v>104</v>
      </c>
      <c r="B82" s="10">
        <v>105</v>
      </c>
      <c r="C82" s="10">
        <v>191</v>
      </c>
      <c r="D82" s="10">
        <v>21</v>
      </c>
    </row>
    <row r="83" spans="1:4">
      <c r="A83" s="10" t="s">
        <v>105</v>
      </c>
      <c r="B83" s="10">
        <v>47</v>
      </c>
      <c r="C83" s="10">
        <v>116</v>
      </c>
      <c r="D83" s="10">
        <v>42</v>
      </c>
    </row>
    <row r="84" spans="1:4">
      <c r="A84" s="10" t="s">
        <v>106</v>
      </c>
      <c r="B84" s="10">
        <v>98</v>
      </c>
      <c r="C84" s="10">
        <v>170</v>
      </c>
      <c r="D84" s="10">
        <v>27</v>
      </c>
    </row>
    <row r="85" spans="1:4">
      <c r="A85" s="10" t="s">
        <v>107</v>
      </c>
      <c r="B85" s="10">
        <v>44</v>
      </c>
      <c r="C85" s="10">
        <v>119</v>
      </c>
      <c r="D85" s="10">
        <v>27</v>
      </c>
    </row>
    <row r="86" spans="1:4">
      <c r="A86" s="10" t="s">
        <v>108</v>
      </c>
      <c r="B86" s="10">
        <v>122</v>
      </c>
      <c r="C86" s="10">
        <v>216</v>
      </c>
      <c r="D86" s="10">
        <v>18</v>
      </c>
    </row>
    <row r="87" spans="1:4">
      <c r="A87" s="10" t="s">
        <v>109</v>
      </c>
      <c r="B87" s="10">
        <v>106</v>
      </c>
      <c r="C87" s="10">
        <v>182</v>
      </c>
      <c r="D87" s="10">
        <v>30</v>
      </c>
    </row>
    <row r="88" spans="1:4">
      <c r="A88" s="10" t="s">
        <v>110</v>
      </c>
      <c r="B88" s="10">
        <v>52</v>
      </c>
      <c r="C88" s="10">
        <v>154</v>
      </c>
      <c r="D88" s="10">
        <v>18</v>
      </c>
    </row>
    <row r="89" spans="1:4">
      <c r="A89" s="10" t="s">
        <v>111</v>
      </c>
      <c r="B89" s="10">
        <v>55</v>
      </c>
      <c r="C89" s="10">
        <v>195</v>
      </c>
      <c r="D89" s="10">
        <v>20</v>
      </c>
    </row>
    <row r="90" spans="1:4">
      <c r="A90" s="10" t="s">
        <v>112</v>
      </c>
      <c r="B90" s="10">
        <v>92</v>
      </c>
      <c r="C90" s="10">
        <v>175</v>
      </c>
      <c r="D90" s="10">
        <v>26</v>
      </c>
    </row>
    <row r="91" spans="1:4">
      <c r="A91" s="10" t="s">
        <v>113</v>
      </c>
      <c r="B91" s="10">
        <v>82</v>
      </c>
      <c r="C91" s="10">
        <v>154</v>
      </c>
      <c r="D91" s="10">
        <v>19</v>
      </c>
    </row>
    <row r="92" spans="1:4">
      <c r="A92" s="10" t="s">
        <v>114</v>
      </c>
      <c r="B92" s="10">
        <v>103</v>
      </c>
      <c r="C92" s="10">
        <v>169</v>
      </c>
      <c r="D92" s="10">
        <v>26</v>
      </c>
    </row>
    <row r="93" spans="1:4">
      <c r="A93" s="10" t="s">
        <v>115</v>
      </c>
      <c r="B93" s="10">
        <v>98</v>
      </c>
      <c r="C93" s="10">
        <v>170</v>
      </c>
      <c r="D93" s="10">
        <v>23</v>
      </c>
    </row>
    <row r="94" spans="1:4">
      <c r="A94" s="10" t="s">
        <v>116</v>
      </c>
      <c r="B94" s="10">
        <v>82</v>
      </c>
      <c r="C94" s="10">
        <v>128</v>
      </c>
      <c r="D94" s="10">
        <v>20</v>
      </c>
    </row>
    <row r="95" spans="1:4">
      <c r="A95" s="10" t="s">
        <v>117</v>
      </c>
      <c r="B95" s="10">
        <v>58</v>
      </c>
      <c r="C95" s="10">
        <v>159</v>
      </c>
      <c r="D95" s="10">
        <v>17</v>
      </c>
    </row>
    <row r="96" spans="1:4">
      <c r="A96" s="10" t="s">
        <v>118</v>
      </c>
      <c r="B96" s="10">
        <v>92</v>
      </c>
      <c r="C96" s="10">
        <v>137</v>
      </c>
      <c r="D96" s="10">
        <v>15</v>
      </c>
    </row>
    <row r="97" spans="1:4">
      <c r="A97" s="10" t="s">
        <v>119</v>
      </c>
      <c r="B97" s="10">
        <v>58</v>
      </c>
      <c r="C97" s="10">
        <v>109</v>
      </c>
      <c r="D97" s="10">
        <v>39</v>
      </c>
    </row>
    <row r="98" spans="1:4">
      <c r="A98" s="10" t="s">
        <v>120</v>
      </c>
      <c r="B98" s="10">
        <v>38</v>
      </c>
      <c r="C98" s="10">
        <v>128</v>
      </c>
      <c r="D98" s="10">
        <v>30</v>
      </c>
    </row>
    <row r="99" spans="1:4">
      <c r="A99" s="10" t="s">
        <v>121</v>
      </c>
      <c r="B99" s="10">
        <v>77</v>
      </c>
      <c r="C99" s="10">
        <v>133</v>
      </c>
      <c r="D99" s="10">
        <v>37</v>
      </c>
    </row>
    <row r="100" spans="1:4">
      <c r="A100" s="10" t="s">
        <v>122</v>
      </c>
      <c r="B100" s="10">
        <v>79</v>
      </c>
      <c r="C100" s="10">
        <v>146</v>
      </c>
      <c r="D100" s="10">
        <v>31</v>
      </c>
    </row>
    <row r="101" spans="1:4">
      <c r="A101" s="10" t="s">
        <v>123</v>
      </c>
      <c r="B101" s="10">
        <v>88</v>
      </c>
      <c r="C101" s="10">
        <v>164</v>
      </c>
      <c r="D101" s="10">
        <v>15</v>
      </c>
    </row>
    <row r="102" spans="1:4">
      <c r="A102" s="10" t="s">
        <v>124</v>
      </c>
      <c r="B102" s="10">
        <v>74</v>
      </c>
      <c r="C102" s="10">
        <v>149</v>
      </c>
      <c r="D102" s="10">
        <v>33</v>
      </c>
    </row>
    <row r="103" spans="1:4">
      <c r="A103" s="10" t="s">
        <v>125</v>
      </c>
      <c r="B103" s="10">
        <v>106</v>
      </c>
      <c r="C103" s="10">
        <v>168</v>
      </c>
      <c r="D103" s="10">
        <v>32</v>
      </c>
    </row>
    <row r="104" spans="1:4">
      <c r="A104" s="10" t="s">
        <v>126</v>
      </c>
      <c r="B104" s="10">
        <v>51</v>
      </c>
      <c r="C104" s="10">
        <v>130</v>
      </c>
      <c r="D104" s="10">
        <v>33</v>
      </c>
    </row>
    <row r="105" spans="1:4">
      <c r="A105" s="10" t="s">
        <v>127</v>
      </c>
      <c r="B105" s="10">
        <v>39</v>
      </c>
      <c r="C105" s="10">
        <v>126</v>
      </c>
      <c r="D105" s="10">
        <v>24</v>
      </c>
    </row>
    <row r="106" spans="1:4">
      <c r="A106" s="10" t="s">
        <v>128</v>
      </c>
      <c r="B106" s="10">
        <v>36</v>
      </c>
      <c r="C106" s="10">
        <v>115</v>
      </c>
      <c r="D106" s="10">
        <v>25</v>
      </c>
    </row>
    <row r="107" spans="1:4">
      <c r="A107" s="10" t="s">
        <v>129</v>
      </c>
      <c r="B107" s="10">
        <v>72</v>
      </c>
      <c r="C107" s="10">
        <v>136</v>
      </c>
      <c r="D107" s="10">
        <v>23</v>
      </c>
    </row>
    <row r="108" spans="1:4">
      <c r="A108" s="10" t="s">
        <v>130</v>
      </c>
      <c r="B108" s="10">
        <v>106</v>
      </c>
      <c r="C108" s="10">
        <v>161</v>
      </c>
      <c r="D108" s="10">
        <v>27</v>
      </c>
    </row>
    <row r="109" spans="1:4">
      <c r="A109" s="10" t="s">
        <v>131</v>
      </c>
      <c r="B109" s="10">
        <v>43</v>
      </c>
      <c r="C109" s="10">
        <v>108</v>
      </c>
      <c r="D109" s="10">
        <v>33</v>
      </c>
    </row>
    <row r="110" spans="1:4">
      <c r="A110" s="10" t="s">
        <v>132</v>
      </c>
      <c r="B110" s="10">
        <v>105</v>
      </c>
      <c r="C110" s="10">
        <v>198</v>
      </c>
      <c r="D110" s="10">
        <v>11</v>
      </c>
    </row>
    <row r="111" spans="1:4">
      <c r="A111" s="10" t="s">
        <v>133</v>
      </c>
      <c r="B111" s="10">
        <v>90</v>
      </c>
      <c r="C111" s="10">
        <v>203</v>
      </c>
      <c r="D111" s="10">
        <v>11</v>
      </c>
    </row>
    <row r="112" spans="1:4">
      <c r="A112" s="10" t="s">
        <v>134</v>
      </c>
      <c r="B112" s="10">
        <v>70</v>
      </c>
      <c r="C112" s="10">
        <v>109</v>
      </c>
      <c r="D112" s="10">
        <v>29</v>
      </c>
    </row>
    <row r="113" spans="1:4">
      <c r="A113" s="10" t="s">
        <v>135</v>
      </c>
      <c r="B113" s="10">
        <v>15</v>
      </c>
      <c r="C113" s="10">
        <v>109</v>
      </c>
      <c r="D113" s="10">
        <v>38</v>
      </c>
    </row>
    <row r="114" spans="1:4">
      <c r="A114" s="10" t="s">
        <v>136</v>
      </c>
      <c r="B114" s="10">
        <v>93</v>
      </c>
      <c r="C114" s="10">
        <v>140</v>
      </c>
      <c r="D114" s="10">
        <v>26</v>
      </c>
    </row>
    <row r="115" spans="1:4">
      <c r="A115" s="10" t="s">
        <v>137</v>
      </c>
      <c r="B115" s="10">
        <v>60</v>
      </c>
      <c r="C115" s="10">
        <v>102</v>
      </c>
      <c r="D115" s="10">
        <v>36</v>
      </c>
    </row>
    <row r="116" spans="1:4">
      <c r="A116" s="10" t="s">
        <v>138</v>
      </c>
      <c r="B116" s="10">
        <v>90</v>
      </c>
      <c r="C116" s="10">
        <v>142</v>
      </c>
      <c r="D116" s="10">
        <v>32</v>
      </c>
    </row>
    <row r="117" spans="1:4">
      <c r="A117" s="10" t="s">
        <v>139</v>
      </c>
      <c r="B117" s="10">
        <v>39</v>
      </c>
      <c r="C117" s="10">
        <v>171</v>
      </c>
      <c r="D117" s="10">
        <v>18</v>
      </c>
    </row>
    <row r="118" spans="1:4">
      <c r="A118" s="10" t="s">
        <v>140</v>
      </c>
      <c r="B118" s="10">
        <v>113</v>
      </c>
      <c r="C118" s="10">
        <v>212</v>
      </c>
      <c r="D118" s="10">
        <v>21</v>
      </c>
    </row>
    <row r="119" spans="1:4">
      <c r="A119" s="10" t="s">
        <v>141</v>
      </c>
      <c r="B119" s="10">
        <v>78</v>
      </c>
      <c r="C119" s="10">
        <v>141</v>
      </c>
      <c r="D119" s="10">
        <v>12</v>
      </c>
    </row>
    <row r="120" spans="1:4">
      <c r="A120" s="10" t="s">
        <v>142</v>
      </c>
      <c r="B120" s="10">
        <v>127</v>
      </c>
      <c r="C120" s="10">
        <v>184</v>
      </c>
      <c r="D120" s="10">
        <v>12</v>
      </c>
    </row>
    <row r="121" spans="1:4">
      <c r="A121" s="10" t="s">
        <v>143</v>
      </c>
      <c r="B121" s="10">
        <v>90</v>
      </c>
      <c r="C121" s="10">
        <v>164</v>
      </c>
      <c r="D121" s="10">
        <v>32</v>
      </c>
    </row>
    <row r="122" spans="1:4">
      <c r="A122" s="10" t="s">
        <v>144</v>
      </c>
      <c r="B122" s="10">
        <v>105</v>
      </c>
      <c r="C122" s="10">
        <v>179</v>
      </c>
      <c r="D122" s="10">
        <v>23</v>
      </c>
    </row>
    <row r="123" spans="1:4">
      <c r="A123" s="10" t="s">
        <v>145</v>
      </c>
      <c r="B123" s="10">
        <v>126</v>
      </c>
      <c r="C123" s="10">
        <v>159</v>
      </c>
      <c r="D123" s="10">
        <v>26</v>
      </c>
    </row>
    <row r="124" spans="1:4">
      <c r="A124" s="10" t="s">
        <v>146</v>
      </c>
      <c r="B124" s="10">
        <v>45</v>
      </c>
      <c r="C124" s="10">
        <v>140</v>
      </c>
      <c r="D124" s="10">
        <v>30</v>
      </c>
    </row>
    <row r="125" spans="1:4">
      <c r="A125" s="10" t="s">
        <v>147</v>
      </c>
      <c r="B125" s="10">
        <v>102</v>
      </c>
      <c r="C125" s="10">
        <v>175</v>
      </c>
      <c r="D125" s="10">
        <v>13</v>
      </c>
    </row>
    <row r="126" spans="1:4">
      <c r="A126" s="10" t="s">
        <v>148</v>
      </c>
      <c r="B126" s="10">
        <v>95</v>
      </c>
      <c r="C126" s="10">
        <v>161</v>
      </c>
      <c r="D126" s="10">
        <v>16</v>
      </c>
    </row>
    <row r="127" spans="1:4">
      <c r="A127" s="10" t="s">
        <v>150</v>
      </c>
      <c r="B127" s="10">
        <v>63</v>
      </c>
      <c r="C127" s="10">
        <v>173</v>
      </c>
      <c r="D127" s="10">
        <v>34</v>
      </c>
    </row>
    <row r="128" spans="1:4">
      <c r="A128" s="10" t="s">
        <v>151</v>
      </c>
      <c r="B128" s="10">
        <v>108</v>
      </c>
      <c r="C128" s="10">
        <v>186</v>
      </c>
      <c r="D128" s="10">
        <v>32</v>
      </c>
    </row>
    <row r="129" spans="1:4">
      <c r="A129" s="10" t="s">
        <v>152</v>
      </c>
      <c r="B129" s="10">
        <v>117</v>
      </c>
      <c r="C129" s="10">
        <v>187</v>
      </c>
      <c r="D129" s="10">
        <v>31</v>
      </c>
    </row>
    <row r="130" spans="1:4">
      <c r="A130" s="10" t="s">
        <v>153</v>
      </c>
      <c r="B130" s="10">
        <v>61</v>
      </c>
      <c r="C130" s="10">
        <v>130</v>
      </c>
      <c r="D130" s="10">
        <v>36</v>
      </c>
    </row>
    <row r="131" spans="1:4">
      <c r="A131" s="10" t="s">
        <v>154</v>
      </c>
      <c r="B131" s="10">
        <v>72</v>
      </c>
      <c r="C131" s="10">
        <v>112</v>
      </c>
      <c r="D131" s="10">
        <v>48</v>
      </c>
    </row>
    <row r="132" spans="1:4">
      <c r="A132" s="10" t="s">
        <v>155</v>
      </c>
      <c r="B132" s="10">
        <v>108</v>
      </c>
      <c r="C132" s="10">
        <v>183</v>
      </c>
      <c r="D132" s="10">
        <v>23</v>
      </c>
    </row>
    <row r="133" spans="1:4">
      <c r="A133" s="10" t="s">
        <v>156</v>
      </c>
      <c r="B133" s="10">
        <v>79</v>
      </c>
      <c r="C133" s="10">
        <v>175</v>
      </c>
      <c r="D133" s="10">
        <v>24</v>
      </c>
    </row>
    <row r="134" spans="1:4">
      <c r="A134" s="10" t="s">
        <v>157</v>
      </c>
      <c r="B134" s="10">
        <v>68</v>
      </c>
      <c r="C134" s="10">
        <v>140</v>
      </c>
      <c r="D134" s="10">
        <v>41</v>
      </c>
    </row>
    <row r="135" spans="1:4">
      <c r="A135" s="10" t="s">
        <v>158</v>
      </c>
      <c r="B135" s="10">
        <v>107</v>
      </c>
      <c r="C135" s="10">
        <v>177</v>
      </c>
      <c r="D135" s="10">
        <v>20</v>
      </c>
    </row>
    <row r="136" spans="1:4">
      <c r="A136" s="10" t="s">
        <v>159</v>
      </c>
      <c r="B136" s="10">
        <v>46</v>
      </c>
      <c r="C136" s="10">
        <v>139</v>
      </c>
      <c r="D136" s="10">
        <v>24</v>
      </c>
    </row>
    <row r="137" spans="1:4">
      <c r="A137" s="10" t="s">
        <v>160</v>
      </c>
      <c r="B137" s="10">
        <v>138</v>
      </c>
      <c r="C137" s="10">
        <v>186</v>
      </c>
      <c r="D137" s="10">
        <v>20</v>
      </c>
    </row>
    <row r="138" spans="1:4">
      <c r="A138" s="10" t="s">
        <v>161</v>
      </c>
      <c r="B138" s="10">
        <v>84</v>
      </c>
      <c r="C138" s="10">
        <v>173</v>
      </c>
      <c r="D138" s="10">
        <v>19</v>
      </c>
    </row>
    <row r="139" spans="1:4">
      <c r="A139" s="10" t="s">
        <v>162</v>
      </c>
      <c r="B139" s="10">
        <v>109</v>
      </c>
      <c r="C139" s="10">
        <v>176</v>
      </c>
      <c r="D139" s="10">
        <v>24</v>
      </c>
    </row>
    <row r="140" spans="1:4">
      <c r="A140" s="10" t="s">
        <v>163</v>
      </c>
      <c r="B140" s="10">
        <v>74</v>
      </c>
      <c r="C140" s="10">
        <v>144</v>
      </c>
      <c r="D140" s="10">
        <v>20</v>
      </c>
    </row>
    <row r="141" spans="1:4">
      <c r="A141" s="10" t="s">
        <v>164</v>
      </c>
      <c r="B141" s="10">
        <v>100</v>
      </c>
      <c r="C141" s="10">
        <v>146</v>
      </c>
      <c r="D141" s="10">
        <v>32</v>
      </c>
    </row>
    <row r="142" spans="1:4">
      <c r="A142" s="10" t="s">
        <v>165</v>
      </c>
      <c r="B142" s="10">
        <v>86</v>
      </c>
      <c r="C142" s="10">
        <v>184</v>
      </c>
      <c r="D142" s="10">
        <v>32</v>
      </c>
    </row>
    <row r="143" spans="1:4">
      <c r="A143" s="10" t="s">
        <v>166</v>
      </c>
      <c r="B143" s="10">
        <v>121</v>
      </c>
      <c r="C143" s="10">
        <v>185</v>
      </c>
      <c r="D143" s="10">
        <v>12</v>
      </c>
    </row>
    <row r="144" spans="1:4">
      <c r="A144" s="10" t="s">
        <v>167</v>
      </c>
      <c r="B144" s="10">
        <v>82</v>
      </c>
      <c r="C144" s="10">
        <v>124</v>
      </c>
      <c r="D144" s="10">
        <v>25</v>
      </c>
    </row>
    <row r="145" spans="1:4">
      <c r="A145" s="10" t="s">
        <v>168</v>
      </c>
      <c r="B145" s="10">
        <v>53</v>
      </c>
      <c r="C145" s="10">
        <v>146</v>
      </c>
      <c r="D145" s="10">
        <v>10</v>
      </c>
    </row>
    <row r="146" spans="1:4">
      <c r="A146" s="10" t="s">
        <v>169</v>
      </c>
      <c r="B146" s="10">
        <v>40</v>
      </c>
      <c r="C146" s="10">
        <v>97</v>
      </c>
      <c r="D146" s="10">
        <v>39</v>
      </c>
    </row>
    <row r="147" spans="1:4">
      <c r="A147" s="10" t="s">
        <v>170</v>
      </c>
      <c r="B147" s="10">
        <v>92</v>
      </c>
      <c r="C147" s="10">
        <v>152</v>
      </c>
      <c r="D147" s="10">
        <v>43</v>
      </c>
    </row>
    <row r="148" spans="1:4">
      <c r="A148" s="10" t="s">
        <v>171</v>
      </c>
      <c r="B148" s="10">
        <v>112</v>
      </c>
      <c r="C148" s="10">
        <v>178</v>
      </c>
      <c r="D148" s="10">
        <v>20</v>
      </c>
    </row>
    <row r="149" spans="1:4">
      <c r="A149" s="10" t="s">
        <v>172</v>
      </c>
      <c r="B149" s="10">
        <v>90</v>
      </c>
      <c r="C149" s="10">
        <v>166</v>
      </c>
      <c r="D149" s="10">
        <v>16</v>
      </c>
    </row>
    <row r="150" spans="1:4">
      <c r="A150" s="10" t="s">
        <v>173</v>
      </c>
      <c r="B150" s="10">
        <v>35</v>
      </c>
      <c r="C150" s="10">
        <v>101</v>
      </c>
      <c r="D150" s="10">
        <v>41</v>
      </c>
    </row>
    <row r="151" spans="1:4">
      <c r="A151" s="10" t="s">
        <v>174</v>
      </c>
      <c r="B151" s="10">
        <v>41</v>
      </c>
      <c r="C151" s="10">
        <v>102</v>
      </c>
      <c r="D151" s="10">
        <v>30</v>
      </c>
    </row>
    <row r="152" spans="1:4">
      <c r="A152" s="10" t="s">
        <v>175</v>
      </c>
      <c r="B152" s="10">
        <v>60</v>
      </c>
      <c r="C152" s="10">
        <v>72</v>
      </c>
      <c r="D152" s="10">
        <v>50</v>
      </c>
    </row>
    <row r="153" spans="1:4">
      <c r="A153" s="10" t="s">
        <v>176</v>
      </c>
      <c r="B153" s="10">
        <v>24</v>
      </c>
      <c r="C153" s="10">
        <v>100</v>
      </c>
      <c r="D153" s="10">
        <v>53</v>
      </c>
    </row>
    <row r="154" spans="1:4">
      <c r="A154" s="10" t="s">
        <v>177</v>
      </c>
      <c r="B154" s="10">
        <v>55</v>
      </c>
      <c r="C154" s="10">
        <v>104</v>
      </c>
      <c r="D154" s="10">
        <v>32</v>
      </c>
    </row>
    <row r="155" spans="1:4">
      <c r="A155" s="10" t="s">
        <v>178</v>
      </c>
      <c r="B155" s="10">
        <v>62</v>
      </c>
      <c r="C155" s="10">
        <v>104</v>
      </c>
      <c r="D155" s="10">
        <v>35</v>
      </c>
    </row>
    <row r="156" spans="1:4">
      <c r="A156" s="10" t="s">
        <v>179</v>
      </c>
      <c r="B156" s="10">
        <v>45</v>
      </c>
      <c r="C156" s="10">
        <v>128</v>
      </c>
      <c r="D156" s="10">
        <v>29</v>
      </c>
    </row>
    <row r="157" spans="1:4">
      <c r="A157" s="10" t="s">
        <v>180</v>
      </c>
      <c r="B157" s="10">
        <v>111</v>
      </c>
      <c r="C157" s="10">
        <v>189</v>
      </c>
      <c r="D157" s="10">
        <v>26</v>
      </c>
    </row>
    <row r="158" spans="1:4">
      <c r="A158" s="10" t="s">
        <v>181</v>
      </c>
      <c r="B158" s="10">
        <v>98</v>
      </c>
      <c r="C158" s="10">
        <v>198</v>
      </c>
      <c r="D158" s="10">
        <v>22</v>
      </c>
    </row>
    <row r="159" spans="1:4">
      <c r="A159" s="10" t="s">
        <v>182</v>
      </c>
      <c r="B159" s="10">
        <v>18</v>
      </c>
      <c r="C159" s="10">
        <v>124</v>
      </c>
      <c r="D159" s="10">
        <v>23</v>
      </c>
    </row>
    <row r="160" spans="1:4">
      <c r="A160" s="10" t="s">
        <v>183</v>
      </c>
      <c r="B160" s="10">
        <v>74</v>
      </c>
      <c r="C160" s="10">
        <v>134</v>
      </c>
      <c r="D160" s="10">
        <v>52</v>
      </c>
    </row>
    <row r="161" spans="1:4">
      <c r="A161" s="10" t="s">
        <v>184</v>
      </c>
      <c r="B161" s="10">
        <v>53</v>
      </c>
      <c r="C161" s="10">
        <v>137</v>
      </c>
      <c r="D161" s="10">
        <v>24</v>
      </c>
    </row>
    <row r="162" spans="1:4">
      <c r="A162" s="10" t="s">
        <v>185</v>
      </c>
      <c r="B162" s="10">
        <v>72</v>
      </c>
      <c r="C162" s="10">
        <v>135</v>
      </c>
      <c r="D162" s="10">
        <v>42</v>
      </c>
    </row>
    <row r="163" spans="1:4">
      <c r="A163" s="10" t="s">
        <v>186</v>
      </c>
      <c r="B163" s="10">
        <v>83</v>
      </c>
      <c r="C163" s="10">
        <v>140</v>
      </c>
      <c r="D163" s="10">
        <v>36</v>
      </c>
    </row>
    <row r="164" spans="1:4">
      <c r="A164" s="10" t="s">
        <v>187</v>
      </c>
      <c r="B164" s="10">
        <v>83</v>
      </c>
      <c r="C164" s="10">
        <v>174</v>
      </c>
      <c r="D164" s="10">
        <v>16</v>
      </c>
    </row>
    <row r="165" spans="1:4">
      <c r="A165" s="10" t="s">
        <v>188</v>
      </c>
      <c r="B165" s="10">
        <v>81</v>
      </c>
      <c r="C165" s="10">
        <v>112</v>
      </c>
      <c r="D165" s="10">
        <v>26</v>
      </c>
    </row>
    <row r="166" spans="1:4">
      <c r="A166" s="10" t="s">
        <v>189</v>
      </c>
      <c r="B166" s="10">
        <v>67</v>
      </c>
      <c r="C166" s="10">
        <v>133</v>
      </c>
      <c r="D166" s="10">
        <v>28</v>
      </c>
    </row>
    <row r="167" spans="1:4">
      <c r="A167" s="10" t="s">
        <v>190</v>
      </c>
      <c r="B167" s="10">
        <v>59</v>
      </c>
      <c r="C167" s="10">
        <v>145</v>
      </c>
      <c r="D167" s="10">
        <v>22</v>
      </c>
    </row>
    <row r="168" spans="1:4">
      <c r="A168" s="10" t="s">
        <v>191</v>
      </c>
      <c r="B168" s="10">
        <v>43</v>
      </c>
      <c r="C168" s="10">
        <v>107</v>
      </c>
      <c r="D168" s="10">
        <v>36</v>
      </c>
    </row>
    <row r="169" spans="1:4">
      <c r="A169" s="10" t="s">
        <v>192</v>
      </c>
      <c r="B169" s="10">
        <v>67</v>
      </c>
      <c r="C169" s="10">
        <v>186</v>
      </c>
      <c r="D169" s="10">
        <v>25</v>
      </c>
    </row>
    <row r="170" spans="1:4">
      <c r="A170" s="10" t="s">
        <v>193</v>
      </c>
      <c r="B170" s="10">
        <v>82</v>
      </c>
      <c r="C170" s="10">
        <v>147</v>
      </c>
      <c r="D170" s="10">
        <v>17</v>
      </c>
    </row>
    <row r="171" spans="1:4">
      <c r="A171" s="10" t="s">
        <v>194</v>
      </c>
      <c r="B171" s="10">
        <v>86</v>
      </c>
      <c r="C171" s="10">
        <v>181</v>
      </c>
      <c r="D171" s="10">
        <v>27</v>
      </c>
    </row>
    <row r="172" spans="1:4">
      <c r="A172" s="10" t="s">
        <v>195</v>
      </c>
      <c r="B172" s="10">
        <v>79</v>
      </c>
      <c r="C172" s="10">
        <v>162</v>
      </c>
      <c r="D172" s="10">
        <v>31</v>
      </c>
    </row>
    <row r="173" spans="1:4">
      <c r="A173" s="10" t="s">
        <v>196</v>
      </c>
      <c r="B173" s="10">
        <v>67</v>
      </c>
      <c r="C173" s="10">
        <v>118</v>
      </c>
      <c r="D173" s="10">
        <v>28</v>
      </c>
    </row>
    <row r="174" spans="1:4">
      <c r="A174" s="10" t="s">
        <v>197</v>
      </c>
      <c r="B174" s="10">
        <v>74</v>
      </c>
      <c r="C174" s="10">
        <v>120</v>
      </c>
      <c r="D174" s="10">
        <v>41</v>
      </c>
    </row>
    <row r="175" spans="1:4">
      <c r="A175" s="10" t="s">
        <v>198</v>
      </c>
      <c r="B175" s="10">
        <v>121</v>
      </c>
      <c r="C175" s="10">
        <v>193</v>
      </c>
      <c r="D175" s="10">
        <v>18</v>
      </c>
    </row>
    <row r="176" spans="1:4">
      <c r="A176" s="10" t="s">
        <v>199</v>
      </c>
      <c r="B176" s="10">
        <v>86</v>
      </c>
      <c r="C176" s="10">
        <v>196</v>
      </c>
      <c r="D176" s="10">
        <v>16</v>
      </c>
    </row>
    <row r="177" spans="1:4">
      <c r="A177" s="10" t="s">
        <v>200</v>
      </c>
      <c r="B177" s="10">
        <v>67</v>
      </c>
      <c r="C177" s="10">
        <v>178</v>
      </c>
      <c r="D177" s="10">
        <v>26</v>
      </c>
    </row>
    <row r="178" spans="1:4">
      <c r="A178" s="10" t="s">
        <v>201</v>
      </c>
      <c r="B178" s="10">
        <v>87</v>
      </c>
      <c r="C178" s="10">
        <v>177</v>
      </c>
      <c r="D178" s="10">
        <v>14</v>
      </c>
    </row>
    <row r="179" spans="1:4">
      <c r="A179" s="10" t="s">
        <v>202</v>
      </c>
      <c r="B179" s="10">
        <v>50</v>
      </c>
      <c r="C179" s="10">
        <v>84</v>
      </c>
      <c r="D179" s="10">
        <v>43</v>
      </c>
    </row>
    <row r="180" spans="1:4">
      <c r="A180" s="10" t="s">
        <v>203</v>
      </c>
      <c r="B180" s="10">
        <v>72</v>
      </c>
      <c r="C180" s="10">
        <v>200</v>
      </c>
      <c r="D180" s="10">
        <v>23</v>
      </c>
    </row>
    <row r="181" spans="1:4">
      <c r="A181" s="10" t="s">
        <v>204</v>
      </c>
      <c r="B181" s="10">
        <v>89</v>
      </c>
      <c r="C181" s="10">
        <v>194</v>
      </c>
      <c r="D181" s="10">
        <v>20</v>
      </c>
    </row>
    <row r="182" spans="1:4">
      <c r="A182" s="10" t="s">
        <v>205</v>
      </c>
      <c r="B182" s="10">
        <v>40</v>
      </c>
      <c r="C182" s="10">
        <v>125</v>
      </c>
      <c r="D182" s="10">
        <v>31</v>
      </c>
    </row>
    <row r="183" spans="1:4">
      <c r="A183" s="10" t="s">
        <v>206</v>
      </c>
      <c r="B183" s="10">
        <v>99</v>
      </c>
      <c r="C183" s="10">
        <v>163</v>
      </c>
      <c r="D183" s="10">
        <v>38</v>
      </c>
    </row>
    <row r="184" spans="1:4">
      <c r="A184" s="10" t="s">
        <v>207</v>
      </c>
      <c r="B184" s="10">
        <v>68</v>
      </c>
      <c r="C184" s="10">
        <v>155</v>
      </c>
      <c r="D184" s="10">
        <v>33</v>
      </c>
    </row>
    <row r="185" spans="1:4">
      <c r="A185" s="10" t="s">
        <v>208</v>
      </c>
      <c r="B185" s="10">
        <v>60</v>
      </c>
      <c r="C185" s="10">
        <v>113</v>
      </c>
      <c r="D185" s="10">
        <v>27</v>
      </c>
    </row>
    <row r="186" spans="1:4">
      <c r="A186" s="10" t="s">
        <v>209</v>
      </c>
      <c r="B186" s="10">
        <v>55</v>
      </c>
      <c r="C186" s="10">
        <v>133</v>
      </c>
      <c r="D186" s="10">
        <v>24</v>
      </c>
    </row>
    <row r="187" spans="1:4">
      <c r="A187" s="10" t="s">
        <v>210</v>
      </c>
      <c r="B187" s="10">
        <v>62</v>
      </c>
      <c r="C187" s="10">
        <v>119</v>
      </c>
      <c r="D187" s="10">
        <v>38</v>
      </c>
    </row>
    <row r="188" spans="1:4">
      <c r="A188" s="10" t="s">
        <v>211</v>
      </c>
      <c r="B188" s="10">
        <v>53</v>
      </c>
      <c r="C188" s="10">
        <v>106</v>
      </c>
      <c r="D188" s="10">
        <v>47</v>
      </c>
    </row>
    <row r="189" spans="1:4">
      <c r="A189" s="10" t="s">
        <v>212</v>
      </c>
      <c r="B189" s="10">
        <v>51</v>
      </c>
      <c r="C189" s="10">
        <v>146</v>
      </c>
      <c r="D189" s="10">
        <v>31</v>
      </c>
    </row>
    <row r="190" spans="1:4">
      <c r="A190" s="10" t="s">
        <v>213</v>
      </c>
      <c r="B190" s="10">
        <v>58</v>
      </c>
      <c r="C190" s="10">
        <v>140</v>
      </c>
      <c r="D190" s="10">
        <v>20</v>
      </c>
    </row>
    <row r="191" spans="1:4">
      <c r="A191" s="10" t="s">
        <v>214</v>
      </c>
      <c r="B191" s="10">
        <v>130</v>
      </c>
      <c r="C191" s="10">
        <v>226</v>
      </c>
      <c r="D191" s="10">
        <v>19</v>
      </c>
    </row>
    <row r="192" spans="1:4">
      <c r="A192" s="10" t="s">
        <v>215</v>
      </c>
      <c r="B192" s="10">
        <v>71</v>
      </c>
      <c r="C192" s="10">
        <v>151</v>
      </c>
      <c r="D192" s="10">
        <v>45</v>
      </c>
    </row>
    <row r="193" spans="1:4">
      <c r="A193" s="10" t="s">
        <v>216</v>
      </c>
      <c r="B193" s="10">
        <v>71</v>
      </c>
      <c r="C193" s="10">
        <v>110</v>
      </c>
      <c r="D193" s="10">
        <v>38</v>
      </c>
    </row>
    <row r="194" spans="1:4">
      <c r="A194" s="10" t="s">
        <v>217</v>
      </c>
      <c r="B194" s="10">
        <v>105</v>
      </c>
      <c r="C194" s="10">
        <v>192</v>
      </c>
      <c r="D194" s="10">
        <v>18</v>
      </c>
    </row>
    <row r="195" spans="1:4">
      <c r="A195" s="10" t="s">
        <v>218</v>
      </c>
      <c r="B195" s="10">
        <v>117</v>
      </c>
      <c r="C195" s="10">
        <v>168</v>
      </c>
      <c r="D195" s="10">
        <v>14</v>
      </c>
    </row>
    <row r="196" spans="1:4">
      <c r="A196" s="10" t="s">
        <v>219</v>
      </c>
      <c r="B196" s="10">
        <v>39</v>
      </c>
      <c r="C196" s="10">
        <v>135</v>
      </c>
      <c r="D196" s="10">
        <v>42</v>
      </c>
    </row>
    <row r="197" spans="1:4">
      <c r="A197" s="10" t="s">
        <v>220</v>
      </c>
      <c r="B197" s="10">
        <v>60</v>
      </c>
      <c r="C197" s="10">
        <v>157</v>
      </c>
      <c r="D197" s="10">
        <v>33</v>
      </c>
    </row>
    <row r="198" spans="1:4">
      <c r="A198" s="10" t="s">
        <v>221</v>
      </c>
      <c r="B198" s="10">
        <v>63</v>
      </c>
      <c r="C198" s="10">
        <v>152</v>
      </c>
      <c r="D198" s="10">
        <v>34</v>
      </c>
    </row>
    <row r="199" spans="1:4">
      <c r="A199" s="10" t="s">
        <v>222</v>
      </c>
      <c r="B199" s="10">
        <v>97</v>
      </c>
      <c r="C199" s="10">
        <v>206</v>
      </c>
      <c r="D199" s="10">
        <v>15</v>
      </c>
    </row>
    <row r="200" spans="1:4">
      <c r="A200" s="10" t="s">
        <v>223</v>
      </c>
      <c r="B200" s="10">
        <v>127</v>
      </c>
      <c r="C200" s="10">
        <v>192</v>
      </c>
      <c r="D200" s="10">
        <v>22</v>
      </c>
    </row>
    <row r="201" spans="1:4">
      <c r="A201" s="10" t="s">
        <v>224</v>
      </c>
      <c r="B201" s="10">
        <v>92</v>
      </c>
      <c r="C201" s="10">
        <v>166</v>
      </c>
      <c r="D201" s="10">
        <v>30</v>
      </c>
    </row>
    <row r="202" spans="1:4">
      <c r="A202" s="10" t="s">
        <v>225</v>
      </c>
      <c r="B202" s="10">
        <v>71</v>
      </c>
      <c r="C202" s="10">
        <v>124</v>
      </c>
      <c r="D202" s="10">
        <v>25</v>
      </c>
    </row>
    <row r="203" spans="1:4">
      <c r="A203" s="10" t="s">
        <v>226</v>
      </c>
      <c r="B203" s="10">
        <v>57</v>
      </c>
      <c r="C203" s="10">
        <v>156</v>
      </c>
      <c r="D203" s="10">
        <v>26</v>
      </c>
    </row>
    <row r="204" spans="1:4">
      <c r="A204" s="10" t="s">
        <v>227</v>
      </c>
      <c r="B204" s="10">
        <v>84</v>
      </c>
      <c r="C204" s="10">
        <v>186</v>
      </c>
      <c r="D204" s="10">
        <v>11</v>
      </c>
    </row>
    <row r="205" spans="1:4">
      <c r="A205" s="10" t="s">
        <v>228</v>
      </c>
      <c r="B205" s="10">
        <v>82</v>
      </c>
      <c r="C205" s="10">
        <v>137</v>
      </c>
      <c r="D205" s="10">
        <v>28</v>
      </c>
    </row>
    <row r="206" spans="1:4">
      <c r="A206" s="10" t="s">
        <v>229</v>
      </c>
      <c r="B206" s="10">
        <v>98</v>
      </c>
      <c r="C206" s="10">
        <v>176</v>
      </c>
      <c r="D206" s="10">
        <v>22</v>
      </c>
    </row>
    <row r="207" spans="1:4">
      <c r="A207" s="10" t="s">
        <v>230</v>
      </c>
      <c r="B207" s="10">
        <v>33</v>
      </c>
      <c r="C207" s="10">
        <v>89</v>
      </c>
      <c r="D207" s="10">
        <v>37</v>
      </c>
    </row>
    <row r="208" spans="1:4">
      <c r="A208" s="10" t="s">
        <v>231</v>
      </c>
      <c r="B208" s="10">
        <v>109</v>
      </c>
      <c r="C208" s="10">
        <v>169</v>
      </c>
      <c r="D208" s="10">
        <v>31</v>
      </c>
    </row>
    <row r="209" spans="1:4">
      <c r="A209" s="10" t="s">
        <v>232</v>
      </c>
      <c r="B209" s="10">
        <v>112</v>
      </c>
      <c r="C209" s="10">
        <v>160</v>
      </c>
      <c r="D209" s="10">
        <v>19</v>
      </c>
    </row>
    <row r="210" spans="1:4">
      <c r="A210" s="10" t="s">
        <v>233</v>
      </c>
      <c r="B210" s="10">
        <v>93</v>
      </c>
      <c r="C210" s="10">
        <v>175</v>
      </c>
      <c r="D210" s="10">
        <v>32</v>
      </c>
    </row>
    <row r="211" spans="1:4">
      <c r="A211" s="10" t="s">
        <v>234</v>
      </c>
      <c r="B211" s="10">
        <v>64</v>
      </c>
      <c r="C211" s="10">
        <v>135</v>
      </c>
      <c r="D211" s="10">
        <v>27</v>
      </c>
    </row>
    <row r="212" spans="1:4">
      <c r="A212" s="10" t="s">
        <v>235</v>
      </c>
      <c r="B212" s="10">
        <v>93</v>
      </c>
      <c r="C212" s="10">
        <v>202</v>
      </c>
      <c r="D212" s="10">
        <v>13</v>
      </c>
    </row>
    <row r="213" spans="1:4">
      <c r="A213" s="10" t="s">
        <v>236</v>
      </c>
      <c r="B213" s="10">
        <v>62</v>
      </c>
      <c r="C213" s="10">
        <v>189</v>
      </c>
      <c r="D213" s="10">
        <v>31</v>
      </c>
    </row>
    <row r="214" spans="1:4">
      <c r="A214" s="10" t="s">
        <v>237</v>
      </c>
      <c r="B214" s="10">
        <v>71</v>
      </c>
      <c r="C214" s="10">
        <v>132</v>
      </c>
      <c r="D214" s="10">
        <v>20</v>
      </c>
    </row>
    <row r="215" spans="1:4">
      <c r="A215" s="10" t="s">
        <v>238</v>
      </c>
      <c r="B215" s="10">
        <v>51</v>
      </c>
      <c r="C215" s="10">
        <v>138</v>
      </c>
      <c r="D215" s="10">
        <v>26</v>
      </c>
    </row>
    <row r="216" spans="1:4">
      <c r="A216" s="10" t="s">
        <v>239</v>
      </c>
      <c r="B216" s="10">
        <v>83</v>
      </c>
      <c r="C216" s="10">
        <v>170</v>
      </c>
      <c r="D216" s="10">
        <v>42</v>
      </c>
    </row>
    <row r="217" spans="1:4">
      <c r="A217" s="10" t="s">
        <v>240</v>
      </c>
      <c r="B217" s="10">
        <v>81</v>
      </c>
      <c r="C217" s="10">
        <v>186</v>
      </c>
      <c r="D217" s="10">
        <v>24</v>
      </c>
    </row>
    <row r="218" spans="1:4">
      <c r="A218" s="10" t="s">
        <v>241</v>
      </c>
      <c r="B218" s="10">
        <v>52</v>
      </c>
      <c r="C218" s="10">
        <v>89</v>
      </c>
      <c r="D218" s="10">
        <v>50</v>
      </c>
    </row>
    <row r="219" spans="1:4">
      <c r="A219" s="10" t="s">
        <v>242</v>
      </c>
      <c r="B219" s="10">
        <v>45</v>
      </c>
      <c r="C219" s="10">
        <v>105</v>
      </c>
      <c r="D219" s="10">
        <v>41</v>
      </c>
    </row>
    <row r="220" spans="1:4">
      <c r="A220" s="10" t="s">
        <v>244</v>
      </c>
      <c r="B220" s="10">
        <v>116</v>
      </c>
      <c r="C220" s="10">
        <v>189</v>
      </c>
      <c r="D220" s="10">
        <v>29</v>
      </c>
    </row>
    <row r="221" spans="1:4">
      <c r="A221" s="10" t="s">
        <v>245</v>
      </c>
      <c r="B221" s="10">
        <v>72</v>
      </c>
      <c r="C221" s="10">
        <v>152</v>
      </c>
      <c r="D221" s="10">
        <v>23</v>
      </c>
    </row>
    <row r="222" spans="1:4">
      <c r="A222" s="10" t="s">
        <v>246</v>
      </c>
      <c r="B222" s="10">
        <v>103</v>
      </c>
      <c r="C222" s="10">
        <v>226</v>
      </c>
      <c r="D222" s="10">
        <v>13</v>
      </c>
    </row>
    <row r="223" spans="1:4">
      <c r="A223" s="10" t="s">
        <v>247</v>
      </c>
      <c r="B223" s="10">
        <v>76</v>
      </c>
      <c r="C223" s="10">
        <v>146</v>
      </c>
      <c r="D223" s="10">
        <v>32</v>
      </c>
    </row>
    <row r="224" spans="1:4">
      <c r="A224" s="10" t="s">
        <v>248</v>
      </c>
      <c r="B224" s="10">
        <v>66</v>
      </c>
      <c r="C224" s="10">
        <v>197</v>
      </c>
      <c r="D224" s="10">
        <v>24</v>
      </c>
    </row>
    <row r="225" spans="1:4">
      <c r="A225" s="10" t="s">
        <v>249</v>
      </c>
      <c r="B225" s="10">
        <v>87</v>
      </c>
      <c r="C225" s="10">
        <v>188</v>
      </c>
      <c r="D225" s="10">
        <v>33</v>
      </c>
    </row>
    <row r="226" spans="1:4">
      <c r="A226" s="10" t="s">
        <v>250</v>
      </c>
      <c r="B226" s="10">
        <v>109</v>
      </c>
      <c r="C226" s="10">
        <v>151</v>
      </c>
      <c r="D226" s="10">
        <v>29</v>
      </c>
    </row>
    <row r="227" spans="1:4">
      <c r="A227" s="10" t="s">
        <v>251</v>
      </c>
      <c r="B227" s="10">
        <v>128</v>
      </c>
      <c r="C227" s="10">
        <v>207</v>
      </c>
      <c r="D227" s="10">
        <v>24</v>
      </c>
    </row>
    <row r="228" spans="1:4">
      <c r="A228" s="10" t="s">
        <v>252</v>
      </c>
      <c r="B228" s="10">
        <v>73</v>
      </c>
      <c r="C228" s="10">
        <v>104</v>
      </c>
      <c r="D228" s="10">
        <v>40</v>
      </c>
    </row>
    <row r="229" spans="1:4">
      <c r="A229" s="10" t="s">
        <v>253</v>
      </c>
      <c r="B229" s="10">
        <v>78</v>
      </c>
      <c r="C229" s="10">
        <v>188</v>
      </c>
      <c r="D229" s="10">
        <v>16</v>
      </c>
    </row>
    <row r="230" spans="1:4">
      <c r="A230" s="10" t="s">
        <v>254</v>
      </c>
      <c r="B230" s="10">
        <v>151</v>
      </c>
      <c r="C230" s="10">
        <v>234</v>
      </c>
      <c r="D230" s="10">
        <v>11</v>
      </c>
    </row>
    <row r="231" spans="1:4">
      <c r="A231" s="10" t="s">
        <v>255</v>
      </c>
      <c r="B231" s="10">
        <v>114</v>
      </c>
      <c r="C231" s="10">
        <v>202</v>
      </c>
      <c r="D231" s="10">
        <v>19</v>
      </c>
    </row>
    <row r="232" spans="1:4">
      <c r="A232" s="10" t="s">
        <v>256</v>
      </c>
      <c r="B232" s="10">
        <v>60</v>
      </c>
      <c r="C232" s="10">
        <v>126</v>
      </c>
      <c r="D232" s="10">
        <v>42</v>
      </c>
    </row>
    <row r="233" spans="1:4">
      <c r="A233" s="10" t="s">
        <v>257</v>
      </c>
      <c r="B233" s="10">
        <v>69</v>
      </c>
      <c r="C233" s="10">
        <v>144</v>
      </c>
      <c r="D233" s="10">
        <v>27</v>
      </c>
    </row>
    <row r="234" spans="1:4">
      <c r="A234" s="10" t="s">
        <v>258</v>
      </c>
      <c r="B234" s="10">
        <v>88</v>
      </c>
      <c r="C234" s="10">
        <v>180</v>
      </c>
      <c r="D234" s="10">
        <v>24</v>
      </c>
    </row>
    <row r="235" spans="1:4">
      <c r="A235" s="10" t="s">
        <v>259</v>
      </c>
      <c r="B235" s="10">
        <v>58</v>
      </c>
      <c r="C235" s="10">
        <v>138</v>
      </c>
      <c r="D235" s="10">
        <v>27</v>
      </c>
    </row>
    <row r="236" spans="1:4">
      <c r="A236" s="10" t="s">
        <v>260</v>
      </c>
      <c r="B236" s="10">
        <v>103</v>
      </c>
      <c r="C236" s="10">
        <v>220</v>
      </c>
      <c r="D236" s="10">
        <v>14</v>
      </c>
    </row>
    <row r="237" spans="1:4">
      <c r="A237" s="10" t="s">
        <v>261</v>
      </c>
      <c r="B237" s="10">
        <v>87</v>
      </c>
      <c r="C237" s="10">
        <v>204</v>
      </c>
      <c r="D237" s="10">
        <v>12</v>
      </c>
    </row>
    <row r="238" spans="1:4">
      <c r="A238" s="10" t="s">
        <v>262</v>
      </c>
      <c r="B238" s="10">
        <v>105</v>
      </c>
      <c r="C238" s="10">
        <v>153</v>
      </c>
      <c r="D238" s="10">
        <v>23</v>
      </c>
    </row>
    <row r="239" spans="1:4">
      <c r="A239" s="10" t="s">
        <v>263</v>
      </c>
      <c r="B239" s="10">
        <v>53</v>
      </c>
      <c r="C239" s="10">
        <v>114</v>
      </c>
      <c r="D239" s="10">
        <v>40</v>
      </c>
    </row>
    <row r="240" spans="1:4">
      <c r="A240" s="10" t="s">
        <v>264</v>
      </c>
      <c r="B240" s="10">
        <v>72</v>
      </c>
      <c r="C240" s="10">
        <v>130</v>
      </c>
      <c r="D240" s="10">
        <v>33</v>
      </c>
    </row>
    <row r="241" spans="1:4">
      <c r="A241" s="10" t="s">
        <v>265</v>
      </c>
      <c r="B241" s="10">
        <v>62</v>
      </c>
      <c r="C241" s="10">
        <v>146</v>
      </c>
      <c r="D241" s="10">
        <v>33</v>
      </c>
    </row>
    <row r="242" spans="1:4">
      <c r="A242" s="10" t="s">
        <v>266</v>
      </c>
      <c r="B242" s="10">
        <v>66</v>
      </c>
      <c r="C242" s="10">
        <v>179</v>
      </c>
      <c r="D242" s="10">
        <v>30</v>
      </c>
    </row>
    <row r="243" spans="1:4">
      <c r="A243" s="10" t="s">
        <v>267</v>
      </c>
      <c r="B243" s="10">
        <v>74</v>
      </c>
      <c r="C243" s="10">
        <v>148</v>
      </c>
      <c r="D243" s="10">
        <v>35</v>
      </c>
    </row>
    <row r="244" spans="1:4">
      <c r="A244" s="10" t="s">
        <v>268</v>
      </c>
      <c r="B244" s="10">
        <v>73</v>
      </c>
      <c r="C244" s="10">
        <v>133</v>
      </c>
      <c r="D244" s="10">
        <v>26</v>
      </c>
    </row>
    <row r="245" spans="1:4">
      <c r="A245" s="10" t="s">
        <v>269</v>
      </c>
      <c r="B245" s="10">
        <v>150</v>
      </c>
      <c r="C245" s="10">
        <v>210</v>
      </c>
      <c r="D245" s="10">
        <v>6</v>
      </c>
    </row>
    <row r="246" spans="1:4">
      <c r="A246" s="10" t="s">
        <v>270</v>
      </c>
      <c r="B246" s="10">
        <v>86</v>
      </c>
      <c r="C246" s="10">
        <v>153</v>
      </c>
      <c r="D246" s="10">
        <v>17</v>
      </c>
    </row>
    <row r="247" spans="1:4">
      <c r="A247" s="10" t="s">
        <v>271</v>
      </c>
      <c r="B247" s="10">
        <v>79</v>
      </c>
      <c r="C247" s="10">
        <v>99</v>
      </c>
      <c r="D247" s="10">
        <v>41</v>
      </c>
    </row>
    <row r="248" spans="1:4">
      <c r="A248" s="10" t="s">
        <v>272</v>
      </c>
      <c r="B248" s="10">
        <v>80</v>
      </c>
      <c r="C248" s="10">
        <v>148</v>
      </c>
      <c r="D248" s="10">
        <v>33</v>
      </c>
    </row>
    <row r="249" spans="1:4">
      <c r="A249" s="10" t="s">
        <v>273</v>
      </c>
      <c r="B249" s="10">
        <v>30</v>
      </c>
      <c r="C249" s="10">
        <v>134</v>
      </c>
      <c r="D249" s="10">
        <v>39</v>
      </c>
    </row>
    <row r="250" spans="1:4">
      <c r="A250" s="10" t="s">
        <v>274</v>
      </c>
      <c r="B250" s="10">
        <v>69</v>
      </c>
      <c r="C250" s="10">
        <v>172</v>
      </c>
      <c r="D250" s="10">
        <v>17</v>
      </c>
    </row>
    <row r="251" spans="1:4">
      <c r="A251" s="10" t="s">
        <v>275</v>
      </c>
      <c r="B251" s="10">
        <v>73</v>
      </c>
      <c r="C251" s="10">
        <v>116</v>
      </c>
      <c r="D251" s="10">
        <v>24</v>
      </c>
    </row>
    <row r="252" spans="1:4">
      <c r="A252" s="10" t="s">
        <v>276</v>
      </c>
      <c r="B252" s="10">
        <v>44</v>
      </c>
      <c r="C252" s="10">
        <v>115</v>
      </c>
      <c r="D252" s="10">
        <v>35</v>
      </c>
    </row>
    <row r="253" spans="1:4">
      <c r="A253" s="10" t="s">
        <v>277</v>
      </c>
      <c r="B253" s="10">
        <v>76</v>
      </c>
      <c r="C253" s="10">
        <v>157</v>
      </c>
      <c r="D253" s="10">
        <v>18</v>
      </c>
    </row>
    <row r="254" spans="1:4">
      <c r="A254" s="10" t="s">
        <v>278</v>
      </c>
      <c r="B254" s="10">
        <v>97</v>
      </c>
      <c r="C254" s="10">
        <v>208</v>
      </c>
      <c r="D254" s="10">
        <v>20</v>
      </c>
    </row>
    <row r="255" spans="1:4">
      <c r="A255" s="10" t="s">
        <v>279</v>
      </c>
      <c r="B255" s="10">
        <v>81</v>
      </c>
      <c r="C255" s="10">
        <v>145</v>
      </c>
      <c r="D255" s="10">
        <v>24</v>
      </c>
    </row>
    <row r="256" spans="1:4">
      <c r="A256" s="10" t="s">
        <v>280</v>
      </c>
      <c r="B256" s="10">
        <v>84</v>
      </c>
      <c r="C256" s="10">
        <v>130</v>
      </c>
      <c r="D256" s="10">
        <v>40</v>
      </c>
    </row>
    <row r="257" spans="1:4">
      <c r="A257" s="10" t="s">
        <v>281</v>
      </c>
      <c r="B257" s="10">
        <v>106</v>
      </c>
      <c r="C257" s="10">
        <v>222</v>
      </c>
      <c r="D257" s="10">
        <v>13</v>
      </c>
    </row>
    <row r="258" spans="1:4">
      <c r="A258" s="10" t="s">
        <v>282</v>
      </c>
      <c r="B258" s="10">
        <v>104</v>
      </c>
      <c r="C258" s="10">
        <v>194</v>
      </c>
      <c r="D258" s="10">
        <v>32</v>
      </c>
    </row>
    <row r="259" spans="1:4">
      <c r="A259" s="10" t="s">
        <v>283</v>
      </c>
      <c r="B259" s="10">
        <v>67</v>
      </c>
      <c r="C259" s="10">
        <v>113</v>
      </c>
      <c r="D259" s="10">
        <v>34</v>
      </c>
    </row>
    <row r="260" spans="1:4">
      <c r="A260" s="10" t="s">
        <v>284</v>
      </c>
      <c r="B260" s="10">
        <v>63</v>
      </c>
      <c r="C260" s="10">
        <v>145</v>
      </c>
      <c r="D260" s="10">
        <v>34</v>
      </c>
    </row>
    <row r="261" spans="1:4">
      <c r="A261" s="10" t="s">
        <v>285</v>
      </c>
      <c r="B261" s="10">
        <v>90</v>
      </c>
      <c r="C261" s="10">
        <v>154</v>
      </c>
      <c r="D261" s="10">
        <v>31</v>
      </c>
    </row>
    <row r="262" spans="1:4">
      <c r="A262" s="10" t="s">
        <v>286</v>
      </c>
      <c r="B262" s="10">
        <v>63</v>
      </c>
      <c r="C262" s="10">
        <v>126</v>
      </c>
      <c r="D262" s="10">
        <v>47</v>
      </c>
    </row>
    <row r="263" spans="1:4">
      <c r="A263" s="10" t="s">
        <v>287</v>
      </c>
      <c r="B263" s="10">
        <v>46</v>
      </c>
      <c r="C263" s="10">
        <v>108</v>
      </c>
      <c r="D263" s="10">
        <v>43</v>
      </c>
    </row>
    <row r="264" spans="1:4">
      <c r="A264" s="10" t="s">
        <v>288</v>
      </c>
      <c r="B264" s="10">
        <v>56</v>
      </c>
      <c r="C264" s="10">
        <v>120</v>
      </c>
      <c r="D264" s="10">
        <v>27</v>
      </c>
    </row>
    <row r="265" spans="1:4">
      <c r="A265" s="10" t="s">
        <v>289</v>
      </c>
      <c r="B265" s="10">
        <v>75</v>
      </c>
      <c r="C265" s="10">
        <v>172</v>
      </c>
      <c r="D265" s="10">
        <v>11</v>
      </c>
    </row>
    <row r="266" spans="1:4">
      <c r="A266" s="10" t="s">
        <v>290</v>
      </c>
      <c r="B266" s="10">
        <v>82</v>
      </c>
      <c r="C266" s="10">
        <v>126</v>
      </c>
      <c r="D266" s="10">
        <v>37</v>
      </c>
    </row>
    <row r="267" spans="1:4">
      <c r="A267" s="10" t="s">
        <v>291</v>
      </c>
      <c r="B267" s="10">
        <v>78</v>
      </c>
      <c r="C267" s="10">
        <v>180</v>
      </c>
      <c r="D267" s="10">
        <v>26</v>
      </c>
    </row>
    <row r="268" spans="1:4">
      <c r="A268" s="10" t="s">
        <v>292</v>
      </c>
      <c r="B268" s="10">
        <v>101</v>
      </c>
      <c r="C268" s="10">
        <v>195</v>
      </c>
      <c r="D268" s="10">
        <v>27</v>
      </c>
    </row>
    <row r="269" spans="1:4">
      <c r="A269" s="10" t="s">
        <v>293</v>
      </c>
      <c r="B269" s="10">
        <v>79</v>
      </c>
      <c r="C269" s="10">
        <v>179</v>
      </c>
      <c r="D269" s="10">
        <v>21</v>
      </c>
    </row>
    <row r="270" spans="1:4">
      <c r="A270" s="10" t="s">
        <v>294</v>
      </c>
      <c r="B270" s="10">
        <v>67</v>
      </c>
      <c r="C270" s="10">
        <v>126</v>
      </c>
      <c r="D270" s="10">
        <v>35</v>
      </c>
    </row>
    <row r="271" spans="1:4">
      <c r="A271" s="10" t="s">
        <v>295</v>
      </c>
      <c r="B271" s="10">
        <v>92</v>
      </c>
      <c r="C271" s="10">
        <v>206</v>
      </c>
      <c r="D271" s="10">
        <v>25</v>
      </c>
    </row>
    <row r="272" spans="1:4">
      <c r="A272" s="10" t="s">
        <v>296</v>
      </c>
      <c r="B272" s="10">
        <v>73</v>
      </c>
      <c r="C272" s="10">
        <v>151</v>
      </c>
      <c r="D272" s="10">
        <v>28</v>
      </c>
    </row>
    <row r="273" spans="1:4">
      <c r="A273" s="10" t="s">
        <v>297</v>
      </c>
      <c r="B273" s="10">
        <v>73</v>
      </c>
      <c r="C273" s="10">
        <v>163</v>
      </c>
      <c r="D273" s="10">
        <v>21</v>
      </c>
    </row>
    <row r="274" spans="1:4">
      <c r="A274" s="10" t="s">
        <v>298</v>
      </c>
      <c r="B274" s="10">
        <v>79</v>
      </c>
      <c r="C274" s="10">
        <v>169</v>
      </c>
      <c r="D274" s="10">
        <v>24</v>
      </c>
    </row>
    <row r="275" spans="1:4">
      <c r="A275" s="10" t="s">
        <v>299</v>
      </c>
      <c r="B275" s="10">
        <v>89</v>
      </c>
      <c r="C275" s="10">
        <v>187</v>
      </c>
      <c r="D275" s="10">
        <v>19</v>
      </c>
    </row>
    <row r="276" spans="1:4">
      <c r="A276" s="10" t="s">
        <v>300</v>
      </c>
      <c r="B276" s="10">
        <v>93</v>
      </c>
      <c r="C276" s="10">
        <v>158</v>
      </c>
      <c r="D276" s="10">
        <v>25</v>
      </c>
    </row>
    <row r="277" spans="1:4">
      <c r="A277" s="10" t="s">
        <v>302</v>
      </c>
      <c r="B277" s="10">
        <v>55</v>
      </c>
      <c r="C277" s="10">
        <v>130</v>
      </c>
      <c r="D277" s="10">
        <v>33</v>
      </c>
    </row>
    <row r="278" spans="1:4">
      <c r="A278" s="10" t="s">
        <v>303</v>
      </c>
      <c r="B278" s="10">
        <v>73</v>
      </c>
      <c r="C278" s="10">
        <v>172</v>
      </c>
      <c r="D278" s="10">
        <v>26</v>
      </c>
    </row>
    <row r="279" spans="1:4">
      <c r="A279" s="10" t="s">
        <v>304</v>
      </c>
      <c r="B279" s="10">
        <v>67</v>
      </c>
      <c r="C279" s="10">
        <v>137</v>
      </c>
      <c r="D279" s="10">
        <v>31</v>
      </c>
    </row>
    <row r="280" spans="1:4">
      <c r="A280" s="10" t="s">
        <v>305</v>
      </c>
      <c r="B280" s="10">
        <v>61</v>
      </c>
      <c r="C280" s="10">
        <v>162</v>
      </c>
      <c r="D280" s="10">
        <v>33</v>
      </c>
    </row>
    <row r="281" spans="1:4">
      <c r="A281" s="10" t="s">
        <v>307</v>
      </c>
      <c r="B281" s="10">
        <v>85</v>
      </c>
      <c r="C281" s="10">
        <v>162</v>
      </c>
      <c r="D281" s="10">
        <v>26</v>
      </c>
    </row>
    <row r="282" spans="1:4">
      <c r="A282" s="10" t="s">
        <v>308</v>
      </c>
      <c r="B282" s="10">
        <v>84</v>
      </c>
      <c r="C282" s="10">
        <v>202</v>
      </c>
      <c r="D282" s="10">
        <v>23</v>
      </c>
    </row>
    <row r="283" spans="1:4">
      <c r="A283" s="10" t="s">
        <v>309</v>
      </c>
      <c r="B283" s="10">
        <v>67</v>
      </c>
      <c r="C283" s="10">
        <v>130</v>
      </c>
      <c r="D283" s="10">
        <v>28</v>
      </c>
    </row>
    <row r="284" spans="1:4">
      <c r="A284" s="10" t="s">
        <v>310</v>
      </c>
      <c r="B284" s="10">
        <v>92</v>
      </c>
      <c r="C284" s="10">
        <v>148</v>
      </c>
      <c r="D284" s="10">
        <v>18</v>
      </c>
    </row>
    <row r="285" spans="1:4">
      <c r="A285" s="10" t="s">
        <v>311</v>
      </c>
      <c r="B285" s="10">
        <v>44</v>
      </c>
      <c r="C285" s="10">
        <v>130</v>
      </c>
      <c r="D285" s="10">
        <v>39</v>
      </c>
    </row>
    <row r="286" spans="1:4">
      <c r="A286" s="10" t="s">
        <v>312</v>
      </c>
      <c r="B286" s="10">
        <v>67</v>
      </c>
      <c r="C286" s="10">
        <v>162</v>
      </c>
      <c r="D286" s="10">
        <v>28</v>
      </c>
    </row>
    <row r="287" spans="1:4">
      <c r="A287" s="10" t="s">
        <v>313</v>
      </c>
      <c r="B287" s="10">
        <v>77</v>
      </c>
      <c r="C287" s="10">
        <v>162</v>
      </c>
      <c r="D287" s="10">
        <v>47</v>
      </c>
    </row>
    <row r="288" spans="1:4">
      <c r="A288" s="10" t="s">
        <v>314</v>
      </c>
      <c r="B288" s="10">
        <v>90</v>
      </c>
      <c r="C288" s="10">
        <v>159</v>
      </c>
      <c r="D288" s="10">
        <v>41</v>
      </c>
    </row>
    <row r="289" spans="1:4">
      <c r="A289" s="10" t="s">
        <v>315</v>
      </c>
      <c r="B289" s="10">
        <v>76</v>
      </c>
      <c r="C289" s="10">
        <v>149</v>
      </c>
      <c r="D289" s="10">
        <v>11</v>
      </c>
    </row>
    <row r="290" spans="1:4">
      <c r="A290" s="10" t="s">
        <v>316</v>
      </c>
      <c r="B290" s="10">
        <v>91</v>
      </c>
      <c r="C290" s="10">
        <v>212</v>
      </c>
      <c r="D290" s="10">
        <v>26</v>
      </c>
    </row>
    <row r="291" spans="1:4">
      <c r="A291" s="10" t="s">
        <v>317</v>
      </c>
      <c r="B291" s="10">
        <v>75</v>
      </c>
      <c r="C291" s="10">
        <v>138</v>
      </c>
      <c r="D291" s="10">
        <v>24</v>
      </c>
    </row>
    <row r="292" spans="1:4">
      <c r="A292" s="10" t="s">
        <v>318</v>
      </c>
      <c r="B292" s="10">
        <v>159</v>
      </c>
      <c r="C292" s="10">
        <v>221</v>
      </c>
      <c r="D292" s="10">
        <v>14</v>
      </c>
    </row>
    <row r="293" spans="1:4">
      <c r="A293" s="10" t="s">
        <v>319</v>
      </c>
      <c r="B293" s="10">
        <v>74</v>
      </c>
      <c r="C293" s="10">
        <v>110</v>
      </c>
      <c r="D293" s="10">
        <v>34</v>
      </c>
    </row>
    <row r="294" spans="1:4">
      <c r="A294" s="10" t="s">
        <v>320</v>
      </c>
      <c r="B294" s="10">
        <v>39</v>
      </c>
      <c r="C294" s="10">
        <v>76</v>
      </c>
      <c r="D294" s="10">
        <v>46</v>
      </c>
    </row>
    <row r="295" spans="1:4">
      <c r="A295" s="10" t="s">
        <v>321</v>
      </c>
      <c r="B295" s="10">
        <v>38</v>
      </c>
      <c r="C295" s="10">
        <v>139</v>
      </c>
      <c r="D295" s="10">
        <v>24</v>
      </c>
    </row>
    <row r="296" spans="1:4">
      <c r="A296" s="10" t="s">
        <v>322</v>
      </c>
      <c r="B296" s="10">
        <v>68</v>
      </c>
      <c r="C296" s="10">
        <v>189</v>
      </c>
      <c r="D296" s="10">
        <v>22</v>
      </c>
    </row>
    <row r="297" spans="1:4">
      <c r="A297" s="10" t="s">
        <v>323</v>
      </c>
      <c r="B297" s="10">
        <v>62</v>
      </c>
      <c r="C297" s="10">
        <v>106</v>
      </c>
      <c r="D297" s="10">
        <v>41</v>
      </c>
    </row>
    <row r="298" spans="1:4">
      <c r="A298" s="10" t="s">
        <v>324</v>
      </c>
      <c r="B298" s="10">
        <v>78</v>
      </c>
      <c r="C298" s="10">
        <v>192</v>
      </c>
      <c r="D298" s="10">
        <v>3</v>
      </c>
    </row>
    <row r="299" spans="1:4">
      <c r="A299" s="10" t="s">
        <v>325</v>
      </c>
      <c r="B299" s="10">
        <v>67</v>
      </c>
      <c r="C299" s="10">
        <v>134</v>
      </c>
      <c r="D299" s="10">
        <v>24</v>
      </c>
    </row>
    <row r="300" spans="1:4">
      <c r="A300" s="10" t="s">
        <v>326</v>
      </c>
      <c r="B300" s="10">
        <v>56</v>
      </c>
      <c r="C300" s="10">
        <v>130</v>
      </c>
      <c r="D300" s="10">
        <v>19</v>
      </c>
    </row>
    <row r="301" spans="1:4">
      <c r="A301" s="10" t="s">
        <v>327</v>
      </c>
      <c r="B301" s="10">
        <v>35</v>
      </c>
      <c r="C301" s="10">
        <v>148</v>
      </c>
      <c r="D301" s="10">
        <v>39</v>
      </c>
    </row>
    <row r="302" spans="1:4">
      <c r="A302" s="10" t="s">
        <v>328</v>
      </c>
      <c r="B302" s="10">
        <v>95</v>
      </c>
      <c r="C302" s="10">
        <v>125</v>
      </c>
      <c r="D302" s="10">
        <v>28</v>
      </c>
    </row>
    <row r="303" spans="1:4">
      <c r="A303" s="10" t="s">
        <v>329</v>
      </c>
      <c r="B303" s="10">
        <v>46</v>
      </c>
      <c r="C303" s="10">
        <v>158</v>
      </c>
      <c r="D303" s="10">
        <v>32</v>
      </c>
    </row>
    <row r="304" spans="1:4">
      <c r="A304" s="10" t="s">
        <v>330</v>
      </c>
      <c r="B304" s="10">
        <v>78</v>
      </c>
      <c r="C304" s="10">
        <v>159</v>
      </c>
      <c r="D304" s="10">
        <v>25</v>
      </c>
    </row>
    <row r="305" spans="1:4">
      <c r="A305" s="10" t="s">
        <v>331</v>
      </c>
      <c r="B305" s="10">
        <v>40</v>
      </c>
      <c r="C305" s="10">
        <v>135</v>
      </c>
      <c r="D305" s="10">
        <v>29</v>
      </c>
    </row>
    <row r="306" spans="1:4">
      <c r="A306" s="10" t="s">
        <v>332</v>
      </c>
      <c r="B306" s="10">
        <v>86</v>
      </c>
      <c r="C306" s="10">
        <v>145</v>
      </c>
      <c r="D306" s="10">
        <v>25</v>
      </c>
    </row>
    <row r="307" spans="1:4">
      <c r="A307" s="10" t="s">
        <v>333</v>
      </c>
      <c r="B307" s="10">
        <v>112</v>
      </c>
      <c r="C307" s="10">
        <v>194</v>
      </c>
      <c r="D307" s="10">
        <v>21</v>
      </c>
    </row>
    <row r="308" spans="1:4">
      <c r="A308" s="10" t="s">
        <v>334</v>
      </c>
      <c r="B308" s="10">
        <v>64</v>
      </c>
      <c r="C308" s="10">
        <v>125</v>
      </c>
      <c r="D308" s="10">
        <v>31</v>
      </c>
    </row>
    <row r="309" spans="1:4">
      <c r="A309" s="10" t="s">
        <v>335</v>
      </c>
      <c r="B309" s="10">
        <v>74</v>
      </c>
      <c r="C309" s="10">
        <v>117</v>
      </c>
      <c r="D309" s="10">
        <v>25</v>
      </c>
    </row>
    <row r="310" spans="1:4">
      <c r="A310" s="10" t="s">
        <v>336</v>
      </c>
      <c r="B310" s="10">
        <v>102</v>
      </c>
      <c r="C310" s="10">
        <v>190</v>
      </c>
      <c r="D310" s="10">
        <v>14</v>
      </c>
    </row>
    <row r="311" spans="1:4">
      <c r="A311" s="10" t="s">
        <v>337</v>
      </c>
      <c r="B311" s="10">
        <v>125</v>
      </c>
      <c r="C311" s="10">
        <v>185</v>
      </c>
      <c r="D311" s="10">
        <v>21</v>
      </c>
    </row>
    <row r="312" spans="1:4">
      <c r="A312" s="10" t="s">
        <v>338</v>
      </c>
      <c r="B312" s="10">
        <v>69</v>
      </c>
      <c r="C312" s="10">
        <v>126</v>
      </c>
      <c r="D312" s="10">
        <v>24</v>
      </c>
    </row>
    <row r="313" spans="1:4">
      <c r="A313" s="10" t="s">
        <v>339</v>
      </c>
      <c r="B313" s="10">
        <v>107</v>
      </c>
      <c r="C313" s="10">
        <v>194</v>
      </c>
      <c r="D313" s="10">
        <v>25</v>
      </c>
    </row>
    <row r="314" spans="1:4">
      <c r="A314" s="10" t="s">
        <v>340</v>
      </c>
      <c r="B314" s="10">
        <v>48</v>
      </c>
      <c r="C314" s="10">
        <v>118</v>
      </c>
      <c r="D314" s="10">
        <v>42</v>
      </c>
    </row>
    <row r="315" spans="1:4">
      <c r="A315" s="10" t="s">
        <v>341</v>
      </c>
      <c r="B315" s="10">
        <v>96</v>
      </c>
      <c r="C315" s="10">
        <v>196</v>
      </c>
      <c r="D315" s="10">
        <v>20</v>
      </c>
    </row>
    <row r="316" spans="1:4">
      <c r="A316" s="10" t="s">
        <v>342</v>
      </c>
      <c r="B316" s="10">
        <v>66</v>
      </c>
      <c r="C316" s="10">
        <v>122</v>
      </c>
      <c r="D316" s="10">
        <v>22</v>
      </c>
    </row>
    <row r="317" spans="1:4">
      <c r="A317" s="10" t="s">
        <v>343</v>
      </c>
      <c r="B317" s="10">
        <v>105</v>
      </c>
      <c r="C317" s="10">
        <v>180</v>
      </c>
      <c r="D317" s="10">
        <v>36</v>
      </c>
    </row>
    <row r="318" spans="1:4">
      <c r="A318" s="10" t="s">
        <v>344</v>
      </c>
      <c r="B318" s="10">
        <v>58</v>
      </c>
      <c r="C318" s="10">
        <v>159</v>
      </c>
      <c r="D318" s="10">
        <v>38</v>
      </c>
    </row>
    <row r="319" spans="1:4">
      <c r="A319" s="10" t="s">
        <v>345</v>
      </c>
      <c r="B319" s="10">
        <v>59</v>
      </c>
      <c r="C319" s="10">
        <v>144</v>
      </c>
      <c r="D319" s="10">
        <v>18</v>
      </c>
    </row>
    <row r="320" spans="1:4">
      <c r="A320" s="10" t="s">
        <v>346</v>
      </c>
      <c r="B320" s="10">
        <v>106</v>
      </c>
      <c r="C320" s="10">
        <v>205</v>
      </c>
      <c r="D320" s="10">
        <v>16</v>
      </c>
    </row>
    <row r="321" spans="1:4">
      <c r="A321" s="10" t="s">
        <v>347</v>
      </c>
      <c r="B321" s="10">
        <v>107</v>
      </c>
      <c r="C321" s="10">
        <v>174</v>
      </c>
      <c r="D321" s="10">
        <v>31</v>
      </c>
    </row>
    <row r="322" spans="1:4">
      <c r="A322" s="10" t="s">
        <v>348</v>
      </c>
      <c r="B322" s="10">
        <v>85</v>
      </c>
      <c r="C322" s="10">
        <v>169</v>
      </c>
      <c r="D322" s="10">
        <v>28</v>
      </c>
    </row>
    <row r="323" spans="1:4">
      <c r="A323" s="10" t="s">
        <v>349</v>
      </c>
      <c r="B323" s="10">
        <v>39</v>
      </c>
      <c r="C323" s="10">
        <v>108</v>
      </c>
      <c r="D323" s="10">
        <v>34</v>
      </c>
    </row>
    <row r="324" spans="1:4">
      <c r="A324" s="10" t="s">
        <v>350</v>
      </c>
      <c r="B324" s="10">
        <v>74</v>
      </c>
      <c r="C324" s="10">
        <v>165</v>
      </c>
      <c r="D324" s="10">
        <v>48</v>
      </c>
    </row>
    <row r="325" spans="1:4">
      <c r="A325" s="10" t="s">
        <v>351</v>
      </c>
      <c r="B325" s="10">
        <v>18</v>
      </c>
      <c r="C325" s="10">
        <v>100</v>
      </c>
      <c r="D325" s="10">
        <v>35</v>
      </c>
    </row>
    <row r="326" spans="1:4">
      <c r="A326" s="10" t="s">
        <v>352</v>
      </c>
      <c r="B326" s="10">
        <v>90</v>
      </c>
      <c r="C326" s="10">
        <v>122</v>
      </c>
      <c r="D326" s="10">
        <v>24</v>
      </c>
    </row>
    <row r="327" spans="1:4">
      <c r="A327" s="10" t="s">
        <v>353</v>
      </c>
      <c r="B327" s="10">
        <v>126</v>
      </c>
      <c r="C327" s="10">
        <v>212</v>
      </c>
      <c r="D327" s="10">
        <v>25</v>
      </c>
    </row>
    <row r="328" spans="1:4">
      <c r="A328" s="10" t="s">
        <v>354</v>
      </c>
      <c r="B328" s="10">
        <v>77</v>
      </c>
      <c r="C328" s="10">
        <v>177</v>
      </c>
      <c r="D328" s="10">
        <v>32</v>
      </c>
    </row>
    <row r="329" spans="1:4">
      <c r="A329" s="10" t="s">
        <v>355</v>
      </c>
      <c r="B329" s="10">
        <v>23</v>
      </c>
      <c r="C329" s="10">
        <v>102</v>
      </c>
      <c r="D329" s="10">
        <v>33</v>
      </c>
    </row>
    <row r="330" spans="1:4">
      <c r="A330" s="10" t="s">
        <v>356</v>
      </c>
      <c r="B330" s="10">
        <v>97</v>
      </c>
      <c r="C330" s="10">
        <v>153</v>
      </c>
      <c r="D330" s="10">
        <v>19</v>
      </c>
    </row>
    <row r="331" spans="1:4">
      <c r="A331" s="10" t="s">
        <v>357</v>
      </c>
      <c r="B331" s="10">
        <v>101</v>
      </c>
      <c r="C331" s="10">
        <v>223</v>
      </c>
      <c r="D331" s="10">
        <v>7</v>
      </c>
    </row>
    <row r="332" spans="1:4">
      <c r="A332" s="10" t="s">
        <v>358</v>
      </c>
      <c r="B332" s="10">
        <v>29</v>
      </c>
      <c r="C332" s="10">
        <v>102</v>
      </c>
      <c r="D332" s="10">
        <v>36</v>
      </c>
    </row>
    <row r="333" spans="1:4">
      <c r="A333" s="10" t="s">
        <v>359</v>
      </c>
      <c r="B333" s="10">
        <v>39</v>
      </c>
      <c r="C333" s="10">
        <v>119</v>
      </c>
      <c r="D333" s="10">
        <v>44</v>
      </c>
    </row>
    <row r="334" spans="1:4">
      <c r="A334" s="10" t="s">
        <v>360</v>
      </c>
      <c r="B334" s="10">
        <v>91</v>
      </c>
      <c r="C334" s="10">
        <v>160</v>
      </c>
      <c r="D334" s="10">
        <v>35</v>
      </c>
    </row>
    <row r="335" spans="1:4">
      <c r="A335" s="10" t="s">
        <v>361</v>
      </c>
      <c r="B335" s="10">
        <v>82</v>
      </c>
      <c r="C335" s="10">
        <v>231</v>
      </c>
      <c r="D335" s="10">
        <v>11</v>
      </c>
    </row>
    <row r="336" spans="1:4">
      <c r="A336" s="10" t="s">
        <v>362</v>
      </c>
      <c r="B336" s="10">
        <v>56</v>
      </c>
      <c r="C336" s="10">
        <v>97</v>
      </c>
      <c r="D336" s="10">
        <v>43</v>
      </c>
    </row>
    <row r="337" spans="1:4">
      <c r="A337" s="10" t="s">
        <v>363</v>
      </c>
      <c r="B337" s="10">
        <v>102</v>
      </c>
      <c r="C337" s="10">
        <v>139</v>
      </c>
      <c r="D337" s="10">
        <v>22</v>
      </c>
    </row>
    <row r="338" spans="1:4">
      <c r="A338" s="10" t="s">
        <v>364</v>
      </c>
      <c r="B338" s="10">
        <v>82</v>
      </c>
      <c r="C338" s="10">
        <v>148</v>
      </c>
      <c r="D338" s="10">
        <v>49</v>
      </c>
    </row>
    <row r="339" spans="1:4">
      <c r="A339" s="10" t="s">
        <v>365</v>
      </c>
      <c r="B339" s="10">
        <v>42</v>
      </c>
      <c r="C339" s="10">
        <v>92</v>
      </c>
      <c r="D339" s="10">
        <v>37</v>
      </c>
    </row>
    <row r="340" spans="1:4">
      <c r="A340" s="10" t="s">
        <v>366</v>
      </c>
      <c r="B340" s="10">
        <v>57</v>
      </c>
      <c r="C340" s="10">
        <v>124</v>
      </c>
      <c r="D340" s="10">
        <v>26</v>
      </c>
    </row>
    <row r="341" spans="1:4">
      <c r="A341" s="10" t="s">
        <v>367</v>
      </c>
      <c r="B341" s="10">
        <v>88</v>
      </c>
      <c r="C341" s="10">
        <v>152</v>
      </c>
      <c r="D341" s="10">
        <v>19</v>
      </c>
    </row>
    <row r="342" spans="1:4">
      <c r="A342" s="10" t="s">
        <v>368</v>
      </c>
      <c r="B342" s="10">
        <v>50</v>
      </c>
      <c r="C342" s="10">
        <v>179</v>
      </c>
      <c r="D342" s="10">
        <v>20</v>
      </c>
    </row>
    <row r="343" spans="1:4">
      <c r="A343" s="10" t="s">
        <v>369</v>
      </c>
      <c r="B343" s="10">
        <v>50</v>
      </c>
      <c r="C343" s="10">
        <v>100</v>
      </c>
      <c r="D343" s="10">
        <v>36</v>
      </c>
    </row>
    <row r="344" spans="1:4">
      <c r="A344" s="10" t="s">
        <v>370</v>
      </c>
      <c r="B344" s="10">
        <v>83</v>
      </c>
      <c r="C344" s="10">
        <v>133</v>
      </c>
      <c r="D344" s="10">
        <v>39</v>
      </c>
    </row>
    <row r="345" spans="1:4">
      <c r="A345" s="10" t="s">
        <v>371</v>
      </c>
      <c r="B345" s="10">
        <v>59</v>
      </c>
      <c r="C345" s="10">
        <v>165</v>
      </c>
      <c r="D345" s="10">
        <v>10</v>
      </c>
    </row>
    <row r="346" spans="1:4">
      <c r="A346" s="10" t="s">
        <v>372</v>
      </c>
      <c r="B346" s="10">
        <v>78</v>
      </c>
      <c r="C346" s="10">
        <v>150</v>
      </c>
      <c r="D346" s="10">
        <v>24</v>
      </c>
    </row>
    <row r="347" spans="1:4">
      <c r="A347" s="10" t="s">
        <v>373</v>
      </c>
      <c r="B347" s="10">
        <v>76</v>
      </c>
      <c r="C347" s="10">
        <v>148</v>
      </c>
      <c r="D347" s="10">
        <v>35</v>
      </c>
    </row>
    <row r="348" spans="1:4">
      <c r="A348" s="10" t="s">
        <v>374</v>
      </c>
      <c r="B348" s="10">
        <v>86</v>
      </c>
      <c r="C348" s="10">
        <v>161</v>
      </c>
      <c r="D348" s="10">
        <v>32</v>
      </c>
    </row>
    <row r="349" spans="1:4">
      <c r="A349" s="10" t="s">
        <v>375</v>
      </c>
      <c r="B349" s="10">
        <v>70</v>
      </c>
      <c r="C349" s="10">
        <v>180</v>
      </c>
      <c r="D349" s="10">
        <v>20</v>
      </c>
    </row>
    <row r="350" spans="1:4">
      <c r="A350" s="10" t="s">
        <v>376</v>
      </c>
      <c r="B350" s="10">
        <v>68</v>
      </c>
      <c r="C350" s="10">
        <v>168</v>
      </c>
      <c r="D350" s="10">
        <v>34</v>
      </c>
    </row>
    <row r="351" spans="1:4">
      <c r="A351" s="10" t="s">
        <v>377</v>
      </c>
      <c r="B351" s="10">
        <v>61</v>
      </c>
      <c r="C351" s="10">
        <v>110</v>
      </c>
      <c r="D351" s="10">
        <v>29</v>
      </c>
    </row>
    <row r="352" spans="1:4">
      <c r="A352" s="10" t="s">
        <v>378</v>
      </c>
      <c r="B352" s="10">
        <v>79</v>
      </c>
      <c r="C352" s="10">
        <v>197</v>
      </c>
      <c r="D352" s="10">
        <v>26</v>
      </c>
    </row>
    <row r="353" spans="1:4">
      <c r="A353" s="10" t="s">
        <v>379</v>
      </c>
      <c r="B353" s="10">
        <v>83</v>
      </c>
      <c r="C353" s="10">
        <v>146</v>
      </c>
      <c r="D353" s="10">
        <v>25</v>
      </c>
    </row>
    <row r="354" spans="1:4">
      <c r="A354" s="10" t="s">
        <v>380</v>
      </c>
      <c r="B354" s="10">
        <v>47</v>
      </c>
      <c r="C354" s="10">
        <v>94</v>
      </c>
      <c r="D354" s="10">
        <v>44</v>
      </c>
    </row>
    <row r="355" spans="1:4">
      <c r="A355" s="10" t="s">
        <v>381</v>
      </c>
      <c r="B355" s="10">
        <v>76</v>
      </c>
      <c r="C355" s="10">
        <v>164</v>
      </c>
      <c r="D355" s="10">
        <v>28</v>
      </c>
    </row>
    <row r="356" spans="1:4">
      <c r="A356" s="10" t="s">
        <v>382</v>
      </c>
      <c r="B356" s="10">
        <v>49</v>
      </c>
      <c r="C356" s="10">
        <v>113</v>
      </c>
      <c r="D356" s="10">
        <v>35</v>
      </c>
    </row>
    <row r="357" spans="1:4">
      <c r="A357" s="10" t="s">
        <v>383</v>
      </c>
      <c r="B357" s="10">
        <v>89</v>
      </c>
      <c r="C357" s="10">
        <v>170</v>
      </c>
      <c r="D357" s="10">
        <v>30</v>
      </c>
    </row>
    <row r="358" spans="1:4">
      <c r="A358" s="10" t="s">
        <v>384</v>
      </c>
      <c r="B358" s="10">
        <v>49</v>
      </c>
      <c r="C358" s="10">
        <v>141</v>
      </c>
      <c r="D358" s="10">
        <v>24</v>
      </c>
    </row>
    <row r="359" spans="1:4">
      <c r="A359" s="10" t="s">
        <v>385</v>
      </c>
      <c r="B359" s="10">
        <v>81</v>
      </c>
      <c r="C359" s="10">
        <v>152</v>
      </c>
      <c r="D359" s="10">
        <v>18</v>
      </c>
    </row>
    <row r="360" spans="1:4">
      <c r="A360" s="10" t="s">
        <v>386</v>
      </c>
      <c r="B360" s="10">
        <v>112</v>
      </c>
      <c r="C360" s="10">
        <v>193</v>
      </c>
      <c r="D360" s="10">
        <v>34</v>
      </c>
    </row>
    <row r="361" spans="1:4">
      <c r="A361" s="10" t="s">
        <v>387</v>
      </c>
      <c r="B361" s="10">
        <v>53</v>
      </c>
      <c r="C361" s="10">
        <v>131</v>
      </c>
      <c r="D361" s="10">
        <v>20</v>
      </c>
    </row>
    <row r="362" spans="1:4">
      <c r="A362" s="10" t="s">
        <v>388</v>
      </c>
      <c r="B362" s="10">
        <v>94</v>
      </c>
      <c r="C362" s="10">
        <v>163</v>
      </c>
      <c r="D362" s="10">
        <v>24</v>
      </c>
    </row>
    <row r="363" spans="1:4">
      <c r="A363" s="10" t="s">
        <v>389</v>
      </c>
      <c r="B363" s="10">
        <v>25</v>
      </c>
      <c r="C363" s="10">
        <v>126</v>
      </c>
      <c r="D363" s="10">
        <v>41</v>
      </c>
    </row>
    <row r="364" spans="1:4">
      <c r="A364" s="10" t="s">
        <v>390</v>
      </c>
      <c r="B364" s="10">
        <v>101</v>
      </c>
      <c r="C364" s="10">
        <v>181</v>
      </c>
      <c r="D364" s="10">
        <v>26</v>
      </c>
    </row>
    <row r="365" spans="1:4">
      <c r="A365" s="10" t="s">
        <v>391</v>
      </c>
      <c r="B365" s="10">
        <v>45</v>
      </c>
      <c r="C365" s="10">
        <v>99</v>
      </c>
      <c r="D365" s="10">
        <v>53</v>
      </c>
    </row>
    <row r="366" spans="1:4">
      <c r="A366" s="10" t="s">
        <v>392</v>
      </c>
      <c r="B366" s="10">
        <v>45</v>
      </c>
      <c r="C366" s="10">
        <v>150</v>
      </c>
      <c r="D366" s="10">
        <v>35</v>
      </c>
    </row>
    <row r="367" spans="1:4">
      <c r="A367" s="10" t="s">
        <v>393</v>
      </c>
      <c r="B367" s="10">
        <v>102</v>
      </c>
      <c r="C367" s="10">
        <v>245</v>
      </c>
      <c r="D367" s="10">
        <v>5</v>
      </c>
    </row>
    <row r="368" spans="1:4">
      <c r="A368" s="10" t="s">
        <v>394</v>
      </c>
      <c r="B368" s="10">
        <v>93</v>
      </c>
      <c r="C368" s="10">
        <v>156</v>
      </c>
      <c r="D368" s="10">
        <v>23</v>
      </c>
    </row>
    <row r="369" spans="1:4">
      <c r="A369" s="10" t="s">
        <v>395</v>
      </c>
      <c r="B369" s="10">
        <v>65</v>
      </c>
      <c r="C369" s="10">
        <v>166</v>
      </c>
      <c r="D369" s="10">
        <v>21</v>
      </c>
    </row>
    <row r="370" spans="1:4">
      <c r="A370" s="10" t="s">
        <v>396</v>
      </c>
      <c r="B370" s="10">
        <v>107</v>
      </c>
      <c r="C370" s="10">
        <v>186</v>
      </c>
      <c r="D370" s="10">
        <v>27</v>
      </c>
    </row>
    <row r="371" spans="1:4">
      <c r="A371" s="10" t="s">
        <v>397</v>
      </c>
      <c r="B371" s="10">
        <v>104</v>
      </c>
      <c r="C371" s="10">
        <v>142</v>
      </c>
      <c r="D371" s="10">
        <v>44</v>
      </c>
    </row>
    <row r="372" spans="1:4">
      <c r="A372" s="10" t="s">
        <v>398</v>
      </c>
      <c r="B372" s="10">
        <v>37</v>
      </c>
      <c r="C372" s="10">
        <v>125</v>
      </c>
      <c r="D372" s="10">
        <v>28</v>
      </c>
    </row>
    <row r="373" spans="1:4">
      <c r="A373" s="10" t="s">
        <v>399</v>
      </c>
      <c r="B373" s="10">
        <v>48</v>
      </c>
      <c r="C373" s="10">
        <v>97</v>
      </c>
      <c r="D373" s="10">
        <v>34</v>
      </c>
    </row>
    <row r="374" spans="1:4">
      <c r="A374" s="10" t="s">
        <v>400</v>
      </c>
      <c r="B374" s="10">
        <v>83</v>
      </c>
      <c r="C374" s="10">
        <v>180</v>
      </c>
      <c r="D374" s="10">
        <v>11</v>
      </c>
    </row>
    <row r="375" spans="1:4">
      <c r="A375" s="10" t="s">
        <v>401</v>
      </c>
      <c r="B375" s="10">
        <v>132</v>
      </c>
      <c r="C375" s="10">
        <v>212</v>
      </c>
      <c r="D375" s="10">
        <v>22</v>
      </c>
    </row>
    <row r="376" spans="1:4">
      <c r="A376" s="10" t="s">
        <v>402</v>
      </c>
      <c r="B376" s="10">
        <v>60</v>
      </c>
      <c r="C376" s="10">
        <v>164</v>
      </c>
      <c r="D376" s="10">
        <v>29</v>
      </c>
    </row>
    <row r="377" spans="1:4">
      <c r="A377" s="10" t="s">
        <v>403</v>
      </c>
      <c r="B377" s="10">
        <v>93</v>
      </c>
      <c r="C377" s="10">
        <v>166</v>
      </c>
      <c r="D377" s="10">
        <v>31</v>
      </c>
    </row>
    <row r="378" spans="1:4">
      <c r="A378" s="10" t="s">
        <v>404</v>
      </c>
      <c r="B378" s="10">
        <v>105</v>
      </c>
      <c r="C378" s="10">
        <v>159</v>
      </c>
      <c r="D378" s="10">
        <v>25</v>
      </c>
    </row>
    <row r="379" spans="1:4">
      <c r="A379" s="10" t="s">
        <v>405</v>
      </c>
      <c r="B379" s="10">
        <v>71</v>
      </c>
      <c r="C379" s="10">
        <v>134</v>
      </c>
      <c r="D379" s="10">
        <v>46</v>
      </c>
    </row>
    <row r="380" spans="1:4">
      <c r="A380" s="10" t="s">
        <v>406</v>
      </c>
      <c r="B380" s="10">
        <v>91</v>
      </c>
      <c r="C380" s="10">
        <v>171</v>
      </c>
      <c r="D380" s="10">
        <v>27</v>
      </c>
    </row>
    <row r="381" spans="1:4">
      <c r="A381" s="10" t="s">
        <v>407</v>
      </c>
      <c r="B381" s="10">
        <v>53</v>
      </c>
      <c r="C381" s="10">
        <v>156</v>
      </c>
      <c r="D381" s="10">
        <v>36</v>
      </c>
    </row>
    <row r="382" spans="1:4">
      <c r="A382" s="10" t="s">
        <v>408</v>
      </c>
      <c r="B382" s="10">
        <v>66</v>
      </c>
      <c r="C382" s="10">
        <v>127</v>
      </c>
      <c r="D382" s="10">
        <v>36</v>
      </c>
    </row>
    <row r="383" spans="1:4">
      <c r="A383" s="10" t="s">
        <v>409</v>
      </c>
      <c r="B383" s="10">
        <v>78</v>
      </c>
      <c r="C383" s="10">
        <v>231</v>
      </c>
      <c r="D383" s="10">
        <v>12</v>
      </c>
    </row>
    <row r="384" spans="1:4">
      <c r="A384" s="10" t="s">
        <v>410</v>
      </c>
      <c r="B384" s="10">
        <v>82</v>
      </c>
      <c r="C384" s="10">
        <v>154</v>
      </c>
      <c r="D384" s="10">
        <v>33</v>
      </c>
    </row>
    <row r="385" spans="1:4">
      <c r="A385" s="10" t="s">
        <v>411</v>
      </c>
      <c r="B385" s="10">
        <v>72</v>
      </c>
      <c r="C385" s="10">
        <v>170</v>
      </c>
      <c r="D385" s="10">
        <v>29</v>
      </c>
    </row>
    <row r="386" spans="1:4">
      <c r="A386" s="10" t="s">
        <v>412</v>
      </c>
      <c r="B386" s="10">
        <v>82</v>
      </c>
      <c r="C386" s="10">
        <v>128</v>
      </c>
      <c r="D386" s="10">
        <v>24</v>
      </c>
    </row>
    <row r="387" spans="1:4">
      <c r="A387" s="10" t="s">
        <v>413</v>
      </c>
      <c r="B387" s="10">
        <v>94</v>
      </c>
      <c r="C387" s="10">
        <v>187</v>
      </c>
      <c r="D387" s="10">
        <v>17</v>
      </c>
    </row>
    <row r="388" spans="1:4">
      <c r="A388" s="10" t="s">
        <v>414</v>
      </c>
      <c r="B388" s="10">
        <v>79</v>
      </c>
      <c r="C388" s="10">
        <v>142</v>
      </c>
      <c r="D388" s="10">
        <v>18</v>
      </c>
    </row>
    <row r="389" spans="1:4">
      <c r="A389" s="10" t="s">
        <v>415</v>
      </c>
      <c r="B389" s="10">
        <v>53</v>
      </c>
      <c r="C389" s="10">
        <v>158</v>
      </c>
      <c r="D389" s="10">
        <v>37</v>
      </c>
    </row>
    <row r="390" spans="1:4">
      <c r="A390" s="10" t="s">
        <v>416</v>
      </c>
      <c r="B390" s="10">
        <v>47</v>
      </c>
      <c r="C390" s="10">
        <v>174</v>
      </c>
      <c r="D390" s="10">
        <v>32</v>
      </c>
    </row>
    <row r="391" spans="1:4">
      <c r="A391" s="10" t="s">
        <v>417</v>
      </c>
      <c r="B391" s="10">
        <v>50</v>
      </c>
      <c r="C391" s="10">
        <v>136</v>
      </c>
      <c r="D391" s="10">
        <v>36</v>
      </c>
    </row>
    <row r="392" spans="1:4">
      <c r="A392" s="10" t="s">
        <v>418</v>
      </c>
      <c r="B392" s="10">
        <v>95</v>
      </c>
      <c r="C392" s="10">
        <v>131</v>
      </c>
      <c r="D392" s="10">
        <v>31</v>
      </c>
    </row>
    <row r="393" spans="1:4">
      <c r="A393" s="10" t="s">
        <v>419</v>
      </c>
      <c r="B393" s="10">
        <v>82</v>
      </c>
      <c r="C393" s="10">
        <v>184</v>
      </c>
      <c r="D393" s="10">
        <v>35</v>
      </c>
    </row>
    <row r="394" spans="1:4">
      <c r="A394" s="10" t="s">
        <v>420</v>
      </c>
      <c r="B394" s="10">
        <v>59</v>
      </c>
      <c r="C394" s="10">
        <v>127</v>
      </c>
      <c r="D394" s="10">
        <v>23</v>
      </c>
    </row>
    <row r="395" spans="1:4">
      <c r="A395" s="10" t="s">
        <v>421</v>
      </c>
      <c r="B395" s="10">
        <v>86</v>
      </c>
      <c r="C395" s="10">
        <v>193</v>
      </c>
      <c r="D395" s="10">
        <v>14</v>
      </c>
    </row>
    <row r="396" spans="1:4">
      <c r="A396" s="10" t="s">
        <v>422</v>
      </c>
      <c r="B396" s="10">
        <v>90</v>
      </c>
      <c r="C396" s="10">
        <v>146</v>
      </c>
      <c r="D396" s="10">
        <v>30</v>
      </c>
    </row>
    <row r="397" spans="1:4">
      <c r="A397" s="10" t="s">
        <v>423</v>
      </c>
      <c r="B397" s="10">
        <v>59</v>
      </c>
      <c r="C397" s="10">
        <v>108</v>
      </c>
      <c r="D397" s="10">
        <v>43</v>
      </c>
    </row>
    <row r="398" spans="1:4">
      <c r="A398" s="10" t="s">
        <v>424</v>
      </c>
      <c r="B398" s="10">
        <v>66</v>
      </c>
      <c r="C398" s="10">
        <v>126</v>
      </c>
      <c r="D398" s="10">
        <v>39</v>
      </c>
    </row>
    <row r="399" spans="1:4">
      <c r="A399" s="10" t="s">
        <v>425</v>
      </c>
      <c r="B399" s="10">
        <v>38</v>
      </c>
      <c r="C399" s="10">
        <v>143</v>
      </c>
      <c r="D399" s="10">
        <v>16</v>
      </c>
    </row>
    <row r="400" spans="1:4">
      <c r="A400" s="10" t="s">
        <v>426</v>
      </c>
      <c r="B400" s="10">
        <v>75</v>
      </c>
      <c r="C400" s="10">
        <v>139</v>
      </c>
      <c r="D400" s="10">
        <v>34</v>
      </c>
    </row>
    <row r="401" spans="1:4">
      <c r="A401" s="10" t="s">
        <v>427</v>
      </c>
      <c r="B401" s="10">
        <v>76</v>
      </c>
      <c r="C401" s="10">
        <v>132</v>
      </c>
      <c r="D401" s="10">
        <v>16</v>
      </c>
    </row>
    <row r="402" spans="1:4">
      <c r="A402" s="10" t="s">
        <v>428</v>
      </c>
      <c r="B402" s="10">
        <v>93</v>
      </c>
      <c r="C402" s="10">
        <v>170</v>
      </c>
      <c r="D402" s="10">
        <v>27</v>
      </c>
    </row>
    <row r="403" spans="1:4">
      <c r="A403" s="10" t="s">
        <v>429</v>
      </c>
      <c r="B403" s="10">
        <v>81</v>
      </c>
      <c r="C403" s="10">
        <v>172</v>
      </c>
      <c r="D403" s="10">
        <v>37</v>
      </c>
    </row>
    <row r="404" spans="1:4">
      <c r="A404" s="10" t="s">
        <v>430</v>
      </c>
      <c r="B404" s="10">
        <v>71</v>
      </c>
      <c r="C404" s="10">
        <v>142</v>
      </c>
      <c r="D404" s="10">
        <v>21</v>
      </c>
    </row>
    <row r="405" spans="1:4">
      <c r="A405" s="10" t="s">
        <v>431</v>
      </c>
      <c r="B405" s="10">
        <v>70</v>
      </c>
      <c r="C405" s="10">
        <v>116</v>
      </c>
      <c r="D405" s="10">
        <v>29</v>
      </c>
    </row>
    <row r="406" spans="1:4">
      <c r="A406" s="10" t="s">
        <v>432</v>
      </c>
      <c r="B406" s="10">
        <v>68</v>
      </c>
      <c r="C406" s="10">
        <v>122</v>
      </c>
      <c r="D406" s="10">
        <v>34</v>
      </c>
    </row>
    <row r="407" spans="1:4">
      <c r="A407" s="10" t="s">
        <v>433</v>
      </c>
      <c r="B407" s="10">
        <v>66</v>
      </c>
      <c r="C407" s="10">
        <v>152</v>
      </c>
      <c r="D407" s="10">
        <v>28</v>
      </c>
    </row>
    <row r="408" spans="1:4">
      <c r="A408" s="10" t="s">
        <v>434</v>
      </c>
      <c r="B408" s="10">
        <v>83</v>
      </c>
      <c r="C408" s="10">
        <v>168</v>
      </c>
      <c r="D408" s="10">
        <v>24</v>
      </c>
    </row>
    <row r="409" spans="1:4">
      <c r="A409" s="10" t="s">
        <v>436</v>
      </c>
      <c r="B409" s="10">
        <v>102</v>
      </c>
      <c r="C409" s="10">
        <v>190</v>
      </c>
      <c r="D409" s="10">
        <v>17</v>
      </c>
    </row>
    <row r="410" spans="1:4">
      <c r="A410" s="10" t="s">
        <v>437</v>
      </c>
      <c r="B410" s="10">
        <v>104</v>
      </c>
      <c r="C410" s="10">
        <v>196</v>
      </c>
      <c r="D410" s="10">
        <v>28</v>
      </c>
    </row>
    <row r="411" spans="1:4">
      <c r="A411" s="10" t="s">
        <v>438</v>
      </c>
      <c r="B411" s="10">
        <v>88</v>
      </c>
      <c r="C411" s="10">
        <v>169</v>
      </c>
      <c r="D411" s="10">
        <v>20</v>
      </c>
    </row>
    <row r="412" spans="1:4">
      <c r="A412" s="10" t="s">
        <v>439</v>
      </c>
      <c r="B412" s="10">
        <v>50</v>
      </c>
      <c r="C412" s="10">
        <v>139</v>
      </c>
      <c r="D412" s="10">
        <v>38</v>
      </c>
    </row>
    <row r="413" spans="1:4">
      <c r="A413" s="10" t="s">
        <v>440</v>
      </c>
      <c r="B413" s="10">
        <v>79</v>
      </c>
      <c r="C413" s="10">
        <v>189</v>
      </c>
      <c r="D413" s="10">
        <v>18</v>
      </c>
    </row>
    <row r="414" spans="1:4">
      <c r="A414" s="10" t="s">
        <v>441</v>
      </c>
      <c r="B414" s="10">
        <v>101</v>
      </c>
      <c r="C414" s="10">
        <v>154</v>
      </c>
      <c r="D414" s="10">
        <v>22</v>
      </c>
    </row>
    <row r="415" spans="1:4">
      <c r="A415" s="10" t="s">
        <v>442</v>
      </c>
      <c r="B415" s="10">
        <v>110</v>
      </c>
      <c r="C415" s="10">
        <v>211</v>
      </c>
      <c r="D415" s="10">
        <v>21</v>
      </c>
    </row>
    <row r="416" spans="1:4">
      <c r="A416" s="10" t="s">
        <v>443</v>
      </c>
      <c r="B416" s="10">
        <v>45</v>
      </c>
      <c r="C416" s="10">
        <v>168</v>
      </c>
      <c r="D416" s="10">
        <v>25</v>
      </c>
    </row>
    <row r="417" spans="1:4">
      <c r="A417" s="10" t="s">
        <v>444</v>
      </c>
      <c r="B417" s="10">
        <v>42</v>
      </c>
      <c r="C417" s="10">
        <v>103</v>
      </c>
      <c r="D417" s="10">
        <v>31</v>
      </c>
    </row>
    <row r="418" spans="1:4">
      <c r="A418" s="10" t="s">
        <v>445</v>
      </c>
      <c r="B418" s="10">
        <v>74</v>
      </c>
      <c r="C418" s="10">
        <v>197</v>
      </c>
      <c r="D418" s="10">
        <v>32</v>
      </c>
    </row>
    <row r="419" spans="1:4">
      <c r="A419" s="10" t="s">
        <v>446</v>
      </c>
      <c r="B419" s="10">
        <v>52</v>
      </c>
      <c r="C419" s="10">
        <v>117</v>
      </c>
      <c r="D419" s="10">
        <v>33</v>
      </c>
    </row>
    <row r="420" spans="1:4">
      <c r="A420" s="10" t="s">
        <v>447</v>
      </c>
      <c r="B420" s="10">
        <v>45</v>
      </c>
      <c r="C420" s="10">
        <v>182</v>
      </c>
      <c r="D420" s="10">
        <v>8</v>
      </c>
    </row>
    <row r="421" spans="1:4">
      <c r="A421" s="10" t="s">
        <v>448</v>
      </c>
      <c r="B421" s="10">
        <v>94</v>
      </c>
      <c r="C421" s="10">
        <v>212</v>
      </c>
      <c r="D421" s="10">
        <v>15</v>
      </c>
    </row>
    <row r="422" spans="1:4">
      <c r="A422" s="10" t="s">
        <v>449</v>
      </c>
      <c r="B422" s="10">
        <v>128</v>
      </c>
      <c r="C422" s="10">
        <v>173</v>
      </c>
      <c r="D422" s="10">
        <v>26</v>
      </c>
    </row>
    <row r="423" spans="1:4">
      <c r="A423" s="10" t="s">
        <v>450</v>
      </c>
      <c r="B423" s="10">
        <v>70</v>
      </c>
      <c r="C423" s="10">
        <v>160</v>
      </c>
      <c r="D423" s="10">
        <v>20</v>
      </c>
    </row>
    <row r="424" spans="1:4">
      <c r="A424" s="10" t="s">
        <v>451</v>
      </c>
      <c r="B424" s="10">
        <v>45</v>
      </c>
      <c r="C424" s="10">
        <v>130</v>
      </c>
      <c r="D424" s="10">
        <v>26</v>
      </c>
    </row>
    <row r="425" spans="1:4">
      <c r="A425" s="10" t="s">
        <v>452</v>
      </c>
      <c r="B425" s="10">
        <v>46</v>
      </c>
      <c r="C425" s="10">
        <v>122</v>
      </c>
      <c r="D425" s="10">
        <v>33</v>
      </c>
    </row>
    <row r="426" spans="1:4">
      <c r="A426" s="10" t="s">
        <v>453</v>
      </c>
      <c r="B426" s="10">
        <v>93</v>
      </c>
      <c r="C426" s="10">
        <v>145</v>
      </c>
      <c r="D426" s="10">
        <v>23</v>
      </c>
    </row>
    <row r="427" spans="1:4">
      <c r="A427" s="10" t="s">
        <v>454</v>
      </c>
      <c r="B427" s="10">
        <v>101</v>
      </c>
      <c r="C427" s="10">
        <v>146</v>
      </c>
      <c r="D427" s="10">
        <v>21</v>
      </c>
    </row>
    <row r="428" spans="1:4">
      <c r="A428" s="10" t="s">
        <v>455</v>
      </c>
      <c r="B428" s="10">
        <v>75</v>
      </c>
      <c r="C428" s="10">
        <v>127</v>
      </c>
      <c r="D428" s="10">
        <v>43</v>
      </c>
    </row>
    <row r="429" spans="1:4">
      <c r="A429" s="10" t="s">
        <v>456</v>
      </c>
      <c r="B429" s="10">
        <v>49</v>
      </c>
      <c r="C429" s="10">
        <v>101</v>
      </c>
      <c r="D429" s="10">
        <v>36</v>
      </c>
    </row>
    <row r="430" spans="1:4">
      <c r="A430" s="10" t="s">
        <v>457</v>
      </c>
      <c r="B430" s="10">
        <v>82</v>
      </c>
      <c r="C430" s="10">
        <v>188</v>
      </c>
      <c r="D430" s="10">
        <v>34</v>
      </c>
    </row>
    <row r="431" spans="1:4">
      <c r="A431" s="10" t="s">
        <v>458</v>
      </c>
      <c r="B431" s="10">
        <v>59</v>
      </c>
      <c r="C431" s="10">
        <v>177</v>
      </c>
      <c r="D431" s="10">
        <v>25</v>
      </c>
    </row>
    <row r="432" spans="1:4">
      <c r="A432" s="10" t="s">
        <v>459</v>
      </c>
      <c r="B432" s="10">
        <v>126</v>
      </c>
      <c r="C432" s="10">
        <v>213</v>
      </c>
      <c r="D432" s="10">
        <v>14</v>
      </c>
    </row>
    <row r="433" spans="1:4">
      <c r="A433" s="10" t="s">
        <v>460</v>
      </c>
      <c r="B433" s="10">
        <v>66</v>
      </c>
      <c r="C433" s="10">
        <v>175</v>
      </c>
      <c r="D433" s="10">
        <v>24</v>
      </c>
    </row>
    <row r="434" spans="1:4">
      <c r="A434" s="10" t="s">
        <v>461</v>
      </c>
      <c r="B434" s="10">
        <v>74</v>
      </c>
      <c r="C434" s="10">
        <v>113</v>
      </c>
      <c r="D434" s="10">
        <v>38</v>
      </c>
    </row>
    <row r="435" spans="1:4">
      <c r="A435" s="10" t="s">
        <v>462</v>
      </c>
      <c r="B435" s="10">
        <v>15</v>
      </c>
      <c r="C435" s="10">
        <v>61</v>
      </c>
      <c r="D435" s="10">
        <v>61</v>
      </c>
    </row>
    <row r="436" spans="1:4">
      <c r="A436" s="10" t="s">
        <v>463</v>
      </c>
      <c r="B436" s="10">
        <v>90</v>
      </c>
      <c r="C436" s="10">
        <v>138</v>
      </c>
      <c r="D436" s="10">
        <v>30</v>
      </c>
    </row>
    <row r="437" spans="1:4">
      <c r="A437" s="10" t="s">
        <v>464</v>
      </c>
      <c r="B437" s="10">
        <v>115</v>
      </c>
      <c r="C437" s="10">
        <v>167</v>
      </c>
      <c r="D437" s="10">
        <v>41</v>
      </c>
    </row>
    <row r="438" spans="1:4">
      <c r="A438" s="10" t="s">
        <v>465</v>
      </c>
      <c r="B438" s="10">
        <v>97</v>
      </c>
      <c r="C438" s="10">
        <v>162</v>
      </c>
      <c r="D438" s="10">
        <v>28</v>
      </c>
    </row>
    <row r="439" spans="1:4">
      <c r="A439" s="10" t="s">
        <v>466</v>
      </c>
      <c r="B439" s="10">
        <v>58</v>
      </c>
      <c r="C439" s="10">
        <v>144</v>
      </c>
      <c r="D439" s="10">
        <v>27</v>
      </c>
    </row>
    <row r="440" spans="1:4">
      <c r="A440" s="10" t="s">
        <v>467</v>
      </c>
      <c r="B440" s="10">
        <v>75</v>
      </c>
      <c r="C440" s="10">
        <v>120</v>
      </c>
      <c r="D440" s="10">
        <v>28</v>
      </c>
    </row>
    <row r="441" spans="1:4">
      <c r="A441" s="10" t="s">
        <v>468</v>
      </c>
      <c r="B441" s="10">
        <v>75</v>
      </c>
      <c r="C441" s="10">
        <v>188</v>
      </c>
      <c r="D441" s="10">
        <v>14</v>
      </c>
    </row>
    <row r="442" spans="1:4">
      <c r="A442" s="10" t="s">
        <v>469</v>
      </c>
      <c r="B442" s="10">
        <v>42</v>
      </c>
      <c r="C442" s="10">
        <v>112</v>
      </c>
      <c r="D442" s="10">
        <v>30</v>
      </c>
    </row>
    <row r="443" spans="1:4">
      <c r="A443" s="10" t="s">
        <v>470</v>
      </c>
      <c r="B443" s="10">
        <v>68</v>
      </c>
      <c r="C443" s="10">
        <v>171</v>
      </c>
      <c r="D443" s="10">
        <v>13</v>
      </c>
    </row>
    <row r="444" spans="1:4">
      <c r="A444" s="10" t="s">
        <v>471</v>
      </c>
      <c r="B444" s="10">
        <v>37</v>
      </c>
      <c r="C444" s="10">
        <v>78</v>
      </c>
      <c r="D444" s="10">
        <v>45</v>
      </c>
    </row>
    <row r="445" spans="1:4">
      <c r="A445" s="10" t="s">
        <v>472</v>
      </c>
      <c r="B445" s="10">
        <v>131</v>
      </c>
      <c r="C445" s="10">
        <v>203</v>
      </c>
      <c r="D445" s="10">
        <v>11</v>
      </c>
    </row>
    <row r="446" spans="1:4">
      <c r="A446" s="10" t="s">
        <v>473</v>
      </c>
      <c r="B446" s="10">
        <v>78</v>
      </c>
      <c r="C446" s="10">
        <v>126</v>
      </c>
      <c r="D446" s="10">
        <v>36</v>
      </c>
    </row>
    <row r="447" spans="1:4">
      <c r="A447" s="10" t="s">
        <v>474</v>
      </c>
      <c r="B447" s="10">
        <v>93</v>
      </c>
      <c r="C447" s="10">
        <v>128</v>
      </c>
      <c r="D447" s="10">
        <v>27</v>
      </c>
    </row>
    <row r="448" spans="1:4">
      <c r="A448" s="10" t="s">
        <v>475</v>
      </c>
      <c r="B448" s="10">
        <v>27</v>
      </c>
      <c r="C448" s="10">
        <v>130</v>
      </c>
      <c r="D448" s="10">
        <v>41</v>
      </c>
    </row>
    <row r="449" spans="1:4">
      <c r="A449" s="10" t="s">
        <v>476</v>
      </c>
      <c r="B449" s="10">
        <v>39</v>
      </c>
      <c r="C449" s="10">
        <v>121</v>
      </c>
      <c r="D449" s="10">
        <v>34</v>
      </c>
    </row>
    <row r="450" spans="1:4">
      <c r="A450" s="10" t="s">
        <v>477</v>
      </c>
      <c r="B450" s="10">
        <v>15</v>
      </c>
      <c r="C450" s="10">
        <v>79</v>
      </c>
      <c r="D450" s="10">
        <v>51</v>
      </c>
    </row>
    <row r="451" spans="1:4">
      <c r="A451" s="10" t="s">
        <v>478</v>
      </c>
      <c r="B451" s="10">
        <v>98</v>
      </c>
      <c r="C451" s="10">
        <v>150</v>
      </c>
      <c r="D451" s="10">
        <v>38</v>
      </c>
    </row>
    <row r="452" spans="1:4">
      <c r="A452" s="10" t="s">
        <v>479</v>
      </c>
      <c r="B452" s="10">
        <v>86</v>
      </c>
      <c r="C452" s="10">
        <v>135</v>
      </c>
      <c r="D452" s="10">
        <v>19</v>
      </c>
    </row>
    <row r="453" spans="1:4">
      <c r="A453" s="10" t="s">
        <v>480</v>
      </c>
      <c r="B453" s="10">
        <v>112</v>
      </c>
      <c r="C453" s="10">
        <v>226</v>
      </c>
      <c r="D453" s="10">
        <v>9</v>
      </c>
    </row>
    <row r="454" spans="1:4">
      <c r="A454" s="10" t="s">
        <v>481</v>
      </c>
      <c r="B454" s="10">
        <v>114</v>
      </c>
      <c r="C454" s="10">
        <v>176</v>
      </c>
      <c r="D454" s="10">
        <v>19</v>
      </c>
    </row>
    <row r="455" spans="1:4">
      <c r="A455" s="10" t="s">
        <v>482</v>
      </c>
      <c r="B455" s="10">
        <v>78</v>
      </c>
      <c r="C455" s="10">
        <v>158</v>
      </c>
      <c r="D455" s="10">
        <v>24</v>
      </c>
    </row>
    <row r="456" spans="1:4">
      <c r="A456" s="10" t="s">
        <v>483</v>
      </c>
      <c r="B456" s="10">
        <v>68</v>
      </c>
      <c r="C456" s="10">
        <v>136</v>
      </c>
      <c r="D456" s="10">
        <v>29</v>
      </c>
    </row>
    <row r="457" spans="1:4">
      <c r="A457" s="10" t="s">
        <v>484</v>
      </c>
      <c r="B457" s="10">
        <v>62</v>
      </c>
      <c r="C457" s="10">
        <v>134</v>
      </c>
      <c r="D457" s="10">
        <v>30</v>
      </c>
    </row>
    <row r="458" spans="1:4">
      <c r="A458" s="10" t="s">
        <v>485</v>
      </c>
      <c r="B458" s="10">
        <v>51</v>
      </c>
      <c r="C458" s="10">
        <v>171</v>
      </c>
      <c r="D458" s="10">
        <v>25</v>
      </c>
    </row>
    <row r="459" spans="1:4">
      <c r="A459" s="10" t="s">
        <v>486</v>
      </c>
      <c r="B459" s="10">
        <v>85</v>
      </c>
      <c r="C459" s="10">
        <v>192</v>
      </c>
      <c r="D459" s="10">
        <v>10</v>
      </c>
    </row>
    <row r="460" spans="1:4">
      <c r="A460" s="10" t="s">
        <v>487</v>
      </c>
      <c r="B460" s="10">
        <v>94</v>
      </c>
      <c r="C460" s="10">
        <v>184</v>
      </c>
      <c r="D460" s="10">
        <v>35</v>
      </c>
    </row>
    <row r="461" spans="1:4">
      <c r="A461" s="10" t="s">
        <v>488</v>
      </c>
      <c r="B461" s="10">
        <v>98</v>
      </c>
      <c r="C461" s="10">
        <v>137</v>
      </c>
      <c r="D461" s="10">
        <v>43</v>
      </c>
    </row>
    <row r="462" spans="1:4">
      <c r="A462" s="10" t="s">
        <v>489</v>
      </c>
      <c r="B462" s="10">
        <v>69</v>
      </c>
      <c r="C462" s="10">
        <v>161</v>
      </c>
      <c r="D462" s="10">
        <v>30</v>
      </c>
    </row>
    <row r="463" spans="1:4">
      <c r="A463" s="10" t="s">
        <v>490</v>
      </c>
      <c r="B463" s="10">
        <v>105</v>
      </c>
      <c r="C463" s="10">
        <v>205</v>
      </c>
      <c r="D463" s="10">
        <v>13</v>
      </c>
    </row>
    <row r="464" spans="1:4">
      <c r="A464" s="10" t="s">
        <v>491</v>
      </c>
      <c r="B464" s="10">
        <v>77</v>
      </c>
      <c r="C464" s="10">
        <v>146</v>
      </c>
      <c r="D464" s="10">
        <v>34</v>
      </c>
    </row>
    <row r="465" spans="1:4">
      <c r="A465" s="10" t="s">
        <v>492</v>
      </c>
      <c r="B465" s="10">
        <v>68</v>
      </c>
      <c r="C465" s="10">
        <v>127</v>
      </c>
      <c r="D465" s="10">
        <v>42</v>
      </c>
    </row>
    <row r="466" spans="1:4">
      <c r="A466" s="10" t="s">
        <v>493</v>
      </c>
      <c r="B466" s="10">
        <v>59</v>
      </c>
      <c r="C466" s="10">
        <v>182</v>
      </c>
      <c r="D466" s="10">
        <v>18</v>
      </c>
    </row>
    <row r="467" spans="1:4">
      <c r="A467" s="10" t="s">
        <v>494</v>
      </c>
      <c r="B467" s="10">
        <v>79</v>
      </c>
      <c r="C467" s="10">
        <v>176</v>
      </c>
      <c r="D467" s="10">
        <v>18</v>
      </c>
    </row>
    <row r="468" spans="1:4">
      <c r="A468" s="10" t="s">
        <v>495</v>
      </c>
      <c r="B468" s="10">
        <v>89</v>
      </c>
      <c r="C468" s="10">
        <v>177</v>
      </c>
      <c r="D468" s="10">
        <v>18</v>
      </c>
    </row>
    <row r="469" spans="1:4">
      <c r="A469" s="10" t="s">
        <v>496</v>
      </c>
      <c r="B469" s="10">
        <v>65</v>
      </c>
      <c r="C469" s="10">
        <v>138</v>
      </c>
      <c r="D469" s="10">
        <v>28</v>
      </c>
    </row>
    <row r="470" spans="1:4">
      <c r="A470" s="10" t="s">
        <v>497</v>
      </c>
      <c r="B470" s="10">
        <v>67</v>
      </c>
      <c r="C470" s="10">
        <v>133</v>
      </c>
      <c r="D470" s="10">
        <v>17</v>
      </c>
    </row>
    <row r="471" spans="1:4">
      <c r="A471" s="10" t="s">
        <v>498</v>
      </c>
      <c r="B471" s="10">
        <v>65</v>
      </c>
      <c r="C471" s="10">
        <v>112</v>
      </c>
      <c r="D471" s="10">
        <v>36</v>
      </c>
    </row>
    <row r="472" spans="1:4">
      <c r="A472" s="10" t="s">
        <v>499</v>
      </c>
      <c r="B472" s="10">
        <v>88</v>
      </c>
      <c r="C472" s="10">
        <v>144</v>
      </c>
      <c r="D472" s="10">
        <v>24</v>
      </c>
    </row>
    <row r="473" spans="1:4">
      <c r="A473" s="10" t="s">
        <v>500</v>
      </c>
      <c r="B473" s="10">
        <v>88</v>
      </c>
      <c r="C473" s="10">
        <v>159</v>
      </c>
      <c r="D473" s="10">
        <v>21</v>
      </c>
    </row>
    <row r="474" spans="1:4">
      <c r="A474" s="10" t="s">
        <v>501</v>
      </c>
      <c r="B474" s="10">
        <v>126</v>
      </c>
      <c r="C474" s="10">
        <v>165</v>
      </c>
      <c r="D474" s="10">
        <v>24</v>
      </c>
    </row>
    <row r="475" spans="1:4">
      <c r="A475" s="10" t="s">
        <v>502</v>
      </c>
      <c r="B475" s="10">
        <v>100</v>
      </c>
      <c r="C475" s="10">
        <v>150</v>
      </c>
      <c r="D475" s="10">
        <v>25</v>
      </c>
    </row>
    <row r="476" spans="1:4">
      <c r="A476" s="10" t="s">
        <v>503</v>
      </c>
      <c r="B476" s="10">
        <v>72</v>
      </c>
      <c r="C476" s="10">
        <v>141</v>
      </c>
      <c r="D476" s="10">
        <v>43</v>
      </c>
    </row>
    <row r="477" spans="1:4">
      <c r="A477" s="10" t="s">
        <v>504</v>
      </c>
      <c r="B477" s="10">
        <v>77</v>
      </c>
      <c r="C477" s="10">
        <v>99</v>
      </c>
      <c r="D477" s="10">
        <v>32</v>
      </c>
    </row>
    <row r="478" spans="1:4">
      <c r="A478" s="10" t="s">
        <v>505</v>
      </c>
      <c r="B478" s="10">
        <v>65</v>
      </c>
      <c r="C478" s="10">
        <v>170</v>
      </c>
      <c r="D478" s="10">
        <v>29</v>
      </c>
    </row>
    <row r="479" spans="1:4">
      <c r="A479" s="10" t="s">
        <v>506</v>
      </c>
      <c r="B479" s="10">
        <v>74</v>
      </c>
      <c r="C479" s="10">
        <v>100</v>
      </c>
      <c r="D479" s="10">
        <v>36</v>
      </c>
    </row>
    <row r="480" spans="1:4">
      <c r="A480" s="10" t="s">
        <v>507</v>
      </c>
      <c r="B480" s="10">
        <v>85</v>
      </c>
      <c r="C480" s="10">
        <v>129</v>
      </c>
      <c r="D480" s="10">
        <v>19</v>
      </c>
    </row>
    <row r="481" spans="1:4">
      <c r="A481" s="10" t="s">
        <v>508</v>
      </c>
      <c r="B481" s="10">
        <v>76</v>
      </c>
      <c r="C481" s="10">
        <v>144</v>
      </c>
      <c r="D481" s="10">
        <v>46</v>
      </c>
    </row>
    <row r="482" spans="1:4">
      <c r="A482" s="10" t="s">
        <v>509</v>
      </c>
      <c r="B482" s="10">
        <v>82</v>
      </c>
      <c r="C482" s="10">
        <v>200</v>
      </c>
      <c r="D482" s="10">
        <v>27</v>
      </c>
    </row>
    <row r="483" spans="1:4">
      <c r="A483" s="10" t="s">
        <v>510</v>
      </c>
      <c r="B483" s="10">
        <v>71</v>
      </c>
      <c r="C483" s="10">
        <v>152</v>
      </c>
      <c r="D483" s="10">
        <v>32</v>
      </c>
    </row>
    <row r="484" spans="1:4">
      <c r="A484" s="10" t="s">
        <v>511</v>
      </c>
      <c r="B484" s="10">
        <v>88</v>
      </c>
      <c r="C484" s="10">
        <v>154</v>
      </c>
      <c r="D484" s="10">
        <v>27</v>
      </c>
    </row>
    <row r="485" spans="1:4">
      <c r="A485" s="10" t="s">
        <v>512</v>
      </c>
      <c r="B485" s="10">
        <v>80</v>
      </c>
      <c r="C485" s="10">
        <v>166</v>
      </c>
      <c r="D485" s="10">
        <v>13</v>
      </c>
    </row>
    <row r="486" spans="1:4">
      <c r="A486" s="10" t="s">
        <v>513</v>
      </c>
      <c r="B486" s="10">
        <v>68</v>
      </c>
      <c r="C486" s="10">
        <v>142</v>
      </c>
      <c r="D486" s="10">
        <v>45</v>
      </c>
    </row>
    <row r="487" spans="1:4">
      <c r="A487" s="10" t="s">
        <v>514</v>
      </c>
      <c r="B487" s="10">
        <v>105</v>
      </c>
      <c r="C487" s="10">
        <v>183</v>
      </c>
      <c r="D487" s="10">
        <v>14</v>
      </c>
    </row>
    <row r="488" spans="1:4">
      <c r="A488" s="10" t="s">
        <v>515</v>
      </c>
      <c r="B488" s="10">
        <v>71</v>
      </c>
      <c r="C488" s="10">
        <v>151</v>
      </c>
      <c r="D488" s="10">
        <v>24</v>
      </c>
    </row>
    <row r="489" spans="1:4">
      <c r="A489" s="10" t="s">
        <v>516</v>
      </c>
      <c r="B489" s="10">
        <v>106</v>
      </c>
      <c r="C489" s="10">
        <v>118</v>
      </c>
      <c r="D489" s="10">
        <v>42</v>
      </c>
    </row>
    <row r="490" spans="1:4">
      <c r="A490" s="10" t="s">
        <v>517</v>
      </c>
      <c r="B490" s="10">
        <v>89</v>
      </c>
      <c r="C490" s="10">
        <v>142</v>
      </c>
      <c r="D490" s="10">
        <v>22</v>
      </c>
    </row>
    <row r="491" spans="1:4">
      <c r="A491" s="10" t="s">
        <v>518</v>
      </c>
      <c r="B491" s="10">
        <v>78</v>
      </c>
      <c r="C491" s="10">
        <v>158</v>
      </c>
      <c r="D491" s="10">
        <v>17</v>
      </c>
    </row>
    <row r="492" spans="1:4">
      <c r="A492" s="10" t="s">
        <v>519</v>
      </c>
      <c r="B492" s="10">
        <v>15</v>
      </c>
      <c r="C492" s="10">
        <v>130</v>
      </c>
      <c r="D492" s="10">
        <v>33</v>
      </c>
    </row>
    <row r="493" spans="1:4">
      <c r="A493" s="10" t="s">
        <v>520</v>
      </c>
      <c r="B493" s="10">
        <v>57</v>
      </c>
      <c r="C493" s="10">
        <v>138</v>
      </c>
      <c r="D493" s="10">
        <v>18</v>
      </c>
    </row>
    <row r="494" spans="1:4">
      <c r="A494" s="10" t="s">
        <v>521</v>
      </c>
      <c r="B494" s="10">
        <v>54</v>
      </c>
      <c r="C494" s="10">
        <v>76</v>
      </c>
      <c r="D494" s="10">
        <v>47</v>
      </c>
    </row>
    <row r="495" spans="1:4">
      <c r="A495" s="10" t="s">
        <v>522</v>
      </c>
      <c r="B495" s="10">
        <v>92</v>
      </c>
      <c r="C495" s="10">
        <v>164</v>
      </c>
      <c r="D495" s="10">
        <v>22</v>
      </c>
    </row>
    <row r="496" spans="1:4">
      <c r="A496" s="10" t="s">
        <v>523</v>
      </c>
      <c r="B496" s="10">
        <v>72</v>
      </c>
      <c r="C496" s="10">
        <v>102</v>
      </c>
      <c r="D496" s="10">
        <v>42</v>
      </c>
    </row>
    <row r="497" spans="1:4">
      <c r="A497" s="10" t="s">
        <v>524</v>
      </c>
      <c r="B497" s="10">
        <v>67</v>
      </c>
      <c r="C497" s="10">
        <v>113</v>
      </c>
      <c r="D497" s="10">
        <v>40</v>
      </c>
    </row>
    <row r="498" spans="1:4">
      <c r="A498" s="10" t="s">
        <v>525</v>
      </c>
      <c r="B498" s="10">
        <v>105</v>
      </c>
      <c r="C498" s="10">
        <v>161</v>
      </c>
      <c r="D498" s="10">
        <v>19</v>
      </c>
    </row>
    <row r="499" spans="1:4">
      <c r="A499" s="10" t="s">
        <v>526</v>
      </c>
      <c r="B499" s="10">
        <v>70</v>
      </c>
      <c r="C499" s="10">
        <v>149</v>
      </c>
      <c r="D499" s="10">
        <v>25</v>
      </c>
    </row>
    <row r="500" spans="1:4">
      <c r="A500" s="10" t="s">
        <v>527</v>
      </c>
      <c r="B500" s="10">
        <v>77</v>
      </c>
      <c r="C500" s="10">
        <v>184</v>
      </c>
      <c r="D500" s="10">
        <v>33</v>
      </c>
    </row>
    <row r="501" spans="1:4">
      <c r="A501" s="10" t="s">
        <v>528</v>
      </c>
      <c r="B501" s="10">
        <v>83</v>
      </c>
      <c r="C501" s="10">
        <v>152</v>
      </c>
      <c r="D501" s="10">
        <v>16</v>
      </c>
    </row>
    <row r="502" spans="1:4">
      <c r="A502" s="10" t="s">
        <v>529</v>
      </c>
      <c r="B502" s="10">
        <v>131</v>
      </c>
      <c r="C502" s="10">
        <v>224</v>
      </c>
      <c r="D502" s="10">
        <v>7</v>
      </c>
    </row>
    <row r="503" spans="1:4">
      <c r="A503" s="10" t="s">
        <v>530</v>
      </c>
      <c r="B503" s="10">
        <v>79</v>
      </c>
      <c r="C503" s="10">
        <v>193</v>
      </c>
      <c r="D503" s="10">
        <v>9</v>
      </c>
    </row>
    <row r="504" spans="1:4">
      <c r="A504" s="10" t="s">
        <v>531</v>
      </c>
      <c r="B504" s="10">
        <v>86</v>
      </c>
      <c r="C504" s="10">
        <v>167</v>
      </c>
      <c r="D504" s="10">
        <v>30</v>
      </c>
    </row>
    <row r="505" spans="1:4">
      <c r="A505" s="10" t="s">
        <v>532</v>
      </c>
      <c r="B505" s="10">
        <v>93</v>
      </c>
      <c r="C505" s="10">
        <v>191</v>
      </c>
      <c r="D505" s="10">
        <v>19</v>
      </c>
    </row>
    <row r="506" spans="1:4">
      <c r="A506" s="10" t="s">
        <v>533</v>
      </c>
      <c r="B506" s="10">
        <v>75</v>
      </c>
      <c r="C506" s="10">
        <v>181</v>
      </c>
      <c r="D506" s="10">
        <v>37</v>
      </c>
    </row>
    <row r="507" spans="1:4">
      <c r="A507" s="10" t="s">
        <v>534</v>
      </c>
      <c r="B507" s="10">
        <v>109</v>
      </c>
      <c r="C507" s="10">
        <v>143</v>
      </c>
      <c r="D507" s="10">
        <v>21</v>
      </c>
    </row>
    <row r="508" spans="1:4">
      <c r="A508" s="10" t="s">
        <v>535</v>
      </c>
      <c r="B508" s="10">
        <v>92</v>
      </c>
      <c r="C508" s="10">
        <v>123</v>
      </c>
      <c r="D508" s="10">
        <v>24</v>
      </c>
    </row>
    <row r="509" spans="1:4">
      <c r="A509" s="10" t="s">
        <v>536</v>
      </c>
      <c r="B509" s="10">
        <v>64</v>
      </c>
      <c r="C509" s="10">
        <v>168</v>
      </c>
      <c r="D509" s="10">
        <v>26</v>
      </c>
    </row>
    <row r="510" spans="1:4">
      <c r="A510" s="10" t="s">
        <v>537</v>
      </c>
      <c r="B510" s="10">
        <v>104</v>
      </c>
      <c r="C510" s="10">
        <v>188</v>
      </c>
      <c r="D510" s="10">
        <v>15</v>
      </c>
    </row>
    <row r="511" spans="1:4">
      <c r="A511" s="10" t="s">
        <v>538</v>
      </c>
      <c r="B511" s="10">
        <v>97</v>
      </c>
      <c r="C511" s="10">
        <v>177</v>
      </c>
      <c r="D511" s="10">
        <v>22</v>
      </c>
    </row>
    <row r="512" spans="1:4">
      <c r="A512" s="10" t="s">
        <v>539</v>
      </c>
      <c r="B512" s="10">
        <v>79</v>
      </c>
      <c r="C512" s="10">
        <v>173</v>
      </c>
      <c r="D512" s="10">
        <v>31</v>
      </c>
    </row>
    <row r="513" spans="1:4">
      <c r="A513" s="10" t="s">
        <v>540</v>
      </c>
      <c r="B513" s="10">
        <v>100</v>
      </c>
      <c r="C513" s="10">
        <v>167</v>
      </c>
      <c r="D513" s="10">
        <v>24</v>
      </c>
    </row>
    <row r="514" spans="1:4">
      <c r="A514" s="10" t="s">
        <v>541</v>
      </c>
      <c r="B514" s="10">
        <v>76</v>
      </c>
      <c r="C514" s="10">
        <v>204</v>
      </c>
      <c r="D514" s="10">
        <v>22</v>
      </c>
    </row>
    <row r="515" spans="1:4">
      <c r="A515" s="10" t="s">
        <v>542</v>
      </c>
      <c r="B515" s="10">
        <v>81</v>
      </c>
      <c r="C515" s="10">
        <v>148</v>
      </c>
      <c r="D515" s="10">
        <v>39</v>
      </c>
    </row>
    <row r="516" spans="1:4">
      <c r="A516" s="10" t="s">
        <v>543</v>
      </c>
      <c r="B516" s="10">
        <v>82</v>
      </c>
      <c r="C516" s="10">
        <v>162</v>
      </c>
      <c r="D516" s="10">
        <v>17</v>
      </c>
    </row>
    <row r="517" spans="1:4">
      <c r="A517" s="10" t="s">
        <v>544</v>
      </c>
      <c r="B517" s="10">
        <v>64</v>
      </c>
      <c r="C517" s="10">
        <v>133</v>
      </c>
      <c r="D517" s="10">
        <v>17</v>
      </c>
    </row>
    <row r="518" spans="1:4">
      <c r="A518" s="10" t="s">
        <v>545</v>
      </c>
      <c r="B518" s="10">
        <v>78</v>
      </c>
      <c r="C518" s="10">
        <v>134</v>
      </c>
      <c r="D518" s="10">
        <v>17</v>
      </c>
    </row>
    <row r="519" spans="1:4">
      <c r="A519" s="10" t="s">
        <v>546</v>
      </c>
      <c r="B519" s="10">
        <v>90</v>
      </c>
      <c r="C519" s="10">
        <v>175</v>
      </c>
      <c r="D519" s="10">
        <v>24</v>
      </c>
    </row>
    <row r="520" spans="1:4">
      <c r="A520" s="10" t="s">
        <v>547</v>
      </c>
      <c r="B520" s="10">
        <v>92</v>
      </c>
      <c r="C520" s="10">
        <v>165</v>
      </c>
      <c r="D520" s="10">
        <v>33</v>
      </c>
    </row>
    <row r="521" spans="1:4">
      <c r="A521" s="10" t="s">
        <v>548</v>
      </c>
      <c r="B521" s="10">
        <v>71</v>
      </c>
      <c r="C521" s="10">
        <v>144</v>
      </c>
      <c r="D521" s="10">
        <v>16</v>
      </c>
    </row>
    <row r="522" spans="1:4">
      <c r="A522" s="10" t="s">
        <v>549</v>
      </c>
      <c r="B522" s="10">
        <v>86</v>
      </c>
      <c r="C522" s="10">
        <v>185</v>
      </c>
      <c r="D522" s="10">
        <v>32</v>
      </c>
    </row>
    <row r="523" spans="1:4">
      <c r="A523" s="10" t="s">
        <v>550</v>
      </c>
      <c r="B523" s="10">
        <v>127</v>
      </c>
      <c r="C523" s="10">
        <v>205</v>
      </c>
      <c r="D523" s="10">
        <v>4</v>
      </c>
    </row>
    <row r="524" spans="1:4">
      <c r="A524" s="10" t="s">
        <v>551</v>
      </c>
      <c r="B524" s="10">
        <v>114</v>
      </c>
      <c r="C524" s="10">
        <v>180</v>
      </c>
      <c r="D524" s="10">
        <v>30</v>
      </c>
    </row>
    <row r="525" spans="1:4">
      <c r="A525" s="10" t="s">
        <v>552</v>
      </c>
      <c r="B525" s="10">
        <v>102</v>
      </c>
      <c r="C525" s="10">
        <v>157</v>
      </c>
      <c r="D525" s="10">
        <v>24</v>
      </c>
    </row>
    <row r="526" spans="1:4">
      <c r="A526" s="10" t="s">
        <v>553</v>
      </c>
      <c r="B526" s="10">
        <v>100</v>
      </c>
      <c r="C526" s="10">
        <v>188</v>
      </c>
      <c r="D526" s="10">
        <v>17</v>
      </c>
    </row>
    <row r="527" spans="1:4">
      <c r="A527" s="10" t="s">
        <v>554</v>
      </c>
      <c r="B527" s="10">
        <v>60</v>
      </c>
      <c r="C527" s="10">
        <v>178</v>
      </c>
      <c r="D527" s="10">
        <v>22</v>
      </c>
    </row>
    <row r="528" spans="1:4">
      <c r="A528" s="10" t="s">
        <v>555</v>
      </c>
      <c r="B528" s="10">
        <v>63</v>
      </c>
      <c r="C528" s="10">
        <v>128</v>
      </c>
      <c r="D528" s="10">
        <v>31</v>
      </c>
    </row>
    <row r="529" spans="1:4">
      <c r="A529" s="10" t="s">
        <v>556</v>
      </c>
      <c r="B529" s="10">
        <v>89</v>
      </c>
      <c r="C529" s="10">
        <v>196</v>
      </c>
      <c r="D529" s="10">
        <v>23</v>
      </c>
    </row>
    <row r="530" spans="1:4">
      <c r="A530" s="10" t="s">
        <v>557</v>
      </c>
      <c r="B530" s="10">
        <v>80</v>
      </c>
      <c r="C530" s="10">
        <v>151</v>
      </c>
      <c r="D530" s="10">
        <v>35</v>
      </c>
    </row>
    <row r="531" spans="1:4">
      <c r="A531" s="10" t="s">
        <v>558</v>
      </c>
      <c r="B531" s="10">
        <v>78</v>
      </c>
      <c r="C531" s="10">
        <v>132</v>
      </c>
      <c r="D531" s="10">
        <v>39</v>
      </c>
    </row>
    <row r="532" spans="1:4">
      <c r="A532" s="10" t="s">
        <v>559</v>
      </c>
      <c r="B532" s="10">
        <v>51</v>
      </c>
      <c r="C532" s="10">
        <v>90</v>
      </c>
      <c r="D532" s="10">
        <v>50</v>
      </c>
    </row>
    <row r="533" spans="1:4">
      <c r="A533" s="10" t="s">
        <v>560</v>
      </c>
      <c r="B533" s="10">
        <v>114</v>
      </c>
      <c r="C533" s="10">
        <v>181</v>
      </c>
      <c r="D533" s="10">
        <v>26</v>
      </c>
    </row>
    <row r="534" spans="1:4">
      <c r="A534" s="10" t="s">
        <v>561</v>
      </c>
      <c r="B534" s="10">
        <v>73</v>
      </c>
      <c r="C534" s="10">
        <v>139</v>
      </c>
      <c r="D534" s="10">
        <v>23</v>
      </c>
    </row>
    <row r="535" spans="1:4">
      <c r="A535" s="10" t="s">
        <v>562</v>
      </c>
      <c r="B535" s="10">
        <v>77</v>
      </c>
      <c r="C535" s="10">
        <v>150</v>
      </c>
      <c r="D535" s="10">
        <v>37</v>
      </c>
    </row>
    <row r="536" spans="1:4">
      <c r="A536" s="10" t="s">
        <v>563</v>
      </c>
      <c r="B536" s="10">
        <v>53</v>
      </c>
      <c r="C536" s="10">
        <v>84</v>
      </c>
      <c r="D536" s="10">
        <v>50</v>
      </c>
    </row>
    <row r="537" spans="1:4">
      <c r="A537" s="10" t="s">
        <v>564</v>
      </c>
      <c r="B537" s="10">
        <v>77</v>
      </c>
      <c r="C537" s="10">
        <v>150</v>
      </c>
      <c r="D537" s="10">
        <v>31</v>
      </c>
    </row>
    <row r="538" spans="1:4">
      <c r="A538" s="10" t="s">
        <v>565</v>
      </c>
      <c r="B538" s="10">
        <v>102</v>
      </c>
      <c r="C538" s="10">
        <v>196</v>
      </c>
      <c r="D538" s="10">
        <v>23</v>
      </c>
    </row>
    <row r="539" spans="1:4">
      <c r="A539" s="10" t="s">
        <v>566</v>
      </c>
      <c r="B539" s="10">
        <v>61</v>
      </c>
      <c r="C539" s="10">
        <v>125</v>
      </c>
      <c r="D539" s="10">
        <v>34</v>
      </c>
    </row>
    <row r="540" spans="1:4">
      <c r="A540" s="10" t="s">
        <v>567</v>
      </c>
      <c r="B540" s="10">
        <v>89</v>
      </c>
      <c r="C540" s="10">
        <v>164</v>
      </c>
      <c r="D540" s="10">
        <v>34</v>
      </c>
    </row>
    <row r="541" spans="1:4">
      <c r="A541" s="10" t="s">
        <v>568</v>
      </c>
      <c r="B541" s="10">
        <v>86</v>
      </c>
      <c r="C541" s="10">
        <v>134</v>
      </c>
      <c r="D541" s="10">
        <v>33</v>
      </c>
    </row>
    <row r="542" spans="1:4">
      <c r="A542" s="10" t="s">
        <v>569</v>
      </c>
      <c r="B542" s="10">
        <v>58</v>
      </c>
      <c r="C542" s="10">
        <v>139</v>
      </c>
      <c r="D542" s="10">
        <v>48</v>
      </c>
    </row>
    <row r="543" spans="1:4">
      <c r="A543" s="10" t="s">
        <v>570</v>
      </c>
      <c r="B543" s="10">
        <v>51</v>
      </c>
      <c r="C543" s="10">
        <v>105</v>
      </c>
      <c r="D543" s="10">
        <v>29</v>
      </c>
    </row>
    <row r="544" spans="1:4">
      <c r="A544" s="10" t="s">
        <v>571</v>
      </c>
      <c r="B544" s="10">
        <v>82</v>
      </c>
      <c r="C544" s="10">
        <v>185</v>
      </c>
      <c r="D544" s="10">
        <v>35</v>
      </c>
    </row>
    <row r="545" spans="1:4">
      <c r="A545" s="10" t="s">
        <v>572</v>
      </c>
      <c r="B545" s="10">
        <v>66</v>
      </c>
      <c r="C545" s="10">
        <v>138</v>
      </c>
      <c r="D545" s="10">
        <v>28</v>
      </c>
    </row>
    <row r="546" spans="1:4">
      <c r="A546" s="10" t="s">
        <v>573</v>
      </c>
      <c r="B546" s="10">
        <v>67</v>
      </c>
      <c r="C546" s="10">
        <v>158</v>
      </c>
      <c r="D546" s="10">
        <v>28</v>
      </c>
    </row>
    <row r="547" spans="1:4">
      <c r="A547" s="10" t="s">
        <v>574</v>
      </c>
      <c r="B547" s="10">
        <v>42</v>
      </c>
      <c r="C547" s="10">
        <v>130</v>
      </c>
      <c r="D547" s="10">
        <v>19</v>
      </c>
    </row>
    <row r="548" spans="1:4">
      <c r="A548" s="10" t="s">
        <v>575</v>
      </c>
      <c r="B548" s="10">
        <v>73</v>
      </c>
      <c r="C548" s="10">
        <v>162</v>
      </c>
      <c r="D548" s="10">
        <v>22</v>
      </c>
    </row>
    <row r="549" spans="1:4">
      <c r="A549" s="10" t="s">
        <v>576</v>
      </c>
      <c r="B549" s="10">
        <v>18</v>
      </c>
      <c r="C549" s="10">
        <v>153</v>
      </c>
      <c r="D549" s="10">
        <v>26</v>
      </c>
    </row>
    <row r="550" spans="1:4">
      <c r="A550" s="10" t="s">
        <v>577</v>
      </c>
      <c r="B550" s="10">
        <v>70</v>
      </c>
      <c r="C550" s="10">
        <v>154</v>
      </c>
      <c r="D550" s="10">
        <v>29</v>
      </c>
    </row>
    <row r="551" spans="1:4">
      <c r="A551" s="10" t="s">
        <v>578</v>
      </c>
      <c r="B551" s="10">
        <v>70</v>
      </c>
      <c r="C551" s="10">
        <v>152</v>
      </c>
      <c r="D551" s="10">
        <v>35</v>
      </c>
    </row>
    <row r="552" spans="1:4">
      <c r="A552" s="10" t="s">
        <v>579</v>
      </c>
      <c r="B552" s="10">
        <v>82</v>
      </c>
      <c r="C552" s="10">
        <v>174</v>
      </c>
      <c r="D552" s="10">
        <v>32</v>
      </c>
    </row>
    <row r="553" spans="1:4">
      <c r="A553" s="10" t="s">
        <v>580</v>
      </c>
      <c r="B553" s="10">
        <v>63</v>
      </c>
      <c r="C553" s="10">
        <v>134</v>
      </c>
      <c r="D553" s="10">
        <v>44</v>
      </c>
    </row>
    <row r="554" spans="1:4">
      <c r="A554" s="10" t="s">
        <v>581</v>
      </c>
      <c r="B554" s="10">
        <v>91</v>
      </c>
      <c r="C554" s="10">
        <v>170</v>
      </c>
      <c r="D554" s="10">
        <v>32</v>
      </c>
    </row>
    <row r="555" spans="1:4">
      <c r="A555" s="10" t="s">
        <v>582</v>
      </c>
      <c r="B555" s="10">
        <v>107</v>
      </c>
      <c r="C555" s="10">
        <v>205</v>
      </c>
      <c r="D555" s="10">
        <v>8</v>
      </c>
    </row>
    <row r="556" spans="1:4">
      <c r="A556" s="10" t="s">
        <v>583</v>
      </c>
      <c r="B556" s="10">
        <v>68</v>
      </c>
      <c r="C556" s="10">
        <v>148</v>
      </c>
      <c r="D556" s="10">
        <v>30</v>
      </c>
    </row>
    <row r="557" spans="1:4">
      <c r="A557" s="10" t="s">
        <v>584</v>
      </c>
      <c r="B557" s="10">
        <v>76</v>
      </c>
      <c r="C557" s="10">
        <v>139</v>
      </c>
      <c r="D557" s="10">
        <v>42</v>
      </c>
    </row>
    <row r="558" spans="1:4">
      <c r="A558" s="10" t="s">
        <v>585</v>
      </c>
      <c r="B558" s="10">
        <v>88</v>
      </c>
      <c r="C558" s="10">
        <v>140</v>
      </c>
      <c r="D558" s="10">
        <v>44</v>
      </c>
    </row>
    <row r="559" spans="1:4">
      <c r="A559" s="10" t="s">
        <v>586</v>
      </c>
      <c r="B559" s="10">
        <v>15</v>
      </c>
      <c r="C559" s="10">
        <v>86</v>
      </c>
      <c r="D559" s="10">
        <v>41</v>
      </c>
    </row>
    <row r="560" spans="1:4">
      <c r="A560" s="10" t="s">
        <v>587</v>
      </c>
      <c r="B560" s="10">
        <v>66</v>
      </c>
      <c r="C560" s="10">
        <v>169</v>
      </c>
      <c r="D560" s="10">
        <v>19</v>
      </c>
    </row>
    <row r="561" spans="1:4">
      <c r="A561" s="10" t="s">
        <v>588</v>
      </c>
      <c r="B561" s="10">
        <v>56</v>
      </c>
      <c r="C561" s="10">
        <v>138</v>
      </c>
      <c r="D561" s="10">
        <v>42</v>
      </c>
    </row>
    <row r="562" spans="1:4">
      <c r="A562" s="10" t="s">
        <v>589</v>
      </c>
      <c r="B562" s="10">
        <v>128</v>
      </c>
      <c r="C562" s="10">
        <v>167</v>
      </c>
      <c r="D562" s="10">
        <v>30</v>
      </c>
    </row>
    <row r="563" spans="1:4">
      <c r="A563" s="10" t="s">
        <v>590</v>
      </c>
      <c r="B563" s="10">
        <v>94</v>
      </c>
      <c r="C563" s="10">
        <v>234</v>
      </c>
      <c r="D563" s="10">
        <v>13</v>
      </c>
    </row>
    <row r="564" spans="1:4">
      <c r="A564" s="10" t="s">
        <v>591</v>
      </c>
      <c r="B564" s="10">
        <v>66</v>
      </c>
      <c r="C564" s="10">
        <v>171</v>
      </c>
      <c r="D564" s="10">
        <v>34</v>
      </c>
    </row>
    <row r="565" spans="1:4">
      <c r="A565" s="10" t="s">
        <v>592</v>
      </c>
      <c r="B565" s="10">
        <v>74</v>
      </c>
      <c r="C565" s="10">
        <v>125</v>
      </c>
      <c r="D565" s="10">
        <v>38</v>
      </c>
    </row>
    <row r="566" spans="1:4">
      <c r="A566" s="10" t="s">
        <v>593</v>
      </c>
      <c r="B566" s="10">
        <v>84</v>
      </c>
      <c r="C566" s="10">
        <v>181</v>
      </c>
      <c r="D566" s="10">
        <v>17</v>
      </c>
    </row>
    <row r="567" spans="1:4">
      <c r="A567" s="10" t="s">
        <v>594</v>
      </c>
      <c r="B567" s="10">
        <v>25</v>
      </c>
      <c r="C567" s="10">
        <v>111</v>
      </c>
      <c r="D567" s="10">
        <v>37</v>
      </c>
    </row>
    <row r="568" spans="1:4">
      <c r="A568" s="10" t="s">
        <v>595</v>
      </c>
      <c r="B568" s="10">
        <v>78</v>
      </c>
      <c r="C568" s="10">
        <v>184</v>
      </c>
      <c r="D568" s="10">
        <v>27</v>
      </c>
    </row>
    <row r="569" spans="1:4">
      <c r="A569" s="10" t="s">
        <v>596</v>
      </c>
      <c r="B569" s="10">
        <v>78</v>
      </c>
      <c r="C569" s="10">
        <v>180</v>
      </c>
      <c r="D569" s="10">
        <v>36</v>
      </c>
    </row>
    <row r="570" spans="1:4">
      <c r="A570" s="10" t="s">
        <v>597</v>
      </c>
      <c r="B570" s="10">
        <v>103</v>
      </c>
      <c r="C570" s="10">
        <v>195</v>
      </c>
      <c r="D570" s="10">
        <v>22</v>
      </c>
    </row>
    <row r="571" spans="1:4">
      <c r="A571" s="10" t="s">
        <v>598</v>
      </c>
      <c r="B571" s="10">
        <v>80</v>
      </c>
      <c r="C571" s="10">
        <v>130</v>
      </c>
      <c r="D571" s="10">
        <v>30</v>
      </c>
    </row>
    <row r="572" spans="1:4">
      <c r="A572" s="10" t="s">
        <v>599</v>
      </c>
      <c r="B572" s="10">
        <v>84</v>
      </c>
      <c r="C572" s="10">
        <v>168</v>
      </c>
      <c r="D572" s="10">
        <v>10</v>
      </c>
    </row>
    <row r="573" spans="1:4">
      <c r="A573" s="10" t="s">
        <v>600</v>
      </c>
      <c r="B573" s="10">
        <v>61</v>
      </c>
      <c r="C573" s="10">
        <v>118</v>
      </c>
      <c r="D573" s="10">
        <v>28</v>
      </c>
    </row>
    <row r="574" spans="1:4">
      <c r="A574" s="10" t="s">
        <v>601</v>
      </c>
      <c r="B574" s="10">
        <v>109</v>
      </c>
      <c r="C574" s="10">
        <v>153</v>
      </c>
      <c r="D574" s="10">
        <v>15</v>
      </c>
    </row>
    <row r="575" spans="1:4">
      <c r="A575" s="10" t="s">
        <v>602</v>
      </c>
      <c r="B575" s="10">
        <v>66</v>
      </c>
      <c r="C575" s="10">
        <v>142</v>
      </c>
      <c r="D575" s="10">
        <v>35</v>
      </c>
    </row>
    <row r="576" spans="1:4">
      <c r="A576" s="10" t="s">
        <v>603</v>
      </c>
      <c r="B576" s="10">
        <v>68</v>
      </c>
      <c r="C576" s="10">
        <v>135</v>
      </c>
      <c r="D576" s="10">
        <v>32</v>
      </c>
    </row>
    <row r="577" spans="1:4">
      <c r="A577" s="10" t="s">
        <v>604</v>
      </c>
      <c r="B577" s="10">
        <v>46</v>
      </c>
      <c r="C577" s="10">
        <v>150</v>
      </c>
      <c r="D577" s="10">
        <v>23</v>
      </c>
    </row>
    <row r="578" spans="1:4">
      <c r="A578" s="10" t="s">
        <v>605</v>
      </c>
      <c r="B578" s="10">
        <v>95</v>
      </c>
      <c r="C578" s="10">
        <v>179</v>
      </c>
      <c r="D578" s="10">
        <v>24</v>
      </c>
    </row>
    <row r="579" spans="1:4">
      <c r="A579" s="10" t="s">
        <v>606</v>
      </c>
      <c r="B579" s="10">
        <v>48</v>
      </c>
      <c r="C579" s="10">
        <v>166</v>
      </c>
      <c r="D579" s="10">
        <v>27</v>
      </c>
    </row>
    <row r="580" spans="1:4">
      <c r="A580" s="10" t="s">
        <v>607</v>
      </c>
      <c r="B580" s="10">
        <v>93</v>
      </c>
      <c r="C580" s="10">
        <v>161</v>
      </c>
      <c r="D580" s="10">
        <v>45</v>
      </c>
    </row>
    <row r="581" spans="1:4">
      <c r="A581" s="10" t="s">
        <v>608</v>
      </c>
      <c r="B581" s="10">
        <v>71</v>
      </c>
      <c r="C581" s="10">
        <v>152</v>
      </c>
      <c r="D581" s="10">
        <v>25</v>
      </c>
    </row>
    <row r="582" spans="1:4">
      <c r="A582" s="10" t="s">
        <v>609</v>
      </c>
      <c r="B582" s="10">
        <v>95</v>
      </c>
      <c r="C582" s="10">
        <v>143</v>
      </c>
      <c r="D582" s="10">
        <v>25</v>
      </c>
    </row>
    <row r="583" spans="1:4">
      <c r="A583" s="10" t="s">
        <v>610</v>
      </c>
      <c r="B583" s="10">
        <v>72</v>
      </c>
      <c r="C583" s="10">
        <v>151</v>
      </c>
      <c r="D583" s="10">
        <v>33</v>
      </c>
    </row>
    <row r="584" spans="1:4">
      <c r="A584" s="10" t="s">
        <v>611</v>
      </c>
      <c r="B584" s="10">
        <v>58</v>
      </c>
      <c r="C584" s="10">
        <v>184</v>
      </c>
      <c r="D584" s="10">
        <v>30</v>
      </c>
    </row>
    <row r="585" spans="1:4">
      <c r="A585" s="10" t="s">
        <v>612</v>
      </c>
      <c r="B585" s="10">
        <v>75</v>
      </c>
      <c r="C585" s="10">
        <v>166</v>
      </c>
      <c r="D585" s="10">
        <v>30</v>
      </c>
    </row>
    <row r="586" spans="1:4">
      <c r="A586" s="10" t="s">
        <v>613</v>
      </c>
      <c r="B586" s="10">
        <v>96</v>
      </c>
      <c r="C586" s="10">
        <v>156</v>
      </c>
      <c r="D586" s="10">
        <v>32</v>
      </c>
    </row>
    <row r="587" spans="1:4">
      <c r="A587" s="10" t="s">
        <v>614</v>
      </c>
      <c r="B587" s="10">
        <v>70</v>
      </c>
      <c r="C587" s="10">
        <v>132</v>
      </c>
      <c r="D587" s="10">
        <v>30</v>
      </c>
    </row>
    <row r="588" spans="1:4">
      <c r="A588" s="10" t="s">
        <v>615</v>
      </c>
      <c r="B588" s="10">
        <v>54</v>
      </c>
      <c r="C588" s="10">
        <v>140</v>
      </c>
      <c r="D588" s="10">
        <v>22</v>
      </c>
    </row>
    <row r="589" spans="1:4">
      <c r="A589" s="10" t="s">
        <v>616</v>
      </c>
      <c r="B589" s="10">
        <v>106</v>
      </c>
      <c r="C589" s="10">
        <v>161</v>
      </c>
      <c r="D589" s="10">
        <v>29</v>
      </c>
    </row>
    <row r="590" spans="1:4">
      <c r="A590" s="10" t="s">
        <v>617</v>
      </c>
      <c r="B590" s="10">
        <v>125</v>
      </c>
      <c r="C590" s="10">
        <v>163</v>
      </c>
      <c r="D590" s="10">
        <v>14</v>
      </c>
    </row>
    <row r="591" spans="1:4">
      <c r="A591" s="10" t="s">
        <v>618</v>
      </c>
      <c r="B591" s="10">
        <v>95</v>
      </c>
      <c r="C591" s="10">
        <v>136</v>
      </c>
      <c r="D591" s="10">
        <v>18</v>
      </c>
    </row>
    <row r="592" spans="1:4">
      <c r="A592" s="10" t="s">
        <v>619</v>
      </c>
      <c r="B592" s="10">
        <v>84</v>
      </c>
      <c r="C592" s="10">
        <v>178</v>
      </c>
      <c r="D592" s="10">
        <v>34</v>
      </c>
    </row>
    <row r="593" spans="1:4">
      <c r="A593" s="10" t="s">
        <v>620</v>
      </c>
      <c r="B593" s="10">
        <v>99</v>
      </c>
      <c r="C593" s="10">
        <v>190</v>
      </c>
      <c r="D593" s="10">
        <v>24</v>
      </c>
    </row>
    <row r="594" spans="1:4">
      <c r="A594" s="10" t="s">
        <v>621</v>
      </c>
      <c r="B594" s="10">
        <v>80</v>
      </c>
      <c r="C594" s="10">
        <v>159</v>
      </c>
      <c r="D594" s="10">
        <v>32</v>
      </c>
    </row>
    <row r="595" spans="1:4">
      <c r="A595" s="10" t="s">
        <v>622</v>
      </c>
      <c r="B595" s="10">
        <v>70</v>
      </c>
      <c r="C595" s="10">
        <v>144</v>
      </c>
      <c r="D595" s="10">
        <v>22</v>
      </c>
    </row>
    <row r="596" spans="1:4">
      <c r="A596" s="10" t="s">
        <v>623</v>
      </c>
      <c r="B596" s="10">
        <v>42</v>
      </c>
      <c r="C596" s="10">
        <v>117</v>
      </c>
      <c r="D596" s="10">
        <v>38</v>
      </c>
    </row>
    <row r="597" spans="1:4">
      <c r="A597" s="10" t="s">
        <v>624</v>
      </c>
      <c r="B597" s="10">
        <v>86</v>
      </c>
      <c r="C597" s="10">
        <v>157</v>
      </c>
      <c r="D597" s="10">
        <v>28</v>
      </c>
    </row>
    <row r="598" spans="1:4">
      <c r="A598" s="10" t="s">
        <v>625</v>
      </c>
      <c r="B598" s="10">
        <v>107</v>
      </c>
      <c r="C598" s="10">
        <v>179</v>
      </c>
      <c r="D598" s="10">
        <v>19</v>
      </c>
    </row>
    <row r="599" spans="1:4">
      <c r="A599" s="10" t="s">
        <v>626</v>
      </c>
      <c r="B599" s="10">
        <v>73</v>
      </c>
      <c r="C599" s="10">
        <v>150</v>
      </c>
      <c r="D599" s="10">
        <v>29</v>
      </c>
    </row>
    <row r="600" spans="1:4">
      <c r="A600" s="10" t="s">
        <v>627</v>
      </c>
      <c r="B600" s="10">
        <v>115</v>
      </c>
      <c r="C600" s="10">
        <v>158</v>
      </c>
      <c r="D600" s="10">
        <v>29</v>
      </c>
    </row>
    <row r="601" spans="1:4">
      <c r="A601" s="10" t="s">
        <v>629</v>
      </c>
      <c r="B601" s="10">
        <v>97</v>
      </c>
      <c r="C601" s="10">
        <v>150</v>
      </c>
      <c r="D601" s="10">
        <v>37</v>
      </c>
    </row>
    <row r="602" spans="1:4">
      <c r="A602" s="10" t="s">
        <v>630</v>
      </c>
      <c r="B602" s="10">
        <v>104</v>
      </c>
      <c r="C602" s="10">
        <v>222</v>
      </c>
      <c r="D602" s="10">
        <v>2</v>
      </c>
    </row>
    <row r="603" spans="1:4">
      <c r="A603" s="10" t="s">
        <v>631</v>
      </c>
      <c r="B603" s="10">
        <v>37</v>
      </c>
      <c r="C603" s="10">
        <v>140</v>
      </c>
      <c r="D603" s="10">
        <v>26</v>
      </c>
    </row>
    <row r="604" spans="1:4">
      <c r="A604" s="10" t="s">
        <v>632</v>
      </c>
      <c r="B604" s="10">
        <v>77</v>
      </c>
      <c r="C604" s="10">
        <v>102</v>
      </c>
      <c r="D604" s="10">
        <v>32</v>
      </c>
    </row>
    <row r="605" spans="1:4">
      <c r="A605" s="10" t="s">
        <v>633</v>
      </c>
      <c r="B605" s="10">
        <v>72</v>
      </c>
      <c r="C605" s="10">
        <v>127</v>
      </c>
      <c r="D605" s="10">
        <v>21</v>
      </c>
    </row>
    <row r="606" spans="1:4">
      <c r="A606" s="10" t="s">
        <v>634</v>
      </c>
      <c r="B606" s="10">
        <v>60</v>
      </c>
      <c r="C606" s="10">
        <v>154</v>
      </c>
      <c r="D606" s="10">
        <v>15</v>
      </c>
    </row>
    <row r="607" spans="1:4">
      <c r="A607" s="10" t="s">
        <v>635</v>
      </c>
      <c r="B607" s="10">
        <v>82</v>
      </c>
      <c r="C607" s="10">
        <v>153</v>
      </c>
      <c r="D607" s="10">
        <v>33</v>
      </c>
    </row>
    <row r="608" spans="1:4">
      <c r="A608" s="10" t="s">
        <v>636</v>
      </c>
      <c r="B608" s="10">
        <v>97</v>
      </c>
      <c r="C608" s="10">
        <v>154</v>
      </c>
      <c r="D608" s="10">
        <v>27</v>
      </c>
    </row>
    <row r="609" spans="1:4">
      <c r="A609" s="10" t="s">
        <v>637</v>
      </c>
      <c r="B609" s="10">
        <v>87</v>
      </c>
      <c r="C609" s="10">
        <v>127</v>
      </c>
      <c r="D609" s="10">
        <v>29</v>
      </c>
    </row>
    <row r="610" spans="1:4">
      <c r="A610" s="10" t="s">
        <v>638</v>
      </c>
      <c r="B610" s="10">
        <v>61</v>
      </c>
      <c r="C610" s="10">
        <v>81</v>
      </c>
      <c r="D610" s="10">
        <v>47</v>
      </c>
    </row>
    <row r="611" spans="1:4">
      <c r="A611" s="10" t="s">
        <v>639</v>
      </c>
      <c r="B611" s="10">
        <v>51</v>
      </c>
      <c r="C611" s="10">
        <v>168</v>
      </c>
      <c r="D611" s="10">
        <v>19</v>
      </c>
    </row>
    <row r="612" spans="1:4">
      <c r="A612" s="10" t="s">
        <v>640</v>
      </c>
      <c r="B612" s="10">
        <v>53</v>
      </c>
      <c r="C612" s="10">
        <v>149</v>
      </c>
      <c r="D612" s="10">
        <v>23</v>
      </c>
    </row>
    <row r="613" spans="1:4">
      <c r="A613" s="10" t="s">
        <v>641</v>
      </c>
      <c r="B613" s="10">
        <v>68</v>
      </c>
      <c r="C613" s="10">
        <v>142</v>
      </c>
      <c r="D613" s="10">
        <v>26</v>
      </c>
    </row>
    <row r="614" spans="1:4">
      <c r="A614" s="10" t="s">
        <v>642</v>
      </c>
      <c r="B614" s="10">
        <v>78</v>
      </c>
      <c r="C614" s="10">
        <v>126</v>
      </c>
      <c r="D614" s="10">
        <v>29</v>
      </c>
    </row>
    <row r="615" spans="1:4">
      <c r="A615" s="10" t="s">
        <v>643</v>
      </c>
      <c r="B615" s="10">
        <v>45</v>
      </c>
      <c r="C615" s="10">
        <v>145</v>
      </c>
      <c r="D615" s="10">
        <v>17</v>
      </c>
    </row>
    <row r="616" spans="1:4">
      <c r="A616" s="10" t="s">
        <v>644</v>
      </c>
      <c r="B616" s="10">
        <v>56</v>
      </c>
      <c r="C616" s="10">
        <v>161</v>
      </c>
      <c r="D616" s="10">
        <v>13</v>
      </c>
    </row>
    <row r="617" spans="1:4">
      <c r="A617" s="10" t="s">
        <v>645</v>
      </c>
      <c r="B617" s="10">
        <v>50</v>
      </c>
      <c r="C617" s="10">
        <v>138</v>
      </c>
      <c r="D617" s="10">
        <v>45</v>
      </c>
    </row>
    <row r="618" spans="1:4">
      <c r="A618" s="10" t="s">
        <v>646</v>
      </c>
      <c r="B618" s="10">
        <v>64</v>
      </c>
      <c r="C618" s="10">
        <v>111</v>
      </c>
      <c r="D618" s="10">
        <v>50</v>
      </c>
    </row>
    <row r="619" spans="1:4">
      <c r="A619" s="10" t="s">
        <v>647</v>
      </c>
      <c r="B619" s="10">
        <v>138</v>
      </c>
      <c r="C619" s="10">
        <v>184</v>
      </c>
      <c r="D619" s="10">
        <v>12</v>
      </c>
    </row>
    <row r="620" spans="1:4">
      <c r="A620" s="10" t="s">
        <v>648</v>
      </c>
      <c r="B620" s="10">
        <v>64</v>
      </c>
      <c r="C620" s="10">
        <v>111</v>
      </c>
      <c r="D620" s="10">
        <v>27</v>
      </c>
    </row>
    <row r="621" spans="1:4">
      <c r="A621" s="10" t="s">
        <v>649</v>
      </c>
      <c r="B621" s="10">
        <v>68</v>
      </c>
      <c r="C621" s="10">
        <v>136</v>
      </c>
      <c r="D621" s="10">
        <v>50</v>
      </c>
    </row>
    <row r="622" spans="1:4">
      <c r="A622" s="10" t="s">
        <v>651</v>
      </c>
      <c r="B622" s="10">
        <v>36</v>
      </c>
      <c r="C622" s="10">
        <v>96</v>
      </c>
      <c r="D622" s="10">
        <v>34</v>
      </c>
    </row>
    <row r="623" spans="1:4">
      <c r="A623" s="10" t="s">
        <v>652</v>
      </c>
      <c r="B623" s="10">
        <v>68</v>
      </c>
      <c r="C623" s="10">
        <v>196</v>
      </c>
      <c r="D623" s="10">
        <v>7</v>
      </c>
    </row>
    <row r="624" spans="1:4">
      <c r="A624" s="10" t="s">
        <v>653</v>
      </c>
      <c r="B624" s="10">
        <v>40</v>
      </c>
      <c r="C624" s="10">
        <v>126</v>
      </c>
      <c r="D624" s="10">
        <v>50</v>
      </c>
    </row>
    <row r="625" spans="1:4">
      <c r="A625" s="10" t="s">
        <v>654</v>
      </c>
      <c r="B625" s="10">
        <v>35</v>
      </c>
      <c r="C625" s="10">
        <v>109</v>
      </c>
      <c r="D625" s="10">
        <v>35</v>
      </c>
    </row>
    <row r="626" spans="1:4">
      <c r="A626" s="10" t="s">
        <v>655</v>
      </c>
      <c r="B626" s="10">
        <v>78</v>
      </c>
      <c r="C626" s="10">
        <v>145</v>
      </c>
      <c r="D626" s="10">
        <v>33</v>
      </c>
    </row>
    <row r="627" spans="1:4">
      <c r="A627" s="10" t="s">
        <v>656</v>
      </c>
      <c r="B627" s="10">
        <v>75</v>
      </c>
      <c r="C627" s="10">
        <v>167</v>
      </c>
      <c r="D627" s="10">
        <v>24</v>
      </c>
    </row>
    <row r="628" spans="1:4">
      <c r="A628" s="10" t="s">
        <v>657</v>
      </c>
      <c r="B628" s="10">
        <v>78</v>
      </c>
      <c r="C628" s="10">
        <v>178</v>
      </c>
      <c r="D628" s="10">
        <v>24</v>
      </c>
    </row>
    <row r="629" spans="1:4">
      <c r="A629" s="10" t="s">
        <v>658</v>
      </c>
      <c r="B629" s="10">
        <v>79</v>
      </c>
      <c r="C629" s="10">
        <v>170</v>
      </c>
      <c r="D629" s="10">
        <v>24</v>
      </c>
    </row>
    <row r="630" spans="1:4">
      <c r="A630" s="10" t="s">
        <v>659</v>
      </c>
      <c r="B630" s="10">
        <v>81</v>
      </c>
      <c r="C630" s="10">
        <v>165</v>
      </c>
      <c r="D630" s="10">
        <v>21</v>
      </c>
    </row>
    <row r="631" spans="1:4">
      <c r="A631" s="10" t="s">
        <v>660</v>
      </c>
      <c r="B631" s="10">
        <v>89</v>
      </c>
      <c r="C631" s="10">
        <v>218</v>
      </c>
      <c r="D631" s="10">
        <v>14</v>
      </c>
    </row>
    <row r="632" spans="1:4">
      <c r="A632" s="10" t="s">
        <v>661</v>
      </c>
      <c r="B632" s="10">
        <v>98</v>
      </c>
      <c r="C632" s="10">
        <v>176</v>
      </c>
      <c r="D632" s="10">
        <v>21</v>
      </c>
    </row>
    <row r="633" spans="1:4">
      <c r="A633" s="10" t="s">
        <v>662</v>
      </c>
      <c r="B633" s="10">
        <v>44</v>
      </c>
      <c r="C633" s="10">
        <v>80</v>
      </c>
      <c r="D633" s="10">
        <v>57</v>
      </c>
    </row>
    <row r="634" spans="1:4">
      <c r="A634" s="10" t="s">
        <v>663</v>
      </c>
      <c r="B634" s="10">
        <v>58</v>
      </c>
      <c r="C634" s="10">
        <v>120</v>
      </c>
      <c r="D634" s="10">
        <v>25</v>
      </c>
    </row>
    <row r="635" spans="1:4">
      <c r="A635" s="10" t="s">
        <v>664</v>
      </c>
      <c r="B635" s="10">
        <v>15</v>
      </c>
      <c r="C635" s="10">
        <v>116</v>
      </c>
      <c r="D635" s="10">
        <v>32</v>
      </c>
    </row>
    <row r="636" spans="1:4">
      <c r="A636" s="10" t="s">
        <v>665</v>
      </c>
      <c r="B636" s="10">
        <v>67</v>
      </c>
      <c r="C636" s="10">
        <v>139</v>
      </c>
      <c r="D636" s="10">
        <v>23</v>
      </c>
    </row>
    <row r="637" spans="1:4">
      <c r="A637" s="10" t="s">
        <v>666</v>
      </c>
      <c r="B637" s="10">
        <v>82</v>
      </c>
      <c r="C637" s="10">
        <v>163</v>
      </c>
      <c r="D637" s="10">
        <v>28</v>
      </c>
    </row>
    <row r="638" spans="1:4">
      <c r="A638" s="10" t="s">
        <v>667</v>
      </c>
      <c r="B638" s="10">
        <v>92</v>
      </c>
      <c r="C638" s="10">
        <v>178</v>
      </c>
      <c r="D638" s="10">
        <v>21</v>
      </c>
    </row>
    <row r="639" spans="1:4">
      <c r="A639" s="10" t="s">
        <v>668</v>
      </c>
      <c r="B639" s="10">
        <v>97</v>
      </c>
      <c r="C639" s="10">
        <v>155</v>
      </c>
      <c r="D639" s="10">
        <v>26</v>
      </c>
    </row>
    <row r="640" spans="1:4">
      <c r="A640" s="10" t="s">
        <v>669</v>
      </c>
      <c r="B640" s="10">
        <v>112</v>
      </c>
      <c r="C640" s="10">
        <v>177</v>
      </c>
      <c r="D640" s="10">
        <v>28</v>
      </c>
    </row>
    <row r="641" spans="1:4">
      <c r="A641" s="10" t="s">
        <v>670</v>
      </c>
      <c r="B641" s="10">
        <v>53</v>
      </c>
      <c r="C641" s="10">
        <v>152</v>
      </c>
      <c r="D641" s="10">
        <v>10</v>
      </c>
    </row>
    <row r="642" spans="1:4">
      <c r="A642" s="10" t="s">
        <v>671</v>
      </c>
      <c r="B642" s="10">
        <v>62</v>
      </c>
      <c r="C642" s="10">
        <v>131</v>
      </c>
      <c r="D642" s="10">
        <v>21</v>
      </c>
    </row>
    <row r="643" spans="1:4">
      <c r="A643" s="10" t="s">
        <v>672</v>
      </c>
      <c r="B643" s="10">
        <v>30</v>
      </c>
      <c r="C643" s="10">
        <v>59</v>
      </c>
      <c r="D643" s="10">
        <v>56</v>
      </c>
    </row>
    <row r="644" spans="1:4">
      <c r="A644" s="10" t="s">
        <v>673</v>
      </c>
      <c r="B644" s="10">
        <v>52</v>
      </c>
      <c r="C644" s="10">
        <v>148</v>
      </c>
      <c r="D644" s="10">
        <v>35</v>
      </c>
    </row>
    <row r="645" spans="1:4">
      <c r="A645" s="10" t="s">
        <v>674</v>
      </c>
      <c r="B645" s="10">
        <v>110</v>
      </c>
      <c r="C645" s="10">
        <v>201</v>
      </c>
      <c r="D645" s="10">
        <v>23</v>
      </c>
    </row>
    <row r="646" spans="1:4">
      <c r="A646" s="10" t="s">
        <v>675</v>
      </c>
      <c r="B646" s="10">
        <v>83</v>
      </c>
      <c r="C646" s="10">
        <v>186</v>
      </c>
      <c r="D646" s="10">
        <v>14</v>
      </c>
    </row>
    <row r="647" spans="1:4">
      <c r="A647" s="10" t="s">
        <v>676</v>
      </c>
      <c r="B647" s="10">
        <v>98</v>
      </c>
      <c r="C647" s="10">
        <v>191</v>
      </c>
      <c r="D647" s="10">
        <v>29</v>
      </c>
    </row>
    <row r="648" spans="1:4">
      <c r="A648" s="10" t="s">
        <v>677</v>
      </c>
      <c r="B648" s="10">
        <v>86</v>
      </c>
      <c r="C648" s="10">
        <v>166</v>
      </c>
      <c r="D648" s="10">
        <v>22</v>
      </c>
    </row>
    <row r="649" spans="1:4">
      <c r="A649" s="10" t="s">
        <v>678</v>
      </c>
      <c r="B649" s="10">
        <v>94</v>
      </c>
      <c r="C649" s="10">
        <v>187</v>
      </c>
      <c r="D649" s="10">
        <v>25</v>
      </c>
    </row>
    <row r="650" spans="1:4">
      <c r="A650" s="10" t="s">
        <v>679</v>
      </c>
      <c r="B650" s="10">
        <v>43</v>
      </c>
      <c r="C650" s="10">
        <v>143</v>
      </c>
      <c r="D650" s="10">
        <v>44</v>
      </c>
    </row>
    <row r="651" spans="1:4">
      <c r="A651" s="10" t="s">
        <v>680</v>
      </c>
      <c r="B651" s="10">
        <v>35</v>
      </c>
      <c r="C651" s="10">
        <v>113</v>
      </c>
      <c r="D651" s="10">
        <v>32</v>
      </c>
    </row>
    <row r="652" spans="1:4">
      <c r="A652" s="10" t="s">
        <v>681</v>
      </c>
      <c r="B652" s="10">
        <v>87</v>
      </c>
      <c r="C652" s="10">
        <v>106</v>
      </c>
      <c r="D652" s="10">
        <v>28</v>
      </c>
    </row>
    <row r="653" spans="1:4">
      <c r="A653" s="10" t="s">
        <v>682</v>
      </c>
      <c r="B653" s="10">
        <v>102</v>
      </c>
      <c r="C653" s="10">
        <v>194</v>
      </c>
      <c r="D653" s="10">
        <v>17</v>
      </c>
    </row>
    <row r="654" spans="1:4">
      <c r="A654" s="10" t="s">
        <v>683</v>
      </c>
      <c r="B654" s="10">
        <v>93</v>
      </c>
      <c r="C654" s="10">
        <v>216</v>
      </c>
      <c r="D654" s="10">
        <v>22</v>
      </c>
    </row>
    <row r="655" spans="1:4">
      <c r="A655" s="10" t="s">
        <v>684</v>
      </c>
      <c r="B655" s="10">
        <v>53</v>
      </c>
      <c r="C655" s="10">
        <v>122</v>
      </c>
      <c r="D655" s="10">
        <v>32</v>
      </c>
    </row>
    <row r="656" spans="1:4">
      <c r="A656" s="10" t="s">
        <v>685</v>
      </c>
      <c r="B656" s="10">
        <v>94</v>
      </c>
      <c r="C656" s="10">
        <v>159</v>
      </c>
      <c r="D656" s="10">
        <v>33</v>
      </c>
    </row>
    <row r="657" spans="1:4">
      <c r="A657" s="10" t="s">
        <v>686</v>
      </c>
      <c r="B657" s="10">
        <v>58</v>
      </c>
      <c r="C657" s="10">
        <v>147</v>
      </c>
      <c r="D657" s="10">
        <v>18</v>
      </c>
    </row>
    <row r="658" spans="1:4">
      <c r="A658" s="10" t="s">
        <v>687</v>
      </c>
      <c r="B658" s="10">
        <v>26</v>
      </c>
      <c r="C658" s="10">
        <v>100</v>
      </c>
      <c r="D658" s="10">
        <v>33</v>
      </c>
    </row>
    <row r="659" spans="1:4">
      <c r="A659" s="10" t="s">
        <v>688</v>
      </c>
      <c r="B659" s="10">
        <v>111</v>
      </c>
      <c r="C659" s="10">
        <v>205</v>
      </c>
      <c r="D659" s="10">
        <v>29</v>
      </c>
    </row>
    <row r="660" spans="1:4">
      <c r="A660" s="10" t="s">
        <v>689</v>
      </c>
      <c r="B660" s="10">
        <v>84</v>
      </c>
      <c r="C660" s="10">
        <v>170</v>
      </c>
      <c r="D660" s="10">
        <v>36</v>
      </c>
    </row>
    <row r="661" spans="1:4">
      <c r="A661" s="10" t="s">
        <v>690</v>
      </c>
      <c r="B661" s="10">
        <v>104</v>
      </c>
      <c r="C661" s="10">
        <v>164</v>
      </c>
      <c r="D661" s="10">
        <v>33</v>
      </c>
    </row>
    <row r="662" spans="1:4">
      <c r="A662" s="10" t="s">
        <v>691</v>
      </c>
      <c r="B662" s="10">
        <v>61</v>
      </c>
      <c r="C662" s="10">
        <v>114</v>
      </c>
      <c r="D662" s="10">
        <v>35</v>
      </c>
    </row>
    <row r="663" spans="1:4">
      <c r="A663" s="10" t="s">
        <v>692</v>
      </c>
      <c r="B663" s="10">
        <v>41</v>
      </c>
      <c r="C663" s="10">
        <v>113</v>
      </c>
      <c r="D663" s="10">
        <v>27</v>
      </c>
    </row>
    <row r="664" spans="1:4">
      <c r="A664" s="10" t="s">
        <v>693</v>
      </c>
      <c r="B664" s="10">
        <v>95</v>
      </c>
      <c r="C664" s="10">
        <v>186</v>
      </c>
      <c r="D664" s="10">
        <v>14</v>
      </c>
    </row>
    <row r="665" spans="1:4">
      <c r="A665" s="10" t="s">
        <v>694</v>
      </c>
      <c r="B665" s="10">
        <v>111</v>
      </c>
      <c r="C665" s="10">
        <v>146</v>
      </c>
      <c r="D665" s="10">
        <v>43</v>
      </c>
    </row>
    <row r="666" spans="1:4">
      <c r="A666" s="10" t="s">
        <v>695</v>
      </c>
      <c r="B666" s="10">
        <v>76</v>
      </c>
      <c r="C666" s="10">
        <v>157</v>
      </c>
      <c r="D666" s="10">
        <v>42</v>
      </c>
    </row>
    <row r="667" spans="1:4">
      <c r="A667" s="10" t="s">
        <v>696</v>
      </c>
      <c r="B667" s="10">
        <v>105</v>
      </c>
      <c r="C667" s="10">
        <v>161</v>
      </c>
      <c r="D667" s="10">
        <v>34</v>
      </c>
    </row>
    <row r="668" spans="1:4">
      <c r="A668" s="10" t="s">
        <v>697</v>
      </c>
      <c r="B668" s="10">
        <v>126</v>
      </c>
      <c r="C668" s="10">
        <v>204</v>
      </c>
      <c r="D668" s="10">
        <v>21</v>
      </c>
    </row>
    <row r="669" spans="1:4">
      <c r="A669" s="10" t="s">
        <v>698</v>
      </c>
      <c r="B669" s="10">
        <v>87</v>
      </c>
      <c r="C669" s="10">
        <v>137</v>
      </c>
      <c r="D669" s="10">
        <v>14</v>
      </c>
    </row>
    <row r="670" spans="1:4">
      <c r="A670" s="10" t="s">
        <v>699</v>
      </c>
      <c r="B670" s="10">
        <v>84</v>
      </c>
      <c r="C670" s="10">
        <v>171</v>
      </c>
      <c r="D670" s="10">
        <v>30</v>
      </c>
    </row>
    <row r="671" spans="1:4">
      <c r="A671" s="10" t="s">
        <v>700</v>
      </c>
      <c r="B671" s="10">
        <v>90</v>
      </c>
      <c r="C671" s="10">
        <v>134</v>
      </c>
      <c r="D671" s="10">
        <v>27</v>
      </c>
    </row>
    <row r="672" spans="1:4">
      <c r="A672" s="10" t="s">
        <v>701</v>
      </c>
      <c r="B672" s="10">
        <v>154</v>
      </c>
      <c r="C672" s="10">
        <v>190</v>
      </c>
      <c r="D672" s="10">
        <v>25</v>
      </c>
    </row>
    <row r="673" spans="1:4">
      <c r="A673" s="10" t="s">
        <v>702</v>
      </c>
      <c r="B673" s="10">
        <v>66</v>
      </c>
      <c r="C673" s="10">
        <v>112</v>
      </c>
      <c r="D673" s="10">
        <v>34</v>
      </c>
    </row>
    <row r="674" spans="1:4">
      <c r="A674" s="10" t="s">
        <v>703</v>
      </c>
      <c r="B674" s="10">
        <v>66</v>
      </c>
      <c r="C674" s="10">
        <v>150</v>
      </c>
      <c r="D674" s="10">
        <v>34</v>
      </c>
    </row>
    <row r="675" spans="1:4">
      <c r="A675" s="10" t="s">
        <v>704</v>
      </c>
      <c r="B675" s="10">
        <v>96</v>
      </c>
      <c r="C675" s="10">
        <v>110</v>
      </c>
      <c r="D675" s="10">
        <v>55</v>
      </c>
    </row>
    <row r="676" spans="1:4">
      <c r="A676" s="10" t="s">
        <v>705</v>
      </c>
      <c r="B676" s="10">
        <v>77</v>
      </c>
      <c r="C676" s="10">
        <v>130</v>
      </c>
      <c r="D676" s="10">
        <v>18</v>
      </c>
    </row>
    <row r="677" spans="1:4">
      <c r="A677" s="10" t="s">
        <v>706</v>
      </c>
      <c r="B677" s="10">
        <v>64</v>
      </c>
      <c r="C677" s="10">
        <v>167</v>
      </c>
      <c r="D677" s="10">
        <v>16</v>
      </c>
    </row>
    <row r="678" spans="1:4">
      <c r="A678" s="10" t="s">
        <v>707</v>
      </c>
      <c r="B678" s="10">
        <v>73</v>
      </c>
      <c r="C678" s="10">
        <v>160</v>
      </c>
      <c r="D678" s="10">
        <v>19</v>
      </c>
    </row>
  </sheetData>
  <mergeCells count="3">
    <mergeCell ref="F15:N15"/>
    <mergeCell ref="F37:N37"/>
    <mergeCell ref="F59:N59"/>
  </mergeCells>
  <phoneticPr fontId="2"/>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4F57-2054-43E9-B131-9FA8E2F500E4}">
  <sheetPr>
    <tabColor rgb="FFFF0000"/>
  </sheetPr>
  <dimension ref="A1:B2"/>
  <sheetViews>
    <sheetView workbookViewId="0">
      <selection activeCell="B3" sqref="B3"/>
    </sheetView>
  </sheetViews>
  <sheetFormatPr defaultRowHeight="18.75"/>
  <cols>
    <col min="1" max="23" width="3.5" customWidth="1"/>
  </cols>
  <sheetData>
    <row r="1" spans="1:2">
      <c r="A1">
        <v>1</v>
      </c>
      <c r="B1" t="s">
        <v>970</v>
      </c>
    </row>
    <row r="2" spans="1:2">
      <c r="B2" t="s">
        <v>971</v>
      </c>
    </row>
  </sheetData>
  <phoneticPr fontId="2"/>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E973-6AC9-4DC5-905E-BBF63AD08616}">
  <dimension ref="A1:P136"/>
  <sheetViews>
    <sheetView workbookViewId="0">
      <selection activeCell="I5" sqref="I5"/>
    </sheetView>
  </sheetViews>
  <sheetFormatPr defaultColWidth="12.25" defaultRowHeight="18.75"/>
  <cols>
    <col min="1" max="1" width="10.125" style="10" bestFit="1" customWidth="1"/>
    <col min="2" max="2" width="15.5" style="10" bestFit="1" customWidth="1"/>
    <col min="3" max="4" width="12.25" style="10"/>
    <col min="5" max="5" width="20.75" style="10" customWidth="1"/>
    <col min="6" max="8" width="12.25" style="10"/>
    <col min="9" max="9" width="12.625" style="10" bestFit="1" customWidth="1"/>
    <col min="10" max="10" width="12.25" style="10"/>
    <col min="11" max="11" width="15.25" style="10" bestFit="1" customWidth="1"/>
    <col min="12" max="14" width="12.125" style="10" bestFit="1" customWidth="1"/>
    <col min="15" max="15" width="14.625" style="10" bestFit="1" customWidth="1"/>
    <col min="16" max="16384" width="12.25" style="10"/>
  </cols>
  <sheetData>
    <row r="1" spans="1:9" ht="19.5">
      <c r="A1" s="10" t="s">
        <v>3</v>
      </c>
      <c r="B1" s="10" t="s">
        <v>4</v>
      </c>
      <c r="C1" s="10" t="s">
        <v>8</v>
      </c>
      <c r="D1" s="10" t="s">
        <v>9</v>
      </c>
      <c r="E1" s="11" t="s">
        <v>972</v>
      </c>
      <c r="F1" s="10" t="s">
        <v>10</v>
      </c>
      <c r="G1" s="59"/>
      <c r="H1" s="59"/>
    </row>
    <row r="2" spans="1:9">
      <c r="A2" s="10" t="s">
        <v>38</v>
      </c>
      <c r="B2" s="10" t="s">
        <v>39</v>
      </c>
      <c r="C2" s="10">
        <v>85</v>
      </c>
      <c r="D2" s="10">
        <v>126</v>
      </c>
      <c r="E2" s="10">
        <f t="shared" ref="E2:E65" si="0">D2-C2</f>
        <v>41</v>
      </c>
      <c r="F2" s="10">
        <v>36</v>
      </c>
    </row>
    <row r="3" spans="1:9">
      <c r="A3" s="10" t="s">
        <v>40</v>
      </c>
      <c r="B3" s="10" t="s">
        <v>39</v>
      </c>
      <c r="C3" s="10">
        <v>86</v>
      </c>
      <c r="D3" s="10">
        <v>167</v>
      </c>
      <c r="E3" s="10">
        <f t="shared" si="0"/>
        <v>81</v>
      </c>
      <c r="F3" s="10">
        <v>24</v>
      </c>
      <c r="H3" s="37" t="s">
        <v>973</v>
      </c>
      <c r="I3" s="78">
        <f>SUMPRODUCT(D:D,F:F)</f>
        <v>549287</v>
      </c>
    </row>
    <row r="4" spans="1:9">
      <c r="A4" s="10" t="s">
        <v>51</v>
      </c>
      <c r="B4" s="10" t="s">
        <v>39</v>
      </c>
      <c r="C4" s="10">
        <v>84</v>
      </c>
      <c r="D4" s="10">
        <v>177</v>
      </c>
      <c r="E4" s="10">
        <f t="shared" si="0"/>
        <v>93</v>
      </c>
      <c r="F4" s="10">
        <v>25</v>
      </c>
      <c r="H4" s="37" t="s">
        <v>974</v>
      </c>
      <c r="I4" s="78">
        <f>SUMPRODUCT(C:C,F:F)</f>
        <v>278148</v>
      </c>
    </row>
    <row r="5" spans="1:9" ht="19.5">
      <c r="A5" s="10" t="s">
        <v>52</v>
      </c>
      <c r="B5" s="10" t="s">
        <v>39</v>
      </c>
      <c r="C5" s="10">
        <v>82</v>
      </c>
      <c r="D5" s="10">
        <v>112</v>
      </c>
      <c r="E5" s="10">
        <f t="shared" si="0"/>
        <v>30</v>
      </c>
      <c r="F5" s="10">
        <v>30</v>
      </c>
      <c r="H5" s="37" t="s">
        <v>975</v>
      </c>
      <c r="I5" s="79">
        <f>I3-I4</f>
        <v>271139</v>
      </c>
    </row>
    <row r="6" spans="1:9">
      <c r="A6" s="10" t="s">
        <v>59</v>
      </c>
      <c r="B6" s="10" t="s">
        <v>39</v>
      </c>
      <c r="C6" s="10">
        <v>109</v>
      </c>
      <c r="D6" s="10">
        <v>191</v>
      </c>
      <c r="E6" s="10">
        <f t="shared" si="0"/>
        <v>82</v>
      </c>
      <c r="F6" s="10">
        <v>24</v>
      </c>
    </row>
    <row r="7" spans="1:9">
      <c r="A7" s="10" t="s">
        <v>60</v>
      </c>
      <c r="B7" s="10" t="s">
        <v>39</v>
      </c>
      <c r="C7" s="10">
        <v>48</v>
      </c>
      <c r="D7" s="10">
        <v>127</v>
      </c>
      <c r="E7" s="10">
        <f t="shared" si="0"/>
        <v>79</v>
      </c>
      <c r="F7" s="10">
        <v>36</v>
      </c>
      <c r="H7" s="98" t="s">
        <v>976</v>
      </c>
      <c r="I7" s="98"/>
    </row>
    <row r="8" spans="1:9">
      <c r="A8" s="10" t="s">
        <v>65</v>
      </c>
      <c r="B8" s="10" t="s">
        <v>39</v>
      </c>
      <c r="C8" s="10">
        <v>93</v>
      </c>
      <c r="D8" s="10">
        <v>176</v>
      </c>
      <c r="E8" s="10">
        <f t="shared" si="0"/>
        <v>83</v>
      </c>
      <c r="F8" s="10">
        <v>19</v>
      </c>
      <c r="H8" s="37" t="s">
        <v>977</v>
      </c>
      <c r="I8" s="37">
        <f>MIN(D:D)</f>
        <v>72</v>
      </c>
    </row>
    <row r="9" spans="1:9">
      <c r="A9" s="10" t="s">
        <v>68</v>
      </c>
      <c r="B9" s="10" t="s">
        <v>39</v>
      </c>
      <c r="C9" s="10">
        <v>95</v>
      </c>
      <c r="D9" s="10">
        <v>192</v>
      </c>
      <c r="E9" s="10">
        <f t="shared" si="0"/>
        <v>97</v>
      </c>
      <c r="F9" s="10">
        <v>27</v>
      </c>
      <c r="H9" s="37" t="s">
        <v>978</v>
      </c>
      <c r="I9" s="37">
        <f>MAX(D:D)</f>
        <v>226</v>
      </c>
    </row>
    <row r="10" spans="1:9">
      <c r="A10" s="10" t="s">
        <v>72</v>
      </c>
      <c r="B10" s="10" t="s">
        <v>39</v>
      </c>
      <c r="C10" s="10">
        <v>42</v>
      </c>
      <c r="D10" s="10">
        <v>103</v>
      </c>
      <c r="E10" s="10">
        <f t="shared" si="0"/>
        <v>61</v>
      </c>
      <c r="F10" s="10">
        <v>42</v>
      </c>
    </row>
    <row r="11" spans="1:9">
      <c r="A11" s="10" t="s">
        <v>76</v>
      </c>
      <c r="B11" s="10" t="s">
        <v>39</v>
      </c>
      <c r="C11" s="10">
        <v>79</v>
      </c>
      <c r="D11" s="10">
        <v>168</v>
      </c>
      <c r="E11" s="10">
        <f t="shared" si="0"/>
        <v>89</v>
      </c>
      <c r="F11" s="10">
        <v>33</v>
      </c>
      <c r="H11" s="98" t="s">
        <v>979</v>
      </c>
      <c r="I11" s="98"/>
    </row>
    <row r="12" spans="1:9">
      <c r="A12" s="10" t="s">
        <v>79</v>
      </c>
      <c r="B12" s="10" t="s">
        <v>39</v>
      </c>
      <c r="C12" s="10">
        <v>72</v>
      </c>
      <c r="D12" s="10">
        <v>177</v>
      </c>
      <c r="E12" s="10">
        <f t="shared" si="0"/>
        <v>105</v>
      </c>
      <c r="F12" s="10">
        <v>24</v>
      </c>
      <c r="H12" s="37" t="s">
        <v>977</v>
      </c>
      <c r="I12" s="37">
        <f>MIN(C:C)</f>
        <v>23</v>
      </c>
    </row>
    <row r="13" spans="1:9">
      <c r="A13" s="10" t="s">
        <v>80</v>
      </c>
      <c r="B13" s="10" t="s">
        <v>39</v>
      </c>
      <c r="C13" s="10">
        <v>86</v>
      </c>
      <c r="D13" s="10">
        <v>177</v>
      </c>
      <c r="E13" s="10">
        <f t="shared" si="0"/>
        <v>91</v>
      </c>
      <c r="F13" s="10">
        <v>31</v>
      </c>
      <c r="H13" s="37" t="s">
        <v>978</v>
      </c>
      <c r="I13" s="37">
        <f>MAX(C:C)</f>
        <v>128</v>
      </c>
    </row>
    <row r="14" spans="1:9">
      <c r="A14" s="10" t="s">
        <v>85</v>
      </c>
      <c r="B14" s="10" t="s">
        <v>39</v>
      </c>
      <c r="C14" s="10">
        <v>119</v>
      </c>
      <c r="D14" s="10">
        <v>198</v>
      </c>
      <c r="E14" s="10">
        <f t="shared" si="0"/>
        <v>79</v>
      </c>
      <c r="F14" s="10">
        <v>21</v>
      </c>
    </row>
    <row r="15" spans="1:9" ht="19.5">
      <c r="A15" s="10" t="s">
        <v>92</v>
      </c>
      <c r="B15" s="10" t="s">
        <v>39</v>
      </c>
      <c r="C15" s="10">
        <v>48</v>
      </c>
      <c r="D15" s="10">
        <v>134</v>
      </c>
      <c r="E15" s="10">
        <f t="shared" si="0"/>
        <v>86</v>
      </c>
      <c r="F15" s="10">
        <v>26</v>
      </c>
      <c r="H15" s="99" t="s">
        <v>972</v>
      </c>
      <c r="I15" s="99"/>
    </row>
    <row r="16" spans="1:9">
      <c r="A16" s="10" t="s">
        <v>93</v>
      </c>
      <c r="B16" s="10" t="s">
        <v>39</v>
      </c>
      <c r="C16" s="10">
        <v>63</v>
      </c>
      <c r="D16" s="10">
        <v>154</v>
      </c>
      <c r="E16" s="10">
        <f t="shared" si="0"/>
        <v>91</v>
      </c>
      <c r="F16" s="10">
        <v>37</v>
      </c>
      <c r="H16" s="37" t="s">
        <v>977</v>
      </c>
      <c r="I16" s="37">
        <f>MIN(E:E)</f>
        <v>12</v>
      </c>
    </row>
    <row r="17" spans="1:16">
      <c r="A17" s="10" t="s">
        <v>95</v>
      </c>
      <c r="B17" s="10" t="s">
        <v>39</v>
      </c>
      <c r="C17" s="10">
        <v>60</v>
      </c>
      <c r="D17" s="10">
        <v>104</v>
      </c>
      <c r="E17" s="10">
        <f t="shared" si="0"/>
        <v>44</v>
      </c>
      <c r="F17" s="10">
        <v>46</v>
      </c>
      <c r="H17" s="37" t="s">
        <v>978</v>
      </c>
      <c r="I17" s="37">
        <f>MAX(E:E)</f>
        <v>128</v>
      </c>
    </row>
    <row r="18" spans="1:16" ht="19.5" thickBot="1">
      <c r="A18" s="10" t="s">
        <v>96</v>
      </c>
      <c r="B18" s="10" t="s">
        <v>39</v>
      </c>
      <c r="C18" s="10">
        <v>60</v>
      </c>
      <c r="D18" s="10">
        <v>178</v>
      </c>
      <c r="E18" s="10">
        <f t="shared" si="0"/>
        <v>118</v>
      </c>
      <c r="F18" s="10">
        <v>20</v>
      </c>
    </row>
    <row r="19" spans="1:16" ht="19.5">
      <c r="A19" s="10" t="s">
        <v>102</v>
      </c>
      <c r="B19" s="10" t="s">
        <v>39</v>
      </c>
      <c r="C19" s="10">
        <v>51</v>
      </c>
      <c r="D19" s="10">
        <v>142</v>
      </c>
      <c r="E19" s="10">
        <f t="shared" si="0"/>
        <v>91</v>
      </c>
      <c r="F19" s="10">
        <v>11</v>
      </c>
      <c r="H19" s="95" t="s">
        <v>967</v>
      </c>
      <c r="I19" s="96"/>
      <c r="J19" s="96"/>
      <c r="K19" s="96"/>
      <c r="L19" s="96"/>
      <c r="M19" s="96"/>
      <c r="N19" s="96"/>
      <c r="O19" s="96"/>
      <c r="P19" s="97"/>
    </row>
    <row r="20" spans="1:16">
      <c r="A20" s="10" t="s">
        <v>103</v>
      </c>
      <c r="B20" s="10" t="s">
        <v>39</v>
      </c>
      <c r="C20" s="10">
        <v>79</v>
      </c>
      <c r="D20" s="10">
        <v>156</v>
      </c>
      <c r="E20" s="10">
        <f t="shared" si="0"/>
        <v>77</v>
      </c>
      <c r="F20" s="10">
        <v>33</v>
      </c>
      <c r="H20" s="64" t="s">
        <v>922</v>
      </c>
      <c r="P20" s="65"/>
    </row>
    <row r="21" spans="1:16" ht="19.5" thickBot="1">
      <c r="A21" s="10" t="s">
        <v>105</v>
      </c>
      <c r="B21" s="10" t="s">
        <v>39</v>
      </c>
      <c r="C21" s="10">
        <v>47</v>
      </c>
      <c r="D21" s="10">
        <v>116</v>
      </c>
      <c r="E21" s="10">
        <f t="shared" si="0"/>
        <v>69</v>
      </c>
      <c r="F21" s="10">
        <v>42</v>
      </c>
      <c r="H21" s="64"/>
      <c r="P21" s="65"/>
    </row>
    <row r="22" spans="1:16">
      <c r="A22" s="10" t="s">
        <v>109</v>
      </c>
      <c r="B22" s="10" t="s">
        <v>39</v>
      </c>
      <c r="C22" s="10">
        <v>106</v>
      </c>
      <c r="D22" s="10">
        <v>182</v>
      </c>
      <c r="E22" s="10">
        <f t="shared" si="0"/>
        <v>76</v>
      </c>
      <c r="F22" s="10">
        <v>30</v>
      </c>
      <c r="H22" s="66" t="s">
        <v>923</v>
      </c>
      <c r="I22" s="57"/>
      <c r="P22" s="65"/>
    </row>
    <row r="23" spans="1:16">
      <c r="A23" s="10" t="s">
        <v>119</v>
      </c>
      <c r="B23" s="10" t="s">
        <v>39</v>
      </c>
      <c r="C23" s="10">
        <v>58</v>
      </c>
      <c r="D23" s="10">
        <v>109</v>
      </c>
      <c r="E23" s="10">
        <f t="shared" si="0"/>
        <v>51</v>
      </c>
      <c r="F23" s="10">
        <v>39</v>
      </c>
      <c r="H23" s="64" t="s">
        <v>924</v>
      </c>
      <c r="I23" s="10">
        <v>0.60455461101087593</v>
      </c>
      <c r="P23" s="65"/>
    </row>
    <row r="24" spans="1:16">
      <c r="A24" s="10" t="s">
        <v>123</v>
      </c>
      <c r="B24" s="10" t="s">
        <v>39</v>
      </c>
      <c r="C24" s="10">
        <v>88</v>
      </c>
      <c r="D24" s="10">
        <v>164</v>
      </c>
      <c r="E24" s="10">
        <f t="shared" si="0"/>
        <v>76</v>
      </c>
      <c r="F24" s="10">
        <v>15</v>
      </c>
      <c r="H24" s="64" t="s">
        <v>925</v>
      </c>
      <c r="I24" s="10">
        <v>0.36548627769451153</v>
      </c>
      <c r="P24" s="65"/>
    </row>
    <row r="25" spans="1:16">
      <c r="A25" s="10" t="s">
        <v>126</v>
      </c>
      <c r="B25" s="10" t="s">
        <v>39</v>
      </c>
      <c r="C25" s="10">
        <v>51</v>
      </c>
      <c r="D25" s="10">
        <v>130</v>
      </c>
      <c r="E25" s="10">
        <f t="shared" si="0"/>
        <v>79</v>
      </c>
      <c r="F25" s="10">
        <v>33</v>
      </c>
      <c r="H25" s="64" t="s">
        <v>926</v>
      </c>
      <c r="I25" s="10">
        <v>0.36071549782755297</v>
      </c>
      <c r="P25" s="65"/>
    </row>
    <row r="26" spans="1:16">
      <c r="A26" s="10" t="s">
        <v>128</v>
      </c>
      <c r="B26" s="10" t="s">
        <v>39</v>
      </c>
      <c r="C26" s="10">
        <v>36</v>
      </c>
      <c r="D26" s="10">
        <v>115</v>
      </c>
      <c r="E26" s="10">
        <f t="shared" si="0"/>
        <v>79</v>
      </c>
      <c r="F26" s="10">
        <v>25</v>
      </c>
      <c r="H26" s="64" t="s">
        <v>718</v>
      </c>
      <c r="I26" s="10">
        <v>7.4044781705822782</v>
      </c>
      <c r="P26" s="65"/>
    </row>
    <row r="27" spans="1:16" ht="19.5" thickBot="1">
      <c r="A27" s="10" t="s">
        <v>129</v>
      </c>
      <c r="B27" s="10" t="s">
        <v>39</v>
      </c>
      <c r="C27" s="10">
        <v>72</v>
      </c>
      <c r="D27" s="10">
        <v>136</v>
      </c>
      <c r="E27" s="10">
        <f t="shared" si="0"/>
        <v>64</v>
      </c>
      <c r="F27" s="10">
        <v>23</v>
      </c>
      <c r="H27" s="67" t="s">
        <v>868</v>
      </c>
      <c r="I27" s="58">
        <v>135</v>
      </c>
      <c r="P27" s="65"/>
    </row>
    <row r="28" spans="1:16">
      <c r="A28" s="10" t="s">
        <v>137</v>
      </c>
      <c r="B28" s="10" t="s">
        <v>39</v>
      </c>
      <c r="C28" s="10">
        <v>60</v>
      </c>
      <c r="D28" s="10">
        <v>102</v>
      </c>
      <c r="E28" s="10">
        <f t="shared" si="0"/>
        <v>42</v>
      </c>
      <c r="F28" s="10">
        <v>36</v>
      </c>
      <c r="H28" s="64"/>
      <c r="P28" s="65"/>
    </row>
    <row r="29" spans="1:16" ht="19.5" thickBot="1">
      <c r="A29" s="10" t="s">
        <v>138</v>
      </c>
      <c r="B29" s="10" t="s">
        <v>39</v>
      </c>
      <c r="C29" s="10">
        <v>90</v>
      </c>
      <c r="D29" s="10">
        <v>142</v>
      </c>
      <c r="E29" s="10">
        <f t="shared" si="0"/>
        <v>52</v>
      </c>
      <c r="F29" s="10">
        <v>32</v>
      </c>
      <c r="H29" s="64" t="s">
        <v>927</v>
      </c>
      <c r="P29" s="65"/>
    </row>
    <row r="30" spans="1:16">
      <c r="A30" s="10" t="s">
        <v>141</v>
      </c>
      <c r="B30" s="10" t="s">
        <v>39</v>
      </c>
      <c r="C30" s="10">
        <v>78</v>
      </c>
      <c r="D30" s="10">
        <v>141</v>
      </c>
      <c r="E30" s="10">
        <f t="shared" si="0"/>
        <v>63</v>
      </c>
      <c r="F30" s="10">
        <v>12</v>
      </c>
      <c r="H30" s="68"/>
      <c r="I30" s="69" t="s">
        <v>870</v>
      </c>
      <c r="J30" s="69" t="s">
        <v>931</v>
      </c>
      <c r="K30" s="69" t="s">
        <v>722</v>
      </c>
      <c r="L30" s="69" t="s">
        <v>932</v>
      </c>
      <c r="M30" s="69" t="s">
        <v>933</v>
      </c>
      <c r="P30" s="65"/>
    </row>
    <row r="31" spans="1:16">
      <c r="A31" s="10" t="s">
        <v>143</v>
      </c>
      <c r="B31" s="10" t="s">
        <v>39</v>
      </c>
      <c r="C31" s="10">
        <v>90</v>
      </c>
      <c r="D31" s="10">
        <v>164</v>
      </c>
      <c r="E31" s="10">
        <f t="shared" si="0"/>
        <v>74</v>
      </c>
      <c r="F31" s="10">
        <v>32</v>
      </c>
      <c r="H31" s="64" t="s">
        <v>928</v>
      </c>
      <c r="I31" s="10">
        <v>1</v>
      </c>
      <c r="J31" s="10">
        <v>4200.2062055459728</v>
      </c>
      <c r="K31" s="10">
        <v>4200.2062055459728</v>
      </c>
      <c r="L31" s="10">
        <v>76.609335975821125</v>
      </c>
      <c r="M31" s="10">
        <v>8.216210987911875E-15</v>
      </c>
      <c r="P31" s="65"/>
    </row>
    <row r="32" spans="1:16">
      <c r="A32" s="10" t="s">
        <v>144</v>
      </c>
      <c r="B32" s="10" t="s">
        <v>39</v>
      </c>
      <c r="C32" s="10">
        <v>105</v>
      </c>
      <c r="D32" s="10">
        <v>179</v>
      </c>
      <c r="E32" s="10">
        <f t="shared" si="0"/>
        <v>74</v>
      </c>
      <c r="F32" s="10">
        <v>23</v>
      </c>
      <c r="H32" s="64" t="s">
        <v>929</v>
      </c>
      <c r="I32" s="10">
        <v>133</v>
      </c>
      <c r="J32" s="10">
        <v>7291.8974981577221</v>
      </c>
      <c r="K32" s="10">
        <v>54.826296978629486</v>
      </c>
      <c r="P32" s="65"/>
    </row>
    <row r="33" spans="1:16" ht="19.5" thickBot="1">
      <c r="A33" s="10" t="s">
        <v>153</v>
      </c>
      <c r="B33" s="10" t="s">
        <v>39</v>
      </c>
      <c r="C33" s="10">
        <v>61</v>
      </c>
      <c r="D33" s="10">
        <v>130</v>
      </c>
      <c r="E33" s="10">
        <f t="shared" si="0"/>
        <v>69</v>
      </c>
      <c r="F33" s="10">
        <v>36</v>
      </c>
      <c r="H33" s="67" t="s">
        <v>728</v>
      </c>
      <c r="I33" s="58">
        <v>134</v>
      </c>
      <c r="J33" s="58">
        <v>11492.103703703695</v>
      </c>
      <c r="K33" s="58"/>
      <c r="L33" s="58"/>
      <c r="M33" s="58"/>
      <c r="P33" s="65"/>
    </row>
    <row r="34" spans="1:16" ht="19.5" thickBot="1">
      <c r="A34" s="10" t="s">
        <v>157</v>
      </c>
      <c r="B34" s="10" t="s">
        <v>39</v>
      </c>
      <c r="C34" s="10">
        <v>68</v>
      </c>
      <c r="D34" s="10">
        <v>140</v>
      </c>
      <c r="E34" s="10">
        <f t="shared" si="0"/>
        <v>72</v>
      </c>
      <c r="F34" s="10">
        <v>41</v>
      </c>
      <c r="H34" s="64"/>
      <c r="P34" s="65"/>
    </row>
    <row r="35" spans="1:16">
      <c r="A35" s="10" t="s">
        <v>158</v>
      </c>
      <c r="B35" s="10" t="s">
        <v>39</v>
      </c>
      <c r="C35" s="10">
        <v>107</v>
      </c>
      <c r="D35" s="10">
        <v>177</v>
      </c>
      <c r="E35" s="10">
        <f t="shared" si="0"/>
        <v>70</v>
      </c>
      <c r="F35" s="10">
        <v>20</v>
      </c>
      <c r="H35" s="68"/>
      <c r="I35" s="69" t="s">
        <v>934</v>
      </c>
      <c r="J35" s="69" t="s">
        <v>718</v>
      </c>
      <c r="K35" s="69" t="s">
        <v>871</v>
      </c>
      <c r="L35" s="69" t="s">
        <v>935</v>
      </c>
      <c r="M35" s="69" t="s">
        <v>936</v>
      </c>
      <c r="N35" s="69" t="s">
        <v>937</v>
      </c>
      <c r="O35" s="69" t="s">
        <v>938</v>
      </c>
      <c r="P35" s="70" t="s">
        <v>939</v>
      </c>
    </row>
    <row r="36" spans="1:16" ht="19.5">
      <c r="A36" s="10" t="s">
        <v>162</v>
      </c>
      <c r="B36" s="10" t="s">
        <v>39</v>
      </c>
      <c r="C36" s="10">
        <v>109</v>
      </c>
      <c r="D36" s="10">
        <v>176</v>
      </c>
      <c r="E36" s="10">
        <f t="shared" si="0"/>
        <v>67</v>
      </c>
      <c r="F36" s="10">
        <v>24</v>
      </c>
      <c r="H36" s="64" t="s">
        <v>930</v>
      </c>
      <c r="I36" s="59">
        <v>55.257719950065905</v>
      </c>
      <c r="J36" s="10">
        <v>3.1654864944365868</v>
      </c>
      <c r="K36" s="10">
        <v>17.456312022554062</v>
      </c>
      <c r="L36" s="10">
        <v>3.2571620159360333E-36</v>
      </c>
      <c r="M36" s="10">
        <v>48.996510281824257</v>
      </c>
      <c r="N36" s="10">
        <v>61.518929618307553</v>
      </c>
      <c r="O36" s="10">
        <v>48.996510281824257</v>
      </c>
      <c r="P36" s="65">
        <v>61.518929618307553</v>
      </c>
    </row>
    <row r="37" spans="1:16" ht="20.25" thickBot="1">
      <c r="A37" s="10" t="s">
        <v>170</v>
      </c>
      <c r="B37" s="10" t="s">
        <v>39</v>
      </c>
      <c r="C37" s="10">
        <v>92</v>
      </c>
      <c r="D37" s="10">
        <v>152</v>
      </c>
      <c r="E37" s="10">
        <f t="shared" si="0"/>
        <v>60</v>
      </c>
      <c r="F37" s="10">
        <v>43</v>
      </c>
      <c r="H37" s="67" t="s">
        <v>9</v>
      </c>
      <c r="I37" s="75">
        <v>-0.17990631933507964</v>
      </c>
      <c r="J37" s="58">
        <v>2.0554436234891452E-2</v>
      </c>
      <c r="K37" s="58">
        <v>-8.7526759322975778</v>
      </c>
      <c r="L37" s="58">
        <v>8.21621098791158E-15</v>
      </c>
      <c r="M37" s="58">
        <v>-0.22056219801450042</v>
      </c>
      <c r="N37" s="58">
        <v>-0.13925044065565886</v>
      </c>
      <c r="O37" s="58">
        <v>-0.22056219801450042</v>
      </c>
      <c r="P37" s="73">
        <v>-0.13925044065565886</v>
      </c>
    </row>
    <row r="38" spans="1:16" ht="19.5">
      <c r="A38" s="10" t="s">
        <v>175</v>
      </c>
      <c r="B38" s="10" t="s">
        <v>39</v>
      </c>
      <c r="C38" s="10">
        <v>60</v>
      </c>
      <c r="D38" s="10">
        <v>72</v>
      </c>
      <c r="E38" s="10">
        <f t="shared" si="0"/>
        <v>12</v>
      </c>
      <c r="F38" s="10">
        <v>50</v>
      </c>
      <c r="K38" s="81"/>
      <c r="L38" s="81"/>
    </row>
    <row r="39" spans="1:16" ht="19.5">
      <c r="A39" s="10" t="s">
        <v>178</v>
      </c>
      <c r="B39" s="10" t="s">
        <v>39</v>
      </c>
      <c r="C39" s="10">
        <v>62</v>
      </c>
      <c r="D39" s="10">
        <v>104</v>
      </c>
      <c r="E39" s="10">
        <f t="shared" si="0"/>
        <v>42</v>
      </c>
      <c r="F39" s="10">
        <v>35</v>
      </c>
      <c r="K39" s="81"/>
      <c r="L39" s="81"/>
    </row>
    <row r="40" spans="1:16" ht="19.5">
      <c r="A40" s="10" t="s">
        <v>181</v>
      </c>
      <c r="B40" s="10" t="s">
        <v>39</v>
      </c>
      <c r="C40" s="10">
        <v>98</v>
      </c>
      <c r="D40" s="10">
        <v>198</v>
      </c>
      <c r="E40" s="10">
        <f t="shared" si="0"/>
        <v>100</v>
      </c>
      <c r="F40" s="10">
        <v>22</v>
      </c>
      <c r="K40" s="81"/>
      <c r="L40" s="81"/>
    </row>
    <row r="41" spans="1:16" ht="19.5">
      <c r="A41" s="10" t="s">
        <v>190</v>
      </c>
      <c r="B41" s="10" t="s">
        <v>39</v>
      </c>
      <c r="C41" s="10">
        <v>59</v>
      </c>
      <c r="D41" s="10">
        <v>145</v>
      </c>
      <c r="E41" s="10">
        <f t="shared" si="0"/>
        <v>86</v>
      </c>
      <c r="F41" s="10">
        <v>22</v>
      </c>
      <c r="K41" s="81"/>
      <c r="L41" s="81"/>
    </row>
    <row r="42" spans="1:16">
      <c r="A42" s="10" t="s">
        <v>197</v>
      </c>
      <c r="B42" s="10" t="s">
        <v>39</v>
      </c>
      <c r="C42" s="10">
        <v>74</v>
      </c>
      <c r="D42" s="10">
        <v>120</v>
      </c>
      <c r="E42" s="10">
        <f t="shared" si="0"/>
        <v>46</v>
      </c>
      <c r="F42" s="10">
        <v>41</v>
      </c>
    </row>
    <row r="43" spans="1:16">
      <c r="A43" s="10" t="s">
        <v>204</v>
      </c>
      <c r="B43" s="10" t="s">
        <v>39</v>
      </c>
      <c r="C43" s="10">
        <v>89</v>
      </c>
      <c r="D43" s="10">
        <v>194</v>
      </c>
      <c r="E43" s="10">
        <f t="shared" si="0"/>
        <v>105</v>
      </c>
      <c r="F43" s="10">
        <v>20</v>
      </c>
    </row>
    <row r="44" spans="1:16">
      <c r="A44" s="10" t="s">
        <v>210</v>
      </c>
      <c r="B44" s="10" t="s">
        <v>39</v>
      </c>
      <c r="C44" s="10">
        <v>62</v>
      </c>
      <c r="D44" s="10">
        <v>119</v>
      </c>
      <c r="E44" s="10">
        <f t="shared" si="0"/>
        <v>57</v>
      </c>
      <c r="F44" s="10">
        <v>38</v>
      </c>
    </row>
    <row r="45" spans="1:16">
      <c r="A45" s="10" t="s">
        <v>213</v>
      </c>
      <c r="B45" s="10" t="s">
        <v>39</v>
      </c>
      <c r="C45" s="10">
        <v>58</v>
      </c>
      <c r="D45" s="10">
        <v>140</v>
      </c>
      <c r="E45" s="10">
        <f t="shared" si="0"/>
        <v>82</v>
      </c>
      <c r="F45" s="10">
        <v>20</v>
      </c>
    </row>
    <row r="46" spans="1:16">
      <c r="A46" s="10" t="s">
        <v>216</v>
      </c>
      <c r="B46" s="10" t="s">
        <v>39</v>
      </c>
      <c r="C46" s="10">
        <v>71</v>
      </c>
      <c r="D46" s="10">
        <v>110</v>
      </c>
      <c r="E46" s="10">
        <f t="shared" si="0"/>
        <v>39</v>
      </c>
      <c r="F46" s="10">
        <v>38</v>
      </c>
    </row>
    <row r="47" spans="1:16">
      <c r="A47" s="10" t="s">
        <v>225</v>
      </c>
      <c r="B47" s="10" t="s">
        <v>39</v>
      </c>
      <c r="C47" s="10">
        <v>71</v>
      </c>
      <c r="D47" s="10">
        <v>124</v>
      </c>
      <c r="E47" s="10">
        <f t="shared" si="0"/>
        <v>53</v>
      </c>
      <c r="F47" s="10">
        <v>25</v>
      </c>
    </row>
    <row r="48" spans="1:16">
      <c r="A48" s="10" t="s">
        <v>229</v>
      </c>
      <c r="B48" s="10" t="s">
        <v>39</v>
      </c>
      <c r="C48" s="10">
        <v>98</v>
      </c>
      <c r="D48" s="10">
        <v>176</v>
      </c>
      <c r="E48" s="10">
        <f t="shared" si="0"/>
        <v>78</v>
      </c>
      <c r="F48" s="10">
        <v>22</v>
      </c>
    </row>
    <row r="49" spans="1:6">
      <c r="A49" s="10" t="s">
        <v>234</v>
      </c>
      <c r="B49" s="10" t="s">
        <v>39</v>
      </c>
      <c r="C49" s="10">
        <v>64</v>
      </c>
      <c r="D49" s="10">
        <v>135</v>
      </c>
      <c r="E49" s="10">
        <f t="shared" si="0"/>
        <v>71</v>
      </c>
      <c r="F49" s="10">
        <v>27</v>
      </c>
    </row>
    <row r="50" spans="1:6">
      <c r="A50" s="10" t="s">
        <v>238</v>
      </c>
      <c r="B50" s="10" t="s">
        <v>39</v>
      </c>
      <c r="C50" s="10">
        <v>51</v>
      </c>
      <c r="D50" s="10">
        <v>138</v>
      </c>
      <c r="E50" s="10">
        <f t="shared" si="0"/>
        <v>87</v>
      </c>
      <c r="F50" s="10">
        <v>26</v>
      </c>
    </row>
    <row r="51" spans="1:6">
      <c r="A51" s="10" t="s">
        <v>247</v>
      </c>
      <c r="B51" s="10" t="s">
        <v>39</v>
      </c>
      <c r="C51" s="10">
        <v>76</v>
      </c>
      <c r="D51" s="10">
        <v>146</v>
      </c>
      <c r="E51" s="10">
        <f t="shared" si="0"/>
        <v>70</v>
      </c>
      <c r="F51" s="10">
        <v>32</v>
      </c>
    </row>
    <row r="52" spans="1:6">
      <c r="A52" s="10" t="s">
        <v>253</v>
      </c>
      <c r="B52" s="10" t="s">
        <v>39</v>
      </c>
      <c r="C52" s="10">
        <v>78</v>
      </c>
      <c r="D52" s="10">
        <v>188</v>
      </c>
      <c r="E52" s="10">
        <f t="shared" si="0"/>
        <v>110</v>
      </c>
      <c r="F52" s="10">
        <v>16</v>
      </c>
    </row>
    <row r="53" spans="1:6">
      <c r="A53" s="10" t="s">
        <v>263</v>
      </c>
      <c r="B53" s="10" t="s">
        <v>39</v>
      </c>
      <c r="C53" s="10">
        <v>53</v>
      </c>
      <c r="D53" s="10">
        <v>114</v>
      </c>
      <c r="E53" s="10">
        <f t="shared" si="0"/>
        <v>61</v>
      </c>
      <c r="F53" s="10">
        <v>40</v>
      </c>
    </row>
    <row r="54" spans="1:6">
      <c r="A54" s="10" t="s">
        <v>272</v>
      </c>
      <c r="B54" s="10" t="s">
        <v>39</v>
      </c>
      <c r="C54" s="10">
        <v>80</v>
      </c>
      <c r="D54" s="10">
        <v>148</v>
      </c>
      <c r="E54" s="10">
        <f t="shared" si="0"/>
        <v>68</v>
      </c>
      <c r="F54" s="10">
        <v>33</v>
      </c>
    </row>
    <row r="55" spans="1:6">
      <c r="A55" s="10" t="s">
        <v>276</v>
      </c>
      <c r="B55" s="10" t="s">
        <v>39</v>
      </c>
      <c r="C55" s="10">
        <v>44</v>
      </c>
      <c r="D55" s="10">
        <v>115</v>
      </c>
      <c r="E55" s="10">
        <f t="shared" si="0"/>
        <v>71</v>
      </c>
      <c r="F55" s="10">
        <v>35</v>
      </c>
    </row>
    <row r="56" spans="1:6">
      <c r="A56" s="10" t="s">
        <v>281</v>
      </c>
      <c r="B56" s="10" t="s">
        <v>39</v>
      </c>
      <c r="C56" s="10">
        <v>106</v>
      </c>
      <c r="D56" s="10">
        <v>222</v>
      </c>
      <c r="E56" s="10">
        <f t="shared" si="0"/>
        <v>116</v>
      </c>
      <c r="F56" s="10">
        <v>13</v>
      </c>
    </row>
    <row r="57" spans="1:6">
      <c r="A57" s="10" t="s">
        <v>289</v>
      </c>
      <c r="B57" s="10" t="s">
        <v>39</v>
      </c>
      <c r="C57" s="10">
        <v>75</v>
      </c>
      <c r="D57" s="10">
        <v>172</v>
      </c>
      <c r="E57" s="10">
        <f t="shared" si="0"/>
        <v>97</v>
      </c>
      <c r="F57" s="10">
        <v>11</v>
      </c>
    </row>
    <row r="58" spans="1:6">
      <c r="A58" s="10" t="s">
        <v>294</v>
      </c>
      <c r="B58" s="10" t="s">
        <v>39</v>
      </c>
      <c r="C58" s="10">
        <v>67</v>
      </c>
      <c r="D58" s="10">
        <v>126</v>
      </c>
      <c r="E58" s="10">
        <f t="shared" si="0"/>
        <v>59</v>
      </c>
      <c r="F58" s="10">
        <v>35</v>
      </c>
    </row>
    <row r="59" spans="1:6">
      <c r="A59" s="10" t="s">
        <v>298</v>
      </c>
      <c r="B59" s="10" t="s">
        <v>39</v>
      </c>
      <c r="C59" s="10">
        <v>79</v>
      </c>
      <c r="D59" s="10">
        <v>169</v>
      </c>
      <c r="E59" s="10">
        <f t="shared" si="0"/>
        <v>90</v>
      </c>
      <c r="F59" s="10">
        <v>24</v>
      </c>
    </row>
    <row r="60" spans="1:6">
      <c r="A60" s="10" t="s">
        <v>303</v>
      </c>
      <c r="B60" s="10" t="s">
        <v>39</v>
      </c>
      <c r="C60" s="10">
        <v>73</v>
      </c>
      <c r="D60" s="10">
        <v>172</v>
      </c>
      <c r="E60" s="10">
        <f t="shared" si="0"/>
        <v>99</v>
      </c>
      <c r="F60" s="10">
        <v>26</v>
      </c>
    </row>
    <row r="61" spans="1:6">
      <c r="A61" s="10" t="s">
        <v>307</v>
      </c>
      <c r="B61" s="10" t="s">
        <v>39</v>
      </c>
      <c r="C61" s="10">
        <v>85</v>
      </c>
      <c r="D61" s="10">
        <v>162</v>
      </c>
      <c r="E61" s="10">
        <f t="shared" si="0"/>
        <v>77</v>
      </c>
      <c r="F61" s="10">
        <v>26</v>
      </c>
    </row>
    <row r="62" spans="1:6">
      <c r="A62" s="10" t="s">
        <v>311</v>
      </c>
      <c r="B62" s="10" t="s">
        <v>39</v>
      </c>
      <c r="C62" s="10">
        <v>44</v>
      </c>
      <c r="D62" s="10">
        <v>130</v>
      </c>
      <c r="E62" s="10">
        <f t="shared" si="0"/>
        <v>86</v>
      </c>
      <c r="F62" s="10">
        <v>39</v>
      </c>
    </row>
    <row r="63" spans="1:6">
      <c r="A63" s="10" t="s">
        <v>320</v>
      </c>
      <c r="B63" s="10" t="s">
        <v>39</v>
      </c>
      <c r="C63" s="10">
        <v>39</v>
      </c>
      <c r="D63" s="10">
        <v>76</v>
      </c>
      <c r="E63" s="10">
        <f t="shared" si="0"/>
        <v>37</v>
      </c>
      <c r="F63" s="10">
        <v>46</v>
      </c>
    </row>
    <row r="64" spans="1:6">
      <c r="A64" s="10" t="s">
        <v>325</v>
      </c>
      <c r="B64" s="10" t="s">
        <v>39</v>
      </c>
      <c r="C64" s="10">
        <v>67</v>
      </c>
      <c r="D64" s="10">
        <v>134</v>
      </c>
      <c r="E64" s="10">
        <f t="shared" si="0"/>
        <v>67</v>
      </c>
      <c r="F64" s="10">
        <v>24</v>
      </c>
    </row>
    <row r="65" spans="1:6">
      <c r="A65" s="10" t="s">
        <v>326</v>
      </c>
      <c r="B65" s="10" t="s">
        <v>39</v>
      </c>
      <c r="C65" s="10">
        <v>56</v>
      </c>
      <c r="D65" s="10">
        <v>130</v>
      </c>
      <c r="E65" s="10">
        <f t="shared" si="0"/>
        <v>74</v>
      </c>
      <c r="F65" s="10">
        <v>19</v>
      </c>
    </row>
    <row r="66" spans="1:6">
      <c r="A66" s="10" t="s">
        <v>331</v>
      </c>
      <c r="B66" s="10" t="s">
        <v>39</v>
      </c>
      <c r="C66" s="10">
        <v>40</v>
      </c>
      <c r="D66" s="10">
        <v>135</v>
      </c>
      <c r="E66" s="10">
        <f t="shared" ref="E66:E129" si="1">D66-C66</f>
        <v>95</v>
      </c>
      <c r="F66" s="10">
        <v>29</v>
      </c>
    </row>
    <row r="67" spans="1:6">
      <c r="A67" s="10" t="s">
        <v>349</v>
      </c>
      <c r="B67" s="10" t="s">
        <v>39</v>
      </c>
      <c r="C67" s="10">
        <v>39</v>
      </c>
      <c r="D67" s="10">
        <v>108</v>
      </c>
      <c r="E67" s="10">
        <f t="shared" si="1"/>
        <v>69</v>
      </c>
      <c r="F67" s="10">
        <v>34</v>
      </c>
    </row>
    <row r="68" spans="1:6">
      <c r="A68" s="10" t="s">
        <v>355</v>
      </c>
      <c r="B68" s="10" t="s">
        <v>39</v>
      </c>
      <c r="C68" s="10">
        <v>23</v>
      </c>
      <c r="D68" s="10">
        <v>102</v>
      </c>
      <c r="E68" s="10">
        <f t="shared" si="1"/>
        <v>79</v>
      </c>
      <c r="F68" s="10">
        <v>33</v>
      </c>
    </row>
    <row r="69" spans="1:6">
      <c r="A69" s="10" t="s">
        <v>357</v>
      </c>
      <c r="B69" s="10" t="s">
        <v>39</v>
      </c>
      <c r="C69" s="10">
        <v>101</v>
      </c>
      <c r="D69" s="10">
        <v>223</v>
      </c>
      <c r="E69" s="10">
        <f t="shared" si="1"/>
        <v>122</v>
      </c>
      <c r="F69" s="10">
        <v>7</v>
      </c>
    </row>
    <row r="70" spans="1:6">
      <c r="A70" s="10" t="s">
        <v>358</v>
      </c>
      <c r="B70" s="10" t="s">
        <v>39</v>
      </c>
      <c r="C70" s="10">
        <v>29</v>
      </c>
      <c r="D70" s="10">
        <v>102</v>
      </c>
      <c r="E70" s="10">
        <f t="shared" si="1"/>
        <v>73</v>
      </c>
      <c r="F70" s="10">
        <v>36</v>
      </c>
    </row>
    <row r="71" spans="1:6">
      <c r="A71" s="10" t="s">
        <v>364</v>
      </c>
      <c r="B71" s="10" t="s">
        <v>39</v>
      </c>
      <c r="C71" s="10">
        <v>82</v>
      </c>
      <c r="D71" s="10">
        <v>148</v>
      </c>
      <c r="E71" s="10">
        <f t="shared" si="1"/>
        <v>66</v>
      </c>
      <c r="F71" s="10">
        <v>49</v>
      </c>
    </row>
    <row r="72" spans="1:6">
      <c r="A72" s="10" t="s">
        <v>365</v>
      </c>
      <c r="B72" s="10" t="s">
        <v>39</v>
      </c>
      <c r="C72" s="10">
        <v>42</v>
      </c>
      <c r="D72" s="10">
        <v>92</v>
      </c>
      <c r="E72" s="10">
        <f t="shared" si="1"/>
        <v>50</v>
      </c>
      <c r="F72" s="10">
        <v>37</v>
      </c>
    </row>
    <row r="73" spans="1:6">
      <c r="A73" s="10" t="s">
        <v>371</v>
      </c>
      <c r="B73" s="10" t="s">
        <v>39</v>
      </c>
      <c r="C73" s="10">
        <v>59</v>
      </c>
      <c r="D73" s="10">
        <v>165</v>
      </c>
      <c r="E73" s="10">
        <f t="shared" si="1"/>
        <v>106</v>
      </c>
      <c r="F73" s="10">
        <v>10</v>
      </c>
    </row>
    <row r="74" spans="1:6">
      <c r="A74" s="10" t="s">
        <v>372</v>
      </c>
      <c r="B74" s="10" t="s">
        <v>39</v>
      </c>
      <c r="C74" s="10">
        <v>78</v>
      </c>
      <c r="D74" s="10">
        <v>150</v>
      </c>
      <c r="E74" s="10">
        <f t="shared" si="1"/>
        <v>72</v>
      </c>
      <c r="F74" s="10">
        <v>24</v>
      </c>
    </row>
    <row r="75" spans="1:6">
      <c r="A75" s="10" t="s">
        <v>379</v>
      </c>
      <c r="B75" s="10" t="s">
        <v>39</v>
      </c>
      <c r="C75" s="10">
        <v>83</v>
      </c>
      <c r="D75" s="10">
        <v>146</v>
      </c>
      <c r="E75" s="10">
        <f t="shared" si="1"/>
        <v>63</v>
      </c>
      <c r="F75" s="10">
        <v>25</v>
      </c>
    </row>
    <row r="76" spans="1:6">
      <c r="A76" s="10" t="s">
        <v>380</v>
      </c>
      <c r="B76" s="10" t="s">
        <v>39</v>
      </c>
      <c r="C76" s="10">
        <v>47</v>
      </c>
      <c r="D76" s="10">
        <v>94</v>
      </c>
      <c r="E76" s="10">
        <f t="shared" si="1"/>
        <v>47</v>
      </c>
      <c r="F76" s="10">
        <v>44</v>
      </c>
    </row>
    <row r="77" spans="1:6">
      <c r="A77" s="10" t="s">
        <v>385</v>
      </c>
      <c r="B77" s="10" t="s">
        <v>39</v>
      </c>
      <c r="C77" s="10">
        <v>81</v>
      </c>
      <c r="D77" s="10">
        <v>152</v>
      </c>
      <c r="E77" s="10">
        <f t="shared" si="1"/>
        <v>71</v>
      </c>
      <c r="F77" s="10">
        <v>18</v>
      </c>
    </row>
    <row r="78" spans="1:6">
      <c r="A78" s="10" t="s">
        <v>389</v>
      </c>
      <c r="B78" s="10" t="s">
        <v>39</v>
      </c>
      <c r="C78" s="10">
        <v>25</v>
      </c>
      <c r="D78" s="10">
        <v>126</v>
      </c>
      <c r="E78" s="10">
        <f t="shared" si="1"/>
        <v>101</v>
      </c>
      <c r="F78" s="10">
        <v>41</v>
      </c>
    </row>
    <row r="79" spans="1:6">
      <c r="A79" s="10" t="s">
        <v>395</v>
      </c>
      <c r="B79" s="10" t="s">
        <v>39</v>
      </c>
      <c r="C79" s="10">
        <v>65</v>
      </c>
      <c r="D79" s="10">
        <v>166</v>
      </c>
      <c r="E79" s="10">
        <f t="shared" si="1"/>
        <v>101</v>
      </c>
      <c r="F79" s="10">
        <v>21</v>
      </c>
    </row>
    <row r="80" spans="1:6">
      <c r="A80" s="10" t="s">
        <v>396</v>
      </c>
      <c r="B80" s="10" t="s">
        <v>39</v>
      </c>
      <c r="C80" s="10">
        <v>107</v>
      </c>
      <c r="D80" s="10">
        <v>186</v>
      </c>
      <c r="E80" s="10">
        <f t="shared" si="1"/>
        <v>79</v>
      </c>
      <c r="F80" s="10">
        <v>27</v>
      </c>
    </row>
    <row r="81" spans="1:6">
      <c r="A81" s="10" t="s">
        <v>399</v>
      </c>
      <c r="B81" s="10" t="s">
        <v>39</v>
      </c>
      <c r="C81" s="10">
        <v>48</v>
      </c>
      <c r="D81" s="10">
        <v>97</v>
      </c>
      <c r="E81" s="10">
        <f t="shared" si="1"/>
        <v>49</v>
      </c>
      <c r="F81" s="10">
        <v>34</v>
      </c>
    </row>
    <row r="82" spans="1:6">
      <c r="A82" s="10" t="s">
        <v>400</v>
      </c>
      <c r="B82" s="10" t="s">
        <v>39</v>
      </c>
      <c r="C82" s="10">
        <v>83</v>
      </c>
      <c r="D82" s="10">
        <v>180</v>
      </c>
      <c r="E82" s="10">
        <f t="shared" si="1"/>
        <v>97</v>
      </c>
      <c r="F82" s="10">
        <v>11</v>
      </c>
    </row>
    <row r="83" spans="1:6">
      <c r="A83" s="10" t="s">
        <v>406</v>
      </c>
      <c r="B83" s="10" t="s">
        <v>39</v>
      </c>
      <c r="C83" s="10">
        <v>91</v>
      </c>
      <c r="D83" s="10">
        <v>171</v>
      </c>
      <c r="E83" s="10">
        <f t="shared" si="1"/>
        <v>80</v>
      </c>
      <c r="F83" s="10">
        <v>27</v>
      </c>
    </row>
    <row r="84" spans="1:6">
      <c r="A84" s="10" t="s">
        <v>407</v>
      </c>
      <c r="B84" s="10" t="s">
        <v>39</v>
      </c>
      <c r="C84" s="10">
        <v>53</v>
      </c>
      <c r="D84" s="10">
        <v>156</v>
      </c>
      <c r="E84" s="10">
        <f t="shared" si="1"/>
        <v>103</v>
      </c>
      <c r="F84" s="10">
        <v>36</v>
      </c>
    </row>
    <row r="85" spans="1:6">
      <c r="A85" s="10" t="s">
        <v>413</v>
      </c>
      <c r="B85" s="10" t="s">
        <v>39</v>
      </c>
      <c r="C85" s="10">
        <v>94</v>
      </c>
      <c r="D85" s="10">
        <v>187</v>
      </c>
      <c r="E85" s="10">
        <f t="shared" si="1"/>
        <v>93</v>
      </c>
      <c r="F85" s="10">
        <v>17</v>
      </c>
    </row>
    <row r="86" spans="1:6">
      <c r="A86" s="10" t="s">
        <v>421</v>
      </c>
      <c r="B86" s="10" t="s">
        <v>39</v>
      </c>
      <c r="C86" s="10">
        <v>86</v>
      </c>
      <c r="D86" s="10">
        <v>193</v>
      </c>
      <c r="E86" s="10">
        <f t="shared" si="1"/>
        <v>107</v>
      </c>
      <c r="F86" s="10">
        <v>14</v>
      </c>
    </row>
    <row r="87" spans="1:6">
      <c r="A87" s="10" t="s">
        <v>422</v>
      </c>
      <c r="B87" s="10" t="s">
        <v>39</v>
      </c>
      <c r="C87" s="10">
        <v>90</v>
      </c>
      <c r="D87" s="10">
        <v>146</v>
      </c>
      <c r="E87" s="10">
        <f t="shared" si="1"/>
        <v>56</v>
      </c>
      <c r="F87" s="10">
        <v>30</v>
      </c>
    </row>
    <row r="88" spans="1:6">
      <c r="A88" s="10" t="s">
        <v>428</v>
      </c>
      <c r="B88" s="10" t="s">
        <v>39</v>
      </c>
      <c r="C88" s="10">
        <v>93</v>
      </c>
      <c r="D88" s="10">
        <v>170</v>
      </c>
      <c r="E88" s="10">
        <f t="shared" si="1"/>
        <v>77</v>
      </c>
      <c r="F88" s="10">
        <v>27</v>
      </c>
    </row>
    <row r="89" spans="1:6">
      <c r="A89" s="10" t="s">
        <v>429</v>
      </c>
      <c r="B89" s="10" t="s">
        <v>39</v>
      </c>
      <c r="C89" s="10">
        <v>81</v>
      </c>
      <c r="D89" s="10">
        <v>172</v>
      </c>
      <c r="E89" s="10">
        <f t="shared" si="1"/>
        <v>91</v>
      </c>
      <c r="F89" s="10">
        <v>37</v>
      </c>
    </row>
    <row r="90" spans="1:6">
      <c r="A90" s="10" t="s">
        <v>433</v>
      </c>
      <c r="B90" s="10" t="s">
        <v>39</v>
      </c>
      <c r="C90" s="10">
        <v>66</v>
      </c>
      <c r="D90" s="10">
        <v>152</v>
      </c>
      <c r="E90" s="10">
        <f t="shared" si="1"/>
        <v>86</v>
      </c>
      <c r="F90" s="10">
        <v>28</v>
      </c>
    </row>
    <row r="91" spans="1:6">
      <c r="A91" s="10" t="s">
        <v>437</v>
      </c>
      <c r="B91" s="10" t="s">
        <v>39</v>
      </c>
      <c r="C91" s="10">
        <v>104</v>
      </c>
      <c r="D91" s="10">
        <v>196</v>
      </c>
      <c r="E91" s="10">
        <f t="shared" si="1"/>
        <v>92</v>
      </c>
      <c r="F91" s="10">
        <v>28</v>
      </c>
    </row>
    <row r="92" spans="1:6">
      <c r="A92" s="10" t="s">
        <v>438</v>
      </c>
      <c r="B92" s="10" t="s">
        <v>39</v>
      </c>
      <c r="C92" s="10">
        <v>88</v>
      </c>
      <c r="D92" s="10">
        <v>169</v>
      </c>
      <c r="E92" s="10">
        <f t="shared" si="1"/>
        <v>81</v>
      </c>
      <c r="F92" s="10">
        <v>20</v>
      </c>
    </row>
    <row r="93" spans="1:6">
      <c r="A93" s="10" t="s">
        <v>443</v>
      </c>
      <c r="B93" s="10" t="s">
        <v>39</v>
      </c>
      <c r="C93" s="10">
        <v>45</v>
      </c>
      <c r="D93" s="10">
        <v>168</v>
      </c>
      <c r="E93" s="10">
        <f t="shared" si="1"/>
        <v>123</v>
      </c>
      <c r="F93" s="10">
        <v>25</v>
      </c>
    </row>
    <row r="94" spans="1:6">
      <c r="A94" s="10" t="s">
        <v>444</v>
      </c>
      <c r="B94" s="10" t="s">
        <v>39</v>
      </c>
      <c r="C94" s="10">
        <v>42</v>
      </c>
      <c r="D94" s="10">
        <v>103</v>
      </c>
      <c r="E94" s="10">
        <f t="shared" si="1"/>
        <v>61</v>
      </c>
      <c r="F94" s="10">
        <v>31</v>
      </c>
    </row>
    <row r="95" spans="1:6">
      <c r="A95" s="10" t="s">
        <v>449</v>
      </c>
      <c r="B95" s="10" t="s">
        <v>39</v>
      </c>
      <c r="C95" s="10">
        <v>128</v>
      </c>
      <c r="D95" s="10">
        <v>173</v>
      </c>
      <c r="E95" s="10">
        <f t="shared" si="1"/>
        <v>45</v>
      </c>
      <c r="F95" s="10">
        <v>26</v>
      </c>
    </row>
    <row r="96" spans="1:6">
      <c r="A96" s="10" t="s">
        <v>455</v>
      </c>
      <c r="B96" s="10" t="s">
        <v>39</v>
      </c>
      <c r="C96" s="10">
        <v>75</v>
      </c>
      <c r="D96" s="10">
        <v>127</v>
      </c>
      <c r="E96" s="10">
        <f t="shared" si="1"/>
        <v>52</v>
      </c>
      <c r="F96" s="10">
        <v>43</v>
      </c>
    </row>
    <row r="97" spans="1:6">
      <c r="A97" s="10" t="s">
        <v>456</v>
      </c>
      <c r="B97" s="10" t="s">
        <v>39</v>
      </c>
      <c r="C97" s="10">
        <v>49</v>
      </c>
      <c r="D97" s="10">
        <v>101</v>
      </c>
      <c r="E97" s="10">
        <f t="shared" si="1"/>
        <v>52</v>
      </c>
      <c r="F97" s="10">
        <v>36</v>
      </c>
    </row>
    <row r="98" spans="1:6">
      <c r="A98" s="10" t="s">
        <v>461</v>
      </c>
      <c r="B98" s="10" t="s">
        <v>39</v>
      </c>
      <c r="C98" s="10">
        <v>74</v>
      </c>
      <c r="D98" s="10">
        <v>113</v>
      </c>
      <c r="E98" s="10">
        <f t="shared" si="1"/>
        <v>39</v>
      </c>
      <c r="F98" s="10">
        <v>38</v>
      </c>
    </row>
    <row r="99" spans="1:6">
      <c r="A99" s="10" t="s">
        <v>465</v>
      </c>
      <c r="B99" s="10" t="s">
        <v>39</v>
      </c>
      <c r="C99" s="10">
        <v>97</v>
      </c>
      <c r="D99" s="10">
        <v>162</v>
      </c>
      <c r="E99" s="10">
        <f t="shared" si="1"/>
        <v>65</v>
      </c>
      <c r="F99" s="10">
        <v>28</v>
      </c>
    </row>
    <row r="100" spans="1:6">
      <c r="A100" s="10" t="s">
        <v>466</v>
      </c>
      <c r="B100" s="10" t="s">
        <v>39</v>
      </c>
      <c r="C100" s="10">
        <v>58</v>
      </c>
      <c r="D100" s="10">
        <v>144</v>
      </c>
      <c r="E100" s="10">
        <f t="shared" si="1"/>
        <v>86</v>
      </c>
      <c r="F100" s="10">
        <v>27</v>
      </c>
    </row>
    <row r="101" spans="1:6">
      <c r="A101" s="10" t="s">
        <v>473</v>
      </c>
      <c r="B101" s="10" t="s">
        <v>39</v>
      </c>
      <c r="C101" s="10">
        <v>78</v>
      </c>
      <c r="D101" s="10">
        <v>126</v>
      </c>
      <c r="E101" s="10">
        <f t="shared" si="1"/>
        <v>48</v>
      </c>
      <c r="F101" s="10">
        <v>36</v>
      </c>
    </row>
    <row r="102" spans="1:6">
      <c r="A102" s="10" t="s">
        <v>480</v>
      </c>
      <c r="B102" s="10" t="s">
        <v>39</v>
      </c>
      <c r="C102" s="10">
        <v>112</v>
      </c>
      <c r="D102" s="10">
        <v>226</v>
      </c>
      <c r="E102" s="10">
        <f t="shared" si="1"/>
        <v>114</v>
      </c>
      <c r="F102" s="10">
        <v>9</v>
      </c>
    </row>
    <row r="103" spans="1:6">
      <c r="A103" s="10" t="s">
        <v>481</v>
      </c>
      <c r="B103" s="10" t="s">
        <v>39</v>
      </c>
      <c r="C103" s="10">
        <v>114</v>
      </c>
      <c r="D103" s="10">
        <v>176</v>
      </c>
      <c r="E103" s="10">
        <f t="shared" si="1"/>
        <v>62</v>
      </c>
      <c r="F103" s="10">
        <v>19</v>
      </c>
    </row>
    <row r="104" spans="1:6">
      <c r="A104" s="10" t="s">
        <v>487</v>
      </c>
      <c r="B104" s="10" t="s">
        <v>39</v>
      </c>
      <c r="C104" s="10">
        <v>94</v>
      </c>
      <c r="D104" s="10">
        <v>184</v>
      </c>
      <c r="E104" s="10">
        <f t="shared" si="1"/>
        <v>90</v>
      </c>
      <c r="F104" s="10">
        <v>35</v>
      </c>
    </row>
    <row r="105" spans="1:6">
      <c r="A105" s="10" t="s">
        <v>488</v>
      </c>
      <c r="B105" s="10" t="s">
        <v>39</v>
      </c>
      <c r="C105" s="10">
        <v>98</v>
      </c>
      <c r="D105" s="10">
        <v>137</v>
      </c>
      <c r="E105" s="10">
        <f t="shared" si="1"/>
        <v>39</v>
      </c>
      <c r="F105" s="10">
        <v>43</v>
      </c>
    </row>
    <row r="106" spans="1:6">
      <c r="A106" s="10" t="s">
        <v>496</v>
      </c>
      <c r="B106" s="10" t="s">
        <v>39</v>
      </c>
      <c r="C106" s="10">
        <v>65</v>
      </c>
      <c r="D106" s="10">
        <v>138</v>
      </c>
      <c r="E106" s="10">
        <f t="shared" si="1"/>
        <v>73</v>
      </c>
      <c r="F106" s="10">
        <v>28</v>
      </c>
    </row>
    <row r="107" spans="1:6">
      <c r="A107" s="10" t="s">
        <v>497</v>
      </c>
      <c r="B107" s="10" t="s">
        <v>39</v>
      </c>
      <c r="C107" s="10">
        <v>67</v>
      </c>
      <c r="D107" s="10">
        <v>133</v>
      </c>
      <c r="E107" s="10">
        <f t="shared" si="1"/>
        <v>66</v>
      </c>
      <c r="F107" s="10">
        <v>17</v>
      </c>
    </row>
    <row r="108" spans="1:6">
      <c r="A108" s="10" t="s">
        <v>500</v>
      </c>
      <c r="B108" s="10" t="s">
        <v>39</v>
      </c>
      <c r="C108" s="10">
        <v>88</v>
      </c>
      <c r="D108" s="10">
        <v>159</v>
      </c>
      <c r="E108" s="10">
        <f t="shared" si="1"/>
        <v>71</v>
      </c>
      <c r="F108" s="10">
        <v>21</v>
      </c>
    </row>
    <row r="109" spans="1:6">
      <c r="A109" s="10" t="s">
        <v>507</v>
      </c>
      <c r="B109" s="10" t="s">
        <v>39</v>
      </c>
      <c r="C109" s="10">
        <v>85</v>
      </c>
      <c r="D109" s="10">
        <v>129</v>
      </c>
      <c r="E109" s="10">
        <f t="shared" si="1"/>
        <v>44</v>
      </c>
      <c r="F109" s="10">
        <v>19</v>
      </c>
    </row>
    <row r="110" spans="1:6">
      <c r="A110" s="10" t="s">
        <v>511</v>
      </c>
      <c r="B110" s="10" t="s">
        <v>39</v>
      </c>
      <c r="C110" s="10">
        <v>88</v>
      </c>
      <c r="D110" s="10">
        <v>154</v>
      </c>
      <c r="E110" s="10">
        <f t="shared" si="1"/>
        <v>66</v>
      </c>
      <c r="F110" s="10">
        <v>27</v>
      </c>
    </row>
    <row r="111" spans="1:6">
      <c r="A111" s="10" t="s">
        <v>512</v>
      </c>
      <c r="B111" s="10" t="s">
        <v>39</v>
      </c>
      <c r="C111" s="10">
        <v>80</v>
      </c>
      <c r="D111" s="10">
        <v>166</v>
      </c>
      <c r="E111" s="10">
        <f t="shared" si="1"/>
        <v>86</v>
      </c>
      <c r="F111" s="10">
        <v>13</v>
      </c>
    </row>
    <row r="112" spans="1:6">
      <c r="A112" s="10" t="s">
        <v>517</v>
      </c>
      <c r="B112" s="10" t="s">
        <v>39</v>
      </c>
      <c r="C112" s="10">
        <v>89</v>
      </c>
      <c r="D112" s="10">
        <v>142</v>
      </c>
      <c r="E112" s="10">
        <f t="shared" si="1"/>
        <v>53</v>
      </c>
      <c r="F112" s="10">
        <v>22</v>
      </c>
    </row>
    <row r="113" spans="1:6">
      <c r="A113" s="10" t="s">
        <v>518</v>
      </c>
      <c r="B113" s="10" t="s">
        <v>39</v>
      </c>
      <c r="C113" s="10">
        <v>78</v>
      </c>
      <c r="D113" s="10">
        <v>158</v>
      </c>
      <c r="E113" s="10">
        <f t="shared" si="1"/>
        <v>80</v>
      </c>
      <c r="F113" s="10">
        <v>17</v>
      </c>
    </row>
    <row r="114" spans="1:6">
      <c r="A114" s="10" t="s">
        <v>524</v>
      </c>
      <c r="B114" s="10" t="s">
        <v>39</v>
      </c>
      <c r="C114" s="10">
        <v>67</v>
      </c>
      <c r="D114" s="10">
        <v>113</v>
      </c>
      <c r="E114" s="10">
        <f t="shared" si="1"/>
        <v>46</v>
      </c>
      <c r="F114" s="10">
        <v>40</v>
      </c>
    </row>
    <row r="115" spans="1:6">
      <c r="A115" s="10" t="s">
        <v>525</v>
      </c>
      <c r="B115" s="10" t="s">
        <v>39</v>
      </c>
      <c r="C115" s="10">
        <v>105</v>
      </c>
      <c r="D115" s="10">
        <v>161</v>
      </c>
      <c r="E115" s="10">
        <f t="shared" si="1"/>
        <v>56</v>
      </c>
      <c r="F115" s="10">
        <v>19</v>
      </c>
    </row>
    <row r="116" spans="1:6">
      <c r="A116" s="10" t="s">
        <v>532</v>
      </c>
      <c r="B116" s="10" t="s">
        <v>39</v>
      </c>
      <c r="C116" s="10">
        <v>93</v>
      </c>
      <c r="D116" s="10">
        <v>191</v>
      </c>
      <c r="E116" s="10">
        <f t="shared" si="1"/>
        <v>98</v>
      </c>
      <c r="F116" s="10">
        <v>19</v>
      </c>
    </row>
    <row r="117" spans="1:6">
      <c r="A117" s="10" t="s">
        <v>541</v>
      </c>
      <c r="B117" s="10" t="s">
        <v>39</v>
      </c>
      <c r="C117" s="10">
        <v>76</v>
      </c>
      <c r="D117" s="10">
        <v>204</v>
      </c>
      <c r="E117" s="10">
        <f t="shared" si="1"/>
        <v>128</v>
      </c>
      <c r="F117" s="10">
        <v>22</v>
      </c>
    </row>
    <row r="118" spans="1:6">
      <c r="A118" s="10" t="s">
        <v>542</v>
      </c>
      <c r="B118" s="10" t="s">
        <v>39</v>
      </c>
      <c r="C118" s="10">
        <v>81</v>
      </c>
      <c r="D118" s="10">
        <v>148</v>
      </c>
      <c r="E118" s="10">
        <f t="shared" si="1"/>
        <v>67</v>
      </c>
      <c r="F118" s="10">
        <v>39</v>
      </c>
    </row>
    <row r="119" spans="1:6">
      <c r="A119" s="10" t="s">
        <v>546</v>
      </c>
      <c r="B119" s="10" t="s">
        <v>39</v>
      </c>
      <c r="C119" s="10">
        <v>90</v>
      </c>
      <c r="D119" s="10">
        <v>175</v>
      </c>
      <c r="E119" s="10">
        <f t="shared" si="1"/>
        <v>85</v>
      </c>
      <c r="F119" s="10">
        <v>24</v>
      </c>
    </row>
    <row r="120" spans="1:6">
      <c r="A120" s="10" t="s">
        <v>551</v>
      </c>
      <c r="B120" s="10" t="s">
        <v>39</v>
      </c>
      <c r="C120" s="10">
        <v>114</v>
      </c>
      <c r="D120" s="10">
        <v>180</v>
      </c>
      <c r="E120" s="10">
        <f t="shared" si="1"/>
        <v>66</v>
      </c>
      <c r="F120" s="10">
        <v>30</v>
      </c>
    </row>
    <row r="121" spans="1:6">
      <c r="A121" s="10" t="s">
        <v>556</v>
      </c>
      <c r="B121" s="10" t="s">
        <v>39</v>
      </c>
      <c r="C121" s="10">
        <v>89</v>
      </c>
      <c r="D121" s="10">
        <v>196</v>
      </c>
      <c r="E121" s="10">
        <f t="shared" si="1"/>
        <v>107</v>
      </c>
      <c r="F121" s="10">
        <v>23</v>
      </c>
    </row>
    <row r="122" spans="1:6">
      <c r="A122" s="10" t="s">
        <v>561</v>
      </c>
      <c r="B122" s="10" t="s">
        <v>39</v>
      </c>
      <c r="C122" s="10">
        <v>73</v>
      </c>
      <c r="D122" s="10">
        <v>139</v>
      </c>
      <c r="E122" s="10">
        <f t="shared" si="1"/>
        <v>66</v>
      </c>
      <c r="F122" s="10">
        <v>23</v>
      </c>
    </row>
    <row r="123" spans="1:6">
      <c r="A123" s="10" t="s">
        <v>567</v>
      </c>
      <c r="B123" s="10" t="s">
        <v>39</v>
      </c>
      <c r="C123" s="10">
        <v>89</v>
      </c>
      <c r="D123" s="10">
        <v>164</v>
      </c>
      <c r="E123" s="10">
        <f t="shared" si="1"/>
        <v>75</v>
      </c>
      <c r="F123" s="10">
        <v>34</v>
      </c>
    </row>
    <row r="124" spans="1:6">
      <c r="A124" s="10" t="s">
        <v>574</v>
      </c>
      <c r="B124" s="10" t="s">
        <v>39</v>
      </c>
      <c r="C124" s="10">
        <v>42</v>
      </c>
      <c r="D124" s="10">
        <v>130</v>
      </c>
      <c r="E124" s="10">
        <f t="shared" si="1"/>
        <v>88</v>
      </c>
      <c r="F124" s="10">
        <v>19</v>
      </c>
    </row>
    <row r="125" spans="1:6">
      <c r="A125" s="10" t="s">
        <v>583</v>
      </c>
      <c r="B125" s="10" t="s">
        <v>39</v>
      </c>
      <c r="C125" s="10">
        <v>68</v>
      </c>
      <c r="D125" s="10">
        <v>148</v>
      </c>
      <c r="E125" s="10">
        <f t="shared" si="1"/>
        <v>80</v>
      </c>
      <c r="F125" s="10">
        <v>30</v>
      </c>
    </row>
    <row r="126" spans="1:6">
      <c r="A126" s="10" t="s">
        <v>589</v>
      </c>
      <c r="B126" s="10" t="s">
        <v>39</v>
      </c>
      <c r="C126" s="10">
        <v>128</v>
      </c>
      <c r="D126" s="10">
        <v>167</v>
      </c>
      <c r="E126" s="10">
        <f t="shared" si="1"/>
        <v>39</v>
      </c>
      <c r="F126" s="10">
        <v>30</v>
      </c>
    </row>
    <row r="127" spans="1:6">
      <c r="A127" s="10" t="s">
        <v>596</v>
      </c>
      <c r="B127" s="10" t="s">
        <v>39</v>
      </c>
      <c r="C127" s="10">
        <v>78</v>
      </c>
      <c r="D127" s="10">
        <v>180</v>
      </c>
      <c r="E127" s="10">
        <f t="shared" si="1"/>
        <v>102</v>
      </c>
      <c r="F127" s="10">
        <v>36</v>
      </c>
    </row>
    <row r="128" spans="1:6">
      <c r="A128" s="10" t="s">
        <v>597</v>
      </c>
      <c r="B128" s="10" t="s">
        <v>39</v>
      </c>
      <c r="C128" s="10">
        <v>103</v>
      </c>
      <c r="D128" s="10">
        <v>195</v>
      </c>
      <c r="E128" s="10">
        <f t="shared" si="1"/>
        <v>92</v>
      </c>
      <c r="F128" s="10">
        <v>22</v>
      </c>
    </row>
    <row r="129" spans="1:6">
      <c r="A129" s="10" t="s">
        <v>600</v>
      </c>
      <c r="B129" s="10" t="s">
        <v>39</v>
      </c>
      <c r="C129" s="10">
        <v>61</v>
      </c>
      <c r="D129" s="10">
        <v>118</v>
      </c>
      <c r="E129" s="10">
        <f t="shared" si="1"/>
        <v>57</v>
      </c>
      <c r="F129" s="10">
        <v>28</v>
      </c>
    </row>
    <row r="130" spans="1:6">
      <c r="A130" s="10" t="s">
        <v>601</v>
      </c>
      <c r="B130" s="10" t="s">
        <v>39</v>
      </c>
      <c r="C130" s="10">
        <v>109</v>
      </c>
      <c r="D130" s="10">
        <v>153</v>
      </c>
      <c r="E130" s="10">
        <f t="shared" ref="E130:E136" si="2">D130-C130</f>
        <v>44</v>
      </c>
      <c r="F130" s="10">
        <v>15</v>
      </c>
    </row>
    <row r="131" spans="1:6">
      <c r="A131" s="10" t="s">
        <v>606</v>
      </c>
      <c r="B131" s="10" t="s">
        <v>39</v>
      </c>
      <c r="C131" s="10">
        <v>48</v>
      </c>
      <c r="D131" s="10">
        <v>166</v>
      </c>
      <c r="E131" s="10">
        <f t="shared" si="2"/>
        <v>118</v>
      </c>
      <c r="F131" s="10">
        <v>27</v>
      </c>
    </row>
    <row r="132" spans="1:6">
      <c r="A132" s="10" t="s">
        <v>607</v>
      </c>
      <c r="B132" s="10" t="s">
        <v>39</v>
      </c>
      <c r="C132" s="10">
        <v>93</v>
      </c>
      <c r="D132" s="10">
        <v>161</v>
      </c>
      <c r="E132" s="10">
        <f t="shared" si="2"/>
        <v>68</v>
      </c>
      <c r="F132" s="10">
        <v>45</v>
      </c>
    </row>
    <row r="133" spans="1:6">
      <c r="A133" s="10" t="s">
        <v>612</v>
      </c>
      <c r="B133" s="10" t="s">
        <v>39</v>
      </c>
      <c r="C133" s="10">
        <v>75</v>
      </c>
      <c r="D133" s="10">
        <v>166</v>
      </c>
      <c r="E133" s="10">
        <f t="shared" si="2"/>
        <v>91</v>
      </c>
      <c r="F133" s="10">
        <v>30</v>
      </c>
    </row>
    <row r="134" spans="1:6">
      <c r="A134" s="10" t="s">
        <v>619</v>
      </c>
      <c r="B134" s="10" t="s">
        <v>39</v>
      </c>
      <c r="C134" s="10">
        <v>84</v>
      </c>
      <c r="D134" s="10">
        <v>178</v>
      </c>
      <c r="E134" s="10">
        <f t="shared" si="2"/>
        <v>94</v>
      </c>
      <c r="F134" s="10">
        <v>34</v>
      </c>
    </row>
    <row r="135" spans="1:6">
      <c r="A135" s="10" t="s">
        <v>624</v>
      </c>
      <c r="B135" s="10" t="s">
        <v>39</v>
      </c>
      <c r="C135" s="10">
        <v>86</v>
      </c>
      <c r="D135" s="10">
        <v>157</v>
      </c>
      <c r="E135" s="10">
        <f t="shared" si="2"/>
        <v>71</v>
      </c>
      <c r="F135" s="10">
        <v>28</v>
      </c>
    </row>
    <row r="136" spans="1:6">
      <c r="A136" s="10" t="s">
        <v>625</v>
      </c>
      <c r="B136" s="10" t="s">
        <v>39</v>
      </c>
      <c r="C136" s="10">
        <v>107</v>
      </c>
      <c r="D136" s="10">
        <v>179</v>
      </c>
      <c r="E136" s="10">
        <f t="shared" si="2"/>
        <v>72</v>
      </c>
      <c r="F136" s="10">
        <v>19</v>
      </c>
    </row>
  </sheetData>
  <mergeCells count="4">
    <mergeCell ref="H7:I7"/>
    <mergeCell ref="H11:I11"/>
    <mergeCell ref="H15:I15"/>
    <mergeCell ref="H19:P19"/>
  </mergeCells>
  <phoneticPr fontId="2"/>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B851-2895-44C9-B024-FD9CBB5C75C2}">
  <dimension ref="A1:AB136"/>
  <sheetViews>
    <sheetView topLeftCell="O1" workbookViewId="0">
      <selection activeCell="P3" sqref="P3"/>
    </sheetView>
  </sheetViews>
  <sheetFormatPr defaultColWidth="12.25" defaultRowHeight="18.75" outlineLevelCol="1"/>
  <cols>
    <col min="1" max="1" width="3.375" style="10" customWidth="1"/>
    <col min="2" max="2" width="12.25" style="10"/>
    <col min="3" max="3" width="13.25" style="10" customWidth="1"/>
    <col min="4" max="4" width="12.125" style="10" hidden="1" customWidth="1" outlineLevel="1"/>
    <col min="5" max="5" width="15.25" style="10" hidden="1" customWidth="1" outlineLevel="1"/>
    <col min="6" max="8" width="12.125" style="10" hidden="1" customWidth="1" outlineLevel="1"/>
    <col min="9" max="9" width="14.625" style="10" hidden="1" customWidth="1" outlineLevel="1"/>
    <col min="10" max="10" width="1.375" style="10" hidden="1" customWidth="1" outlineLevel="1"/>
    <col min="11" max="11" width="4.25" style="82" customWidth="1" collapsed="1"/>
    <col min="12" max="12" width="12.25" style="10"/>
    <col min="13" max="13" width="10.125" style="10" bestFit="1" customWidth="1"/>
    <col min="14" max="16" width="12.25" style="10"/>
    <col min="17" max="17" width="2.5" style="10" customWidth="1"/>
    <col min="18" max="18" width="12.25" style="10"/>
    <col min="19" max="19" width="13.5" style="10" bestFit="1" customWidth="1"/>
    <col min="20" max="24" width="12.25" style="10"/>
    <col min="25" max="25" width="4.25" style="10" customWidth="1"/>
    <col min="26" max="26" width="13.5" style="10" bestFit="1" customWidth="1"/>
    <col min="27" max="16384" width="12.25" style="10"/>
  </cols>
  <sheetData>
    <row r="1" spans="1:28" ht="19.5">
      <c r="A1" s="59"/>
      <c r="B1" s="59"/>
      <c r="L1" s="10" t="s">
        <v>980</v>
      </c>
      <c r="M1" s="10" t="s">
        <v>3</v>
      </c>
      <c r="N1" s="10" t="s">
        <v>8</v>
      </c>
      <c r="O1" s="10" t="s">
        <v>9</v>
      </c>
      <c r="P1" s="62" t="s">
        <v>10</v>
      </c>
      <c r="T1" s="10" t="s">
        <v>981</v>
      </c>
      <c r="U1" s="10" t="s">
        <v>982</v>
      </c>
      <c r="V1" s="10" t="s">
        <v>983</v>
      </c>
      <c r="W1" s="10" t="s">
        <v>984</v>
      </c>
      <c r="X1" s="62" t="s">
        <v>985</v>
      </c>
    </row>
    <row r="2" spans="1:28" ht="19.5">
      <c r="M2" s="10" t="s">
        <v>38</v>
      </c>
      <c r="N2" s="10">
        <v>85</v>
      </c>
      <c r="O2" s="83">
        <v>196.07368642025418</v>
      </c>
      <c r="P2" s="10">
        <f>$C$36 + $C$37 * O2</f>
        <v>19.982824707737386</v>
      </c>
      <c r="U2" s="10">
        <f>'[3]chap7-2_初期状態'!D2</f>
        <v>126</v>
      </c>
      <c r="V2" s="10">
        <f>O2</f>
        <v>196.07368642025418</v>
      </c>
      <c r="W2" s="10">
        <f>'[3]chap7-2_初期状態'!F2</f>
        <v>36</v>
      </c>
      <c r="X2" s="10">
        <f>P2</f>
        <v>19.982824707737386</v>
      </c>
    </row>
    <row r="3" spans="1:28" ht="19.5">
      <c r="B3" s="37" t="s">
        <v>973</v>
      </c>
      <c r="C3" s="78">
        <f>SUMPRODUCT('[3]chap7-2_初期状態'!D:D,'[3]chap7-2_初期状態'!F:F)</f>
        <v>549287</v>
      </c>
      <c r="M3" s="10" t="s">
        <v>40</v>
      </c>
      <c r="N3" s="10">
        <v>86</v>
      </c>
      <c r="O3" s="83">
        <v>196.57349818520254</v>
      </c>
      <c r="P3" s="10">
        <f t="shared" ref="P3:P65" si="0">$C$36 + $C$37 * O3</f>
        <v>19.892905412745158</v>
      </c>
      <c r="R3" s="37" t="s">
        <v>973</v>
      </c>
      <c r="S3" s="84">
        <f>SUMPRODUCT(O:O,P:P)</f>
        <v>534949.87589037605</v>
      </c>
      <c r="U3" s="10">
        <f>'[3]chap7-2_初期状態'!D3</f>
        <v>167</v>
      </c>
      <c r="V3" s="10">
        <f t="shared" ref="V3:V66" si="1">O3</f>
        <v>196.57349818520254</v>
      </c>
      <c r="W3" s="10">
        <f>'[3]chap7-2_初期状態'!F3</f>
        <v>24</v>
      </c>
      <c r="X3" s="10">
        <f t="shared" ref="X3:X66" si="2">P3</f>
        <v>19.892905412745158</v>
      </c>
      <c r="Z3" s="37"/>
      <c r="AA3" s="80" t="s">
        <v>986</v>
      </c>
      <c r="AB3" s="80" t="s">
        <v>987</v>
      </c>
    </row>
    <row r="4" spans="1:28" ht="19.5">
      <c r="B4" s="37" t="s">
        <v>974</v>
      </c>
      <c r="C4" s="78">
        <f>SUMPRODUCT('[3]chap7-2_初期状態'!C:C,'[3]chap7-2_初期状態'!F:F)</f>
        <v>278148</v>
      </c>
      <c r="M4" s="10" t="s">
        <v>51</v>
      </c>
      <c r="N4" s="10">
        <v>84</v>
      </c>
      <c r="O4" s="83">
        <v>195.57369159921834</v>
      </c>
      <c r="P4" s="10">
        <f t="shared" si="0"/>
        <v>20.072776935676551</v>
      </c>
      <c r="R4" s="37" t="s">
        <v>974</v>
      </c>
      <c r="S4" s="84">
        <f>SUMPRODUCT(N:N,P:P)</f>
        <v>207164.55712784405</v>
      </c>
      <c r="U4" s="10">
        <f>'[3]chap7-2_初期状態'!D4</f>
        <v>177</v>
      </c>
      <c r="V4" s="10">
        <f t="shared" si="1"/>
        <v>195.57369159921834</v>
      </c>
      <c r="W4" s="10">
        <f>'[3]chap7-2_初期状態'!F4</f>
        <v>25</v>
      </c>
      <c r="X4" s="10">
        <f t="shared" si="2"/>
        <v>20.072776935676551</v>
      </c>
      <c r="Z4" s="37" t="s">
        <v>988</v>
      </c>
      <c r="AA4" s="37">
        <f>AVERAGE(U:U)</f>
        <v>150.85185185185185</v>
      </c>
      <c r="AB4" s="85">
        <f>AVERAGE(V:V)</f>
        <v>191.49581546152535</v>
      </c>
    </row>
    <row r="5" spans="1:28" ht="19.5">
      <c r="B5" s="37" t="s">
        <v>975</v>
      </c>
      <c r="C5" s="79">
        <f>C3-C4</f>
        <v>271139</v>
      </c>
      <c r="M5" s="10" t="s">
        <v>52</v>
      </c>
      <c r="N5" s="10">
        <v>82</v>
      </c>
      <c r="O5" s="83">
        <v>194.57372483915756</v>
      </c>
      <c r="P5" s="10">
        <f t="shared" si="0"/>
        <v>20.252677274936509</v>
      </c>
      <c r="R5" s="37" t="s">
        <v>975</v>
      </c>
      <c r="S5" s="86">
        <f>S3-S4</f>
        <v>327785.31876253197</v>
      </c>
      <c r="U5" s="10">
        <f>'[3]chap7-2_初期状態'!D5</f>
        <v>112</v>
      </c>
      <c r="V5" s="10">
        <f t="shared" si="1"/>
        <v>194.57372483915756</v>
      </c>
      <c r="W5" s="10">
        <f>'[3]chap7-2_初期状態'!F5</f>
        <v>30</v>
      </c>
      <c r="X5" s="10">
        <f t="shared" si="2"/>
        <v>20.252677274936509</v>
      </c>
      <c r="Z5" s="37" t="s">
        <v>989</v>
      </c>
      <c r="AA5" s="37">
        <f>AVERAGE(W:W)</f>
        <v>28.118518518518517</v>
      </c>
      <c r="AB5" s="85">
        <f>AVERAGE(X:X)</f>
        <v>20.806412622313257</v>
      </c>
    </row>
    <row r="6" spans="1:28" ht="19.5">
      <c r="M6" s="10" t="s">
        <v>59</v>
      </c>
      <c r="N6" s="10">
        <v>109</v>
      </c>
      <c r="O6" s="83">
        <v>208.07351636109289</v>
      </c>
      <c r="P6" s="10">
        <f t="shared" si="0"/>
        <v>17.82397947043421</v>
      </c>
      <c r="U6" s="10">
        <f>'[3]chap7-2_初期状態'!D6</f>
        <v>191</v>
      </c>
      <c r="V6" s="10">
        <f t="shared" si="1"/>
        <v>208.07351636109289</v>
      </c>
      <c r="W6" s="10">
        <f>'[3]chap7-2_初期状態'!F6</f>
        <v>24</v>
      </c>
      <c r="X6" s="10">
        <f t="shared" si="2"/>
        <v>17.82397947043421</v>
      </c>
      <c r="Z6" s="87"/>
      <c r="AA6" s="88"/>
      <c r="AB6" s="88"/>
    </row>
    <row r="7" spans="1:28" ht="19.5">
      <c r="B7" s="98" t="s">
        <v>976</v>
      </c>
      <c r="C7" s="98"/>
      <c r="M7" s="10" t="s">
        <v>60</v>
      </c>
      <c r="N7" s="10">
        <v>48</v>
      </c>
      <c r="O7" s="83">
        <v>177.57370642684543</v>
      </c>
      <c r="P7" s="10">
        <f t="shared" si="0"/>
        <v>23.311088016124167</v>
      </c>
      <c r="R7" s="98" t="s">
        <v>976</v>
      </c>
      <c r="S7" s="98"/>
      <c r="U7" s="10">
        <f>'[3]chap7-2_初期状態'!D7</f>
        <v>127</v>
      </c>
      <c r="V7" s="10">
        <f t="shared" si="1"/>
        <v>177.57370642684543</v>
      </c>
      <c r="W7" s="10">
        <f>'[3]chap7-2_初期状態'!F7</f>
        <v>36</v>
      </c>
      <c r="X7" s="10">
        <f t="shared" si="2"/>
        <v>23.311088016124167</v>
      </c>
      <c r="Z7" s="88"/>
      <c r="AA7" s="88"/>
      <c r="AB7" s="88"/>
    </row>
    <row r="8" spans="1:28" ht="19.5">
      <c r="B8" s="37" t="s">
        <v>977</v>
      </c>
      <c r="C8" s="37">
        <f>MIN('[3]chap7-2_初期状態'!D:D)</f>
        <v>72</v>
      </c>
      <c r="M8" s="10" t="s">
        <v>65</v>
      </c>
      <c r="N8" s="10">
        <v>93</v>
      </c>
      <c r="O8" s="83">
        <v>200.07357634250823</v>
      </c>
      <c r="P8" s="10">
        <f t="shared" si="0"/>
        <v>19.26321923407918</v>
      </c>
      <c r="R8" s="37" t="s">
        <v>977</v>
      </c>
      <c r="S8" s="37">
        <f>MIN(O:O)</f>
        <v>165.07354987581229</v>
      </c>
      <c r="U8" s="10">
        <f>'[3]chap7-2_初期状態'!D8</f>
        <v>176</v>
      </c>
      <c r="V8" s="10">
        <f t="shared" si="1"/>
        <v>200.07357634250823</v>
      </c>
      <c r="W8" s="10">
        <f>'[3]chap7-2_初期状態'!F8</f>
        <v>19</v>
      </c>
      <c r="X8" s="10">
        <f t="shared" si="2"/>
        <v>19.26321923407918</v>
      </c>
      <c r="Z8" s="88"/>
      <c r="AA8" s="88"/>
      <c r="AB8" s="88"/>
    </row>
    <row r="9" spans="1:28" ht="19.5">
      <c r="B9" s="37" t="s">
        <v>978</v>
      </c>
      <c r="C9" s="37">
        <f>MAX('[3]chap7-2_初期状態'!D:D)</f>
        <v>226</v>
      </c>
      <c r="M9" s="10" t="s">
        <v>68</v>
      </c>
      <c r="N9" s="10">
        <v>95</v>
      </c>
      <c r="O9" s="83">
        <v>201.07372615865651</v>
      </c>
      <c r="P9" s="10">
        <f t="shared" si="0"/>
        <v>19.083285961872292</v>
      </c>
      <c r="R9" s="37" t="s">
        <v>978</v>
      </c>
      <c r="S9" s="37">
        <f>MAX(O:O)</f>
        <v>217.57376119093826</v>
      </c>
      <c r="U9" s="10">
        <f>'[3]chap7-2_初期状態'!D9</f>
        <v>192</v>
      </c>
      <c r="V9" s="10">
        <f t="shared" si="1"/>
        <v>201.07372615865651</v>
      </c>
      <c r="W9" s="10">
        <f>'[3]chap7-2_初期状態'!F9</f>
        <v>27</v>
      </c>
      <c r="X9" s="10">
        <f t="shared" si="2"/>
        <v>19.083285961872292</v>
      </c>
    </row>
    <row r="10" spans="1:28" ht="19.5">
      <c r="M10" s="10" t="s">
        <v>72</v>
      </c>
      <c r="N10" s="10">
        <v>42</v>
      </c>
      <c r="O10" s="83">
        <v>174.5734400344881</v>
      </c>
      <c r="P10" s="10">
        <f t="shared" si="0"/>
        <v>23.850854899797913</v>
      </c>
      <c r="U10" s="10">
        <f>'[3]chap7-2_初期状態'!D10</f>
        <v>103</v>
      </c>
      <c r="V10" s="10">
        <f t="shared" si="1"/>
        <v>174.5734400344881</v>
      </c>
      <c r="W10" s="10">
        <f>'[3]chap7-2_初期状態'!F10</f>
        <v>42</v>
      </c>
      <c r="X10" s="10">
        <f t="shared" si="2"/>
        <v>23.850854899797913</v>
      </c>
    </row>
    <row r="11" spans="1:28" ht="19.5">
      <c r="B11" s="98" t="s">
        <v>979</v>
      </c>
      <c r="C11" s="98"/>
      <c r="M11" s="10" t="s">
        <v>76</v>
      </c>
      <c r="N11" s="10">
        <v>79</v>
      </c>
      <c r="O11" s="83">
        <v>193.07378614007186</v>
      </c>
      <c r="P11" s="10">
        <f t="shared" si="0"/>
        <v>20.522525725517262</v>
      </c>
      <c r="U11" s="10">
        <f>'[3]chap7-2_初期状態'!D11</f>
        <v>168</v>
      </c>
      <c r="V11" s="10">
        <f t="shared" si="1"/>
        <v>193.07378614007186</v>
      </c>
      <c r="W11" s="10">
        <f>'[3]chap7-2_初期状態'!F11</f>
        <v>33</v>
      </c>
      <c r="X11" s="10">
        <f t="shared" si="2"/>
        <v>20.522525725517262</v>
      </c>
    </row>
    <row r="12" spans="1:28" ht="19.5">
      <c r="B12" s="37" t="s">
        <v>977</v>
      </c>
      <c r="C12" s="37">
        <f>MIN('[3]chap7-2_初期状態'!C:C)</f>
        <v>23</v>
      </c>
      <c r="M12" s="10" t="s">
        <v>79</v>
      </c>
      <c r="N12" s="10">
        <v>72</v>
      </c>
      <c r="O12" s="83">
        <v>189.57370798276617</v>
      </c>
      <c r="P12" s="10">
        <f t="shared" si="0"/>
        <v>21.15221190418324</v>
      </c>
      <c r="U12" s="10">
        <f>'[3]chap7-2_初期状態'!D12</f>
        <v>177</v>
      </c>
      <c r="V12" s="10">
        <f t="shared" si="1"/>
        <v>189.57370798276617</v>
      </c>
      <c r="W12" s="10">
        <f>'[3]chap7-2_初期状態'!F12</f>
        <v>24</v>
      </c>
      <c r="X12" s="10">
        <f t="shared" si="2"/>
        <v>21.15221190418324</v>
      </c>
    </row>
    <row r="13" spans="1:28" ht="19.5">
      <c r="B13" s="37" t="s">
        <v>978</v>
      </c>
      <c r="C13" s="37">
        <f>MAX('[3]chap7-2_初期状態'!C:C)</f>
        <v>128</v>
      </c>
      <c r="M13" s="10" t="s">
        <v>80</v>
      </c>
      <c r="N13" s="10">
        <v>86</v>
      </c>
      <c r="O13" s="83">
        <v>196.57349818520254</v>
      </c>
      <c r="P13" s="10">
        <f t="shared" si="0"/>
        <v>19.892905412745158</v>
      </c>
      <c r="U13" s="10">
        <f>'[3]chap7-2_初期状態'!D13</f>
        <v>177</v>
      </c>
      <c r="V13" s="10">
        <f t="shared" si="1"/>
        <v>196.57349818520254</v>
      </c>
      <c r="W13" s="10">
        <f>'[3]chap7-2_初期状態'!F13</f>
        <v>31</v>
      </c>
      <c r="X13" s="10">
        <f t="shared" si="2"/>
        <v>19.892905412745158</v>
      </c>
    </row>
    <row r="14" spans="1:28" ht="19.5">
      <c r="M14" s="10" t="s">
        <v>85</v>
      </c>
      <c r="N14" s="10">
        <v>119</v>
      </c>
      <c r="O14" s="83">
        <v>213.07353321748425</v>
      </c>
      <c r="P14" s="10">
        <f t="shared" si="0"/>
        <v>16.924444841187487</v>
      </c>
      <c r="U14" s="10">
        <f>'[3]chap7-2_初期状態'!D14</f>
        <v>198</v>
      </c>
      <c r="V14" s="10">
        <f t="shared" si="1"/>
        <v>213.07353321748425</v>
      </c>
      <c r="W14" s="10">
        <f>'[3]chap7-2_初期状態'!F14</f>
        <v>21</v>
      </c>
      <c r="X14" s="10">
        <f t="shared" si="2"/>
        <v>16.924444841187487</v>
      </c>
    </row>
    <row r="15" spans="1:28" ht="19.5">
      <c r="B15" s="99" t="s">
        <v>972</v>
      </c>
      <c r="C15" s="99"/>
      <c r="M15" s="10" t="s">
        <v>92</v>
      </c>
      <c r="N15" s="10">
        <v>48</v>
      </c>
      <c r="O15" s="83">
        <v>177.57370642684543</v>
      </c>
      <c r="P15" s="10">
        <f t="shared" si="0"/>
        <v>23.311088016124167</v>
      </c>
      <c r="U15" s="10">
        <f>'[3]chap7-2_初期状態'!D15</f>
        <v>134</v>
      </c>
      <c r="V15" s="10">
        <f t="shared" si="1"/>
        <v>177.57370642684543</v>
      </c>
      <c r="W15" s="10">
        <f>'[3]chap7-2_初期状態'!F15</f>
        <v>26</v>
      </c>
      <c r="X15" s="10">
        <f t="shared" si="2"/>
        <v>23.311088016124167</v>
      </c>
    </row>
    <row r="16" spans="1:28" ht="19.5">
      <c r="B16" s="37" t="s">
        <v>977</v>
      </c>
      <c r="C16" s="37">
        <f>MIN('[3]chap7-2_初期状態'!E:E)</f>
        <v>12</v>
      </c>
      <c r="M16" s="10" t="s">
        <v>93</v>
      </c>
      <c r="N16" s="10">
        <v>63</v>
      </c>
      <c r="O16" s="83">
        <v>185.07383468048175</v>
      </c>
      <c r="P16" s="10">
        <f t="shared" si="0"/>
        <v>21.961767547471418</v>
      </c>
      <c r="U16" s="10">
        <f>'[3]chap7-2_初期状態'!D16</f>
        <v>154</v>
      </c>
      <c r="V16" s="10">
        <f t="shared" si="1"/>
        <v>185.07383468048175</v>
      </c>
      <c r="W16" s="10">
        <f>'[3]chap7-2_初期状態'!F16</f>
        <v>37</v>
      </c>
      <c r="X16" s="10">
        <f t="shared" si="2"/>
        <v>21.961767547471418</v>
      </c>
    </row>
    <row r="17" spans="2:24" ht="19.5">
      <c r="B17" s="37" t="s">
        <v>978</v>
      </c>
      <c r="C17" s="37">
        <f>MAX('[3]chap7-2_初期状態'!E:E)</f>
        <v>128</v>
      </c>
      <c r="M17" s="10" t="s">
        <v>95</v>
      </c>
      <c r="N17" s="10">
        <v>60</v>
      </c>
      <c r="O17" s="83">
        <v>183.57352986922103</v>
      </c>
      <c r="P17" s="10">
        <f t="shared" si="0"/>
        <v>22.231681863946044</v>
      </c>
      <c r="U17" s="10">
        <f>'[3]chap7-2_初期状態'!D17</f>
        <v>104</v>
      </c>
      <c r="V17" s="10">
        <f t="shared" si="1"/>
        <v>183.57352986922103</v>
      </c>
      <c r="W17" s="10">
        <f>'[3]chap7-2_初期状態'!F17</f>
        <v>46</v>
      </c>
      <c r="X17" s="10">
        <f t="shared" si="2"/>
        <v>22.231681863946044</v>
      </c>
    </row>
    <row r="18" spans="2:24" ht="20.25" thickBot="1">
      <c r="M18" s="10" t="s">
        <v>96</v>
      </c>
      <c r="N18" s="10">
        <v>60</v>
      </c>
      <c r="O18" s="83">
        <v>183.57352986922103</v>
      </c>
      <c r="P18" s="10">
        <f t="shared" si="0"/>
        <v>22.231681863946044</v>
      </c>
      <c r="U18" s="10">
        <f>'[3]chap7-2_初期状態'!D18</f>
        <v>178</v>
      </c>
      <c r="V18" s="10">
        <f t="shared" si="1"/>
        <v>183.57352986922103</v>
      </c>
      <c r="W18" s="10">
        <f>'[3]chap7-2_初期状態'!F18</f>
        <v>20</v>
      </c>
      <c r="X18" s="10">
        <f t="shared" si="2"/>
        <v>22.231681863946044</v>
      </c>
    </row>
    <row r="19" spans="2:24" ht="19.5">
      <c r="B19" s="100" t="s">
        <v>967</v>
      </c>
      <c r="C19" s="101"/>
      <c r="D19" s="89"/>
      <c r="E19" s="89"/>
      <c r="F19" s="89"/>
      <c r="G19" s="89"/>
      <c r="H19" s="89"/>
      <c r="I19" s="89"/>
      <c r="J19" s="90"/>
      <c r="M19" s="10" t="s">
        <v>102</v>
      </c>
      <c r="N19" s="10">
        <v>51</v>
      </c>
      <c r="O19" s="83">
        <v>179.07366800794208</v>
      </c>
      <c r="P19" s="10">
        <f t="shared" si="0"/>
        <v>23.041235448925043</v>
      </c>
      <c r="U19" s="10">
        <f>'[3]chap7-2_初期状態'!D19</f>
        <v>142</v>
      </c>
      <c r="V19" s="10">
        <f t="shared" si="1"/>
        <v>179.07366800794208</v>
      </c>
      <c r="W19" s="10">
        <f>'[3]chap7-2_初期状態'!F19</f>
        <v>11</v>
      </c>
      <c r="X19" s="10">
        <f t="shared" si="2"/>
        <v>23.041235448925043</v>
      </c>
    </row>
    <row r="20" spans="2:24" ht="19.5">
      <c r="B20" s="64" t="s">
        <v>922</v>
      </c>
      <c r="C20" s="65"/>
      <c r="J20" s="65"/>
      <c r="M20" s="10" t="s">
        <v>103</v>
      </c>
      <c r="N20" s="10">
        <v>79</v>
      </c>
      <c r="O20" s="83">
        <v>193.07378614007186</v>
      </c>
      <c r="P20" s="10">
        <f t="shared" si="0"/>
        <v>20.522525725517262</v>
      </c>
      <c r="U20" s="10">
        <f>'[3]chap7-2_初期状態'!D20</f>
        <v>156</v>
      </c>
      <c r="V20" s="10">
        <f t="shared" si="1"/>
        <v>193.07378614007186</v>
      </c>
      <c r="W20" s="10">
        <f>'[3]chap7-2_初期状態'!F20</f>
        <v>33</v>
      </c>
      <c r="X20" s="10">
        <f t="shared" si="2"/>
        <v>20.522525725517262</v>
      </c>
    </row>
    <row r="21" spans="2:24" ht="20.25" thickBot="1">
      <c r="B21" s="64"/>
      <c r="C21" s="65"/>
      <c r="J21" s="65"/>
      <c r="M21" s="10" t="s">
        <v>105</v>
      </c>
      <c r="N21" s="10">
        <v>47</v>
      </c>
      <c r="O21" s="83">
        <v>177.07355143173302</v>
      </c>
      <c r="P21" s="10">
        <f t="shared" si="0"/>
        <v>23.401069060391894</v>
      </c>
      <c r="U21" s="10">
        <f>'[3]chap7-2_初期状態'!D21</f>
        <v>116</v>
      </c>
      <c r="V21" s="10">
        <f t="shared" si="1"/>
        <v>177.07355143173302</v>
      </c>
      <c r="W21" s="10">
        <f>'[3]chap7-2_初期状態'!F21</f>
        <v>42</v>
      </c>
      <c r="X21" s="10">
        <f t="shared" si="2"/>
        <v>23.401069060391894</v>
      </c>
    </row>
    <row r="22" spans="2:24" ht="19.5">
      <c r="B22" s="66" t="s">
        <v>923</v>
      </c>
      <c r="C22" s="91"/>
      <c r="J22" s="65"/>
      <c r="M22" s="10" t="s">
        <v>109</v>
      </c>
      <c r="N22" s="10">
        <v>106</v>
      </c>
      <c r="O22" s="83">
        <v>206.57355477999624</v>
      </c>
      <c r="P22" s="10">
        <f t="shared" si="0"/>
        <v>18.093832037633334</v>
      </c>
      <c r="U22" s="10">
        <f>'[3]chap7-2_初期状態'!D22</f>
        <v>182</v>
      </c>
      <c r="V22" s="10">
        <f t="shared" si="1"/>
        <v>206.57355477999624</v>
      </c>
      <c r="W22" s="10">
        <f>'[3]chap7-2_初期状態'!F22</f>
        <v>30</v>
      </c>
      <c r="X22" s="10">
        <f t="shared" si="2"/>
        <v>18.093832037633334</v>
      </c>
    </row>
    <row r="23" spans="2:24" ht="19.5">
      <c r="B23" s="64" t="s">
        <v>924</v>
      </c>
      <c r="C23" s="65">
        <v>0.60455461101087593</v>
      </c>
      <c r="J23" s="65"/>
      <c r="M23" s="10" t="s">
        <v>119</v>
      </c>
      <c r="N23" s="10">
        <v>58</v>
      </c>
      <c r="O23" s="83">
        <v>182.57338005307275</v>
      </c>
      <c r="P23" s="10">
        <f t="shared" si="0"/>
        <v>22.411615136152939</v>
      </c>
      <c r="U23" s="10">
        <f>'[3]chap7-2_初期状態'!D23</f>
        <v>109</v>
      </c>
      <c r="V23" s="10">
        <f t="shared" si="1"/>
        <v>182.57338005307275</v>
      </c>
      <c r="W23" s="10">
        <f>'[3]chap7-2_初期状態'!F23</f>
        <v>39</v>
      </c>
      <c r="X23" s="10">
        <f t="shared" si="2"/>
        <v>22.411615136152939</v>
      </c>
    </row>
    <row r="24" spans="2:24" ht="19.5">
      <c r="B24" s="64" t="s">
        <v>925</v>
      </c>
      <c r="C24" s="65">
        <v>0.36548627769451153</v>
      </c>
      <c r="J24" s="65"/>
      <c r="M24" s="10" t="s">
        <v>123</v>
      </c>
      <c r="N24" s="10">
        <v>88</v>
      </c>
      <c r="O24" s="83">
        <v>197.57364800135082</v>
      </c>
      <c r="P24" s="10">
        <f t="shared" si="0"/>
        <v>19.712972140538263</v>
      </c>
      <c r="U24" s="10">
        <f>'[3]chap7-2_初期状態'!D24</f>
        <v>164</v>
      </c>
      <c r="V24" s="10">
        <f t="shared" si="1"/>
        <v>197.57364800135082</v>
      </c>
      <c r="W24" s="10">
        <f>'[3]chap7-2_初期状態'!F24</f>
        <v>15</v>
      </c>
      <c r="X24" s="10">
        <f t="shared" si="2"/>
        <v>19.712972140538263</v>
      </c>
    </row>
    <row r="25" spans="2:24" ht="19.5">
      <c r="B25" s="64" t="s">
        <v>926</v>
      </c>
      <c r="C25" s="65">
        <v>0.36071549782755297</v>
      </c>
      <c r="J25" s="65"/>
      <c r="M25" s="10" t="s">
        <v>126</v>
      </c>
      <c r="N25" s="10">
        <v>51</v>
      </c>
      <c r="O25" s="83">
        <v>179.07366800794208</v>
      </c>
      <c r="P25" s="10">
        <f t="shared" si="0"/>
        <v>23.041235448925043</v>
      </c>
      <c r="U25" s="10">
        <f>'[3]chap7-2_初期状態'!D25</f>
        <v>130</v>
      </c>
      <c r="V25" s="10">
        <f t="shared" si="1"/>
        <v>179.07366800794208</v>
      </c>
      <c r="W25" s="10">
        <f>'[3]chap7-2_初期状態'!F25</f>
        <v>33</v>
      </c>
      <c r="X25" s="10">
        <f t="shared" si="2"/>
        <v>23.041235448925043</v>
      </c>
    </row>
    <row r="26" spans="2:24" ht="19.5">
      <c r="B26" s="64" t="s">
        <v>718</v>
      </c>
      <c r="C26" s="65">
        <v>7.4044781705822782</v>
      </c>
      <c r="J26" s="65"/>
      <c r="M26" s="10" t="s">
        <v>128</v>
      </c>
      <c r="N26" s="10">
        <v>36</v>
      </c>
      <c r="O26" s="83">
        <v>171.5735283133003</v>
      </c>
      <c r="P26" s="10">
        <f t="shared" si="0"/>
        <v>24.390557975886974</v>
      </c>
      <c r="U26" s="10">
        <f>'[3]chap7-2_初期状態'!D26</f>
        <v>115</v>
      </c>
      <c r="V26" s="10">
        <f t="shared" si="1"/>
        <v>171.5735283133003</v>
      </c>
      <c r="W26" s="10">
        <f>'[3]chap7-2_初期状態'!F26</f>
        <v>25</v>
      </c>
      <c r="X26" s="10">
        <f t="shared" si="2"/>
        <v>24.390557975886974</v>
      </c>
    </row>
    <row r="27" spans="2:24" ht="20.25" thickBot="1">
      <c r="B27" s="67" t="s">
        <v>868</v>
      </c>
      <c r="C27" s="73">
        <v>135</v>
      </c>
      <c r="J27" s="65"/>
      <c r="M27" s="10" t="s">
        <v>129</v>
      </c>
      <c r="N27" s="10">
        <v>72</v>
      </c>
      <c r="O27" s="83">
        <v>189.57370798276617</v>
      </c>
      <c r="P27" s="10">
        <f t="shared" si="0"/>
        <v>21.15221190418324</v>
      </c>
      <c r="U27" s="10">
        <f>'[3]chap7-2_初期状態'!D27</f>
        <v>136</v>
      </c>
      <c r="V27" s="10">
        <f t="shared" si="1"/>
        <v>189.57370798276617</v>
      </c>
      <c r="W27" s="10">
        <f>'[3]chap7-2_初期状態'!F27</f>
        <v>23</v>
      </c>
      <c r="X27" s="10">
        <f t="shared" si="2"/>
        <v>21.15221190418324</v>
      </c>
    </row>
    <row r="28" spans="2:24" ht="19.5">
      <c r="B28" s="64"/>
      <c r="C28" s="65"/>
      <c r="J28" s="65"/>
      <c r="M28" s="10" t="s">
        <v>137</v>
      </c>
      <c r="N28" s="10">
        <v>60</v>
      </c>
      <c r="O28" s="83">
        <v>183.57352986922103</v>
      </c>
      <c r="P28" s="10">
        <f t="shared" si="0"/>
        <v>22.231681863946044</v>
      </c>
      <c r="U28" s="10">
        <f>'[3]chap7-2_初期状態'!D28</f>
        <v>102</v>
      </c>
      <c r="V28" s="10">
        <f t="shared" si="1"/>
        <v>183.57352986922103</v>
      </c>
      <c r="W28" s="10">
        <f>'[3]chap7-2_初期状態'!F28</f>
        <v>36</v>
      </c>
      <c r="X28" s="10">
        <f t="shared" si="2"/>
        <v>22.231681863946044</v>
      </c>
    </row>
    <row r="29" spans="2:24" ht="20.25" thickBot="1">
      <c r="B29" s="64" t="s">
        <v>927</v>
      </c>
      <c r="C29" s="65"/>
      <c r="J29" s="65"/>
      <c r="M29" s="10" t="s">
        <v>138</v>
      </c>
      <c r="N29" s="10">
        <v>90</v>
      </c>
      <c r="O29" s="83">
        <v>198.57361476141159</v>
      </c>
      <c r="P29" s="10">
        <f t="shared" si="0"/>
        <v>19.533071801278304</v>
      </c>
      <c r="U29" s="10">
        <f>'[3]chap7-2_初期状態'!D29</f>
        <v>142</v>
      </c>
      <c r="V29" s="10">
        <f t="shared" si="1"/>
        <v>198.57361476141159</v>
      </c>
      <c r="W29" s="10">
        <f>'[3]chap7-2_初期状態'!F29</f>
        <v>32</v>
      </c>
      <c r="X29" s="10">
        <f t="shared" si="2"/>
        <v>19.533071801278304</v>
      </c>
    </row>
    <row r="30" spans="2:24" ht="19.5">
      <c r="B30" s="68"/>
      <c r="C30" s="70" t="s">
        <v>870</v>
      </c>
      <c r="D30" s="69" t="s">
        <v>931</v>
      </c>
      <c r="E30" s="69" t="s">
        <v>722</v>
      </c>
      <c r="F30" s="69" t="s">
        <v>932</v>
      </c>
      <c r="G30" s="69" t="s">
        <v>933</v>
      </c>
      <c r="J30" s="65"/>
      <c r="M30" s="10" t="s">
        <v>141</v>
      </c>
      <c r="N30" s="10">
        <v>78</v>
      </c>
      <c r="O30" s="83">
        <v>192.57360826294848</v>
      </c>
      <c r="P30" s="10">
        <f t="shared" si="0"/>
        <v>20.612510886403363</v>
      </c>
      <c r="U30" s="10">
        <f>'[3]chap7-2_初期状態'!D30</f>
        <v>141</v>
      </c>
      <c r="V30" s="10">
        <f t="shared" si="1"/>
        <v>192.57360826294848</v>
      </c>
      <c r="W30" s="10">
        <f>'[3]chap7-2_初期状態'!F30</f>
        <v>12</v>
      </c>
      <c r="X30" s="10">
        <f t="shared" si="2"/>
        <v>20.612510886403363</v>
      </c>
    </row>
    <row r="31" spans="2:24" ht="19.5">
      <c r="B31" s="64" t="s">
        <v>928</v>
      </c>
      <c r="C31" s="65">
        <v>1</v>
      </c>
      <c r="D31" s="10">
        <v>4200.2062055459728</v>
      </c>
      <c r="E31" s="10">
        <v>4200.2062055459728</v>
      </c>
      <c r="F31" s="10">
        <v>76.609335975821125</v>
      </c>
      <c r="G31" s="10">
        <v>8.216210987911875E-15</v>
      </c>
      <c r="J31" s="65"/>
      <c r="M31" s="10" t="s">
        <v>143</v>
      </c>
      <c r="N31" s="10">
        <v>90</v>
      </c>
      <c r="O31" s="83">
        <v>198.57361476141159</v>
      </c>
      <c r="P31" s="10">
        <f t="shared" si="0"/>
        <v>19.533071801278304</v>
      </c>
      <c r="U31" s="10">
        <f>'[3]chap7-2_初期状態'!D31</f>
        <v>164</v>
      </c>
      <c r="V31" s="10">
        <f t="shared" si="1"/>
        <v>198.57361476141159</v>
      </c>
      <c r="W31" s="10">
        <f>'[3]chap7-2_初期状態'!F31</f>
        <v>32</v>
      </c>
      <c r="X31" s="10">
        <f t="shared" si="2"/>
        <v>19.533071801278304</v>
      </c>
    </row>
    <row r="32" spans="2:24" ht="19.5">
      <c r="B32" s="64" t="s">
        <v>929</v>
      </c>
      <c r="C32" s="65">
        <v>133</v>
      </c>
      <c r="D32" s="10">
        <v>7291.8974981577221</v>
      </c>
      <c r="E32" s="10">
        <v>54.826296978629486</v>
      </c>
      <c r="J32" s="65"/>
      <c r="M32" s="10" t="s">
        <v>144</v>
      </c>
      <c r="N32" s="10">
        <v>105</v>
      </c>
      <c r="O32" s="83">
        <v>206.07374301504791</v>
      </c>
      <c r="P32" s="10">
        <f t="shared" si="0"/>
        <v>18.183751332625562</v>
      </c>
      <c r="U32" s="10">
        <f>'[3]chap7-2_初期状態'!D32</f>
        <v>179</v>
      </c>
      <c r="V32" s="10">
        <f t="shared" si="1"/>
        <v>206.07374301504791</v>
      </c>
      <c r="W32" s="10">
        <f>'[3]chap7-2_初期状態'!F32</f>
        <v>23</v>
      </c>
      <c r="X32" s="10">
        <f t="shared" si="2"/>
        <v>18.183751332625562</v>
      </c>
    </row>
    <row r="33" spans="2:24" ht="20.25" thickBot="1">
      <c r="B33" s="67" t="s">
        <v>728</v>
      </c>
      <c r="C33" s="73">
        <v>134</v>
      </c>
      <c r="D33" s="58">
        <v>11492.103703703695</v>
      </c>
      <c r="E33" s="58"/>
      <c r="F33" s="58"/>
      <c r="G33" s="58"/>
      <c r="J33" s="65"/>
      <c r="M33" s="10" t="s">
        <v>153</v>
      </c>
      <c r="N33" s="10">
        <v>61</v>
      </c>
      <c r="O33" s="83">
        <v>184.07368486433347</v>
      </c>
      <c r="P33" s="10">
        <f t="shared" si="0"/>
        <v>22.141700819678313</v>
      </c>
      <c r="U33" s="10">
        <f>'[3]chap7-2_初期状態'!D33</f>
        <v>130</v>
      </c>
      <c r="V33" s="10">
        <f t="shared" si="1"/>
        <v>184.07368486433347</v>
      </c>
      <c r="W33" s="10">
        <f>'[3]chap7-2_初期状態'!F33</f>
        <v>36</v>
      </c>
      <c r="X33" s="10">
        <f t="shared" si="2"/>
        <v>22.141700819678313</v>
      </c>
    </row>
    <row r="34" spans="2:24" ht="20.25" thickBot="1">
      <c r="B34" s="64"/>
      <c r="C34" s="65"/>
      <c r="J34" s="65"/>
      <c r="K34" s="92"/>
      <c r="M34" s="10" t="s">
        <v>157</v>
      </c>
      <c r="N34" s="10">
        <v>68</v>
      </c>
      <c r="O34" s="83">
        <v>187.57376302163917</v>
      </c>
      <c r="P34" s="10">
        <f t="shared" si="0"/>
        <v>21.512014641012335</v>
      </c>
      <c r="U34" s="10">
        <f>'[3]chap7-2_初期状態'!D34</f>
        <v>140</v>
      </c>
      <c r="V34" s="10">
        <f t="shared" si="1"/>
        <v>187.57376302163917</v>
      </c>
      <c r="W34" s="10">
        <f>'[3]chap7-2_初期状態'!F34</f>
        <v>41</v>
      </c>
      <c r="X34" s="10">
        <f t="shared" si="2"/>
        <v>21.512014641012335</v>
      </c>
    </row>
    <row r="35" spans="2:24" ht="19.5">
      <c r="B35" s="68"/>
      <c r="C35" s="70" t="s">
        <v>934</v>
      </c>
      <c r="D35" s="69" t="s">
        <v>718</v>
      </c>
      <c r="E35" s="69" t="s">
        <v>871</v>
      </c>
      <c r="F35" s="69" t="s">
        <v>935</v>
      </c>
      <c r="G35" s="69" t="s">
        <v>936</v>
      </c>
      <c r="H35" s="69" t="s">
        <v>937</v>
      </c>
      <c r="I35" s="69" t="s">
        <v>938</v>
      </c>
      <c r="J35" s="70" t="s">
        <v>939</v>
      </c>
      <c r="M35" s="10" t="s">
        <v>158</v>
      </c>
      <c r="N35" s="10">
        <v>107</v>
      </c>
      <c r="O35" s="83">
        <v>207.07354960103211</v>
      </c>
      <c r="P35" s="10">
        <f t="shared" si="0"/>
        <v>18.003879809694169</v>
      </c>
      <c r="U35" s="10">
        <f>'[3]chap7-2_初期状態'!D35</f>
        <v>177</v>
      </c>
      <c r="V35" s="10">
        <f t="shared" si="1"/>
        <v>207.07354960103211</v>
      </c>
      <c r="W35" s="10">
        <f>'[3]chap7-2_初期状態'!F35</f>
        <v>20</v>
      </c>
      <c r="X35" s="10">
        <f t="shared" si="2"/>
        <v>18.003879809694169</v>
      </c>
    </row>
    <row r="36" spans="2:24" ht="19.5">
      <c r="B36" s="64" t="s">
        <v>930</v>
      </c>
      <c r="C36" s="93">
        <v>55.257719950065905</v>
      </c>
      <c r="D36" s="10">
        <v>3.1654864944365868</v>
      </c>
      <c r="E36" s="10">
        <v>17.456312022554062</v>
      </c>
      <c r="F36" s="10">
        <v>3.2571620159360333E-36</v>
      </c>
      <c r="G36" s="10">
        <v>48.996510281824257</v>
      </c>
      <c r="H36" s="10">
        <v>61.518929618307553</v>
      </c>
      <c r="I36" s="10">
        <v>48.996510281824257</v>
      </c>
      <c r="J36" s="65">
        <v>61.518929618307553</v>
      </c>
      <c r="M36" s="10" t="s">
        <v>162</v>
      </c>
      <c r="N36" s="10">
        <v>109</v>
      </c>
      <c r="O36" s="83">
        <v>208.07351636109289</v>
      </c>
      <c r="P36" s="10">
        <f t="shared" si="0"/>
        <v>17.82397947043421</v>
      </c>
      <c r="U36" s="10">
        <f>'[3]chap7-2_初期状態'!D36</f>
        <v>176</v>
      </c>
      <c r="V36" s="10">
        <f t="shared" si="1"/>
        <v>208.07351636109289</v>
      </c>
      <c r="W36" s="10">
        <f>'[3]chap7-2_初期状態'!F36</f>
        <v>24</v>
      </c>
      <c r="X36" s="10">
        <f t="shared" si="2"/>
        <v>17.82397947043421</v>
      </c>
    </row>
    <row r="37" spans="2:24" ht="20.25" thickBot="1">
      <c r="B37" s="67" t="s">
        <v>9</v>
      </c>
      <c r="C37" s="94">
        <v>-0.17990631933507964</v>
      </c>
      <c r="D37" s="58">
        <v>2.0554436234891452E-2</v>
      </c>
      <c r="E37" s="58">
        <v>-8.7526759322975778</v>
      </c>
      <c r="F37" s="58">
        <v>8.21621098791158E-15</v>
      </c>
      <c r="G37" s="58">
        <v>-0.22056219801450042</v>
      </c>
      <c r="H37" s="58">
        <v>-0.13925044065565886</v>
      </c>
      <c r="I37" s="58">
        <v>-0.22056219801450042</v>
      </c>
      <c r="J37" s="73">
        <v>-0.13925044065565886</v>
      </c>
      <c r="M37" s="10" t="s">
        <v>170</v>
      </c>
      <c r="N37" s="10">
        <v>92</v>
      </c>
      <c r="O37" s="83">
        <v>199.57376457755987</v>
      </c>
      <c r="P37" s="10">
        <f t="shared" si="0"/>
        <v>19.353138529071416</v>
      </c>
      <c r="U37" s="10">
        <f>'[3]chap7-2_初期状態'!D37</f>
        <v>152</v>
      </c>
      <c r="V37" s="10">
        <f t="shared" si="1"/>
        <v>199.57376457755987</v>
      </c>
      <c r="W37" s="10">
        <f>'[3]chap7-2_初期状態'!F37</f>
        <v>43</v>
      </c>
      <c r="X37" s="10">
        <f t="shared" si="2"/>
        <v>19.353138529071416</v>
      </c>
    </row>
    <row r="38" spans="2:24" ht="19.5">
      <c r="E38" s="81"/>
      <c r="F38" s="81"/>
      <c r="M38" s="10" t="s">
        <v>175</v>
      </c>
      <c r="N38" s="10">
        <v>60</v>
      </c>
      <c r="O38" s="83">
        <v>183.57352986922103</v>
      </c>
      <c r="P38" s="10">
        <f t="shared" si="0"/>
        <v>22.231681863946044</v>
      </c>
      <c r="U38" s="10">
        <f>'[3]chap7-2_初期状態'!D38</f>
        <v>72</v>
      </c>
      <c r="V38" s="10">
        <f t="shared" si="1"/>
        <v>183.57352986922103</v>
      </c>
      <c r="W38" s="10">
        <f>'[3]chap7-2_初期状態'!F38</f>
        <v>50</v>
      </c>
      <c r="X38" s="10">
        <f t="shared" si="2"/>
        <v>22.231681863946044</v>
      </c>
    </row>
    <row r="39" spans="2:24" ht="19.5">
      <c r="E39" s="81"/>
      <c r="F39" s="81"/>
      <c r="M39" s="10" t="s">
        <v>178</v>
      </c>
      <c r="N39" s="10">
        <v>62</v>
      </c>
      <c r="O39" s="83">
        <v>184.57349662928181</v>
      </c>
      <c r="P39" s="10">
        <f t="shared" si="0"/>
        <v>22.051781524686085</v>
      </c>
      <c r="U39" s="10">
        <f>'[3]chap7-2_初期状態'!D39</f>
        <v>104</v>
      </c>
      <c r="V39" s="10">
        <f t="shared" si="1"/>
        <v>184.57349662928181</v>
      </c>
      <c r="W39" s="10">
        <f>'[3]chap7-2_初期状態'!F39</f>
        <v>35</v>
      </c>
      <c r="X39" s="10">
        <f t="shared" si="2"/>
        <v>22.051781524686085</v>
      </c>
    </row>
    <row r="40" spans="2:24" ht="19.5">
      <c r="E40" s="81"/>
      <c r="F40" s="81"/>
      <c r="M40" s="10" t="s">
        <v>181</v>
      </c>
      <c r="N40" s="10">
        <v>98</v>
      </c>
      <c r="O40" s="83">
        <v>202.57366485774222</v>
      </c>
      <c r="P40" s="10">
        <f t="shared" si="0"/>
        <v>18.813437511291532</v>
      </c>
      <c r="U40" s="10">
        <f>'[3]chap7-2_初期状態'!D40</f>
        <v>198</v>
      </c>
      <c r="V40" s="10">
        <f t="shared" si="1"/>
        <v>202.57366485774222</v>
      </c>
      <c r="W40" s="10">
        <f>'[3]chap7-2_初期状態'!F40</f>
        <v>22</v>
      </c>
      <c r="X40" s="10">
        <f t="shared" si="2"/>
        <v>18.813437511291532</v>
      </c>
    </row>
    <row r="41" spans="2:24" ht="19.5">
      <c r="E41" s="81"/>
      <c r="F41" s="81"/>
      <c r="M41" s="10" t="s">
        <v>190</v>
      </c>
      <c r="N41" s="10">
        <v>59</v>
      </c>
      <c r="O41" s="83">
        <v>183.07354648919065</v>
      </c>
      <c r="P41" s="10">
        <f t="shared" si="0"/>
        <v>22.321632033576023</v>
      </c>
      <c r="U41" s="10">
        <f>'[3]chap7-2_初期状態'!D41</f>
        <v>145</v>
      </c>
      <c r="V41" s="10">
        <f t="shared" si="1"/>
        <v>183.07354648919065</v>
      </c>
      <c r="W41" s="10">
        <f>'[3]chap7-2_初期状態'!F41</f>
        <v>22</v>
      </c>
      <c r="X41" s="10">
        <f t="shared" si="2"/>
        <v>22.321632033576023</v>
      </c>
    </row>
    <row r="42" spans="2:24" ht="19.5">
      <c r="M42" s="10" t="s">
        <v>197</v>
      </c>
      <c r="N42" s="10">
        <v>74</v>
      </c>
      <c r="O42" s="83">
        <v>190.57367474282694</v>
      </c>
      <c r="P42" s="10">
        <f t="shared" si="0"/>
        <v>20.972311564923281</v>
      </c>
      <c r="U42" s="10">
        <f>'[3]chap7-2_初期状態'!D42</f>
        <v>120</v>
      </c>
      <c r="V42" s="10">
        <f t="shared" si="1"/>
        <v>190.57367474282694</v>
      </c>
      <c r="W42" s="10">
        <f>'[3]chap7-2_初期状態'!F42</f>
        <v>41</v>
      </c>
      <c r="X42" s="10">
        <f t="shared" si="2"/>
        <v>20.972311564923281</v>
      </c>
    </row>
    <row r="43" spans="2:24" ht="19.5">
      <c r="M43" s="10" t="s">
        <v>204</v>
      </c>
      <c r="N43" s="10">
        <v>89</v>
      </c>
      <c r="O43" s="83">
        <v>198.07380299646326</v>
      </c>
      <c r="P43" s="10">
        <f t="shared" si="0"/>
        <v>19.622991096270532</v>
      </c>
      <c r="U43" s="10">
        <f>'[3]chap7-2_初期状態'!D43</f>
        <v>194</v>
      </c>
      <c r="V43" s="10">
        <f t="shared" si="1"/>
        <v>198.07380299646326</v>
      </c>
      <c r="W43" s="10">
        <f>'[3]chap7-2_初期状態'!F43</f>
        <v>20</v>
      </c>
      <c r="X43" s="10">
        <f t="shared" si="2"/>
        <v>19.622991096270532</v>
      </c>
    </row>
    <row r="44" spans="2:24" ht="19.5">
      <c r="M44" s="10" t="s">
        <v>210</v>
      </c>
      <c r="N44" s="10">
        <v>62</v>
      </c>
      <c r="O44" s="83">
        <v>184.57349662928181</v>
      </c>
      <c r="P44" s="10">
        <f t="shared" si="0"/>
        <v>22.051781524686085</v>
      </c>
      <c r="U44" s="10">
        <f>'[3]chap7-2_初期状態'!D44</f>
        <v>119</v>
      </c>
      <c r="V44" s="10">
        <f t="shared" si="1"/>
        <v>184.57349662928181</v>
      </c>
      <c r="W44" s="10">
        <f>'[3]chap7-2_初期状態'!F44</f>
        <v>38</v>
      </c>
      <c r="X44" s="10">
        <f t="shared" si="2"/>
        <v>22.051781524686085</v>
      </c>
    </row>
    <row r="45" spans="2:24" ht="19.5">
      <c r="M45" s="10" t="s">
        <v>213</v>
      </c>
      <c r="N45" s="10">
        <v>58</v>
      </c>
      <c r="O45" s="83">
        <v>182.57373472424229</v>
      </c>
      <c r="P45" s="10">
        <f t="shared" si="0"/>
        <v>22.411551328568251</v>
      </c>
      <c r="U45" s="10">
        <f>'[3]chap7-2_初期状態'!D45</f>
        <v>140</v>
      </c>
      <c r="V45" s="10">
        <f t="shared" si="1"/>
        <v>182.57373472424229</v>
      </c>
      <c r="W45" s="10">
        <f>'[3]chap7-2_初期状態'!F45</f>
        <v>20</v>
      </c>
      <c r="X45" s="10">
        <f t="shared" si="2"/>
        <v>22.411551328568251</v>
      </c>
    </row>
    <row r="46" spans="2:24" ht="19.5">
      <c r="M46" s="10" t="s">
        <v>216</v>
      </c>
      <c r="N46" s="10">
        <v>71</v>
      </c>
      <c r="O46" s="83">
        <v>189.07371316173032</v>
      </c>
      <c r="P46" s="10">
        <f t="shared" si="0"/>
        <v>21.242164132122397</v>
      </c>
      <c r="U46" s="10">
        <f>'[3]chap7-2_初期状態'!D46</f>
        <v>110</v>
      </c>
      <c r="V46" s="10">
        <f t="shared" si="1"/>
        <v>189.07371316173032</v>
      </c>
      <c r="W46" s="10">
        <f>'[3]chap7-2_初期状態'!F46</f>
        <v>38</v>
      </c>
      <c r="X46" s="10">
        <f t="shared" si="2"/>
        <v>21.242164132122397</v>
      </c>
    </row>
    <row r="47" spans="2:24" ht="19.5">
      <c r="M47" s="10" t="s">
        <v>225</v>
      </c>
      <c r="N47" s="10">
        <v>71</v>
      </c>
      <c r="O47" s="83">
        <v>189.07371316173032</v>
      </c>
      <c r="P47" s="10">
        <f t="shared" si="0"/>
        <v>21.242164132122397</v>
      </c>
      <c r="U47" s="10">
        <f>'[3]chap7-2_初期状態'!D47</f>
        <v>124</v>
      </c>
      <c r="V47" s="10">
        <f t="shared" si="1"/>
        <v>189.07371316173032</v>
      </c>
      <c r="W47" s="10">
        <f>'[3]chap7-2_初期状態'!F47</f>
        <v>25</v>
      </c>
      <c r="X47" s="10">
        <f t="shared" si="2"/>
        <v>21.242164132122397</v>
      </c>
    </row>
    <row r="48" spans="2:24" ht="19.5">
      <c r="M48" s="10" t="s">
        <v>229</v>
      </c>
      <c r="N48" s="10">
        <v>98</v>
      </c>
      <c r="O48" s="83">
        <v>202.57366485774222</v>
      </c>
      <c r="P48" s="10">
        <f t="shared" si="0"/>
        <v>18.813437511291532</v>
      </c>
      <c r="U48" s="10">
        <f>'[3]chap7-2_初期状態'!D48</f>
        <v>176</v>
      </c>
      <c r="V48" s="10">
        <f t="shared" si="1"/>
        <v>202.57366485774222</v>
      </c>
      <c r="W48" s="10">
        <f>'[3]chap7-2_初期状態'!F48</f>
        <v>22</v>
      </c>
      <c r="X48" s="10">
        <f t="shared" si="2"/>
        <v>18.813437511291532</v>
      </c>
    </row>
    <row r="49" spans="13:24" ht="19.5">
      <c r="M49" s="10" t="s">
        <v>234</v>
      </c>
      <c r="N49" s="10">
        <v>64</v>
      </c>
      <c r="O49" s="83">
        <v>185.57364644543009</v>
      </c>
      <c r="P49" s="10">
        <f t="shared" si="0"/>
        <v>21.871848252479197</v>
      </c>
      <c r="U49" s="10">
        <f>'[3]chap7-2_初期状態'!D49</f>
        <v>135</v>
      </c>
      <c r="V49" s="10">
        <f t="shared" si="1"/>
        <v>185.57364644543009</v>
      </c>
      <c r="W49" s="10">
        <f>'[3]chap7-2_初期状態'!F49</f>
        <v>27</v>
      </c>
      <c r="X49" s="10">
        <f t="shared" si="2"/>
        <v>21.871848252479197</v>
      </c>
    </row>
    <row r="50" spans="13:24" ht="19.5">
      <c r="M50" s="10" t="s">
        <v>238</v>
      </c>
      <c r="N50" s="10">
        <v>51</v>
      </c>
      <c r="O50" s="83">
        <v>179.07366800794208</v>
      </c>
      <c r="P50" s="10">
        <f t="shared" si="0"/>
        <v>23.041235448925043</v>
      </c>
      <c r="U50" s="10">
        <f>'[3]chap7-2_初期状態'!D50</f>
        <v>138</v>
      </c>
      <c r="V50" s="10">
        <f t="shared" si="1"/>
        <v>179.07366800794208</v>
      </c>
      <c r="W50" s="10">
        <f>'[3]chap7-2_初期状態'!F50</f>
        <v>26</v>
      </c>
      <c r="X50" s="10">
        <f t="shared" si="2"/>
        <v>23.041235448925043</v>
      </c>
    </row>
    <row r="51" spans="13:24" ht="19.5">
      <c r="M51" s="10" t="s">
        <v>247</v>
      </c>
      <c r="N51" s="10">
        <v>76</v>
      </c>
      <c r="O51" s="83">
        <v>191.57346988780569</v>
      </c>
      <c r="P51" s="10">
        <f t="shared" si="0"/>
        <v>20.792442100301074</v>
      </c>
      <c r="U51" s="10">
        <f>'[3]chap7-2_初期状態'!D51</f>
        <v>146</v>
      </c>
      <c r="V51" s="10">
        <f t="shared" si="1"/>
        <v>191.57346988780569</v>
      </c>
      <c r="W51" s="10">
        <f>'[3]chap7-2_初期状態'!F51</f>
        <v>32</v>
      </c>
      <c r="X51" s="10">
        <f t="shared" si="2"/>
        <v>20.792442100301074</v>
      </c>
    </row>
    <row r="52" spans="13:24" ht="19.5">
      <c r="M52" s="10" t="s">
        <v>253</v>
      </c>
      <c r="N52" s="10">
        <v>78</v>
      </c>
      <c r="O52" s="83">
        <v>192.57360826294848</v>
      </c>
      <c r="P52" s="10">
        <f t="shared" si="0"/>
        <v>20.612510886403363</v>
      </c>
      <c r="U52" s="10">
        <f>'[3]chap7-2_初期状態'!D52</f>
        <v>188</v>
      </c>
      <c r="V52" s="10">
        <f t="shared" si="1"/>
        <v>192.57360826294848</v>
      </c>
      <c r="W52" s="10">
        <f>'[3]chap7-2_初期状態'!F52</f>
        <v>16</v>
      </c>
      <c r="X52" s="10">
        <f t="shared" si="2"/>
        <v>20.612510886403363</v>
      </c>
    </row>
    <row r="53" spans="13:24" ht="19.5">
      <c r="M53" s="10" t="s">
        <v>263</v>
      </c>
      <c r="N53" s="10">
        <v>53</v>
      </c>
      <c r="O53" s="83">
        <v>180.0738063830849</v>
      </c>
      <c r="P53" s="10">
        <f t="shared" si="0"/>
        <v>22.861304235027333</v>
      </c>
      <c r="U53" s="10">
        <f>'[3]chap7-2_初期状態'!D53</f>
        <v>114</v>
      </c>
      <c r="V53" s="10">
        <f t="shared" si="1"/>
        <v>180.0738063830849</v>
      </c>
      <c r="W53" s="10">
        <f>'[3]chap7-2_初期状態'!F53</f>
        <v>40</v>
      </c>
      <c r="X53" s="10">
        <f t="shared" si="2"/>
        <v>22.861304235027333</v>
      </c>
    </row>
    <row r="54" spans="13:24" ht="19.5">
      <c r="M54" s="10" t="s">
        <v>272</v>
      </c>
      <c r="N54" s="10">
        <v>80</v>
      </c>
      <c r="O54" s="83">
        <v>193.57359790502022</v>
      </c>
      <c r="P54" s="10">
        <f t="shared" si="0"/>
        <v>20.432606430525034</v>
      </c>
      <c r="U54" s="10">
        <f>'[3]chap7-2_初期状態'!D54</f>
        <v>148</v>
      </c>
      <c r="V54" s="10">
        <f t="shared" si="1"/>
        <v>193.57359790502022</v>
      </c>
      <c r="W54" s="10">
        <f>'[3]chap7-2_初期状態'!F54</f>
        <v>33</v>
      </c>
      <c r="X54" s="10">
        <f t="shared" si="2"/>
        <v>20.432606430525034</v>
      </c>
    </row>
    <row r="55" spans="13:24" ht="19.5">
      <c r="M55" s="10" t="s">
        <v>276</v>
      </c>
      <c r="N55" s="10">
        <v>44</v>
      </c>
      <c r="O55" s="83">
        <v>175.57358985063638</v>
      </c>
      <c r="P55" s="10">
        <f t="shared" si="0"/>
        <v>23.670921627591017</v>
      </c>
      <c r="U55" s="10">
        <f>'[3]chap7-2_初期状態'!D55</f>
        <v>115</v>
      </c>
      <c r="V55" s="10">
        <f t="shared" si="1"/>
        <v>175.57358985063638</v>
      </c>
      <c r="W55" s="10">
        <f>'[3]chap7-2_初期状態'!F55</f>
        <v>35</v>
      </c>
      <c r="X55" s="10">
        <f t="shared" si="2"/>
        <v>23.670921627591017</v>
      </c>
    </row>
    <row r="56" spans="13:24" ht="19.5">
      <c r="M56" s="10" t="s">
        <v>281</v>
      </c>
      <c r="N56" s="10">
        <v>106</v>
      </c>
      <c r="O56" s="83">
        <v>206.57355477999624</v>
      </c>
      <c r="P56" s="10">
        <f t="shared" si="0"/>
        <v>18.093832037633334</v>
      </c>
      <c r="U56" s="10">
        <f>'[3]chap7-2_初期状態'!D56</f>
        <v>222</v>
      </c>
      <c r="V56" s="10">
        <f t="shared" si="1"/>
        <v>206.57355477999624</v>
      </c>
      <c r="W56" s="10">
        <f>'[3]chap7-2_初期状態'!F56</f>
        <v>13</v>
      </c>
      <c r="X56" s="10">
        <f t="shared" si="2"/>
        <v>18.093832037633334</v>
      </c>
    </row>
    <row r="57" spans="13:24" ht="19.5">
      <c r="M57" s="10" t="s">
        <v>289</v>
      </c>
      <c r="N57" s="10">
        <v>75</v>
      </c>
      <c r="O57" s="83">
        <v>191.07365812285732</v>
      </c>
      <c r="P57" s="10">
        <f t="shared" si="0"/>
        <v>20.882361395293302</v>
      </c>
      <c r="U57" s="10">
        <f>'[3]chap7-2_初期状態'!D57</f>
        <v>172</v>
      </c>
      <c r="V57" s="10">
        <f t="shared" si="1"/>
        <v>191.07365812285732</v>
      </c>
      <c r="W57" s="10">
        <f>'[3]chap7-2_初期状態'!F57</f>
        <v>11</v>
      </c>
      <c r="X57" s="10">
        <f t="shared" si="2"/>
        <v>20.882361395293302</v>
      </c>
    </row>
    <row r="58" spans="13:24" ht="19.5">
      <c r="M58" s="10" t="s">
        <v>294</v>
      </c>
      <c r="N58" s="10">
        <v>67</v>
      </c>
      <c r="O58" s="83">
        <v>187.07360802652673</v>
      </c>
      <c r="P58" s="10">
        <f t="shared" si="0"/>
        <v>21.601995685280073</v>
      </c>
      <c r="U58" s="10">
        <f>'[3]chap7-2_初期状態'!D58</f>
        <v>126</v>
      </c>
      <c r="V58" s="10">
        <f t="shared" si="1"/>
        <v>187.07360802652673</v>
      </c>
      <c r="W58" s="10">
        <f>'[3]chap7-2_初期状態'!F58</f>
        <v>35</v>
      </c>
      <c r="X58" s="10">
        <f t="shared" si="2"/>
        <v>21.601995685280073</v>
      </c>
    </row>
    <row r="59" spans="13:24" ht="19.5">
      <c r="M59" s="10" t="s">
        <v>298</v>
      </c>
      <c r="N59" s="10">
        <v>79</v>
      </c>
      <c r="O59" s="83">
        <v>193.07378614007186</v>
      </c>
      <c r="P59" s="10">
        <f t="shared" si="0"/>
        <v>20.522525725517262</v>
      </c>
      <c r="U59" s="10">
        <f>'[3]chap7-2_初期状態'!D59</f>
        <v>169</v>
      </c>
      <c r="V59" s="10">
        <f t="shared" si="1"/>
        <v>193.07378614007186</v>
      </c>
      <c r="W59" s="10">
        <f>'[3]chap7-2_初期状態'!F59</f>
        <v>24</v>
      </c>
      <c r="X59" s="10">
        <f t="shared" si="2"/>
        <v>20.522525725517262</v>
      </c>
    </row>
    <row r="60" spans="13:24" ht="19.5">
      <c r="M60" s="10" t="s">
        <v>303</v>
      </c>
      <c r="N60" s="10">
        <v>73</v>
      </c>
      <c r="O60" s="83">
        <v>190.07351974771453</v>
      </c>
      <c r="P60" s="10">
        <f t="shared" si="0"/>
        <v>21.062292609191012</v>
      </c>
      <c r="U60" s="10">
        <f>'[3]chap7-2_初期状態'!D60</f>
        <v>172</v>
      </c>
      <c r="V60" s="10">
        <f t="shared" si="1"/>
        <v>190.07351974771453</v>
      </c>
      <c r="W60" s="10">
        <f>'[3]chap7-2_初期状態'!F60</f>
        <v>26</v>
      </c>
      <c r="X60" s="10">
        <f t="shared" si="2"/>
        <v>21.062292609191012</v>
      </c>
    </row>
    <row r="61" spans="13:24" ht="19.5">
      <c r="M61" s="10" t="s">
        <v>307</v>
      </c>
      <c r="N61" s="10">
        <v>85</v>
      </c>
      <c r="O61" s="83">
        <v>196.07368642025418</v>
      </c>
      <c r="P61" s="10">
        <f t="shared" si="0"/>
        <v>19.982824707737386</v>
      </c>
      <c r="U61" s="10">
        <f>'[3]chap7-2_初期状態'!D61</f>
        <v>162</v>
      </c>
      <c r="V61" s="10">
        <f t="shared" si="1"/>
        <v>196.07368642025418</v>
      </c>
      <c r="W61" s="10">
        <f>'[3]chap7-2_初期状態'!F61</f>
        <v>26</v>
      </c>
      <c r="X61" s="10">
        <f t="shared" si="2"/>
        <v>19.982824707737386</v>
      </c>
    </row>
    <row r="62" spans="13:24" ht="19.5">
      <c r="M62" s="10" t="s">
        <v>311</v>
      </c>
      <c r="N62" s="10">
        <v>44</v>
      </c>
      <c r="O62" s="83">
        <v>175.57358985063638</v>
      </c>
      <c r="P62" s="10">
        <f t="shared" si="0"/>
        <v>23.670921627591017</v>
      </c>
      <c r="U62" s="10">
        <f>'[3]chap7-2_初期状態'!D62</f>
        <v>130</v>
      </c>
      <c r="V62" s="10">
        <f t="shared" si="1"/>
        <v>175.57358985063638</v>
      </c>
      <c r="W62" s="10">
        <f>'[3]chap7-2_初期状態'!F62</f>
        <v>39</v>
      </c>
      <c r="X62" s="10">
        <f t="shared" si="2"/>
        <v>23.670921627591017</v>
      </c>
    </row>
    <row r="63" spans="13:24" ht="19.5">
      <c r="M63" s="10" t="s">
        <v>320</v>
      </c>
      <c r="N63" s="10">
        <v>39</v>
      </c>
      <c r="O63" s="83">
        <v>173.07348989439694</v>
      </c>
      <c r="P63" s="10">
        <f t="shared" si="0"/>
        <v>24.120705408687851</v>
      </c>
      <c r="U63" s="10">
        <f>'[3]chap7-2_初期状態'!D63</f>
        <v>76</v>
      </c>
      <c r="V63" s="10">
        <f t="shared" si="1"/>
        <v>173.07348989439694</v>
      </c>
      <c r="W63" s="10">
        <f>'[3]chap7-2_初期状態'!F63</f>
        <v>46</v>
      </c>
      <c r="X63" s="10">
        <f t="shared" si="2"/>
        <v>24.120705408687851</v>
      </c>
    </row>
    <row r="64" spans="13:24" ht="19.5">
      <c r="M64" s="10" t="s">
        <v>325</v>
      </c>
      <c r="N64" s="10">
        <v>67</v>
      </c>
      <c r="O64" s="83">
        <v>187.07360802652673</v>
      </c>
      <c r="P64" s="10">
        <f t="shared" si="0"/>
        <v>21.601995685280073</v>
      </c>
      <c r="U64" s="10">
        <f>'[3]chap7-2_初期状態'!D64</f>
        <v>134</v>
      </c>
      <c r="V64" s="10">
        <f t="shared" si="1"/>
        <v>187.07360802652673</v>
      </c>
      <c r="W64" s="10">
        <f>'[3]chap7-2_初期状態'!F64</f>
        <v>24</v>
      </c>
      <c r="X64" s="10">
        <f t="shared" si="2"/>
        <v>21.601995685280073</v>
      </c>
    </row>
    <row r="65" spans="13:24" ht="19.5">
      <c r="M65" s="10" t="s">
        <v>326</v>
      </c>
      <c r="N65" s="10">
        <v>56</v>
      </c>
      <c r="O65" s="83">
        <v>181.57358490809401</v>
      </c>
      <c r="P65" s="10">
        <f t="shared" si="0"/>
        <v>22.591484600775146</v>
      </c>
      <c r="U65" s="10">
        <f>'[3]chap7-2_初期状態'!D65</f>
        <v>130</v>
      </c>
      <c r="V65" s="10">
        <f t="shared" si="1"/>
        <v>181.57358490809401</v>
      </c>
      <c r="W65" s="10">
        <f>'[3]chap7-2_初期状態'!F65</f>
        <v>19</v>
      </c>
      <c r="X65" s="10">
        <f t="shared" si="2"/>
        <v>22.591484600775146</v>
      </c>
    </row>
    <row r="66" spans="13:24" ht="19.5">
      <c r="M66" s="10" t="s">
        <v>331</v>
      </c>
      <c r="N66" s="10">
        <v>40</v>
      </c>
      <c r="O66" s="83">
        <v>173.57364488950935</v>
      </c>
      <c r="P66" s="10">
        <f t="shared" ref="P66:P129" si="3">$C$36 + $C$37 * O66</f>
        <v>24.03072436442012</v>
      </c>
      <c r="U66" s="10">
        <f>'[3]chap7-2_初期状態'!D66</f>
        <v>135</v>
      </c>
      <c r="V66" s="10">
        <f t="shared" si="1"/>
        <v>173.57364488950935</v>
      </c>
      <c r="W66" s="10">
        <f>'[3]chap7-2_初期状態'!F66</f>
        <v>29</v>
      </c>
      <c r="X66" s="10">
        <f t="shared" si="2"/>
        <v>24.03072436442012</v>
      </c>
    </row>
    <row r="67" spans="13:24" ht="19.5">
      <c r="M67" s="10" t="s">
        <v>349</v>
      </c>
      <c r="N67" s="10">
        <v>39</v>
      </c>
      <c r="O67" s="83">
        <v>173.07348989439694</v>
      </c>
      <c r="P67" s="10">
        <f t="shared" si="3"/>
        <v>24.120705408687851</v>
      </c>
      <c r="U67" s="10">
        <f>'[3]chap7-2_初期状態'!D67</f>
        <v>108</v>
      </c>
      <c r="V67" s="10">
        <f t="shared" ref="V67:V130" si="4">O67</f>
        <v>173.07348989439694</v>
      </c>
      <c r="W67" s="10">
        <f>'[3]chap7-2_初期状態'!F67</f>
        <v>34</v>
      </c>
      <c r="X67" s="10">
        <f t="shared" ref="X67:X130" si="5">P67</f>
        <v>24.120705408687851</v>
      </c>
    </row>
    <row r="68" spans="13:24" ht="19.5">
      <c r="M68" s="10" t="s">
        <v>355</v>
      </c>
      <c r="N68" s="10">
        <v>23</v>
      </c>
      <c r="O68" s="83">
        <v>165.07354987581229</v>
      </c>
      <c r="P68" s="10">
        <f t="shared" si="3"/>
        <v>25.559945172332824</v>
      </c>
      <c r="U68" s="10">
        <f>'[3]chap7-2_初期状態'!D68</f>
        <v>102</v>
      </c>
      <c r="V68" s="10">
        <f t="shared" si="4"/>
        <v>165.07354987581229</v>
      </c>
      <c r="W68" s="10">
        <f>'[3]chap7-2_初期状態'!F68</f>
        <v>33</v>
      </c>
      <c r="X68" s="10">
        <f t="shared" si="5"/>
        <v>25.559945172332824</v>
      </c>
    </row>
    <row r="69" spans="13:24" ht="19.5">
      <c r="M69" s="10" t="s">
        <v>357</v>
      </c>
      <c r="N69" s="10">
        <v>101</v>
      </c>
      <c r="O69" s="83">
        <v>204.07362643883883</v>
      </c>
      <c r="P69" s="10">
        <f t="shared" si="3"/>
        <v>18.543584944092416</v>
      </c>
      <c r="U69" s="10">
        <f>'[3]chap7-2_初期状態'!D69</f>
        <v>223</v>
      </c>
      <c r="V69" s="10">
        <f t="shared" si="4"/>
        <v>204.07362643883883</v>
      </c>
      <c r="W69" s="10">
        <f>'[3]chap7-2_初期状態'!F69</f>
        <v>7</v>
      </c>
      <c r="X69" s="10">
        <f t="shared" si="5"/>
        <v>18.543584944092416</v>
      </c>
    </row>
    <row r="70" spans="13:24" ht="19.5">
      <c r="M70" s="10" t="s">
        <v>358</v>
      </c>
      <c r="N70" s="10">
        <v>29</v>
      </c>
      <c r="O70" s="83">
        <v>168.07346159700006</v>
      </c>
      <c r="P70" s="10">
        <f t="shared" si="3"/>
        <v>25.020242096243766</v>
      </c>
      <c r="U70" s="10">
        <f>'[3]chap7-2_初期状態'!D70</f>
        <v>102</v>
      </c>
      <c r="V70" s="10">
        <f t="shared" si="4"/>
        <v>168.07346159700006</v>
      </c>
      <c r="W70" s="10">
        <f>'[3]chap7-2_初期状態'!F70</f>
        <v>36</v>
      </c>
      <c r="X70" s="10">
        <f t="shared" si="5"/>
        <v>25.020242096243766</v>
      </c>
    </row>
    <row r="71" spans="13:24" ht="19.5">
      <c r="M71" s="10" t="s">
        <v>364</v>
      </c>
      <c r="N71" s="10">
        <v>82</v>
      </c>
      <c r="O71" s="83">
        <v>194.57372483915756</v>
      </c>
      <c r="P71" s="10">
        <f t="shared" si="3"/>
        <v>20.252677274936509</v>
      </c>
      <c r="U71" s="10">
        <f>'[3]chap7-2_初期状態'!D71</f>
        <v>148</v>
      </c>
      <c r="V71" s="10">
        <f t="shared" si="4"/>
        <v>194.57372483915756</v>
      </c>
      <c r="W71" s="10">
        <f>'[3]chap7-2_初期状態'!F71</f>
        <v>49</v>
      </c>
      <c r="X71" s="10">
        <f t="shared" si="5"/>
        <v>20.252677274936509</v>
      </c>
    </row>
    <row r="72" spans="13:24" ht="19.5">
      <c r="M72" s="10" t="s">
        <v>365</v>
      </c>
      <c r="N72" s="10">
        <v>42</v>
      </c>
      <c r="O72" s="83">
        <v>174.5734400344881</v>
      </c>
      <c r="P72" s="10">
        <f t="shared" si="3"/>
        <v>23.850854899797913</v>
      </c>
      <c r="U72" s="10">
        <f>'[3]chap7-2_初期状態'!D72</f>
        <v>92</v>
      </c>
      <c r="V72" s="10">
        <f t="shared" si="4"/>
        <v>174.5734400344881</v>
      </c>
      <c r="W72" s="10">
        <f>'[3]chap7-2_初期状態'!F72</f>
        <v>37</v>
      </c>
      <c r="X72" s="10">
        <f t="shared" si="5"/>
        <v>23.850854899797913</v>
      </c>
    </row>
    <row r="73" spans="13:24" ht="19.5">
      <c r="M73" s="10" t="s">
        <v>371</v>
      </c>
      <c r="N73" s="10">
        <v>59</v>
      </c>
      <c r="O73" s="83">
        <v>183.07354648919065</v>
      </c>
      <c r="P73" s="10">
        <f t="shared" si="3"/>
        <v>22.321632033576023</v>
      </c>
      <c r="U73" s="10">
        <f>'[3]chap7-2_初期状態'!D73</f>
        <v>165</v>
      </c>
      <c r="V73" s="10">
        <f t="shared" si="4"/>
        <v>183.07354648919065</v>
      </c>
      <c r="W73" s="10">
        <f>'[3]chap7-2_初期状態'!F73</f>
        <v>10</v>
      </c>
      <c r="X73" s="10">
        <f t="shared" si="5"/>
        <v>22.321632033576023</v>
      </c>
    </row>
    <row r="74" spans="13:24" ht="19.5">
      <c r="M74" s="10" t="s">
        <v>372</v>
      </c>
      <c r="N74" s="10">
        <v>78</v>
      </c>
      <c r="O74" s="83">
        <v>192.57360826294848</v>
      </c>
      <c r="P74" s="10">
        <f t="shared" si="3"/>
        <v>20.612510886403363</v>
      </c>
      <c r="U74" s="10">
        <f>'[3]chap7-2_初期状態'!D74</f>
        <v>150</v>
      </c>
      <c r="V74" s="10">
        <f t="shared" si="4"/>
        <v>192.57360826294848</v>
      </c>
      <c r="W74" s="10">
        <f>'[3]chap7-2_初期状態'!F74</f>
        <v>24</v>
      </c>
      <c r="X74" s="10">
        <f t="shared" si="5"/>
        <v>20.612510886403363</v>
      </c>
    </row>
    <row r="75" spans="13:24" ht="19.5">
      <c r="M75" s="10" t="s">
        <v>379</v>
      </c>
      <c r="N75" s="10">
        <v>83</v>
      </c>
      <c r="O75" s="83">
        <v>195.0735366041059</v>
      </c>
      <c r="P75" s="10">
        <f t="shared" si="3"/>
        <v>20.162757979944281</v>
      </c>
      <c r="U75" s="10">
        <f>'[3]chap7-2_初期状態'!D75</f>
        <v>146</v>
      </c>
      <c r="V75" s="10">
        <f t="shared" si="4"/>
        <v>195.0735366041059</v>
      </c>
      <c r="W75" s="10">
        <f>'[3]chap7-2_初期状態'!F75</f>
        <v>25</v>
      </c>
      <c r="X75" s="10">
        <f t="shared" si="5"/>
        <v>20.162757979944281</v>
      </c>
    </row>
    <row r="76" spans="13:24" ht="19.5">
      <c r="M76" s="10" t="s">
        <v>380</v>
      </c>
      <c r="N76" s="10">
        <v>47</v>
      </c>
      <c r="O76" s="83">
        <v>177.07355143173302</v>
      </c>
      <c r="P76" s="10">
        <f t="shared" si="3"/>
        <v>23.401069060391894</v>
      </c>
      <c r="U76" s="10">
        <f>'[3]chap7-2_初期状態'!D76</f>
        <v>94</v>
      </c>
      <c r="V76" s="10">
        <f t="shared" si="4"/>
        <v>177.07355143173302</v>
      </c>
      <c r="W76" s="10">
        <f>'[3]chap7-2_初期状態'!F76</f>
        <v>44</v>
      </c>
      <c r="X76" s="10">
        <f t="shared" si="5"/>
        <v>23.401069060391894</v>
      </c>
    </row>
    <row r="77" spans="13:24" ht="19.5">
      <c r="M77" s="10" t="s">
        <v>385</v>
      </c>
      <c r="N77" s="10">
        <v>81</v>
      </c>
      <c r="O77" s="83">
        <v>194.07338678795762</v>
      </c>
      <c r="P77" s="10">
        <f t="shared" si="3"/>
        <v>20.342691252151177</v>
      </c>
      <c r="U77" s="10">
        <f>'[3]chap7-2_初期状態'!D77</f>
        <v>152</v>
      </c>
      <c r="V77" s="10">
        <f t="shared" si="4"/>
        <v>194.07338678795762</v>
      </c>
      <c r="W77" s="10">
        <f>'[3]chap7-2_初期状態'!F77</f>
        <v>18</v>
      </c>
      <c r="X77" s="10">
        <f t="shared" si="5"/>
        <v>20.342691252151177</v>
      </c>
    </row>
    <row r="78" spans="13:24" ht="19.5">
      <c r="M78" s="10" t="s">
        <v>389</v>
      </c>
      <c r="N78" s="10">
        <v>25</v>
      </c>
      <c r="O78" s="83">
        <v>166.07369969196057</v>
      </c>
      <c r="P78" s="10">
        <f t="shared" si="3"/>
        <v>25.380011900125929</v>
      </c>
      <c r="U78" s="10">
        <f>'[3]chap7-2_初期状態'!D78</f>
        <v>126</v>
      </c>
      <c r="V78" s="10">
        <f t="shared" si="4"/>
        <v>166.07369969196057</v>
      </c>
      <c r="W78" s="10">
        <f>'[3]chap7-2_初期状態'!F78</f>
        <v>41</v>
      </c>
      <c r="X78" s="10">
        <f t="shared" si="5"/>
        <v>25.380011900125929</v>
      </c>
    </row>
    <row r="79" spans="13:24" ht="19.5">
      <c r="M79" s="10" t="s">
        <v>395</v>
      </c>
      <c r="N79" s="10">
        <v>65</v>
      </c>
      <c r="O79" s="83">
        <v>186.07345821037845</v>
      </c>
      <c r="P79" s="10">
        <f t="shared" si="3"/>
        <v>21.781928957486961</v>
      </c>
      <c r="U79" s="10">
        <f>'[3]chap7-2_初期状態'!D79</f>
        <v>166</v>
      </c>
      <c r="V79" s="10">
        <f t="shared" si="4"/>
        <v>186.07345821037845</v>
      </c>
      <c r="W79" s="10">
        <f>'[3]chap7-2_初期状態'!F79</f>
        <v>21</v>
      </c>
      <c r="X79" s="10">
        <f t="shared" si="5"/>
        <v>21.781928957486961</v>
      </c>
    </row>
    <row r="80" spans="13:24" ht="19.5">
      <c r="M80" s="10" t="s">
        <v>396</v>
      </c>
      <c r="N80" s="10">
        <v>107</v>
      </c>
      <c r="O80" s="83">
        <v>207.07354960103211</v>
      </c>
      <c r="P80" s="10">
        <f t="shared" si="3"/>
        <v>18.003879809694169</v>
      </c>
      <c r="U80" s="10">
        <f>'[3]chap7-2_初期状態'!D80</f>
        <v>186</v>
      </c>
      <c r="V80" s="10">
        <f t="shared" si="4"/>
        <v>207.07354960103211</v>
      </c>
      <c r="W80" s="10">
        <f>'[3]chap7-2_初期状態'!F80</f>
        <v>27</v>
      </c>
      <c r="X80" s="10">
        <f t="shared" si="5"/>
        <v>18.003879809694169</v>
      </c>
    </row>
    <row r="81" spans="13:24" ht="19.5">
      <c r="M81" s="10" t="s">
        <v>399</v>
      </c>
      <c r="N81" s="10">
        <v>48</v>
      </c>
      <c r="O81" s="83">
        <v>177.57335175567587</v>
      </c>
      <c r="P81" s="10">
        <f t="shared" si="3"/>
        <v>23.311151823708858</v>
      </c>
      <c r="U81" s="10">
        <f>'[3]chap7-2_初期状態'!D81</f>
        <v>97</v>
      </c>
      <c r="V81" s="10">
        <f t="shared" si="4"/>
        <v>177.57335175567587</v>
      </c>
      <c r="W81" s="10">
        <f>'[3]chap7-2_初期状態'!F81</f>
        <v>34</v>
      </c>
      <c r="X81" s="10">
        <f t="shared" si="5"/>
        <v>23.311151823708858</v>
      </c>
    </row>
    <row r="82" spans="13:24" ht="19.5">
      <c r="M82" s="10" t="s">
        <v>400</v>
      </c>
      <c r="N82" s="10">
        <v>83</v>
      </c>
      <c r="O82" s="83">
        <v>195.0735366041059</v>
      </c>
      <c r="P82" s="10">
        <f t="shared" si="3"/>
        <v>20.162757979944281</v>
      </c>
      <c r="U82" s="10">
        <f>'[3]chap7-2_初期状態'!D82</f>
        <v>180</v>
      </c>
      <c r="V82" s="10">
        <f t="shared" si="4"/>
        <v>195.0735366041059</v>
      </c>
      <c r="W82" s="10">
        <f>'[3]chap7-2_初期状態'!F82</f>
        <v>11</v>
      </c>
      <c r="X82" s="10">
        <f t="shared" si="5"/>
        <v>20.162757979944281</v>
      </c>
    </row>
    <row r="83" spans="13:24" ht="19.5">
      <c r="M83" s="10" t="s">
        <v>406</v>
      </c>
      <c r="N83" s="10">
        <v>91</v>
      </c>
      <c r="O83" s="83">
        <v>199.07360958244746</v>
      </c>
      <c r="P83" s="10">
        <f t="shared" si="3"/>
        <v>19.443119573339139</v>
      </c>
      <c r="U83" s="10">
        <f>'[3]chap7-2_初期状態'!D83</f>
        <v>171</v>
      </c>
      <c r="V83" s="10">
        <f t="shared" si="4"/>
        <v>199.07360958244746</v>
      </c>
      <c r="W83" s="10">
        <f>'[3]chap7-2_初期状態'!F83</f>
        <v>27</v>
      </c>
      <c r="X83" s="10">
        <f t="shared" si="5"/>
        <v>19.443119573339139</v>
      </c>
    </row>
    <row r="84" spans="13:24" ht="19.5">
      <c r="M84" s="10" t="s">
        <v>407</v>
      </c>
      <c r="N84" s="10">
        <v>53</v>
      </c>
      <c r="O84" s="83">
        <v>180.0738063830849</v>
      </c>
      <c r="P84" s="10">
        <f t="shared" si="3"/>
        <v>22.861304235027333</v>
      </c>
      <c r="U84" s="10">
        <f>'[3]chap7-2_初期状態'!D84</f>
        <v>156</v>
      </c>
      <c r="V84" s="10">
        <f t="shared" si="4"/>
        <v>180.0738063830849</v>
      </c>
      <c r="W84" s="10">
        <f>'[3]chap7-2_初期状態'!F84</f>
        <v>36</v>
      </c>
      <c r="X84" s="10">
        <f t="shared" si="5"/>
        <v>22.861304235027333</v>
      </c>
    </row>
    <row r="85" spans="13:24" ht="19.5">
      <c r="M85" s="10" t="s">
        <v>413</v>
      </c>
      <c r="N85" s="10">
        <v>94</v>
      </c>
      <c r="O85" s="83">
        <v>200.57354828153314</v>
      </c>
      <c r="P85" s="10">
        <f t="shared" si="3"/>
        <v>19.173271122758393</v>
      </c>
      <c r="U85" s="10">
        <f>'[3]chap7-2_初期状態'!D85</f>
        <v>187</v>
      </c>
      <c r="V85" s="10">
        <f t="shared" si="4"/>
        <v>200.57354828153314</v>
      </c>
      <c r="W85" s="10">
        <f>'[3]chap7-2_初期状態'!F85</f>
        <v>17</v>
      </c>
      <c r="X85" s="10">
        <f t="shared" si="5"/>
        <v>19.173271122758393</v>
      </c>
    </row>
    <row r="86" spans="13:24" ht="19.5">
      <c r="M86" s="10" t="s">
        <v>421</v>
      </c>
      <c r="N86" s="10">
        <v>86</v>
      </c>
      <c r="O86" s="83">
        <v>196.57349818520254</v>
      </c>
      <c r="P86" s="10">
        <f t="shared" si="3"/>
        <v>19.892905412745158</v>
      </c>
      <c r="U86" s="10">
        <f>'[3]chap7-2_初期状態'!D86</f>
        <v>193</v>
      </c>
      <c r="V86" s="10">
        <f t="shared" si="4"/>
        <v>196.57349818520254</v>
      </c>
      <c r="W86" s="10">
        <f>'[3]chap7-2_初期状態'!F86</f>
        <v>14</v>
      </c>
      <c r="X86" s="10">
        <f t="shared" si="5"/>
        <v>19.892905412745158</v>
      </c>
    </row>
    <row r="87" spans="13:24" ht="19.5">
      <c r="M87" s="10" t="s">
        <v>422</v>
      </c>
      <c r="N87" s="10">
        <v>90</v>
      </c>
      <c r="O87" s="83">
        <v>198.57361476141159</v>
      </c>
      <c r="P87" s="10">
        <f t="shared" si="3"/>
        <v>19.533071801278304</v>
      </c>
      <c r="U87" s="10">
        <f>'[3]chap7-2_初期状態'!D87</f>
        <v>146</v>
      </c>
      <c r="V87" s="10">
        <f t="shared" si="4"/>
        <v>198.57361476141159</v>
      </c>
      <c r="W87" s="10">
        <f>'[3]chap7-2_初期状態'!F87</f>
        <v>30</v>
      </c>
      <c r="X87" s="10">
        <f t="shared" si="5"/>
        <v>19.533071801278304</v>
      </c>
    </row>
    <row r="88" spans="13:24" ht="19.5">
      <c r="M88" s="10" t="s">
        <v>428</v>
      </c>
      <c r="N88" s="10">
        <v>93</v>
      </c>
      <c r="O88" s="83">
        <v>200.07357634250823</v>
      </c>
      <c r="P88" s="10">
        <f t="shared" si="3"/>
        <v>19.26321923407918</v>
      </c>
      <c r="U88" s="10">
        <f>'[3]chap7-2_初期状態'!D88</f>
        <v>170</v>
      </c>
      <c r="V88" s="10">
        <f t="shared" si="4"/>
        <v>200.07357634250823</v>
      </c>
      <c r="W88" s="10">
        <f>'[3]chap7-2_初期状態'!F88</f>
        <v>27</v>
      </c>
      <c r="X88" s="10">
        <f t="shared" si="5"/>
        <v>19.26321923407918</v>
      </c>
    </row>
    <row r="89" spans="13:24" ht="19.5">
      <c r="M89" s="10" t="s">
        <v>429</v>
      </c>
      <c r="N89" s="10">
        <v>81</v>
      </c>
      <c r="O89" s="83">
        <v>194.07338678795762</v>
      </c>
      <c r="P89" s="10">
        <f t="shared" si="3"/>
        <v>20.342691252151177</v>
      </c>
      <c r="U89" s="10">
        <f>'[3]chap7-2_初期状態'!D89</f>
        <v>172</v>
      </c>
      <c r="V89" s="10">
        <f t="shared" si="4"/>
        <v>194.07338678795762</v>
      </c>
      <c r="W89" s="10">
        <f>'[3]chap7-2_初期状態'!F89</f>
        <v>37</v>
      </c>
      <c r="X89" s="10">
        <f t="shared" si="5"/>
        <v>20.342691252151177</v>
      </c>
    </row>
    <row r="90" spans="13:24" ht="19.5">
      <c r="M90" s="10" t="s">
        <v>433</v>
      </c>
      <c r="N90" s="10">
        <v>66</v>
      </c>
      <c r="O90" s="83">
        <v>186.57379626157839</v>
      </c>
      <c r="P90" s="10">
        <f t="shared" si="3"/>
        <v>21.691914980272294</v>
      </c>
      <c r="U90" s="10">
        <f>'[3]chap7-2_初期状態'!D90</f>
        <v>152</v>
      </c>
      <c r="V90" s="10">
        <f t="shared" si="4"/>
        <v>186.57379626157839</v>
      </c>
      <c r="W90" s="10">
        <f>'[3]chap7-2_初期状態'!F90</f>
        <v>28</v>
      </c>
      <c r="X90" s="10">
        <f t="shared" si="5"/>
        <v>21.691914980272294</v>
      </c>
    </row>
    <row r="91" spans="13:24" ht="19.5">
      <c r="M91" s="10" t="s">
        <v>437</v>
      </c>
      <c r="N91" s="10">
        <v>104</v>
      </c>
      <c r="O91" s="83">
        <v>205.57358801993547</v>
      </c>
      <c r="P91" s="10">
        <f t="shared" si="3"/>
        <v>18.273732376893292</v>
      </c>
      <c r="U91" s="10">
        <f>'[3]chap7-2_初期状態'!D91</f>
        <v>196</v>
      </c>
      <c r="V91" s="10">
        <f t="shared" si="4"/>
        <v>205.57358801993547</v>
      </c>
      <c r="W91" s="10">
        <f>'[3]chap7-2_初期状態'!F91</f>
        <v>28</v>
      </c>
      <c r="X91" s="10">
        <f t="shared" si="5"/>
        <v>18.273732376893292</v>
      </c>
    </row>
    <row r="92" spans="13:24" ht="19.5">
      <c r="M92" s="10" t="s">
        <v>438</v>
      </c>
      <c r="N92" s="10">
        <v>88</v>
      </c>
      <c r="O92" s="83">
        <v>197.57364800135082</v>
      </c>
      <c r="P92" s="10">
        <f t="shared" si="3"/>
        <v>19.712972140538263</v>
      </c>
      <c r="U92" s="10">
        <f>'[3]chap7-2_初期状態'!D92</f>
        <v>169</v>
      </c>
      <c r="V92" s="10">
        <f t="shared" si="4"/>
        <v>197.57364800135082</v>
      </c>
      <c r="W92" s="10">
        <f>'[3]chap7-2_初期状態'!F92</f>
        <v>20</v>
      </c>
      <c r="X92" s="10">
        <f t="shared" si="5"/>
        <v>19.712972140538263</v>
      </c>
    </row>
    <row r="93" spans="13:24" ht="19.5">
      <c r="M93" s="10" t="s">
        <v>443</v>
      </c>
      <c r="N93" s="10">
        <v>45</v>
      </c>
      <c r="O93" s="83">
        <v>176.07374484574882</v>
      </c>
      <c r="P93" s="10">
        <f t="shared" si="3"/>
        <v>23.580940583323287</v>
      </c>
      <c r="U93" s="10">
        <f>'[3]chap7-2_初期状態'!D93</f>
        <v>168</v>
      </c>
      <c r="V93" s="10">
        <f t="shared" si="4"/>
        <v>176.07374484574882</v>
      </c>
      <c r="W93" s="10">
        <f>'[3]chap7-2_初期状態'!F93</f>
        <v>25</v>
      </c>
      <c r="X93" s="10">
        <f t="shared" si="5"/>
        <v>23.580940583323287</v>
      </c>
    </row>
    <row r="94" spans="13:24" ht="19.5">
      <c r="M94" s="10" t="s">
        <v>444</v>
      </c>
      <c r="N94" s="10">
        <v>42</v>
      </c>
      <c r="O94" s="83">
        <v>174.5734400344881</v>
      </c>
      <c r="P94" s="10">
        <f t="shared" si="3"/>
        <v>23.850854899797913</v>
      </c>
      <c r="U94" s="10">
        <f>'[3]chap7-2_初期状態'!D94</f>
        <v>103</v>
      </c>
      <c r="V94" s="10">
        <f t="shared" si="4"/>
        <v>174.5734400344881</v>
      </c>
      <c r="W94" s="10">
        <f>'[3]chap7-2_初期状態'!F94</f>
        <v>31</v>
      </c>
      <c r="X94" s="10">
        <f t="shared" si="5"/>
        <v>23.850854899797913</v>
      </c>
    </row>
    <row r="95" spans="13:24" ht="19.5">
      <c r="M95" s="10" t="s">
        <v>449</v>
      </c>
      <c r="N95" s="10">
        <v>128</v>
      </c>
      <c r="O95" s="83">
        <v>217.57376119093826</v>
      </c>
      <c r="P95" s="10">
        <f t="shared" si="3"/>
        <v>16.114825390314607</v>
      </c>
      <c r="U95" s="10">
        <f>'[3]chap7-2_初期状態'!D95</f>
        <v>173</v>
      </c>
      <c r="V95" s="10">
        <f t="shared" si="4"/>
        <v>217.57376119093826</v>
      </c>
      <c r="W95" s="10">
        <f>'[3]chap7-2_初期状態'!F95</f>
        <v>26</v>
      </c>
      <c r="X95" s="10">
        <f t="shared" si="5"/>
        <v>16.114825390314607</v>
      </c>
    </row>
    <row r="96" spans="13:24" ht="19.5">
      <c r="M96" s="10" t="s">
        <v>455</v>
      </c>
      <c r="N96" s="10">
        <v>75</v>
      </c>
      <c r="O96" s="83">
        <v>191.07365812285732</v>
      </c>
      <c r="P96" s="10">
        <f t="shared" si="3"/>
        <v>20.882361395293302</v>
      </c>
      <c r="U96" s="10">
        <f>'[3]chap7-2_初期状態'!D96</f>
        <v>127</v>
      </c>
      <c r="V96" s="10">
        <f t="shared" si="4"/>
        <v>191.07365812285732</v>
      </c>
      <c r="W96" s="10">
        <f>'[3]chap7-2_初期状態'!F96</f>
        <v>43</v>
      </c>
      <c r="X96" s="10">
        <f t="shared" si="5"/>
        <v>20.882361395293302</v>
      </c>
    </row>
    <row r="97" spans="13:24" ht="19.5">
      <c r="M97" s="10" t="s">
        <v>456</v>
      </c>
      <c r="N97" s="10">
        <v>49</v>
      </c>
      <c r="O97" s="83">
        <v>178.0735181917938</v>
      </c>
      <c r="P97" s="10">
        <f t="shared" si="3"/>
        <v>23.221168721131939</v>
      </c>
      <c r="U97" s="10">
        <f>'[3]chap7-2_初期状態'!D97</f>
        <v>101</v>
      </c>
      <c r="V97" s="10">
        <f t="shared" si="4"/>
        <v>178.0735181917938</v>
      </c>
      <c r="W97" s="10">
        <f>'[3]chap7-2_初期状態'!F97</f>
        <v>36</v>
      </c>
      <c r="X97" s="10">
        <f t="shared" si="5"/>
        <v>23.221168721131939</v>
      </c>
    </row>
    <row r="98" spans="13:24" ht="19.5">
      <c r="M98" s="10" t="s">
        <v>461</v>
      </c>
      <c r="N98" s="10">
        <v>74</v>
      </c>
      <c r="O98" s="83">
        <v>190.57367474282694</v>
      </c>
      <c r="P98" s="10">
        <f t="shared" si="3"/>
        <v>20.972311564923281</v>
      </c>
      <c r="U98" s="10">
        <f>'[3]chap7-2_初期状態'!D98</f>
        <v>113</v>
      </c>
      <c r="V98" s="10">
        <f t="shared" si="4"/>
        <v>190.57367474282694</v>
      </c>
      <c r="W98" s="10">
        <f>'[3]chap7-2_初期状態'!F98</f>
        <v>38</v>
      </c>
      <c r="X98" s="10">
        <f t="shared" si="5"/>
        <v>20.972311564923281</v>
      </c>
    </row>
    <row r="99" spans="13:24" ht="19.5">
      <c r="M99" s="10" t="s">
        <v>465</v>
      </c>
      <c r="N99" s="10">
        <v>97</v>
      </c>
      <c r="O99" s="83">
        <v>202.07350986262978</v>
      </c>
      <c r="P99" s="10">
        <f t="shared" si="3"/>
        <v>18.90341855555927</v>
      </c>
      <c r="U99" s="10">
        <f>'[3]chap7-2_初期状態'!D99</f>
        <v>162</v>
      </c>
      <c r="V99" s="10">
        <f t="shared" si="4"/>
        <v>202.07350986262978</v>
      </c>
      <c r="W99" s="10">
        <f>'[3]chap7-2_初期状態'!F99</f>
        <v>28</v>
      </c>
      <c r="X99" s="10">
        <f t="shared" si="5"/>
        <v>18.90341855555927</v>
      </c>
    </row>
    <row r="100" spans="13:24" ht="19.5">
      <c r="M100" s="10" t="s">
        <v>466</v>
      </c>
      <c r="N100" s="10">
        <v>58</v>
      </c>
      <c r="O100" s="83">
        <v>182.57373472424229</v>
      </c>
      <c r="P100" s="10">
        <f t="shared" si="3"/>
        <v>22.411551328568251</v>
      </c>
      <c r="U100" s="10">
        <f>'[3]chap7-2_初期状態'!D100</f>
        <v>144</v>
      </c>
      <c r="V100" s="10">
        <f t="shared" si="4"/>
        <v>182.57373472424229</v>
      </c>
      <c r="W100" s="10">
        <f>'[3]chap7-2_初期状態'!F100</f>
        <v>27</v>
      </c>
      <c r="X100" s="10">
        <f t="shared" si="5"/>
        <v>22.411551328568251</v>
      </c>
    </row>
    <row r="101" spans="13:24" ht="19.5">
      <c r="M101" s="10" t="s">
        <v>473</v>
      </c>
      <c r="N101" s="10">
        <v>78</v>
      </c>
      <c r="O101" s="83">
        <v>192.57360826294848</v>
      </c>
      <c r="P101" s="10">
        <f t="shared" si="3"/>
        <v>20.612510886403363</v>
      </c>
      <c r="U101" s="10">
        <f>'[3]chap7-2_初期状態'!D101</f>
        <v>126</v>
      </c>
      <c r="V101" s="10">
        <f t="shared" si="4"/>
        <v>192.57360826294848</v>
      </c>
      <c r="W101" s="10">
        <f>'[3]chap7-2_初期状態'!F101</f>
        <v>36</v>
      </c>
      <c r="X101" s="10">
        <f t="shared" si="5"/>
        <v>20.612510886403363</v>
      </c>
    </row>
    <row r="102" spans="13:24" ht="19.5">
      <c r="M102" s="10" t="s">
        <v>480</v>
      </c>
      <c r="N102" s="10">
        <v>112</v>
      </c>
      <c r="O102" s="83">
        <v>209.5734779421895</v>
      </c>
      <c r="P102" s="10">
        <f t="shared" si="3"/>
        <v>17.554126903235094</v>
      </c>
      <c r="U102" s="10">
        <f>'[3]chap7-2_初期状態'!D102</f>
        <v>226</v>
      </c>
      <c r="V102" s="10">
        <f t="shared" si="4"/>
        <v>209.5734779421895</v>
      </c>
      <c r="W102" s="10">
        <f>'[3]chap7-2_初期状態'!F102</f>
        <v>9</v>
      </c>
      <c r="X102" s="10">
        <f t="shared" si="5"/>
        <v>17.554126903235094</v>
      </c>
    </row>
    <row r="103" spans="13:24" ht="19.5">
      <c r="M103" s="10" t="s">
        <v>481</v>
      </c>
      <c r="N103" s="10">
        <v>114</v>
      </c>
      <c r="O103" s="83">
        <v>210.57360487632687</v>
      </c>
      <c r="P103" s="10">
        <f t="shared" si="3"/>
        <v>17.374197747646562</v>
      </c>
      <c r="U103" s="10">
        <f>'[3]chap7-2_初期状態'!D103</f>
        <v>176</v>
      </c>
      <c r="V103" s="10">
        <f t="shared" si="4"/>
        <v>210.57360487632687</v>
      </c>
      <c r="W103" s="10">
        <f>'[3]chap7-2_初期状態'!F103</f>
        <v>19</v>
      </c>
      <c r="X103" s="10">
        <f t="shared" si="5"/>
        <v>17.374197747646562</v>
      </c>
    </row>
    <row r="104" spans="13:24" ht="19.5">
      <c r="M104" s="10" t="s">
        <v>487</v>
      </c>
      <c r="N104" s="10">
        <v>94</v>
      </c>
      <c r="O104" s="83">
        <v>200.57354828153314</v>
      </c>
      <c r="P104" s="10">
        <f t="shared" si="3"/>
        <v>19.173271122758393</v>
      </c>
      <c r="U104" s="10">
        <f>'[3]chap7-2_初期状態'!D104</f>
        <v>184</v>
      </c>
      <c r="V104" s="10">
        <f t="shared" si="4"/>
        <v>200.57354828153314</v>
      </c>
      <c r="W104" s="10">
        <f>'[3]chap7-2_初期状態'!F104</f>
        <v>35</v>
      </c>
      <c r="X104" s="10">
        <f t="shared" si="5"/>
        <v>19.173271122758393</v>
      </c>
    </row>
    <row r="105" spans="13:24" ht="19.5">
      <c r="M105" s="10" t="s">
        <v>488</v>
      </c>
      <c r="N105" s="10">
        <v>98</v>
      </c>
      <c r="O105" s="83">
        <v>202.57366485774222</v>
      </c>
      <c r="P105" s="10">
        <f t="shared" si="3"/>
        <v>18.813437511291532</v>
      </c>
      <c r="U105" s="10">
        <f>'[3]chap7-2_初期状態'!D105</f>
        <v>137</v>
      </c>
      <c r="V105" s="10">
        <f t="shared" si="4"/>
        <v>202.57366485774222</v>
      </c>
      <c r="W105" s="10">
        <f>'[3]chap7-2_初期状態'!F105</f>
        <v>43</v>
      </c>
      <c r="X105" s="10">
        <f t="shared" si="5"/>
        <v>18.813437511291532</v>
      </c>
    </row>
    <row r="106" spans="13:24" ht="19.5">
      <c r="M106" s="10" t="s">
        <v>496</v>
      </c>
      <c r="N106" s="10">
        <v>65</v>
      </c>
      <c r="O106" s="83">
        <v>186.07345821037845</v>
      </c>
      <c r="P106" s="10">
        <f t="shared" si="3"/>
        <v>21.781928957486961</v>
      </c>
      <c r="U106" s="10">
        <f>'[3]chap7-2_初期状態'!D106</f>
        <v>138</v>
      </c>
      <c r="V106" s="10">
        <f t="shared" si="4"/>
        <v>186.07345821037845</v>
      </c>
      <c r="W106" s="10">
        <f>'[3]chap7-2_初期状態'!F106</f>
        <v>28</v>
      </c>
      <c r="X106" s="10">
        <f t="shared" si="5"/>
        <v>21.781928957486961</v>
      </c>
    </row>
    <row r="107" spans="13:24" ht="19.5">
      <c r="M107" s="10" t="s">
        <v>497</v>
      </c>
      <c r="N107" s="10">
        <v>67</v>
      </c>
      <c r="O107" s="83">
        <v>187.07360802652673</v>
      </c>
      <c r="P107" s="10">
        <f t="shared" si="3"/>
        <v>21.601995685280073</v>
      </c>
      <c r="U107" s="10">
        <f>'[3]chap7-2_初期状態'!D107</f>
        <v>133</v>
      </c>
      <c r="V107" s="10">
        <f t="shared" si="4"/>
        <v>187.07360802652673</v>
      </c>
      <c r="W107" s="10">
        <f>'[3]chap7-2_初期状態'!F107</f>
        <v>17</v>
      </c>
      <c r="X107" s="10">
        <f t="shared" si="5"/>
        <v>21.601995685280073</v>
      </c>
    </row>
    <row r="108" spans="13:24" ht="19.5">
      <c r="M108" s="10" t="s">
        <v>500</v>
      </c>
      <c r="N108" s="10">
        <v>88</v>
      </c>
      <c r="O108" s="83">
        <v>197.57364800135082</v>
      </c>
      <c r="P108" s="10">
        <f t="shared" si="3"/>
        <v>19.712972140538263</v>
      </c>
      <c r="U108" s="10">
        <f>'[3]chap7-2_初期状態'!D108</f>
        <v>159</v>
      </c>
      <c r="V108" s="10">
        <f t="shared" si="4"/>
        <v>197.57364800135082</v>
      </c>
      <c r="W108" s="10">
        <f>'[3]chap7-2_初期状態'!F108</f>
        <v>21</v>
      </c>
      <c r="X108" s="10">
        <f t="shared" si="5"/>
        <v>19.712972140538263</v>
      </c>
    </row>
    <row r="109" spans="13:24" ht="19.5">
      <c r="M109" s="10" t="s">
        <v>507</v>
      </c>
      <c r="N109" s="10">
        <v>85</v>
      </c>
      <c r="O109" s="83">
        <v>196.07368642025418</v>
      </c>
      <c r="P109" s="10">
        <f t="shared" si="3"/>
        <v>19.982824707737386</v>
      </c>
      <c r="U109" s="10">
        <f>'[3]chap7-2_初期状態'!D109</f>
        <v>129</v>
      </c>
      <c r="V109" s="10">
        <f t="shared" si="4"/>
        <v>196.07368642025418</v>
      </c>
      <c r="W109" s="10">
        <f>'[3]chap7-2_初期状態'!F109</f>
        <v>19</v>
      </c>
      <c r="X109" s="10">
        <f t="shared" si="5"/>
        <v>19.982824707737386</v>
      </c>
    </row>
    <row r="110" spans="13:24" ht="19.5">
      <c r="M110" s="10" t="s">
        <v>511</v>
      </c>
      <c r="N110" s="10">
        <v>88</v>
      </c>
      <c r="O110" s="83">
        <v>197.57364800135082</v>
      </c>
      <c r="P110" s="10">
        <f t="shared" si="3"/>
        <v>19.712972140538263</v>
      </c>
      <c r="U110" s="10">
        <f>'[3]chap7-2_初期状態'!D110</f>
        <v>154</v>
      </c>
      <c r="V110" s="10">
        <f t="shared" si="4"/>
        <v>197.57364800135082</v>
      </c>
      <c r="W110" s="10">
        <f>'[3]chap7-2_初期状態'!F110</f>
        <v>27</v>
      </c>
      <c r="X110" s="10">
        <f t="shared" si="5"/>
        <v>19.712972140538263</v>
      </c>
    </row>
    <row r="111" spans="13:24" ht="19.5">
      <c r="M111" s="10" t="s">
        <v>512</v>
      </c>
      <c r="N111" s="10">
        <v>80</v>
      </c>
      <c r="O111" s="83">
        <v>193.57359790502022</v>
      </c>
      <c r="P111" s="10">
        <f t="shared" si="3"/>
        <v>20.432606430525034</v>
      </c>
      <c r="U111" s="10">
        <f>'[3]chap7-2_初期状態'!D111</f>
        <v>166</v>
      </c>
      <c r="V111" s="10">
        <f t="shared" si="4"/>
        <v>193.57359790502022</v>
      </c>
      <c r="W111" s="10">
        <f>'[3]chap7-2_初期状態'!F111</f>
        <v>13</v>
      </c>
      <c r="X111" s="10">
        <f t="shared" si="5"/>
        <v>20.432606430525034</v>
      </c>
    </row>
    <row r="112" spans="13:24" ht="19.5">
      <c r="M112" s="10" t="s">
        <v>517</v>
      </c>
      <c r="N112" s="10">
        <v>89</v>
      </c>
      <c r="O112" s="83">
        <v>198.07345976629915</v>
      </c>
      <c r="P112" s="10">
        <f t="shared" si="3"/>
        <v>19.623052845546042</v>
      </c>
      <c r="U112" s="10">
        <f>'[3]chap7-2_初期状態'!D112</f>
        <v>142</v>
      </c>
      <c r="V112" s="10">
        <f t="shared" si="4"/>
        <v>198.07345976629915</v>
      </c>
      <c r="W112" s="10">
        <f>'[3]chap7-2_初期状態'!F112</f>
        <v>22</v>
      </c>
      <c r="X112" s="10">
        <f t="shared" si="5"/>
        <v>19.623052845546042</v>
      </c>
    </row>
    <row r="113" spans="13:24" ht="19.5">
      <c r="M113" s="10" t="s">
        <v>518</v>
      </c>
      <c r="N113" s="10">
        <v>78</v>
      </c>
      <c r="O113" s="83">
        <v>192.57360826294848</v>
      </c>
      <c r="P113" s="10">
        <f t="shared" si="3"/>
        <v>20.612510886403363</v>
      </c>
      <c r="U113" s="10">
        <f>'[3]chap7-2_初期状態'!D113</f>
        <v>158</v>
      </c>
      <c r="V113" s="10">
        <f t="shared" si="4"/>
        <v>192.57360826294848</v>
      </c>
      <c r="W113" s="10">
        <f>'[3]chap7-2_初期状態'!F113</f>
        <v>17</v>
      </c>
      <c r="X113" s="10">
        <f t="shared" si="5"/>
        <v>20.612510886403363</v>
      </c>
    </row>
    <row r="114" spans="13:24" ht="19.5">
      <c r="M114" s="10" t="s">
        <v>524</v>
      </c>
      <c r="N114" s="10">
        <v>67</v>
      </c>
      <c r="O114" s="83">
        <v>187.07360802652673</v>
      </c>
      <c r="P114" s="10">
        <f t="shared" si="3"/>
        <v>21.601995685280073</v>
      </c>
      <c r="U114" s="10">
        <f>'[3]chap7-2_初期状態'!D114</f>
        <v>113</v>
      </c>
      <c r="V114" s="10">
        <f t="shared" si="4"/>
        <v>187.07360802652673</v>
      </c>
      <c r="W114" s="10">
        <f>'[3]chap7-2_初期状態'!F114</f>
        <v>40</v>
      </c>
      <c r="X114" s="10">
        <f t="shared" si="5"/>
        <v>21.601995685280073</v>
      </c>
    </row>
    <row r="115" spans="13:24" ht="19.5">
      <c r="M115" s="10" t="s">
        <v>525</v>
      </c>
      <c r="N115" s="10">
        <v>105</v>
      </c>
      <c r="O115" s="83">
        <v>206.0733997848838</v>
      </c>
      <c r="P115" s="10">
        <f t="shared" si="3"/>
        <v>18.183813081901064</v>
      </c>
      <c r="U115" s="10">
        <f>'[3]chap7-2_初期状態'!D115</f>
        <v>161</v>
      </c>
      <c r="V115" s="10">
        <f t="shared" si="4"/>
        <v>206.0733997848838</v>
      </c>
      <c r="W115" s="10">
        <f>'[3]chap7-2_初期状態'!F115</f>
        <v>19</v>
      </c>
      <c r="X115" s="10">
        <f t="shared" si="5"/>
        <v>18.183813081901064</v>
      </c>
    </row>
    <row r="116" spans="13:24" ht="19.5">
      <c r="M116" s="10" t="s">
        <v>532</v>
      </c>
      <c r="N116" s="10">
        <v>93</v>
      </c>
      <c r="O116" s="83">
        <v>200.07357634250823</v>
      </c>
      <c r="P116" s="10">
        <f t="shared" si="3"/>
        <v>19.26321923407918</v>
      </c>
      <c r="U116" s="10">
        <f>'[3]chap7-2_初期状態'!D116</f>
        <v>191</v>
      </c>
      <c r="V116" s="10">
        <f t="shared" si="4"/>
        <v>200.07357634250823</v>
      </c>
      <c r="W116" s="10">
        <f>'[3]chap7-2_初期状態'!F116</f>
        <v>19</v>
      </c>
      <c r="X116" s="10">
        <f t="shared" si="5"/>
        <v>19.26321923407918</v>
      </c>
    </row>
    <row r="117" spans="13:24" ht="19.5">
      <c r="M117" s="10" t="s">
        <v>541</v>
      </c>
      <c r="N117" s="10">
        <v>76</v>
      </c>
      <c r="O117" s="83">
        <v>191.57346988780569</v>
      </c>
      <c r="P117" s="10">
        <f t="shared" si="3"/>
        <v>20.792442100301074</v>
      </c>
      <c r="U117" s="10">
        <f>'[3]chap7-2_初期状態'!D117</f>
        <v>204</v>
      </c>
      <c r="V117" s="10">
        <f t="shared" si="4"/>
        <v>191.57346988780569</v>
      </c>
      <c r="W117" s="10">
        <f>'[3]chap7-2_初期状態'!F117</f>
        <v>22</v>
      </c>
      <c r="X117" s="10">
        <f t="shared" si="5"/>
        <v>20.792442100301074</v>
      </c>
    </row>
    <row r="118" spans="13:24" ht="19.5">
      <c r="M118" s="10" t="s">
        <v>542</v>
      </c>
      <c r="N118" s="10">
        <v>81</v>
      </c>
      <c r="O118" s="83">
        <v>194.07338678795762</v>
      </c>
      <c r="P118" s="10">
        <f t="shared" si="3"/>
        <v>20.342691252151177</v>
      </c>
      <c r="U118" s="10">
        <f>'[3]chap7-2_初期状態'!D118</f>
        <v>148</v>
      </c>
      <c r="V118" s="10">
        <f>O118</f>
        <v>194.07338678795762</v>
      </c>
      <c r="W118" s="10">
        <f>'[3]chap7-2_初期状態'!F118</f>
        <v>39</v>
      </c>
      <c r="X118" s="10">
        <f t="shared" si="5"/>
        <v>20.342691252151177</v>
      </c>
    </row>
    <row r="119" spans="13:24" ht="19.5">
      <c r="M119" s="10" t="s">
        <v>546</v>
      </c>
      <c r="N119" s="10">
        <v>90</v>
      </c>
      <c r="O119" s="83">
        <v>198.57361476141159</v>
      </c>
      <c r="P119" s="10">
        <f t="shared" si="3"/>
        <v>19.533071801278304</v>
      </c>
      <c r="U119" s="10">
        <f>'[3]chap7-2_初期状態'!D119</f>
        <v>175</v>
      </c>
      <c r="V119" s="10">
        <f t="shared" si="4"/>
        <v>198.57361476141159</v>
      </c>
      <c r="W119" s="10">
        <f>'[3]chap7-2_初期状態'!F119</f>
        <v>24</v>
      </c>
      <c r="X119" s="10">
        <f t="shared" si="5"/>
        <v>19.533071801278304</v>
      </c>
    </row>
    <row r="120" spans="13:24" ht="19.5">
      <c r="M120" s="10" t="s">
        <v>551</v>
      </c>
      <c r="N120" s="10">
        <v>114</v>
      </c>
      <c r="O120" s="83">
        <v>210.57360487632687</v>
      </c>
      <c r="P120" s="10">
        <f t="shared" si="3"/>
        <v>17.374197747646562</v>
      </c>
      <c r="U120" s="10">
        <f>'[3]chap7-2_初期状態'!D120</f>
        <v>180</v>
      </c>
      <c r="V120" s="10">
        <f t="shared" si="4"/>
        <v>210.57360487632687</v>
      </c>
      <c r="W120" s="10">
        <f>'[3]chap7-2_初期状態'!F120</f>
        <v>30</v>
      </c>
      <c r="X120" s="10">
        <f t="shared" si="5"/>
        <v>17.374197747646562</v>
      </c>
    </row>
    <row r="121" spans="13:24" ht="19.5">
      <c r="M121" s="10" t="s">
        <v>556</v>
      </c>
      <c r="N121" s="10">
        <v>89</v>
      </c>
      <c r="O121" s="83">
        <v>198.07345976629915</v>
      </c>
      <c r="P121" s="10">
        <f t="shared" si="3"/>
        <v>19.623052845546042</v>
      </c>
      <c r="U121" s="10">
        <f>'[3]chap7-2_初期状態'!D121</f>
        <v>196</v>
      </c>
      <c r="V121" s="10">
        <f t="shared" si="4"/>
        <v>198.07345976629915</v>
      </c>
      <c r="W121" s="10">
        <f>'[3]chap7-2_初期状態'!F121</f>
        <v>23</v>
      </c>
      <c r="X121" s="10">
        <f t="shared" si="5"/>
        <v>19.623052845546042</v>
      </c>
    </row>
    <row r="122" spans="13:24" ht="19.5">
      <c r="M122" s="10" t="s">
        <v>561</v>
      </c>
      <c r="N122" s="10">
        <v>73</v>
      </c>
      <c r="O122" s="83">
        <v>190.07351974771453</v>
      </c>
      <c r="P122" s="10">
        <f t="shared" si="3"/>
        <v>21.062292609191012</v>
      </c>
      <c r="U122" s="10">
        <f>'[3]chap7-2_初期状態'!D122</f>
        <v>139</v>
      </c>
      <c r="V122" s="10">
        <f t="shared" si="4"/>
        <v>190.07351974771453</v>
      </c>
      <c r="W122" s="10">
        <f>'[3]chap7-2_初期状態'!F122</f>
        <v>23</v>
      </c>
      <c r="X122" s="10">
        <f t="shared" si="5"/>
        <v>21.062292609191012</v>
      </c>
    </row>
    <row r="123" spans="13:24" ht="19.5">
      <c r="M123" s="10" t="s">
        <v>567</v>
      </c>
      <c r="N123" s="10">
        <v>89</v>
      </c>
      <c r="O123" s="83">
        <v>198.07345976629915</v>
      </c>
      <c r="P123" s="10">
        <f t="shared" si="3"/>
        <v>19.623052845546042</v>
      </c>
      <c r="U123" s="10">
        <f>'[3]chap7-2_初期状態'!D123</f>
        <v>164</v>
      </c>
      <c r="V123" s="10">
        <f t="shared" si="4"/>
        <v>198.07345976629915</v>
      </c>
      <c r="W123" s="10">
        <f>'[3]chap7-2_初期状態'!F123</f>
        <v>34</v>
      </c>
      <c r="X123" s="10">
        <f t="shared" si="5"/>
        <v>19.623052845546042</v>
      </c>
    </row>
    <row r="124" spans="13:24" ht="19.5">
      <c r="M124" s="10" t="s">
        <v>574</v>
      </c>
      <c r="N124" s="10">
        <v>42</v>
      </c>
      <c r="O124" s="83">
        <v>174.5734400344881</v>
      </c>
      <c r="P124" s="10">
        <f t="shared" si="3"/>
        <v>23.850854899797913</v>
      </c>
      <c r="U124" s="10">
        <f>'[3]chap7-2_初期状態'!D124</f>
        <v>130</v>
      </c>
      <c r="V124" s="10">
        <f t="shared" si="4"/>
        <v>174.5734400344881</v>
      </c>
      <c r="W124" s="10">
        <f>'[3]chap7-2_初期状態'!F124</f>
        <v>19</v>
      </c>
      <c r="X124" s="10">
        <f t="shared" si="5"/>
        <v>23.850854899797913</v>
      </c>
    </row>
    <row r="125" spans="13:24" ht="19.5">
      <c r="M125" s="10" t="s">
        <v>583</v>
      </c>
      <c r="N125" s="10">
        <v>68</v>
      </c>
      <c r="O125" s="83">
        <v>187.57340835046961</v>
      </c>
      <c r="P125" s="10">
        <f t="shared" si="3"/>
        <v>21.512078448597023</v>
      </c>
      <c r="U125" s="10">
        <f>'[3]chap7-2_初期状態'!D125</f>
        <v>148</v>
      </c>
      <c r="V125" s="10">
        <f t="shared" si="4"/>
        <v>187.57340835046961</v>
      </c>
      <c r="W125" s="10">
        <f>'[3]chap7-2_初期状態'!F125</f>
        <v>30</v>
      </c>
      <c r="X125" s="10">
        <f t="shared" si="5"/>
        <v>21.512078448597023</v>
      </c>
    </row>
    <row r="126" spans="13:24" ht="19.5">
      <c r="M126" s="10" t="s">
        <v>589</v>
      </c>
      <c r="N126" s="10">
        <v>128</v>
      </c>
      <c r="O126" s="83">
        <v>217.57376119093826</v>
      </c>
      <c r="P126" s="10">
        <f t="shared" si="3"/>
        <v>16.114825390314607</v>
      </c>
      <c r="U126" s="10">
        <f>'[3]chap7-2_初期状態'!D126</f>
        <v>167</v>
      </c>
      <c r="V126" s="10">
        <f t="shared" si="4"/>
        <v>217.57376119093826</v>
      </c>
      <c r="W126" s="10">
        <f>'[3]chap7-2_初期状態'!F126</f>
        <v>30</v>
      </c>
      <c r="X126" s="10">
        <f t="shared" si="5"/>
        <v>16.114825390314607</v>
      </c>
    </row>
    <row r="127" spans="13:24" ht="19.5">
      <c r="M127" s="10" t="s">
        <v>596</v>
      </c>
      <c r="N127" s="10">
        <v>78</v>
      </c>
      <c r="O127" s="83">
        <v>192.57360826294848</v>
      </c>
      <c r="P127" s="10">
        <f t="shared" si="3"/>
        <v>20.612510886403363</v>
      </c>
      <c r="U127" s="10">
        <f>'[3]chap7-2_初期状態'!D127</f>
        <v>180</v>
      </c>
      <c r="V127" s="10">
        <f t="shared" si="4"/>
        <v>192.57360826294848</v>
      </c>
      <c r="W127" s="10">
        <f>'[3]chap7-2_初期状態'!F127</f>
        <v>36</v>
      </c>
      <c r="X127" s="10">
        <f t="shared" si="5"/>
        <v>20.612510886403363</v>
      </c>
    </row>
    <row r="128" spans="13:24" ht="19.5">
      <c r="M128" s="10" t="s">
        <v>597</v>
      </c>
      <c r="N128" s="10">
        <v>103</v>
      </c>
      <c r="O128" s="83">
        <v>205.0735931988996</v>
      </c>
      <c r="P128" s="10">
        <f t="shared" si="3"/>
        <v>18.363684604832457</v>
      </c>
      <c r="U128" s="10">
        <f>'[3]chap7-2_初期状態'!D128</f>
        <v>195</v>
      </c>
      <c r="V128" s="10">
        <f t="shared" si="4"/>
        <v>205.0735931988996</v>
      </c>
      <c r="W128" s="10">
        <f>'[3]chap7-2_初期状態'!F128</f>
        <v>22</v>
      </c>
      <c r="X128" s="10">
        <f t="shared" si="5"/>
        <v>18.363684604832457</v>
      </c>
    </row>
    <row r="129" spans="13:24" ht="19.5">
      <c r="M129" s="10" t="s">
        <v>600</v>
      </c>
      <c r="N129" s="10">
        <v>61</v>
      </c>
      <c r="O129" s="83">
        <v>184.07334163416937</v>
      </c>
      <c r="P129" s="10">
        <f t="shared" si="3"/>
        <v>22.141762568953823</v>
      </c>
      <c r="U129" s="10">
        <f>'[3]chap7-2_初期状態'!D129</f>
        <v>118</v>
      </c>
      <c r="V129" s="10">
        <f t="shared" si="4"/>
        <v>184.07334163416937</v>
      </c>
      <c r="W129" s="10">
        <f>'[3]chap7-2_初期状態'!F129</f>
        <v>28</v>
      </c>
      <c r="X129" s="10">
        <f t="shared" si="5"/>
        <v>22.141762568953823</v>
      </c>
    </row>
    <row r="130" spans="13:24" ht="19.5">
      <c r="M130" s="10" t="s">
        <v>601</v>
      </c>
      <c r="N130" s="10">
        <v>109</v>
      </c>
      <c r="O130" s="83">
        <v>208.07351636109289</v>
      </c>
      <c r="P130" s="10">
        <f t="shared" ref="P130:P136" si="6">$C$36 + $C$37 * O130</f>
        <v>17.82397947043421</v>
      </c>
      <c r="U130" s="10">
        <f>'[3]chap7-2_初期状態'!D130</f>
        <v>153</v>
      </c>
      <c r="V130" s="10">
        <f t="shared" si="4"/>
        <v>208.07351636109289</v>
      </c>
      <c r="W130" s="10">
        <f>'[3]chap7-2_初期状態'!F130</f>
        <v>15</v>
      </c>
      <c r="X130" s="10">
        <f t="shared" si="5"/>
        <v>17.82397947043421</v>
      </c>
    </row>
    <row r="131" spans="13:24" ht="19.5">
      <c r="M131" s="10" t="s">
        <v>606</v>
      </c>
      <c r="N131" s="10">
        <v>48</v>
      </c>
      <c r="O131" s="83">
        <v>177.57370642684543</v>
      </c>
      <c r="P131" s="10">
        <f t="shared" si="6"/>
        <v>23.311088016124167</v>
      </c>
      <c r="U131" s="10">
        <f>'[3]chap7-2_初期状態'!D131</f>
        <v>166</v>
      </c>
      <c r="V131" s="10">
        <f t="shared" ref="V131:V136" si="7">O131</f>
        <v>177.57370642684543</v>
      </c>
      <c r="W131" s="10">
        <f>'[3]chap7-2_初期状態'!F131</f>
        <v>27</v>
      </c>
      <c r="X131" s="10">
        <f t="shared" ref="X131:X136" si="8">P131</f>
        <v>23.311088016124167</v>
      </c>
    </row>
    <row r="132" spans="13:24" ht="19.5">
      <c r="M132" s="10" t="s">
        <v>607</v>
      </c>
      <c r="N132" s="10">
        <v>93</v>
      </c>
      <c r="O132" s="83">
        <v>200.07357634250823</v>
      </c>
      <c r="P132" s="10">
        <f t="shared" si="6"/>
        <v>19.26321923407918</v>
      </c>
      <c r="U132" s="10">
        <f>'[3]chap7-2_初期状態'!D132</f>
        <v>161</v>
      </c>
      <c r="V132" s="10">
        <f t="shared" si="7"/>
        <v>200.07357634250823</v>
      </c>
      <c r="W132" s="10">
        <f>'[3]chap7-2_初期状態'!F132</f>
        <v>45</v>
      </c>
      <c r="X132" s="10">
        <f t="shared" si="8"/>
        <v>19.26321923407918</v>
      </c>
    </row>
    <row r="133" spans="13:24" ht="19.5">
      <c r="M133" s="10" t="s">
        <v>612</v>
      </c>
      <c r="N133" s="10">
        <v>75</v>
      </c>
      <c r="O133" s="83">
        <v>191.07365812285732</v>
      </c>
      <c r="P133" s="10">
        <f t="shared" si="6"/>
        <v>20.882361395293302</v>
      </c>
      <c r="U133" s="10">
        <f>'[3]chap7-2_初期状態'!D133</f>
        <v>166</v>
      </c>
      <c r="V133" s="10">
        <f t="shared" si="7"/>
        <v>191.07365812285732</v>
      </c>
      <c r="W133" s="10">
        <f>'[3]chap7-2_初期状態'!F133</f>
        <v>30</v>
      </c>
      <c r="X133" s="10">
        <f t="shared" si="8"/>
        <v>20.882361395293302</v>
      </c>
    </row>
    <row r="134" spans="13:24" ht="19.5">
      <c r="M134" s="10" t="s">
        <v>619</v>
      </c>
      <c r="N134" s="10">
        <v>84</v>
      </c>
      <c r="O134" s="83">
        <v>195.57334836905423</v>
      </c>
      <c r="P134" s="10">
        <f t="shared" si="6"/>
        <v>20.07283868495206</v>
      </c>
      <c r="U134" s="10">
        <f>'[3]chap7-2_初期状態'!D134</f>
        <v>178</v>
      </c>
      <c r="V134" s="10">
        <f t="shared" si="7"/>
        <v>195.57334836905423</v>
      </c>
      <c r="W134" s="10">
        <f>'[3]chap7-2_初期状態'!F134</f>
        <v>34</v>
      </c>
      <c r="X134" s="10">
        <f t="shared" si="8"/>
        <v>20.07283868495206</v>
      </c>
    </row>
    <row r="135" spans="13:24" ht="19.5">
      <c r="M135" s="10" t="s">
        <v>624</v>
      </c>
      <c r="N135" s="10">
        <v>86</v>
      </c>
      <c r="O135" s="83">
        <v>196.57349818520254</v>
      </c>
      <c r="P135" s="10">
        <f t="shared" si="6"/>
        <v>19.892905412745158</v>
      </c>
      <c r="U135" s="10">
        <f>'[3]chap7-2_初期状態'!D135</f>
        <v>157</v>
      </c>
      <c r="V135" s="10">
        <f t="shared" si="7"/>
        <v>196.57349818520254</v>
      </c>
      <c r="W135" s="10">
        <f>'[3]chap7-2_初期状態'!F135</f>
        <v>28</v>
      </c>
      <c r="X135" s="10">
        <f t="shared" si="8"/>
        <v>19.892905412745158</v>
      </c>
    </row>
    <row r="136" spans="13:24" ht="19.5">
      <c r="M136" s="10" t="s">
        <v>625</v>
      </c>
      <c r="N136" s="10">
        <v>107</v>
      </c>
      <c r="O136" s="83">
        <v>207.07354960103211</v>
      </c>
      <c r="P136" s="10">
        <f t="shared" si="6"/>
        <v>18.003879809694169</v>
      </c>
      <c r="U136" s="10">
        <f>'[3]chap7-2_初期状態'!D136</f>
        <v>179</v>
      </c>
      <c r="V136" s="10">
        <f t="shared" si="7"/>
        <v>207.07354960103211</v>
      </c>
      <c r="W136" s="10">
        <f>'[3]chap7-2_初期状態'!F136</f>
        <v>19</v>
      </c>
      <c r="X136" s="10">
        <f t="shared" si="8"/>
        <v>18.003879809694169</v>
      </c>
    </row>
  </sheetData>
  <mergeCells count="5">
    <mergeCell ref="B7:C7"/>
    <mergeCell ref="R7:S7"/>
    <mergeCell ref="B11:C11"/>
    <mergeCell ref="B15:C15"/>
    <mergeCell ref="B19:C19"/>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975E-8822-423A-AC92-6FD3FC7215AE}">
  <dimension ref="A1:AC136"/>
  <sheetViews>
    <sheetView tabSelected="1" workbookViewId="0">
      <selection activeCell="N8" sqref="N8"/>
    </sheetView>
  </sheetViews>
  <sheetFormatPr defaultColWidth="12.25" defaultRowHeight="14.25" outlineLevelRow="1" outlineLevelCol="1"/>
  <cols>
    <col min="1" max="1" width="3.375" style="104" customWidth="1"/>
    <col min="2" max="2" width="12.25" style="104"/>
    <col min="3" max="3" width="13.25" style="104" customWidth="1"/>
    <col min="4" max="4" width="12.125" style="104" hidden="1" customWidth="1" outlineLevel="1"/>
    <col min="5" max="5" width="15.25" style="104" hidden="1" customWidth="1" outlineLevel="1"/>
    <col min="6" max="8" width="12.125" style="104" hidden="1" customWidth="1" outlineLevel="1"/>
    <col min="9" max="9" width="14.625" style="104" hidden="1" customWidth="1" outlineLevel="1"/>
    <col min="10" max="10" width="1.375" style="104" hidden="1" customWidth="1" outlineLevel="1"/>
    <col min="11" max="11" width="4.25" style="105" customWidth="1" collapsed="1"/>
    <col min="12" max="12" width="12.25" style="104"/>
    <col min="13" max="13" width="10.125" style="104" bestFit="1" customWidth="1"/>
    <col min="14" max="16" width="12.25" style="104"/>
    <col min="17" max="17" width="13.5" style="104" bestFit="1" customWidth="1"/>
    <col min="18" max="18" width="4.25" style="104" customWidth="1"/>
    <col min="19" max="25" width="12.25" style="104"/>
    <col min="26" max="26" width="4" style="104" customWidth="1"/>
    <col min="27" max="27" width="13.5" style="104" bestFit="1" customWidth="1"/>
    <col min="28" max="30" width="12.25" style="104"/>
    <col min="31" max="31" width="12.125" style="104" customWidth="1"/>
    <col min="32" max="16384" width="12.25" style="104"/>
  </cols>
  <sheetData>
    <row r="1" spans="1:29" ht="19.5">
      <c r="A1" s="103"/>
      <c r="B1" s="103"/>
      <c r="L1" s="104" t="s">
        <v>991</v>
      </c>
      <c r="M1" s="104" t="s">
        <v>992</v>
      </c>
      <c r="N1" s="104" t="s">
        <v>993</v>
      </c>
      <c r="O1" s="104" t="s">
        <v>994</v>
      </c>
      <c r="P1" s="104" t="s">
        <v>995</v>
      </c>
      <c r="Q1" s="104" t="s">
        <v>996</v>
      </c>
      <c r="U1" s="104" t="s">
        <v>997</v>
      </c>
      <c r="V1" s="104" t="s">
        <v>998</v>
      </c>
      <c r="W1" s="104" t="s">
        <v>999</v>
      </c>
      <c r="X1" s="104" t="s">
        <v>1000</v>
      </c>
      <c r="Y1" s="106" t="s">
        <v>1001</v>
      </c>
    </row>
    <row r="2" spans="1:29" ht="15">
      <c r="M2" s="104" t="s">
        <v>38</v>
      </c>
      <c r="N2" s="104">
        <v>85</v>
      </c>
      <c r="O2" s="107">
        <v>184.99999973460766</v>
      </c>
      <c r="P2" s="104">
        <f t="shared" ref="P2:P65" si="0">$C$36 + $C$37 * O2</f>
        <v>21.975050920821928</v>
      </c>
      <c r="Q2" s="104">
        <f t="shared" ref="Q2:Q65" si="1">N2+100</f>
        <v>185</v>
      </c>
      <c r="V2" s="104">
        <f>'[3]chap7-2_初期状態'!D2</f>
        <v>126</v>
      </c>
      <c r="W2" s="104">
        <f>O2</f>
        <v>184.99999973460766</v>
      </c>
      <c r="X2" s="104">
        <f>'[3]chap7-2_初期状態'!F2</f>
        <v>36</v>
      </c>
      <c r="Y2" s="104">
        <f>P2</f>
        <v>21.975050920821928</v>
      </c>
    </row>
    <row r="3" spans="1:29" ht="18.75">
      <c r="B3" s="102" t="s">
        <v>1002</v>
      </c>
      <c r="C3" s="108">
        <f>SUMPRODUCT('[3]chap7-2_初期状態'!D:D,'[3]chap7-2_初期状態'!F:F)</f>
        <v>549287</v>
      </c>
      <c r="M3" s="104" t="s">
        <v>40</v>
      </c>
      <c r="N3" s="104">
        <v>86</v>
      </c>
      <c r="O3" s="107">
        <v>185.99999992623444</v>
      </c>
      <c r="P3" s="104">
        <f t="shared" si="0"/>
        <v>21.795144567011981</v>
      </c>
      <c r="Q3" s="104">
        <f t="shared" si="1"/>
        <v>186</v>
      </c>
      <c r="S3" s="102" t="s">
        <v>1002</v>
      </c>
      <c r="T3" s="109">
        <f>SUMPRODUCT(O:O,P:P)</f>
        <v>550063.25194626418</v>
      </c>
      <c r="V3" s="104">
        <f>'[3]chap7-2_初期状態'!D3</f>
        <v>167</v>
      </c>
      <c r="W3" s="104">
        <f t="shared" ref="W3:W66" si="2">O3</f>
        <v>185.99999992623444</v>
      </c>
      <c r="X3" s="104">
        <f>'[3]chap7-2_初期状態'!F3</f>
        <v>24</v>
      </c>
      <c r="Y3" s="104">
        <f t="shared" ref="Y3:Y66" si="3">P3</f>
        <v>21.795144567011981</v>
      </c>
      <c r="AA3" s="102"/>
      <c r="AB3" s="110" t="s">
        <v>1003</v>
      </c>
      <c r="AC3" s="110" t="s">
        <v>1004</v>
      </c>
    </row>
    <row r="4" spans="1:29" ht="18.75">
      <c r="B4" s="102" t="s">
        <v>1005</v>
      </c>
      <c r="C4" s="108">
        <f>SUMPRODUCT('[3]chap7-2_初期状態'!C:C,'[3]chap7-2_初期状態'!F:F)</f>
        <v>278148</v>
      </c>
      <c r="M4" s="104" t="s">
        <v>51</v>
      </c>
      <c r="N4" s="104">
        <v>84</v>
      </c>
      <c r="O4" s="107">
        <v>184</v>
      </c>
      <c r="P4" s="104">
        <f t="shared" si="0"/>
        <v>22.154957192411253</v>
      </c>
      <c r="Q4" s="104">
        <f t="shared" si="1"/>
        <v>184</v>
      </c>
      <c r="S4" s="102" t="s">
        <v>1005</v>
      </c>
      <c r="T4" s="109">
        <f>SUMPRODUCT(N:N,P:P)</f>
        <v>231113.19743914105</v>
      </c>
      <c r="V4" s="104">
        <f>'[3]chap7-2_初期状態'!D4</f>
        <v>177</v>
      </c>
      <c r="W4" s="104">
        <f t="shared" si="2"/>
        <v>184</v>
      </c>
      <c r="X4" s="104">
        <f>'[3]chap7-2_初期状態'!F4</f>
        <v>25</v>
      </c>
      <c r="Y4" s="104">
        <f t="shared" si="3"/>
        <v>22.154957192411253</v>
      </c>
      <c r="AA4" s="102" t="s">
        <v>1006</v>
      </c>
      <c r="AB4" s="102">
        <f>AVERAGE(V:V)</f>
        <v>150.85185185185185</v>
      </c>
      <c r="AC4" s="111">
        <f>AVERAGE(W:W)</f>
        <v>175.50647141707734</v>
      </c>
    </row>
    <row r="5" spans="1:29" ht="18.75">
      <c r="B5" s="102" t="s">
        <v>1007</v>
      </c>
      <c r="C5" s="112">
        <f>C3-C4</f>
        <v>271139</v>
      </c>
      <c r="M5" s="104" t="s">
        <v>52</v>
      </c>
      <c r="N5" s="104">
        <v>82</v>
      </c>
      <c r="O5" s="107">
        <v>182</v>
      </c>
      <c r="P5" s="104">
        <f t="shared" si="0"/>
        <v>22.514769831081409</v>
      </c>
      <c r="Q5" s="104">
        <f t="shared" si="1"/>
        <v>182</v>
      </c>
      <c r="S5" s="102" t="s">
        <v>1007</v>
      </c>
      <c r="T5" s="113">
        <f>T3-T4</f>
        <v>318950.05450712313</v>
      </c>
      <c r="V5" s="104">
        <f>'[3]chap7-2_初期状態'!D5</f>
        <v>112</v>
      </c>
      <c r="W5" s="104">
        <f t="shared" si="2"/>
        <v>182</v>
      </c>
      <c r="X5" s="104">
        <f>'[3]chap7-2_初期状態'!F5</f>
        <v>30</v>
      </c>
      <c r="Y5" s="104">
        <f t="shared" si="3"/>
        <v>22.514769831081409</v>
      </c>
      <c r="AA5" s="102" t="s">
        <v>1008</v>
      </c>
      <c r="AB5" s="102">
        <f>AVERAGE(X:X)</f>
        <v>28.118518518518517</v>
      </c>
      <c r="AC5" s="111">
        <f>AVERAGE(Y:Y)</f>
        <v>23.682996657932165</v>
      </c>
    </row>
    <row r="6" spans="1:29" ht="15">
      <c r="M6" s="104" t="s">
        <v>59</v>
      </c>
      <c r="N6" s="104">
        <v>109</v>
      </c>
      <c r="O6" s="107">
        <v>207.49583337798063</v>
      </c>
      <c r="P6" s="104">
        <f t="shared" si="0"/>
        <v>17.927908289668444</v>
      </c>
      <c r="Q6" s="104">
        <f t="shared" si="1"/>
        <v>209</v>
      </c>
      <c r="V6" s="104">
        <f>'[3]chap7-2_初期状態'!D6</f>
        <v>191</v>
      </c>
      <c r="W6" s="104">
        <f t="shared" si="2"/>
        <v>207.49583337798063</v>
      </c>
      <c r="X6" s="104">
        <f>'[3]chap7-2_初期状態'!F6</f>
        <v>24</v>
      </c>
      <c r="Y6" s="104">
        <f t="shared" si="3"/>
        <v>17.927908289668444</v>
      </c>
      <c r="AA6" s="114"/>
      <c r="AB6" s="114"/>
      <c r="AC6" s="114"/>
    </row>
    <row r="7" spans="1:29" ht="18.75" outlineLevel="1">
      <c r="B7" s="115" t="s">
        <v>1009</v>
      </c>
      <c r="C7" s="115"/>
      <c r="M7" s="104" t="s">
        <v>60</v>
      </c>
      <c r="N7" s="104">
        <v>48</v>
      </c>
      <c r="O7" s="107">
        <v>147.99999969067571</v>
      </c>
      <c r="P7" s="104">
        <f t="shared" si="0"/>
        <v>28.631584744123511</v>
      </c>
      <c r="Q7" s="104">
        <f t="shared" si="1"/>
        <v>148</v>
      </c>
      <c r="S7" s="115" t="s">
        <v>1009</v>
      </c>
      <c r="T7" s="115"/>
      <c r="V7" s="104">
        <f>'[3]chap7-2_初期状態'!D7</f>
        <v>127</v>
      </c>
      <c r="W7" s="104">
        <f t="shared" si="2"/>
        <v>147.99999969067571</v>
      </c>
      <c r="X7" s="104">
        <f>'[3]chap7-2_初期状態'!F7</f>
        <v>36</v>
      </c>
      <c r="Y7" s="104">
        <f t="shared" si="3"/>
        <v>28.631584744123511</v>
      </c>
      <c r="AA7" s="114"/>
      <c r="AB7" s="114"/>
      <c r="AC7" s="114"/>
    </row>
    <row r="8" spans="1:29" ht="18.75" outlineLevel="1">
      <c r="B8" s="102" t="s">
        <v>990</v>
      </c>
      <c r="C8" s="102">
        <f>MIN('[3]chap7-2_初期状態'!D:D)</f>
        <v>72</v>
      </c>
      <c r="M8" s="104" t="s">
        <v>65</v>
      </c>
      <c r="N8" s="107">
        <v>93</v>
      </c>
      <c r="O8" s="107">
        <v>192.99999992370985</v>
      </c>
      <c r="P8" s="104">
        <f t="shared" si="0"/>
        <v>20.535800332120616</v>
      </c>
      <c r="Q8" s="104">
        <f t="shared" si="1"/>
        <v>193</v>
      </c>
      <c r="S8" s="102" t="s">
        <v>990</v>
      </c>
      <c r="T8" s="102">
        <f>MIN(O:O)</f>
        <v>123</v>
      </c>
      <c r="V8" s="104">
        <f>'[3]chap7-2_初期状態'!D8</f>
        <v>176</v>
      </c>
      <c r="W8" s="104">
        <f t="shared" si="2"/>
        <v>192.99999992370985</v>
      </c>
      <c r="X8" s="104">
        <f>'[3]chap7-2_初期状態'!F8</f>
        <v>19</v>
      </c>
      <c r="Y8" s="104">
        <f t="shared" si="3"/>
        <v>20.535800332120616</v>
      </c>
      <c r="AA8" s="114"/>
      <c r="AB8" s="114"/>
      <c r="AC8" s="114"/>
    </row>
    <row r="9" spans="1:29" ht="18.75">
      <c r="B9" s="102" t="s">
        <v>1010</v>
      </c>
      <c r="C9" s="102">
        <f>MAX('[3]chap7-2_初期状態'!D:D)</f>
        <v>226</v>
      </c>
      <c r="M9" s="104" t="s">
        <v>68</v>
      </c>
      <c r="N9" s="104">
        <v>95</v>
      </c>
      <c r="O9" s="107">
        <v>195</v>
      </c>
      <c r="P9" s="104">
        <f t="shared" si="0"/>
        <v>20.175987679725374</v>
      </c>
      <c r="Q9" s="104">
        <f t="shared" si="1"/>
        <v>195</v>
      </c>
      <c r="S9" s="102" t="s">
        <v>1010</v>
      </c>
      <c r="T9" s="102">
        <f>MAX(O:O)</f>
        <v>216.9694576421843</v>
      </c>
      <c r="V9" s="104">
        <f>'[3]chap7-2_初期状態'!D9</f>
        <v>192</v>
      </c>
      <c r="W9" s="104">
        <f t="shared" si="2"/>
        <v>195</v>
      </c>
      <c r="X9" s="104">
        <f>'[3]chap7-2_初期状態'!F9</f>
        <v>27</v>
      </c>
      <c r="Y9" s="104">
        <f t="shared" si="3"/>
        <v>20.175987679725374</v>
      </c>
    </row>
    <row r="10" spans="1:29" ht="15">
      <c r="M10" s="104" t="s">
        <v>72</v>
      </c>
      <c r="N10" s="104">
        <v>42</v>
      </c>
      <c r="O10" s="107">
        <v>141.99999937465964</v>
      </c>
      <c r="P10" s="104">
        <f t="shared" si="0"/>
        <v>29.71102271698728</v>
      </c>
      <c r="Q10" s="104">
        <f t="shared" si="1"/>
        <v>142</v>
      </c>
      <c r="V10" s="104">
        <f>'[3]chap7-2_初期状態'!D10</f>
        <v>103</v>
      </c>
      <c r="W10" s="104">
        <f t="shared" si="2"/>
        <v>141.99999937465964</v>
      </c>
      <c r="X10" s="104">
        <f>'[3]chap7-2_初期状態'!F10</f>
        <v>42</v>
      </c>
      <c r="Y10" s="104">
        <f t="shared" si="3"/>
        <v>29.71102271698728</v>
      </c>
    </row>
    <row r="11" spans="1:29" ht="18.75">
      <c r="B11" s="115" t="s">
        <v>1011</v>
      </c>
      <c r="C11" s="115"/>
      <c r="M11" s="104" t="s">
        <v>76</v>
      </c>
      <c r="N11" s="104">
        <v>79</v>
      </c>
      <c r="O11" s="107">
        <v>178.99999988738685</v>
      </c>
      <c r="P11" s="104">
        <f t="shared" si="0"/>
        <v>23.054488809346466</v>
      </c>
      <c r="Q11" s="104">
        <f t="shared" si="1"/>
        <v>179</v>
      </c>
      <c r="V11" s="104">
        <f>'[3]chap7-2_初期状態'!D11</f>
        <v>168</v>
      </c>
      <c r="W11" s="104">
        <f t="shared" si="2"/>
        <v>178.99999988738685</v>
      </c>
      <c r="X11" s="104">
        <f>'[3]chap7-2_初期状態'!F11</f>
        <v>33</v>
      </c>
      <c r="Y11" s="104">
        <f t="shared" si="3"/>
        <v>23.054488809346466</v>
      </c>
    </row>
    <row r="12" spans="1:29" ht="18.75">
      <c r="B12" s="102" t="s">
        <v>990</v>
      </c>
      <c r="C12" s="102">
        <f>MIN('[3]chap7-2_初期状態'!C:C)</f>
        <v>23</v>
      </c>
      <c r="M12" s="104" t="s">
        <v>79</v>
      </c>
      <c r="N12" s="104">
        <v>72</v>
      </c>
      <c r="O12" s="107">
        <v>172</v>
      </c>
      <c r="P12" s="104">
        <f t="shared" si="0"/>
        <v>24.313833024432206</v>
      </c>
      <c r="Q12" s="104">
        <f t="shared" si="1"/>
        <v>172</v>
      </c>
      <c r="V12" s="104">
        <f>'[3]chap7-2_初期状態'!D12</f>
        <v>177</v>
      </c>
      <c r="W12" s="104">
        <f t="shared" si="2"/>
        <v>172</v>
      </c>
      <c r="X12" s="104">
        <f>'[3]chap7-2_初期状態'!F12</f>
        <v>24</v>
      </c>
      <c r="Y12" s="104">
        <f t="shared" si="3"/>
        <v>24.313833024432206</v>
      </c>
    </row>
    <row r="13" spans="1:29" ht="18.75">
      <c r="B13" s="102" t="s">
        <v>1010</v>
      </c>
      <c r="C13" s="102">
        <f>MAX('[3]chap7-2_初期状態'!C:C)</f>
        <v>128</v>
      </c>
      <c r="M13" s="104" t="s">
        <v>80</v>
      </c>
      <c r="N13" s="104">
        <v>86</v>
      </c>
      <c r="O13" s="107">
        <v>185.99999993250472</v>
      </c>
      <c r="P13" s="104">
        <f t="shared" si="0"/>
        <v>21.795144565883916</v>
      </c>
      <c r="Q13" s="104">
        <f t="shared" si="1"/>
        <v>186</v>
      </c>
      <c r="V13" s="104">
        <f>'[3]chap7-2_初期状態'!D13</f>
        <v>177</v>
      </c>
      <c r="W13" s="104">
        <f t="shared" si="2"/>
        <v>185.99999993250472</v>
      </c>
      <c r="X13" s="104">
        <f>'[3]chap7-2_初期状態'!F13</f>
        <v>31</v>
      </c>
      <c r="Y13" s="104">
        <f t="shared" si="3"/>
        <v>21.795144565883916</v>
      </c>
    </row>
    <row r="14" spans="1:29" ht="15">
      <c r="M14" s="104" t="s">
        <v>85</v>
      </c>
      <c r="N14" s="104">
        <v>119</v>
      </c>
      <c r="O14" s="107">
        <v>212.48195015548797</v>
      </c>
      <c r="P14" s="104">
        <f t="shared" si="0"/>
        <v>17.03087437245221</v>
      </c>
      <c r="Q14" s="104">
        <f t="shared" si="1"/>
        <v>219</v>
      </c>
      <c r="V14" s="104">
        <f>'[3]chap7-2_初期状態'!D14</f>
        <v>198</v>
      </c>
      <c r="W14" s="104">
        <f t="shared" si="2"/>
        <v>212.48195015548797</v>
      </c>
      <c r="X14" s="104">
        <f>'[3]chap7-2_初期状態'!F14</f>
        <v>21</v>
      </c>
      <c r="Y14" s="104">
        <f t="shared" si="3"/>
        <v>17.03087437245221</v>
      </c>
    </row>
    <row r="15" spans="1:29" ht="19.5">
      <c r="B15" s="116" t="s">
        <v>1012</v>
      </c>
      <c r="C15" s="116"/>
      <c r="M15" s="104" t="s">
        <v>92</v>
      </c>
      <c r="N15" s="104">
        <v>48</v>
      </c>
      <c r="O15" s="107">
        <v>147.99999964059285</v>
      </c>
      <c r="P15" s="104">
        <f t="shared" si="0"/>
        <v>28.631584753133737</v>
      </c>
      <c r="Q15" s="104">
        <f t="shared" si="1"/>
        <v>148</v>
      </c>
      <c r="V15" s="104">
        <f>'[3]chap7-2_初期状態'!D15</f>
        <v>134</v>
      </c>
      <c r="W15" s="104">
        <f t="shared" si="2"/>
        <v>147.99999964059285</v>
      </c>
      <c r="X15" s="104">
        <f>'[3]chap7-2_初期状態'!F15</f>
        <v>26</v>
      </c>
      <c r="Y15" s="104">
        <f t="shared" si="3"/>
        <v>28.631584753133737</v>
      </c>
    </row>
    <row r="16" spans="1:29" ht="18.75">
      <c r="B16" s="102" t="s">
        <v>990</v>
      </c>
      <c r="C16" s="102">
        <f>MIN('[3]chap7-2_初期状態'!E:E)</f>
        <v>12</v>
      </c>
      <c r="M16" s="104" t="s">
        <v>93</v>
      </c>
      <c r="N16" s="104">
        <v>63</v>
      </c>
      <c r="O16" s="107">
        <v>163</v>
      </c>
      <c r="P16" s="104">
        <f t="shared" si="0"/>
        <v>25.932989898447925</v>
      </c>
      <c r="Q16" s="104">
        <f t="shared" si="1"/>
        <v>163</v>
      </c>
      <c r="V16" s="104">
        <f>'[3]chap7-2_初期状態'!D16</f>
        <v>154</v>
      </c>
      <c r="W16" s="104">
        <f t="shared" si="2"/>
        <v>163</v>
      </c>
      <c r="X16" s="104">
        <f>'[3]chap7-2_初期状態'!F16</f>
        <v>37</v>
      </c>
      <c r="Y16" s="104">
        <f t="shared" si="3"/>
        <v>25.932989898447925</v>
      </c>
    </row>
    <row r="17" spans="2:25" ht="18.75">
      <c r="B17" s="102" t="s">
        <v>1010</v>
      </c>
      <c r="C17" s="102">
        <f>MAX('[3]chap7-2_初期状態'!E:E)</f>
        <v>128</v>
      </c>
      <c r="M17" s="104" t="s">
        <v>95</v>
      </c>
      <c r="N17" s="104">
        <v>60</v>
      </c>
      <c r="O17" s="107">
        <v>160</v>
      </c>
      <c r="P17" s="104">
        <f t="shared" si="0"/>
        <v>26.472708856453163</v>
      </c>
      <c r="Q17" s="104">
        <f t="shared" si="1"/>
        <v>160</v>
      </c>
      <c r="V17" s="104">
        <f>'[3]chap7-2_初期状態'!D17</f>
        <v>104</v>
      </c>
      <c r="W17" s="104">
        <f t="shared" si="2"/>
        <v>160</v>
      </c>
      <c r="X17" s="104">
        <f>'[3]chap7-2_初期状態'!F17</f>
        <v>46</v>
      </c>
      <c r="Y17" s="104">
        <f t="shared" si="3"/>
        <v>26.472708856453163</v>
      </c>
    </row>
    <row r="18" spans="2:25" ht="15.75" thickBot="1">
      <c r="M18" s="104" t="s">
        <v>96</v>
      </c>
      <c r="N18" s="104">
        <v>60</v>
      </c>
      <c r="O18" s="107">
        <v>160</v>
      </c>
      <c r="P18" s="104">
        <f t="shared" si="0"/>
        <v>26.472708856453163</v>
      </c>
      <c r="Q18" s="104">
        <f t="shared" si="1"/>
        <v>160</v>
      </c>
      <c r="V18" s="104">
        <f>'[3]chap7-2_初期状態'!D18</f>
        <v>178</v>
      </c>
      <c r="W18" s="104">
        <f t="shared" si="2"/>
        <v>160</v>
      </c>
      <c r="X18" s="104">
        <f>'[3]chap7-2_初期状態'!F18</f>
        <v>20</v>
      </c>
      <c r="Y18" s="104">
        <f t="shared" si="3"/>
        <v>26.472708856453163</v>
      </c>
    </row>
    <row r="19" spans="2:25" ht="16.5">
      <c r="B19" s="117" t="s">
        <v>1013</v>
      </c>
      <c r="C19" s="118"/>
      <c r="D19" s="119"/>
      <c r="E19" s="119"/>
      <c r="F19" s="119"/>
      <c r="G19" s="119"/>
      <c r="H19" s="119"/>
      <c r="I19" s="119"/>
      <c r="J19" s="120"/>
      <c r="M19" s="104" t="s">
        <v>102</v>
      </c>
      <c r="N19" s="104">
        <v>51</v>
      </c>
      <c r="O19" s="107">
        <v>150.99999997002985</v>
      </c>
      <c r="P19" s="104">
        <f t="shared" si="0"/>
        <v>28.091865735860701</v>
      </c>
      <c r="Q19" s="104">
        <f t="shared" si="1"/>
        <v>151</v>
      </c>
      <c r="V19" s="104">
        <f>'[3]chap7-2_初期状態'!D19</f>
        <v>142</v>
      </c>
      <c r="W19" s="104">
        <f t="shared" si="2"/>
        <v>150.99999997002985</v>
      </c>
      <c r="X19" s="104">
        <f>'[3]chap7-2_初期状態'!F19</f>
        <v>11</v>
      </c>
      <c r="Y19" s="104">
        <f t="shared" si="3"/>
        <v>28.091865735860701</v>
      </c>
    </row>
    <row r="20" spans="2:25" ht="18.75">
      <c r="B20" s="121" t="s">
        <v>1014</v>
      </c>
      <c r="C20" s="122"/>
      <c r="J20" s="122"/>
      <c r="M20" s="104" t="s">
        <v>103</v>
      </c>
      <c r="N20" s="104">
        <v>79</v>
      </c>
      <c r="O20" s="107">
        <v>178.99999989324559</v>
      </c>
      <c r="P20" s="104">
        <f t="shared" si="0"/>
        <v>23.05448880829244</v>
      </c>
      <c r="Q20" s="104">
        <f t="shared" si="1"/>
        <v>179</v>
      </c>
      <c r="V20" s="104">
        <f>'[3]chap7-2_初期状態'!D20</f>
        <v>156</v>
      </c>
      <c r="W20" s="104">
        <f t="shared" si="2"/>
        <v>178.99999989324559</v>
      </c>
      <c r="X20" s="104">
        <f>'[3]chap7-2_初期状態'!F20</f>
        <v>33</v>
      </c>
      <c r="Y20" s="104">
        <f t="shared" si="3"/>
        <v>23.05448880829244</v>
      </c>
    </row>
    <row r="21" spans="2:25" ht="15.75" thickBot="1">
      <c r="B21" s="121"/>
      <c r="C21" s="122"/>
      <c r="J21" s="122"/>
      <c r="M21" s="104" t="s">
        <v>105</v>
      </c>
      <c r="N21" s="104">
        <v>47</v>
      </c>
      <c r="O21" s="107">
        <v>146.99999964059282</v>
      </c>
      <c r="P21" s="104">
        <f t="shared" si="0"/>
        <v>28.811491072468822</v>
      </c>
      <c r="Q21" s="104">
        <f t="shared" si="1"/>
        <v>147</v>
      </c>
      <c r="V21" s="104">
        <f>'[3]chap7-2_初期状態'!D21</f>
        <v>116</v>
      </c>
      <c r="W21" s="104">
        <f t="shared" si="2"/>
        <v>146.99999964059282</v>
      </c>
      <c r="X21" s="104">
        <f>'[3]chap7-2_初期状態'!F21</f>
        <v>42</v>
      </c>
      <c r="Y21" s="104">
        <f t="shared" si="3"/>
        <v>28.811491072468822</v>
      </c>
    </row>
    <row r="22" spans="2:25" ht="18.75">
      <c r="B22" s="123" t="s">
        <v>1015</v>
      </c>
      <c r="C22" s="124"/>
      <c r="J22" s="122"/>
      <c r="M22" s="104" t="s">
        <v>109</v>
      </c>
      <c r="N22" s="104">
        <v>106</v>
      </c>
      <c r="O22" s="107">
        <v>205.99999970120803</v>
      </c>
      <c r="P22" s="104">
        <f t="shared" si="0"/>
        <v>18.197018220794064</v>
      </c>
      <c r="Q22" s="104">
        <f t="shared" si="1"/>
        <v>206</v>
      </c>
      <c r="V22" s="104">
        <f>'[3]chap7-2_初期状態'!D22</f>
        <v>182</v>
      </c>
      <c r="W22" s="104">
        <f t="shared" si="2"/>
        <v>205.99999970120803</v>
      </c>
      <c r="X22" s="104">
        <f>'[3]chap7-2_初期状態'!F22</f>
        <v>30</v>
      </c>
      <c r="Y22" s="104">
        <f t="shared" si="3"/>
        <v>18.197018220794064</v>
      </c>
    </row>
    <row r="23" spans="2:25" ht="18.75">
      <c r="B23" s="121" t="s">
        <v>1016</v>
      </c>
      <c r="C23" s="122">
        <v>0.60455461101087593</v>
      </c>
      <c r="J23" s="122"/>
      <c r="M23" s="104" t="s">
        <v>119</v>
      </c>
      <c r="N23" s="104">
        <v>58</v>
      </c>
      <c r="O23" s="107">
        <v>158</v>
      </c>
      <c r="P23" s="104">
        <f t="shared" si="0"/>
        <v>26.832521495123324</v>
      </c>
      <c r="Q23" s="104">
        <f t="shared" si="1"/>
        <v>158</v>
      </c>
      <c r="V23" s="104">
        <f>'[3]chap7-2_初期状態'!D23</f>
        <v>109</v>
      </c>
      <c r="W23" s="104">
        <f t="shared" si="2"/>
        <v>158</v>
      </c>
      <c r="X23" s="104">
        <f>'[3]chap7-2_初期状態'!F23</f>
        <v>39</v>
      </c>
      <c r="Y23" s="104">
        <f t="shared" si="3"/>
        <v>26.832521495123324</v>
      </c>
    </row>
    <row r="24" spans="2:25" ht="18.75">
      <c r="B24" s="121" t="s">
        <v>1017</v>
      </c>
      <c r="C24" s="122">
        <v>0.36548627769451153</v>
      </c>
      <c r="J24" s="122"/>
      <c r="M24" s="104" t="s">
        <v>123</v>
      </c>
      <c r="N24" s="104">
        <v>88</v>
      </c>
      <c r="O24" s="107">
        <v>187.99999991603076</v>
      </c>
      <c r="P24" s="104">
        <f t="shared" si="0"/>
        <v>21.435331930177533</v>
      </c>
      <c r="Q24" s="104">
        <f t="shared" si="1"/>
        <v>188</v>
      </c>
      <c r="V24" s="104">
        <f>'[3]chap7-2_初期状態'!D24</f>
        <v>164</v>
      </c>
      <c r="W24" s="104">
        <f t="shared" si="2"/>
        <v>187.99999991603076</v>
      </c>
      <c r="X24" s="104">
        <f>'[3]chap7-2_初期状態'!F24</f>
        <v>15</v>
      </c>
      <c r="Y24" s="104">
        <f t="shared" si="3"/>
        <v>21.435331930177533</v>
      </c>
    </row>
    <row r="25" spans="2:25" ht="18.75">
      <c r="B25" s="121" t="s">
        <v>1018</v>
      </c>
      <c r="C25" s="122">
        <v>0.36071549782755297</v>
      </c>
      <c r="J25" s="122"/>
      <c r="M25" s="104" t="s">
        <v>126</v>
      </c>
      <c r="N25" s="104">
        <v>51</v>
      </c>
      <c r="O25" s="107">
        <v>150.99999997002985</v>
      </c>
      <c r="P25" s="104">
        <f t="shared" si="0"/>
        <v>28.091865735860701</v>
      </c>
      <c r="Q25" s="104">
        <f t="shared" si="1"/>
        <v>151</v>
      </c>
      <c r="V25" s="104">
        <f>'[3]chap7-2_初期状態'!D25</f>
        <v>130</v>
      </c>
      <c r="W25" s="104">
        <f t="shared" si="2"/>
        <v>150.99999997002985</v>
      </c>
      <c r="X25" s="104">
        <f>'[3]chap7-2_初期状態'!F25</f>
        <v>33</v>
      </c>
      <c r="Y25" s="104">
        <f t="shared" si="3"/>
        <v>28.091865735860701</v>
      </c>
    </row>
    <row r="26" spans="2:25" ht="18.75">
      <c r="B26" s="121" t="s">
        <v>1019</v>
      </c>
      <c r="C26" s="122">
        <v>7.4044781705822782</v>
      </c>
      <c r="J26" s="122"/>
      <c r="M26" s="104" t="s">
        <v>128</v>
      </c>
      <c r="N26" s="104">
        <v>36</v>
      </c>
      <c r="O26" s="107">
        <v>136</v>
      </c>
      <c r="P26" s="104">
        <f t="shared" si="0"/>
        <v>30.790460520495074</v>
      </c>
      <c r="Q26" s="104">
        <f t="shared" si="1"/>
        <v>136</v>
      </c>
      <c r="V26" s="104">
        <f>'[3]chap7-2_初期状態'!D26</f>
        <v>115</v>
      </c>
      <c r="W26" s="104">
        <f t="shared" si="2"/>
        <v>136</v>
      </c>
      <c r="X26" s="104">
        <f>'[3]chap7-2_初期状態'!F26</f>
        <v>25</v>
      </c>
      <c r="Y26" s="104">
        <f t="shared" si="3"/>
        <v>30.790460520495074</v>
      </c>
    </row>
    <row r="27" spans="2:25" ht="19.5" thickBot="1">
      <c r="B27" s="125" t="s">
        <v>1020</v>
      </c>
      <c r="C27" s="126">
        <v>135</v>
      </c>
      <c r="J27" s="122"/>
      <c r="M27" s="104" t="s">
        <v>129</v>
      </c>
      <c r="N27" s="104">
        <v>72</v>
      </c>
      <c r="O27" s="107">
        <v>172</v>
      </c>
      <c r="P27" s="104">
        <f t="shared" si="0"/>
        <v>24.313833024432206</v>
      </c>
      <c r="Q27" s="104">
        <f t="shared" si="1"/>
        <v>172</v>
      </c>
      <c r="V27" s="104">
        <f>'[3]chap7-2_初期状態'!D27</f>
        <v>136</v>
      </c>
      <c r="W27" s="104">
        <f t="shared" si="2"/>
        <v>172</v>
      </c>
      <c r="X27" s="104">
        <f>'[3]chap7-2_初期状態'!F27</f>
        <v>23</v>
      </c>
      <c r="Y27" s="104">
        <f t="shared" si="3"/>
        <v>24.313833024432206</v>
      </c>
    </row>
    <row r="28" spans="2:25" ht="15">
      <c r="B28" s="121"/>
      <c r="C28" s="122"/>
      <c r="J28" s="122"/>
      <c r="M28" s="104" t="s">
        <v>137</v>
      </c>
      <c r="N28" s="104">
        <v>60</v>
      </c>
      <c r="O28" s="107">
        <v>160</v>
      </c>
      <c r="P28" s="104">
        <f t="shared" si="0"/>
        <v>26.472708856453163</v>
      </c>
      <c r="Q28" s="104">
        <f t="shared" si="1"/>
        <v>160</v>
      </c>
      <c r="V28" s="104">
        <f>'[3]chap7-2_初期状態'!D28</f>
        <v>102</v>
      </c>
      <c r="W28" s="104">
        <f t="shared" si="2"/>
        <v>160</v>
      </c>
      <c r="X28" s="104">
        <f>'[3]chap7-2_初期状態'!F28</f>
        <v>36</v>
      </c>
      <c r="Y28" s="104">
        <f t="shared" si="3"/>
        <v>26.472708856453163</v>
      </c>
    </row>
    <row r="29" spans="2:25" ht="19.5" thickBot="1">
      <c r="B29" s="121" t="s">
        <v>1021</v>
      </c>
      <c r="C29" s="122"/>
      <c r="J29" s="122"/>
      <c r="M29" s="104" t="s">
        <v>138</v>
      </c>
      <c r="N29" s="104">
        <v>90</v>
      </c>
      <c r="O29" s="107">
        <v>190</v>
      </c>
      <c r="P29" s="104">
        <f t="shared" si="0"/>
        <v>21.075519276400776</v>
      </c>
      <c r="Q29" s="104">
        <f t="shared" si="1"/>
        <v>190</v>
      </c>
      <c r="V29" s="104">
        <f>'[3]chap7-2_初期状態'!D29</f>
        <v>142</v>
      </c>
      <c r="W29" s="104">
        <f t="shared" si="2"/>
        <v>190</v>
      </c>
      <c r="X29" s="104">
        <f>'[3]chap7-2_初期状態'!F29</f>
        <v>32</v>
      </c>
      <c r="Y29" s="104">
        <f t="shared" si="3"/>
        <v>21.075519276400776</v>
      </c>
    </row>
    <row r="30" spans="2:25" ht="18.75">
      <c r="B30" s="127"/>
      <c r="C30" s="128" t="s">
        <v>1022</v>
      </c>
      <c r="D30" s="129" t="s">
        <v>1023</v>
      </c>
      <c r="E30" s="129" t="s">
        <v>1024</v>
      </c>
      <c r="F30" s="129" t="s">
        <v>1025</v>
      </c>
      <c r="G30" s="129" t="s">
        <v>1026</v>
      </c>
      <c r="J30" s="122"/>
      <c r="M30" s="104" t="s">
        <v>141</v>
      </c>
      <c r="N30" s="104">
        <v>78</v>
      </c>
      <c r="O30" s="107">
        <v>177.99999967623282</v>
      </c>
      <c r="P30" s="104">
        <f t="shared" si="0"/>
        <v>23.234395166669493</v>
      </c>
      <c r="Q30" s="104">
        <f t="shared" si="1"/>
        <v>178</v>
      </c>
      <c r="V30" s="104">
        <f>'[3]chap7-2_初期状態'!D30</f>
        <v>141</v>
      </c>
      <c r="W30" s="104">
        <f t="shared" si="2"/>
        <v>177.99999967623282</v>
      </c>
      <c r="X30" s="104">
        <f>'[3]chap7-2_初期状態'!F30</f>
        <v>12</v>
      </c>
      <c r="Y30" s="104">
        <f t="shared" si="3"/>
        <v>23.234395166669493</v>
      </c>
    </row>
    <row r="31" spans="2:25" ht="18.75">
      <c r="B31" s="121" t="s">
        <v>1027</v>
      </c>
      <c r="C31" s="122">
        <v>1</v>
      </c>
      <c r="D31" s="104">
        <v>4200.2062055459728</v>
      </c>
      <c r="E31" s="104">
        <v>4200.2062055459728</v>
      </c>
      <c r="F31" s="104">
        <v>76.609335975821125</v>
      </c>
      <c r="G31" s="104">
        <v>8.216210987911875E-15</v>
      </c>
      <c r="J31" s="122"/>
      <c r="M31" s="104" t="s">
        <v>143</v>
      </c>
      <c r="N31" s="104">
        <v>90</v>
      </c>
      <c r="O31" s="107">
        <v>190</v>
      </c>
      <c r="P31" s="104">
        <f t="shared" si="0"/>
        <v>21.075519276400776</v>
      </c>
      <c r="Q31" s="104">
        <f t="shared" si="1"/>
        <v>190</v>
      </c>
      <c r="V31" s="104">
        <f>'[3]chap7-2_初期状態'!D31</f>
        <v>164</v>
      </c>
      <c r="W31" s="104">
        <f t="shared" si="2"/>
        <v>190</v>
      </c>
      <c r="X31" s="104">
        <f>'[3]chap7-2_初期状態'!F31</f>
        <v>32</v>
      </c>
      <c r="Y31" s="104">
        <f t="shared" si="3"/>
        <v>21.075519276400776</v>
      </c>
    </row>
    <row r="32" spans="2:25" ht="18.75">
      <c r="B32" s="121" t="s">
        <v>1028</v>
      </c>
      <c r="C32" s="122">
        <v>133</v>
      </c>
      <c r="D32" s="104">
        <v>7291.8974981577221</v>
      </c>
      <c r="E32" s="104">
        <v>54.826296978629486</v>
      </c>
      <c r="J32" s="122"/>
      <c r="M32" s="104" t="s">
        <v>144</v>
      </c>
      <c r="N32" s="104">
        <v>105</v>
      </c>
      <c r="O32" s="107">
        <v>205</v>
      </c>
      <c r="P32" s="104">
        <f t="shared" si="0"/>
        <v>18.376924486374577</v>
      </c>
      <c r="Q32" s="104">
        <f t="shared" si="1"/>
        <v>205</v>
      </c>
      <c r="V32" s="104">
        <f>'[3]chap7-2_初期状態'!D32</f>
        <v>179</v>
      </c>
      <c r="W32" s="104">
        <f t="shared" si="2"/>
        <v>205</v>
      </c>
      <c r="X32" s="104">
        <f>'[3]chap7-2_初期状態'!F32</f>
        <v>23</v>
      </c>
      <c r="Y32" s="104">
        <f t="shared" si="3"/>
        <v>18.376924486374577</v>
      </c>
    </row>
    <row r="33" spans="2:25" ht="19.5" thickBot="1">
      <c r="B33" s="125" t="s">
        <v>1029</v>
      </c>
      <c r="C33" s="126">
        <v>134</v>
      </c>
      <c r="D33" s="130">
        <v>11492.103703703695</v>
      </c>
      <c r="E33" s="130"/>
      <c r="F33" s="130"/>
      <c r="G33" s="130"/>
      <c r="J33" s="122"/>
      <c r="M33" s="104" t="s">
        <v>153</v>
      </c>
      <c r="N33" s="104">
        <v>61</v>
      </c>
      <c r="O33" s="107">
        <v>161</v>
      </c>
      <c r="P33" s="104">
        <f t="shared" si="0"/>
        <v>26.292802537118082</v>
      </c>
      <c r="Q33" s="104">
        <f t="shared" si="1"/>
        <v>161</v>
      </c>
      <c r="V33" s="104">
        <f>'[3]chap7-2_初期状態'!D33</f>
        <v>130</v>
      </c>
      <c r="W33" s="104">
        <f t="shared" si="2"/>
        <v>161</v>
      </c>
      <c r="X33" s="104">
        <f>'[3]chap7-2_初期状態'!F33</f>
        <v>36</v>
      </c>
      <c r="Y33" s="104">
        <f t="shared" si="3"/>
        <v>26.292802537118082</v>
      </c>
    </row>
    <row r="34" spans="2:25" ht="15.75" thickBot="1">
      <c r="B34" s="121"/>
      <c r="C34" s="122"/>
      <c r="J34" s="122"/>
      <c r="K34" s="131"/>
      <c r="M34" s="104" t="s">
        <v>157</v>
      </c>
      <c r="N34" s="104">
        <v>68</v>
      </c>
      <c r="O34" s="107">
        <v>168</v>
      </c>
      <c r="P34" s="104">
        <f t="shared" si="0"/>
        <v>25.033458301772527</v>
      </c>
      <c r="Q34" s="104">
        <f t="shared" si="1"/>
        <v>168</v>
      </c>
      <c r="V34" s="104">
        <f>'[3]chap7-2_初期状態'!D34</f>
        <v>140</v>
      </c>
      <c r="W34" s="104">
        <f t="shared" si="2"/>
        <v>168</v>
      </c>
      <c r="X34" s="104">
        <f>'[3]chap7-2_初期状態'!F34</f>
        <v>41</v>
      </c>
      <c r="Y34" s="104">
        <f t="shared" si="3"/>
        <v>25.033458301772527</v>
      </c>
    </row>
    <row r="35" spans="2:25" ht="18.75">
      <c r="B35" s="127"/>
      <c r="C35" s="128" t="s">
        <v>1030</v>
      </c>
      <c r="D35" s="129" t="s">
        <v>1019</v>
      </c>
      <c r="E35" s="129" t="s">
        <v>871</v>
      </c>
      <c r="F35" s="129" t="s">
        <v>1031</v>
      </c>
      <c r="G35" s="129" t="s">
        <v>1032</v>
      </c>
      <c r="H35" s="129" t="s">
        <v>1033</v>
      </c>
      <c r="I35" s="129" t="s">
        <v>1034</v>
      </c>
      <c r="J35" s="128" t="s">
        <v>1035</v>
      </c>
      <c r="M35" s="104" t="s">
        <v>158</v>
      </c>
      <c r="N35" s="104">
        <v>107</v>
      </c>
      <c r="O35" s="107">
        <v>206.49861124596785</v>
      </c>
      <c r="P35" s="104">
        <f t="shared" si="0"/>
        <v>18.107314852998343</v>
      </c>
      <c r="Q35" s="104">
        <f t="shared" si="1"/>
        <v>207</v>
      </c>
      <c r="V35" s="104">
        <f>'[3]chap7-2_初期状態'!D35</f>
        <v>177</v>
      </c>
      <c r="W35" s="104">
        <f t="shared" si="2"/>
        <v>206.49861124596785</v>
      </c>
      <c r="X35" s="104">
        <f>'[3]chap7-2_初期状態'!F35</f>
        <v>20</v>
      </c>
      <c r="Y35" s="104">
        <f t="shared" si="3"/>
        <v>18.107314852998343</v>
      </c>
    </row>
    <row r="36" spans="2:25" ht="18.75">
      <c r="B36" s="121" t="s">
        <v>1036</v>
      </c>
      <c r="C36" s="132">
        <v>55.257719950065905</v>
      </c>
      <c r="D36" s="104">
        <v>3.1654864944365868</v>
      </c>
      <c r="E36" s="104">
        <v>17.456312022554062</v>
      </c>
      <c r="F36" s="104">
        <v>3.2571620159360333E-36</v>
      </c>
      <c r="G36" s="104">
        <v>48.996510281824257</v>
      </c>
      <c r="H36" s="104">
        <v>61.518929618307553</v>
      </c>
      <c r="I36" s="104">
        <v>48.996510281824257</v>
      </c>
      <c r="J36" s="122">
        <v>61.518929618307553</v>
      </c>
      <c r="M36" s="104" t="s">
        <v>162</v>
      </c>
      <c r="N36" s="104">
        <v>109</v>
      </c>
      <c r="O36" s="107">
        <v>207.49583346984286</v>
      </c>
      <c r="P36" s="104">
        <f t="shared" si="0"/>
        <v>17.927908273141846</v>
      </c>
      <c r="Q36" s="104">
        <f t="shared" si="1"/>
        <v>209</v>
      </c>
      <c r="V36" s="104">
        <f>'[3]chap7-2_初期状態'!D36</f>
        <v>176</v>
      </c>
      <c r="W36" s="104">
        <f t="shared" si="2"/>
        <v>207.49583346984286</v>
      </c>
      <c r="X36" s="104">
        <f>'[3]chap7-2_初期状態'!F36</f>
        <v>24</v>
      </c>
      <c r="Y36" s="104">
        <f t="shared" si="3"/>
        <v>17.927908273141846</v>
      </c>
    </row>
    <row r="37" spans="2:25" ht="19.5" thickBot="1">
      <c r="B37" s="125" t="s">
        <v>994</v>
      </c>
      <c r="C37" s="133">
        <v>-0.17990631933507964</v>
      </c>
      <c r="D37" s="130">
        <v>2.0554436234891452E-2</v>
      </c>
      <c r="E37" s="130">
        <v>-8.7526759322975778</v>
      </c>
      <c r="F37" s="130">
        <v>8.21621098791158E-15</v>
      </c>
      <c r="G37" s="130">
        <v>-0.22056219801450042</v>
      </c>
      <c r="H37" s="130">
        <v>-0.13925044065565886</v>
      </c>
      <c r="I37" s="130">
        <v>-0.22056219801450042</v>
      </c>
      <c r="J37" s="126">
        <v>-0.13925044065565886</v>
      </c>
      <c r="M37" s="104" t="s">
        <v>170</v>
      </c>
      <c r="N37" s="104">
        <v>92</v>
      </c>
      <c r="O37" s="107">
        <v>192</v>
      </c>
      <c r="P37" s="104">
        <f t="shared" si="0"/>
        <v>20.715706637730612</v>
      </c>
      <c r="Q37" s="104">
        <f t="shared" si="1"/>
        <v>192</v>
      </c>
      <c r="V37" s="104">
        <f>'[3]chap7-2_初期状態'!D37</f>
        <v>152</v>
      </c>
      <c r="W37" s="104">
        <f t="shared" si="2"/>
        <v>192</v>
      </c>
      <c r="X37" s="104">
        <f>'[3]chap7-2_初期状態'!F37</f>
        <v>43</v>
      </c>
      <c r="Y37" s="104">
        <f t="shared" si="3"/>
        <v>20.715706637730612</v>
      </c>
    </row>
    <row r="38" spans="2:25" ht="15">
      <c r="E38" s="134"/>
      <c r="F38" s="134"/>
      <c r="M38" s="104" t="s">
        <v>175</v>
      </c>
      <c r="N38" s="104">
        <v>60</v>
      </c>
      <c r="O38" s="107">
        <v>160</v>
      </c>
      <c r="P38" s="104">
        <f t="shared" si="0"/>
        <v>26.472708856453163</v>
      </c>
      <c r="Q38" s="104">
        <f t="shared" si="1"/>
        <v>160</v>
      </c>
      <c r="V38" s="104">
        <f>'[3]chap7-2_初期状態'!D38</f>
        <v>72</v>
      </c>
      <c r="W38" s="104">
        <f t="shared" si="2"/>
        <v>160</v>
      </c>
      <c r="X38" s="104">
        <f>'[3]chap7-2_初期状態'!F38</f>
        <v>50</v>
      </c>
      <c r="Y38" s="104">
        <f t="shared" si="3"/>
        <v>26.472708856453163</v>
      </c>
    </row>
    <row r="39" spans="2:25" ht="15">
      <c r="E39" s="134"/>
      <c r="F39" s="134"/>
      <c r="M39" s="104" t="s">
        <v>178</v>
      </c>
      <c r="N39" s="104">
        <v>62</v>
      </c>
      <c r="O39" s="107">
        <v>161.99999969067568</v>
      </c>
      <c r="P39" s="104">
        <f t="shared" si="0"/>
        <v>26.112896273432405</v>
      </c>
      <c r="Q39" s="104">
        <f t="shared" si="1"/>
        <v>162</v>
      </c>
      <c r="V39" s="104">
        <f>'[3]chap7-2_初期状態'!D39</f>
        <v>104</v>
      </c>
      <c r="W39" s="104">
        <f t="shared" si="2"/>
        <v>161.99999969067568</v>
      </c>
      <c r="X39" s="104">
        <f>'[3]chap7-2_初期状態'!F39</f>
        <v>35</v>
      </c>
      <c r="Y39" s="104">
        <f t="shared" si="3"/>
        <v>26.112896273432405</v>
      </c>
    </row>
    <row r="40" spans="2:25" ht="15">
      <c r="E40" s="134"/>
      <c r="F40" s="134"/>
      <c r="M40" s="104" t="s">
        <v>181</v>
      </c>
      <c r="N40" s="104">
        <v>98</v>
      </c>
      <c r="O40" s="107">
        <v>197.99999964095855</v>
      </c>
      <c r="P40" s="104">
        <f t="shared" si="0"/>
        <v>19.636268786313963</v>
      </c>
      <c r="Q40" s="104">
        <f t="shared" si="1"/>
        <v>198</v>
      </c>
      <c r="V40" s="104">
        <f>'[3]chap7-2_初期状態'!D40</f>
        <v>198</v>
      </c>
      <c r="W40" s="104">
        <f t="shared" si="2"/>
        <v>197.99999964095855</v>
      </c>
      <c r="X40" s="104">
        <f>'[3]chap7-2_初期状態'!F40</f>
        <v>22</v>
      </c>
      <c r="Y40" s="104">
        <f t="shared" si="3"/>
        <v>19.636268786313963</v>
      </c>
    </row>
    <row r="41" spans="2:25" ht="15">
      <c r="E41" s="134"/>
      <c r="F41" s="134"/>
      <c r="M41" s="104" t="s">
        <v>190</v>
      </c>
      <c r="N41" s="104">
        <v>59</v>
      </c>
      <c r="O41" s="107">
        <v>158.99999994244953</v>
      </c>
      <c r="P41" s="104">
        <f t="shared" si="0"/>
        <v>26.652615186141933</v>
      </c>
      <c r="Q41" s="104">
        <f t="shared" si="1"/>
        <v>159</v>
      </c>
      <c r="V41" s="104">
        <f>'[3]chap7-2_初期状態'!D41</f>
        <v>145</v>
      </c>
      <c r="W41" s="104">
        <f t="shared" si="2"/>
        <v>158.99999994244953</v>
      </c>
      <c r="X41" s="104">
        <f>'[3]chap7-2_初期状態'!F41</f>
        <v>22</v>
      </c>
      <c r="Y41" s="104">
        <f t="shared" si="3"/>
        <v>26.652615186141933</v>
      </c>
    </row>
    <row r="42" spans="2:25" ht="15">
      <c r="M42" s="104" t="s">
        <v>197</v>
      </c>
      <c r="N42" s="104">
        <v>74</v>
      </c>
      <c r="O42" s="107">
        <v>174</v>
      </c>
      <c r="P42" s="104">
        <f t="shared" si="0"/>
        <v>23.954020385762046</v>
      </c>
      <c r="Q42" s="104">
        <f t="shared" si="1"/>
        <v>174</v>
      </c>
      <c r="V42" s="104">
        <f>'[3]chap7-2_初期状態'!D42</f>
        <v>120</v>
      </c>
      <c r="W42" s="104">
        <f t="shared" si="2"/>
        <v>174</v>
      </c>
      <c r="X42" s="104">
        <f>'[3]chap7-2_初期状態'!F42</f>
        <v>41</v>
      </c>
      <c r="Y42" s="104">
        <f t="shared" si="3"/>
        <v>23.954020385762046</v>
      </c>
    </row>
    <row r="43" spans="2:25" ht="15">
      <c r="M43" s="104" t="s">
        <v>204</v>
      </c>
      <c r="N43" s="104">
        <v>89</v>
      </c>
      <c r="O43" s="107">
        <v>189</v>
      </c>
      <c r="P43" s="104">
        <f t="shared" si="0"/>
        <v>21.255425595735851</v>
      </c>
      <c r="Q43" s="104">
        <f t="shared" si="1"/>
        <v>189</v>
      </c>
      <c r="V43" s="104">
        <f>'[3]chap7-2_初期状態'!D43</f>
        <v>194</v>
      </c>
      <c r="W43" s="104">
        <f t="shared" si="2"/>
        <v>189</v>
      </c>
      <c r="X43" s="104">
        <f>'[3]chap7-2_初期状態'!F43</f>
        <v>20</v>
      </c>
      <c r="Y43" s="104">
        <f t="shared" si="3"/>
        <v>21.255425595735851</v>
      </c>
    </row>
    <row r="44" spans="2:25" ht="15">
      <c r="M44" s="104" t="s">
        <v>210</v>
      </c>
      <c r="N44" s="104">
        <v>62</v>
      </c>
      <c r="O44" s="107">
        <v>162</v>
      </c>
      <c r="P44" s="104">
        <f t="shared" si="0"/>
        <v>26.112896217783003</v>
      </c>
      <c r="Q44" s="104">
        <f t="shared" si="1"/>
        <v>162</v>
      </c>
      <c r="V44" s="104">
        <f>'[3]chap7-2_初期状態'!D44</f>
        <v>119</v>
      </c>
      <c r="W44" s="104">
        <f t="shared" si="2"/>
        <v>162</v>
      </c>
      <c r="X44" s="104">
        <f>'[3]chap7-2_初期状態'!F44</f>
        <v>38</v>
      </c>
      <c r="Y44" s="104">
        <f t="shared" si="3"/>
        <v>26.112896217783003</v>
      </c>
    </row>
    <row r="45" spans="2:25" ht="15">
      <c r="M45" s="104" t="s">
        <v>213</v>
      </c>
      <c r="N45" s="104">
        <v>58</v>
      </c>
      <c r="O45" s="107">
        <v>158</v>
      </c>
      <c r="P45" s="104">
        <f t="shared" si="0"/>
        <v>26.832521495123324</v>
      </c>
      <c r="Q45" s="104">
        <f t="shared" si="1"/>
        <v>158</v>
      </c>
      <c r="V45" s="104">
        <f>'[3]chap7-2_初期状態'!D45</f>
        <v>140</v>
      </c>
      <c r="W45" s="104">
        <f t="shared" si="2"/>
        <v>158</v>
      </c>
      <c r="X45" s="104">
        <f>'[3]chap7-2_初期状態'!F45</f>
        <v>20</v>
      </c>
      <c r="Y45" s="104">
        <f t="shared" si="3"/>
        <v>26.832521495123324</v>
      </c>
    </row>
    <row r="46" spans="2:25" ht="15">
      <c r="M46" s="104" t="s">
        <v>216</v>
      </c>
      <c r="N46" s="104">
        <v>71</v>
      </c>
      <c r="O46" s="107">
        <v>171</v>
      </c>
      <c r="P46" s="104">
        <f t="shared" si="0"/>
        <v>24.493739343767288</v>
      </c>
      <c r="Q46" s="104">
        <f t="shared" si="1"/>
        <v>171</v>
      </c>
      <c r="V46" s="104">
        <f>'[3]chap7-2_初期状態'!D46</f>
        <v>110</v>
      </c>
      <c r="W46" s="104">
        <f t="shared" si="2"/>
        <v>171</v>
      </c>
      <c r="X46" s="104">
        <f>'[3]chap7-2_初期状態'!F46</f>
        <v>38</v>
      </c>
      <c r="Y46" s="104">
        <f t="shared" si="3"/>
        <v>24.493739343767288</v>
      </c>
    </row>
    <row r="47" spans="2:25" ht="15">
      <c r="M47" s="104" t="s">
        <v>225</v>
      </c>
      <c r="N47" s="104">
        <v>71</v>
      </c>
      <c r="O47" s="107">
        <v>171</v>
      </c>
      <c r="P47" s="104">
        <f t="shared" si="0"/>
        <v>24.493739343767288</v>
      </c>
      <c r="Q47" s="104">
        <f t="shared" si="1"/>
        <v>171</v>
      </c>
      <c r="V47" s="104">
        <f>'[3]chap7-2_初期状態'!D47</f>
        <v>124</v>
      </c>
      <c r="W47" s="104">
        <f t="shared" si="2"/>
        <v>171</v>
      </c>
      <c r="X47" s="104">
        <f>'[3]chap7-2_初期状態'!F47</f>
        <v>25</v>
      </c>
      <c r="Y47" s="104">
        <f t="shared" si="3"/>
        <v>24.493739343767288</v>
      </c>
    </row>
    <row r="48" spans="2:25" ht="15">
      <c r="M48" s="104" t="s">
        <v>229</v>
      </c>
      <c r="N48" s="104">
        <v>98</v>
      </c>
      <c r="O48" s="107">
        <v>197.99999955503094</v>
      </c>
      <c r="P48" s="104">
        <f t="shared" si="0"/>
        <v>19.636268801772879</v>
      </c>
      <c r="Q48" s="104">
        <f t="shared" si="1"/>
        <v>198</v>
      </c>
      <c r="V48" s="104">
        <f>'[3]chap7-2_初期状態'!D48</f>
        <v>176</v>
      </c>
      <c r="W48" s="104">
        <f t="shared" si="2"/>
        <v>197.99999955503094</v>
      </c>
      <c r="X48" s="104">
        <f>'[3]chap7-2_初期状態'!F48</f>
        <v>22</v>
      </c>
      <c r="Y48" s="104">
        <f t="shared" si="3"/>
        <v>19.636268801772879</v>
      </c>
    </row>
    <row r="49" spans="13:25" ht="15">
      <c r="M49" s="104" t="s">
        <v>234</v>
      </c>
      <c r="N49" s="104">
        <v>64</v>
      </c>
      <c r="O49" s="107">
        <v>164</v>
      </c>
      <c r="P49" s="104">
        <f t="shared" si="0"/>
        <v>25.753083579112843</v>
      </c>
      <c r="Q49" s="104">
        <f t="shared" si="1"/>
        <v>164</v>
      </c>
      <c r="V49" s="104">
        <f>'[3]chap7-2_初期状態'!D49</f>
        <v>135</v>
      </c>
      <c r="W49" s="104">
        <f t="shared" si="2"/>
        <v>164</v>
      </c>
      <c r="X49" s="104">
        <f>'[3]chap7-2_初期状態'!F49</f>
        <v>27</v>
      </c>
      <c r="Y49" s="104">
        <f t="shared" si="3"/>
        <v>25.753083579112843</v>
      </c>
    </row>
    <row r="50" spans="13:25" ht="15">
      <c r="M50" s="104" t="s">
        <v>238</v>
      </c>
      <c r="N50" s="104">
        <v>51</v>
      </c>
      <c r="O50" s="107">
        <v>151</v>
      </c>
      <c r="P50" s="104">
        <f t="shared" si="0"/>
        <v>28.091865730468879</v>
      </c>
      <c r="Q50" s="104">
        <f t="shared" si="1"/>
        <v>151</v>
      </c>
      <c r="V50" s="104">
        <f>'[3]chap7-2_初期状態'!D50</f>
        <v>138</v>
      </c>
      <c r="W50" s="104">
        <f t="shared" si="2"/>
        <v>151</v>
      </c>
      <c r="X50" s="104">
        <f>'[3]chap7-2_初期状態'!F50</f>
        <v>26</v>
      </c>
      <c r="Y50" s="104">
        <f t="shared" si="3"/>
        <v>28.091865730468879</v>
      </c>
    </row>
    <row r="51" spans="13:25" ht="15">
      <c r="M51" s="104" t="s">
        <v>247</v>
      </c>
      <c r="N51" s="104">
        <v>76</v>
      </c>
      <c r="O51" s="107">
        <v>176</v>
      </c>
      <c r="P51" s="104">
        <f t="shared" si="0"/>
        <v>23.59420774709189</v>
      </c>
      <c r="Q51" s="104">
        <f t="shared" si="1"/>
        <v>176</v>
      </c>
      <c r="V51" s="104">
        <f>'[3]chap7-2_初期状態'!D51</f>
        <v>146</v>
      </c>
      <c r="W51" s="104">
        <f t="shared" si="2"/>
        <v>176</v>
      </c>
      <c r="X51" s="104">
        <f>'[3]chap7-2_初期状態'!F51</f>
        <v>32</v>
      </c>
      <c r="Y51" s="104">
        <f t="shared" si="3"/>
        <v>23.59420774709189</v>
      </c>
    </row>
    <row r="52" spans="13:25" ht="15">
      <c r="M52" s="104" t="s">
        <v>253</v>
      </c>
      <c r="N52" s="104">
        <v>78</v>
      </c>
      <c r="O52" s="107">
        <v>177.99999991508972</v>
      </c>
      <c r="P52" s="104">
        <f t="shared" si="0"/>
        <v>23.234395123697624</v>
      </c>
      <c r="Q52" s="104">
        <f t="shared" si="1"/>
        <v>178</v>
      </c>
      <c r="V52" s="104">
        <f>'[3]chap7-2_初期状態'!D52</f>
        <v>188</v>
      </c>
      <c r="W52" s="104">
        <f t="shared" si="2"/>
        <v>177.99999991508972</v>
      </c>
      <c r="X52" s="104">
        <f>'[3]chap7-2_初期状態'!F52</f>
        <v>16</v>
      </c>
      <c r="Y52" s="104">
        <f t="shared" si="3"/>
        <v>23.234395123697624</v>
      </c>
    </row>
    <row r="53" spans="13:25" ht="15">
      <c r="M53" s="104" t="s">
        <v>263</v>
      </c>
      <c r="N53" s="104">
        <v>53</v>
      </c>
      <c r="O53" s="107">
        <v>153</v>
      </c>
      <c r="P53" s="104">
        <f t="shared" si="0"/>
        <v>27.732053091798718</v>
      </c>
      <c r="Q53" s="104">
        <f t="shared" si="1"/>
        <v>153</v>
      </c>
      <c r="V53" s="104">
        <f>'[3]chap7-2_初期状態'!D53</f>
        <v>114</v>
      </c>
      <c r="W53" s="104">
        <f t="shared" si="2"/>
        <v>153</v>
      </c>
      <c r="X53" s="104">
        <f>'[3]chap7-2_初期状態'!F53</f>
        <v>40</v>
      </c>
      <c r="Y53" s="104">
        <f t="shared" si="3"/>
        <v>27.732053091798718</v>
      </c>
    </row>
    <row r="54" spans="13:25" ht="15">
      <c r="M54" s="104" t="s">
        <v>272</v>
      </c>
      <c r="N54" s="104">
        <v>80</v>
      </c>
      <c r="O54" s="107">
        <v>180</v>
      </c>
      <c r="P54" s="104">
        <f t="shared" si="0"/>
        <v>22.874582469751573</v>
      </c>
      <c r="Q54" s="104">
        <f t="shared" si="1"/>
        <v>180</v>
      </c>
      <c r="V54" s="104">
        <f>'[3]chap7-2_初期状態'!D54</f>
        <v>148</v>
      </c>
      <c r="W54" s="104">
        <f t="shared" si="2"/>
        <v>180</v>
      </c>
      <c r="X54" s="104">
        <f>'[3]chap7-2_初期状態'!F54</f>
        <v>33</v>
      </c>
      <c r="Y54" s="104">
        <f t="shared" si="3"/>
        <v>22.874582469751573</v>
      </c>
    </row>
    <row r="55" spans="13:25" ht="15">
      <c r="M55" s="104" t="s">
        <v>276</v>
      </c>
      <c r="N55" s="104">
        <v>44</v>
      </c>
      <c r="O55" s="107">
        <v>144</v>
      </c>
      <c r="P55" s="104">
        <f t="shared" si="0"/>
        <v>29.351209965814437</v>
      </c>
      <c r="Q55" s="104">
        <f t="shared" si="1"/>
        <v>144</v>
      </c>
      <c r="V55" s="104">
        <f>'[3]chap7-2_初期状態'!D55</f>
        <v>115</v>
      </c>
      <c r="W55" s="104">
        <f t="shared" si="2"/>
        <v>144</v>
      </c>
      <c r="X55" s="104">
        <f>'[3]chap7-2_初期状態'!F55</f>
        <v>35</v>
      </c>
      <c r="Y55" s="104">
        <f t="shared" si="3"/>
        <v>29.351209965814437</v>
      </c>
    </row>
    <row r="56" spans="13:25" ht="15">
      <c r="M56" s="104" t="s">
        <v>281</v>
      </c>
      <c r="N56" s="104">
        <v>106</v>
      </c>
      <c r="O56" s="107">
        <v>206</v>
      </c>
      <c r="P56" s="104">
        <f t="shared" si="0"/>
        <v>18.197018167039502</v>
      </c>
      <c r="Q56" s="104">
        <f t="shared" si="1"/>
        <v>206</v>
      </c>
      <c r="V56" s="104">
        <f>'[3]chap7-2_初期状態'!D56</f>
        <v>222</v>
      </c>
      <c r="W56" s="104">
        <f t="shared" si="2"/>
        <v>206</v>
      </c>
      <c r="X56" s="104">
        <f>'[3]chap7-2_初期状態'!F56</f>
        <v>13</v>
      </c>
      <c r="Y56" s="104">
        <f t="shared" si="3"/>
        <v>18.197018167039502</v>
      </c>
    </row>
    <row r="57" spans="13:25" ht="15">
      <c r="M57" s="104" t="s">
        <v>289</v>
      </c>
      <c r="N57" s="104">
        <v>75</v>
      </c>
      <c r="O57" s="107">
        <v>174.99999995117088</v>
      </c>
      <c r="P57" s="104">
        <f t="shared" si="0"/>
        <v>23.774114075211635</v>
      </c>
      <c r="Q57" s="104">
        <f t="shared" si="1"/>
        <v>175</v>
      </c>
      <c r="V57" s="104">
        <f>'[3]chap7-2_初期状態'!D57</f>
        <v>172</v>
      </c>
      <c r="W57" s="104">
        <f t="shared" si="2"/>
        <v>174.99999995117088</v>
      </c>
      <c r="X57" s="104">
        <f>'[3]chap7-2_初期状態'!F57</f>
        <v>11</v>
      </c>
      <c r="Y57" s="104">
        <f t="shared" si="3"/>
        <v>23.774114075211635</v>
      </c>
    </row>
    <row r="58" spans="13:25" ht="15">
      <c r="M58" s="104" t="s">
        <v>294</v>
      </c>
      <c r="N58" s="104">
        <v>67</v>
      </c>
      <c r="O58" s="107">
        <v>167</v>
      </c>
      <c r="P58" s="104">
        <f t="shared" si="0"/>
        <v>25.213364621107605</v>
      </c>
      <c r="Q58" s="104">
        <f t="shared" si="1"/>
        <v>167</v>
      </c>
      <c r="V58" s="104">
        <f>'[3]chap7-2_初期状態'!D58</f>
        <v>126</v>
      </c>
      <c r="W58" s="104">
        <f t="shared" si="2"/>
        <v>167</v>
      </c>
      <c r="X58" s="104">
        <f>'[3]chap7-2_初期状態'!F58</f>
        <v>35</v>
      </c>
      <c r="Y58" s="104">
        <f t="shared" si="3"/>
        <v>25.213364621107605</v>
      </c>
    </row>
    <row r="59" spans="13:25" ht="15">
      <c r="M59" s="104" t="s">
        <v>298</v>
      </c>
      <c r="N59" s="104">
        <v>79</v>
      </c>
      <c r="O59" s="107">
        <v>179</v>
      </c>
      <c r="P59" s="104">
        <f t="shared" si="0"/>
        <v>23.054488789086648</v>
      </c>
      <c r="Q59" s="104">
        <f t="shared" si="1"/>
        <v>179</v>
      </c>
      <c r="V59" s="104">
        <f>'[3]chap7-2_初期状態'!D59</f>
        <v>169</v>
      </c>
      <c r="W59" s="104">
        <f t="shared" si="2"/>
        <v>179</v>
      </c>
      <c r="X59" s="104">
        <f>'[3]chap7-2_初期状態'!F59</f>
        <v>24</v>
      </c>
      <c r="Y59" s="104">
        <f t="shared" si="3"/>
        <v>23.054488789086648</v>
      </c>
    </row>
    <row r="60" spans="13:25" ht="15">
      <c r="M60" s="104" t="s">
        <v>303</v>
      </c>
      <c r="N60" s="104">
        <v>73</v>
      </c>
      <c r="O60" s="107">
        <v>173</v>
      </c>
      <c r="P60" s="104">
        <f t="shared" si="0"/>
        <v>24.133926705097128</v>
      </c>
      <c r="Q60" s="104">
        <f t="shared" si="1"/>
        <v>173</v>
      </c>
      <c r="V60" s="104">
        <f>'[3]chap7-2_初期状態'!D60</f>
        <v>172</v>
      </c>
      <c r="W60" s="104">
        <f t="shared" si="2"/>
        <v>173</v>
      </c>
      <c r="X60" s="104">
        <f>'[3]chap7-2_初期状態'!F60</f>
        <v>26</v>
      </c>
      <c r="Y60" s="104">
        <f t="shared" si="3"/>
        <v>24.133926705097128</v>
      </c>
    </row>
    <row r="61" spans="13:25" ht="15">
      <c r="M61" s="104" t="s">
        <v>307</v>
      </c>
      <c r="N61" s="104">
        <v>85</v>
      </c>
      <c r="O61" s="107">
        <v>184.99999989018576</v>
      </c>
      <c r="P61" s="104">
        <f t="shared" si="0"/>
        <v>21.975050892832449</v>
      </c>
      <c r="Q61" s="104">
        <f t="shared" si="1"/>
        <v>185</v>
      </c>
      <c r="V61" s="104">
        <f>'[3]chap7-2_初期状態'!D61</f>
        <v>162</v>
      </c>
      <c r="W61" s="104">
        <f t="shared" si="2"/>
        <v>184.99999989018576</v>
      </c>
      <c r="X61" s="104">
        <f>'[3]chap7-2_初期状態'!F61</f>
        <v>26</v>
      </c>
      <c r="Y61" s="104">
        <f t="shared" si="3"/>
        <v>21.975050892832449</v>
      </c>
    </row>
    <row r="62" spans="13:25" ht="15">
      <c r="M62" s="104" t="s">
        <v>311</v>
      </c>
      <c r="N62" s="104">
        <v>44</v>
      </c>
      <c r="O62" s="107">
        <v>143.99999991521165</v>
      </c>
      <c r="P62" s="104">
        <f t="shared" si="0"/>
        <v>29.351209981068397</v>
      </c>
      <c r="Q62" s="104">
        <f t="shared" si="1"/>
        <v>144</v>
      </c>
      <c r="V62" s="104">
        <f>'[3]chap7-2_初期状態'!D62</f>
        <v>130</v>
      </c>
      <c r="W62" s="104">
        <f t="shared" si="2"/>
        <v>143.99999991521165</v>
      </c>
      <c r="X62" s="104">
        <f>'[3]chap7-2_初期状態'!F62</f>
        <v>39</v>
      </c>
      <c r="Y62" s="104">
        <f t="shared" si="3"/>
        <v>29.351209981068397</v>
      </c>
    </row>
    <row r="63" spans="13:25" ht="15">
      <c r="M63" s="104" t="s">
        <v>320</v>
      </c>
      <c r="N63" s="104">
        <v>39</v>
      </c>
      <c r="O63" s="107">
        <v>139</v>
      </c>
      <c r="P63" s="104">
        <f t="shared" si="0"/>
        <v>30.250741562489836</v>
      </c>
      <c r="Q63" s="104">
        <f t="shared" si="1"/>
        <v>139</v>
      </c>
      <c r="V63" s="104">
        <f>'[3]chap7-2_初期状態'!D63</f>
        <v>76</v>
      </c>
      <c r="W63" s="104">
        <f t="shared" si="2"/>
        <v>139</v>
      </c>
      <c r="X63" s="104">
        <f>'[3]chap7-2_初期状態'!F63</f>
        <v>46</v>
      </c>
      <c r="Y63" s="104">
        <f t="shared" si="3"/>
        <v>30.250741562489836</v>
      </c>
    </row>
    <row r="64" spans="13:25" ht="15">
      <c r="M64" s="104" t="s">
        <v>325</v>
      </c>
      <c r="N64" s="104">
        <v>67</v>
      </c>
      <c r="O64" s="107">
        <v>166.99999999998377</v>
      </c>
      <c r="P64" s="104">
        <f t="shared" si="0"/>
        <v>25.213364621110525</v>
      </c>
      <c r="Q64" s="104">
        <f t="shared" si="1"/>
        <v>167</v>
      </c>
      <c r="V64" s="104">
        <f>'[3]chap7-2_初期状態'!D64</f>
        <v>134</v>
      </c>
      <c r="W64" s="104">
        <f t="shared" si="2"/>
        <v>166.99999999998377</v>
      </c>
      <c r="X64" s="104">
        <f>'[3]chap7-2_初期状態'!F64</f>
        <v>24</v>
      </c>
      <c r="Y64" s="104">
        <f t="shared" si="3"/>
        <v>25.213364621110525</v>
      </c>
    </row>
    <row r="65" spans="13:25" ht="15">
      <c r="M65" s="104" t="s">
        <v>326</v>
      </c>
      <c r="N65" s="104">
        <v>56</v>
      </c>
      <c r="O65" s="107">
        <v>156</v>
      </c>
      <c r="P65" s="104">
        <f t="shared" si="0"/>
        <v>27.19233413379348</v>
      </c>
      <c r="Q65" s="104">
        <f t="shared" si="1"/>
        <v>156</v>
      </c>
      <c r="V65" s="104">
        <f>'[3]chap7-2_初期状態'!D65</f>
        <v>130</v>
      </c>
      <c r="W65" s="104">
        <f t="shared" si="2"/>
        <v>156</v>
      </c>
      <c r="X65" s="104">
        <f>'[3]chap7-2_初期状態'!F65</f>
        <v>19</v>
      </c>
      <c r="Y65" s="104">
        <f t="shared" si="3"/>
        <v>27.19233413379348</v>
      </c>
    </row>
    <row r="66" spans="13:25" ht="15">
      <c r="M66" s="104" t="s">
        <v>331</v>
      </c>
      <c r="N66" s="104">
        <v>40</v>
      </c>
      <c r="O66" s="107">
        <v>140</v>
      </c>
      <c r="P66" s="104">
        <f t="shared" ref="P66:P129" si="4">$C$36 + $C$37 * O66</f>
        <v>30.070835243154754</v>
      </c>
      <c r="Q66" s="104">
        <f t="shared" ref="Q66:Q129" si="5">N66+100</f>
        <v>140</v>
      </c>
      <c r="V66" s="104">
        <f>'[3]chap7-2_初期状態'!D66</f>
        <v>135</v>
      </c>
      <c r="W66" s="104">
        <f t="shared" si="2"/>
        <v>140</v>
      </c>
      <c r="X66" s="104">
        <f>'[3]chap7-2_初期状態'!F66</f>
        <v>29</v>
      </c>
      <c r="Y66" s="104">
        <f t="shared" si="3"/>
        <v>30.070835243154754</v>
      </c>
    </row>
    <row r="67" spans="13:25" ht="15">
      <c r="M67" s="104" t="s">
        <v>349</v>
      </c>
      <c r="N67" s="104">
        <v>39</v>
      </c>
      <c r="O67" s="107">
        <v>138.99999982833563</v>
      </c>
      <c r="P67" s="104">
        <f t="shared" si="4"/>
        <v>30.250741593373341</v>
      </c>
      <c r="Q67" s="104">
        <f t="shared" si="5"/>
        <v>139</v>
      </c>
      <c r="V67" s="104">
        <f>'[3]chap7-2_初期状態'!D67</f>
        <v>108</v>
      </c>
      <c r="W67" s="104">
        <f t="shared" ref="W67:W130" si="6">O67</f>
        <v>138.99999982833563</v>
      </c>
      <c r="X67" s="104">
        <f>'[3]chap7-2_初期状態'!F67</f>
        <v>34</v>
      </c>
      <c r="Y67" s="104">
        <f t="shared" ref="Y67:Y130" si="7">P67</f>
        <v>30.250741593373341</v>
      </c>
    </row>
    <row r="68" spans="13:25" ht="15">
      <c r="M68" s="104" t="s">
        <v>355</v>
      </c>
      <c r="N68" s="104">
        <v>23</v>
      </c>
      <c r="O68" s="107">
        <v>123</v>
      </c>
      <c r="P68" s="104">
        <f t="shared" si="4"/>
        <v>33.129242671851109</v>
      </c>
      <c r="Q68" s="104">
        <f t="shared" si="5"/>
        <v>123</v>
      </c>
      <c r="V68" s="104">
        <f>'[3]chap7-2_初期状態'!D68</f>
        <v>102</v>
      </c>
      <c r="W68" s="104">
        <f t="shared" si="6"/>
        <v>123</v>
      </c>
      <c r="X68" s="104">
        <f>'[3]chap7-2_初期状態'!F68</f>
        <v>33</v>
      </c>
      <c r="Y68" s="104">
        <f t="shared" si="7"/>
        <v>33.129242671851109</v>
      </c>
    </row>
    <row r="69" spans="13:25" ht="15">
      <c r="M69" s="104" t="s">
        <v>357</v>
      </c>
      <c r="N69" s="104">
        <v>101</v>
      </c>
      <c r="O69" s="107">
        <v>201</v>
      </c>
      <c r="P69" s="104">
        <f t="shared" si="4"/>
        <v>19.096549763714897</v>
      </c>
      <c r="Q69" s="104">
        <f t="shared" si="5"/>
        <v>201</v>
      </c>
      <c r="V69" s="104">
        <f>'[3]chap7-2_初期状態'!D69</f>
        <v>223</v>
      </c>
      <c r="W69" s="104">
        <f t="shared" si="6"/>
        <v>201</v>
      </c>
      <c r="X69" s="104">
        <f>'[3]chap7-2_初期状態'!F69</f>
        <v>7</v>
      </c>
      <c r="Y69" s="104">
        <f t="shared" si="7"/>
        <v>19.096549763714897</v>
      </c>
    </row>
    <row r="70" spans="13:25" ht="15">
      <c r="M70" s="104" t="s">
        <v>358</v>
      </c>
      <c r="N70" s="104">
        <v>29</v>
      </c>
      <c r="O70" s="107">
        <v>129</v>
      </c>
      <c r="P70" s="104">
        <f t="shared" si="4"/>
        <v>32.049804755840633</v>
      </c>
      <c r="Q70" s="104">
        <f t="shared" si="5"/>
        <v>129</v>
      </c>
      <c r="V70" s="104">
        <f>'[3]chap7-2_初期状態'!D70</f>
        <v>102</v>
      </c>
      <c r="W70" s="104">
        <f t="shared" si="6"/>
        <v>129</v>
      </c>
      <c r="X70" s="104">
        <f>'[3]chap7-2_初期状態'!F70</f>
        <v>36</v>
      </c>
      <c r="Y70" s="104">
        <f t="shared" si="7"/>
        <v>32.049804755840633</v>
      </c>
    </row>
    <row r="71" spans="13:25" ht="15">
      <c r="M71" s="104" t="s">
        <v>364</v>
      </c>
      <c r="N71" s="104">
        <v>82</v>
      </c>
      <c r="O71" s="107">
        <v>181.99999994005574</v>
      </c>
      <c r="P71" s="104">
        <f t="shared" si="4"/>
        <v>22.514769841865764</v>
      </c>
      <c r="Q71" s="104">
        <f t="shared" si="5"/>
        <v>182</v>
      </c>
      <c r="V71" s="104">
        <f>'[3]chap7-2_初期状態'!D71</f>
        <v>148</v>
      </c>
      <c r="W71" s="104">
        <f t="shared" si="6"/>
        <v>181.99999994005574</v>
      </c>
      <c r="X71" s="104">
        <f>'[3]chap7-2_初期状態'!F71</f>
        <v>49</v>
      </c>
      <c r="Y71" s="104">
        <f t="shared" si="7"/>
        <v>22.514769841865764</v>
      </c>
    </row>
    <row r="72" spans="13:25" ht="15">
      <c r="M72" s="104" t="s">
        <v>365</v>
      </c>
      <c r="N72" s="104">
        <v>42</v>
      </c>
      <c r="O72" s="107">
        <v>141.99999968398393</v>
      </c>
      <c r="P72" s="104">
        <f t="shared" si="4"/>
        <v>29.711022661337886</v>
      </c>
      <c r="Q72" s="104">
        <f t="shared" si="5"/>
        <v>142</v>
      </c>
      <c r="V72" s="104">
        <f>'[3]chap7-2_初期状態'!D72</f>
        <v>92</v>
      </c>
      <c r="W72" s="104">
        <f t="shared" si="6"/>
        <v>141.99999968398393</v>
      </c>
      <c r="X72" s="104">
        <f>'[3]chap7-2_初期状態'!F72</f>
        <v>37</v>
      </c>
      <c r="Y72" s="104">
        <f t="shared" si="7"/>
        <v>29.711022661337886</v>
      </c>
    </row>
    <row r="73" spans="13:25" ht="15">
      <c r="M73" s="104" t="s">
        <v>371</v>
      </c>
      <c r="N73" s="104">
        <v>59</v>
      </c>
      <c r="O73" s="107">
        <v>159</v>
      </c>
      <c r="P73" s="104">
        <f t="shared" si="4"/>
        <v>26.652615175788242</v>
      </c>
      <c r="Q73" s="104">
        <f t="shared" si="5"/>
        <v>159</v>
      </c>
      <c r="V73" s="104">
        <f>'[3]chap7-2_初期状態'!D73</f>
        <v>165</v>
      </c>
      <c r="W73" s="104">
        <f t="shared" si="6"/>
        <v>159</v>
      </c>
      <c r="X73" s="104">
        <f>'[3]chap7-2_初期状態'!F73</f>
        <v>10</v>
      </c>
      <c r="Y73" s="104">
        <f t="shared" si="7"/>
        <v>26.652615175788242</v>
      </c>
    </row>
    <row r="74" spans="13:25" ht="15">
      <c r="M74" s="104" t="s">
        <v>372</v>
      </c>
      <c r="N74" s="104">
        <v>78</v>
      </c>
      <c r="O74" s="107">
        <v>177.99999971752683</v>
      </c>
      <c r="P74" s="104">
        <f t="shared" si="4"/>
        <v>23.234395159240435</v>
      </c>
      <c r="Q74" s="104">
        <f t="shared" si="5"/>
        <v>178</v>
      </c>
      <c r="V74" s="104">
        <f>'[3]chap7-2_初期状態'!D74</f>
        <v>150</v>
      </c>
      <c r="W74" s="104">
        <f t="shared" si="6"/>
        <v>177.99999971752683</v>
      </c>
      <c r="X74" s="104">
        <f>'[3]chap7-2_初期状態'!F74</f>
        <v>24</v>
      </c>
      <c r="Y74" s="104">
        <f t="shared" si="7"/>
        <v>23.234395159240435</v>
      </c>
    </row>
    <row r="75" spans="13:25" ht="15">
      <c r="M75" s="104" t="s">
        <v>379</v>
      </c>
      <c r="N75" s="104">
        <v>83</v>
      </c>
      <c r="O75" s="107">
        <v>182.99999976646998</v>
      </c>
      <c r="P75" s="104">
        <f t="shared" si="4"/>
        <v>22.33486355375986</v>
      </c>
      <c r="Q75" s="104">
        <f t="shared" si="5"/>
        <v>183</v>
      </c>
      <c r="V75" s="104">
        <f>'[3]chap7-2_初期状態'!D75</f>
        <v>146</v>
      </c>
      <c r="W75" s="104">
        <f t="shared" si="6"/>
        <v>182.99999976646998</v>
      </c>
      <c r="X75" s="104">
        <f>'[3]chap7-2_初期状態'!F75</f>
        <v>25</v>
      </c>
      <c r="Y75" s="104">
        <f t="shared" si="7"/>
        <v>22.33486355375986</v>
      </c>
    </row>
    <row r="76" spans="13:25" ht="15">
      <c r="M76" s="104" t="s">
        <v>380</v>
      </c>
      <c r="N76" s="104">
        <v>47</v>
      </c>
      <c r="O76" s="107">
        <v>147</v>
      </c>
      <c r="P76" s="104">
        <f t="shared" si="4"/>
        <v>28.811491007809199</v>
      </c>
      <c r="Q76" s="104">
        <f t="shared" si="5"/>
        <v>147</v>
      </c>
      <c r="V76" s="104">
        <f>'[3]chap7-2_初期状態'!D76</f>
        <v>94</v>
      </c>
      <c r="W76" s="104">
        <f t="shared" si="6"/>
        <v>147</v>
      </c>
      <c r="X76" s="104">
        <f>'[3]chap7-2_初期状態'!F76</f>
        <v>44</v>
      </c>
      <c r="Y76" s="104">
        <f t="shared" si="7"/>
        <v>28.811491007809199</v>
      </c>
    </row>
    <row r="77" spans="13:25" ht="15">
      <c r="M77" s="104" t="s">
        <v>385</v>
      </c>
      <c r="N77" s="104">
        <v>81</v>
      </c>
      <c r="O77" s="107">
        <v>180.99999987378354</v>
      </c>
      <c r="P77" s="104">
        <f t="shared" si="4"/>
        <v>22.694676173123632</v>
      </c>
      <c r="Q77" s="104">
        <f t="shared" si="5"/>
        <v>181</v>
      </c>
      <c r="V77" s="104">
        <f>'[3]chap7-2_初期状態'!D77</f>
        <v>152</v>
      </c>
      <c r="W77" s="104">
        <f t="shared" si="6"/>
        <v>180.99999987378354</v>
      </c>
      <c r="X77" s="104">
        <f>'[3]chap7-2_初期状態'!F77</f>
        <v>18</v>
      </c>
      <c r="Y77" s="104">
        <f t="shared" si="7"/>
        <v>22.694676173123632</v>
      </c>
    </row>
    <row r="78" spans="13:25" ht="15">
      <c r="M78" s="104" t="s">
        <v>389</v>
      </c>
      <c r="N78" s="104">
        <v>25</v>
      </c>
      <c r="O78" s="107">
        <v>125</v>
      </c>
      <c r="P78" s="104">
        <f t="shared" si="4"/>
        <v>32.769430033180953</v>
      </c>
      <c r="Q78" s="104">
        <f t="shared" si="5"/>
        <v>125</v>
      </c>
      <c r="V78" s="104">
        <f>'[3]chap7-2_初期状態'!D78</f>
        <v>126</v>
      </c>
      <c r="W78" s="104">
        <f t="shared" si="6"/>
        <v>125</v>
      </c>
      <c r="X78" s="104">
        <f>'[3]chap7-2_初期状態'!F78</f>
        <v>41</v>
      </c>
      <c r="Y78" s="104">
        <f t="shared" si="7"/>
        <v>32.769430033180953</v>
      </c>
    </row>
    <row r="79" spans="13:25" ht="15">
      <c r="M79" s="104" t="s">
        <v>395</v>
      </c>
      <c r="N79" s="104">
        <v>65</v>
      </c>
      <c r="O79" s="107">
        <v>165</v>
      </c>
      <c r="P79" s="104">
        <f t="shared" si="4"/>
        <v>25.573177259777765</v>
      </c>
      <c r="Q79" s="104">
        <f t="shared" si="5"/>
        <v>165</v>
      </c>
      <c r="V79" s="104">
        <f>'[3]chap7-2_初期状態'!D79</f>
        <v>166</v>
      </c>
      <c r="W79" s="104">
        <f t="shared" si="6"/>
        <v>165</v>
      </c>
      <c r="X79" s="104">
        <f>'[3]chap7-2_初期状態'!F79</f>
        <v>21</v>
      </c>
      <c r="Y79" s="104">
        <f t="shared" si="7"/>
        <v>25.573177259777765</v>
      </c>
    </row>
    <row r="80" spans="13:25" ht="15">
      <c r="M80" s="104" t="s">
        <v>396</v>
      </c>
      <c r="N80" s="104">
        <v>107</v>
      </c>
      <c r="O80" s="107">
        <v>206.49861071705143</v>
      </c>
      <c r="P80" s="104">
        <f t="shared" si="4"/>
        <v>18.10731494815375</v>
      </c>
      <c r="Q80" s="104">
        <f t="shared" si="5"/>
        <v>207</v>
      </c>
      <c r="V80" s="104">
        <f>'[3]chap7-2_初期状態'!D80</f>
        <v>186</v>
      </c>
      <c r="W80" s="104">
        <f t="shared" si="6"/>
        <v>206.49861071705143</v>
      </c>
      <c r="X80" s="104">
        <f>'[3]chap7-2_初期状態'!F80</f>
        <v>27</v>
      </c>
      <c r="Y80" s="104">
        <f t="shared" si="7"/>
        <v>18.10731494815375</v>
      </c>
    </row>
    <row r="81" spans="13:25" ht="15">
      <c r="M81" s="104" t="s">
        <v>399</v>
      </c>
      <c r="N81" s="104">
        <v>48</v>
      </c>
      <c r="O81" s="107">
        <v>148</v>
      </c>
      <c r="P81" s="104">
        <f t="shared" si="4"/>
        <v>28.631584688474117</v>
      </c>
      <c r="Q81" s="104">
        <f t="shared" si="5"/>
        <v>148</v>
      </c>
      <c r="V81" s="104">
        <f>'[3]chap7-2_初期状態'!D81</f>
        <v>97</v>
      </c>
      <c r="W81" s="104">
        <f t="shared" si="6"/>
        <v>148</v>
      </c>
      <c r="X81" s="104">
        <f>'[3]chap7-2_初期状態'!F81</f>
        <v>34</v>
      </c>
      <c r="Y81" s="104">
        <f t="shared" si="7"/>
        <v>28.631584688474117</v>
      </c>
    </row>
    <row r="82" spans="13:25" ht="15">
      <c r="M82" s="104" t="s">
        <v>400</v>
      </c>
      <c r="N82" s="104">
        <v>83</v>
      </c>
      <c r="O82" s="107">
        <v>183</v>
      </c>
      <c r="P82" s="104">
        <f t="shared" si="4"/>
        <v>22.334863511746327</v>
      </c>
      <c r="Q82" s="104">
        <f t="shared" si="5"/>
        <v>183</v>
      </c>
      <c r="V82" s="104">
        <f>'[3]chap7-2_初期状態'!D82</f>
        <v>180</v>
      </c>
      <c r="W82" s="104">
        <f t="shared" si="6"/>
        <v>183</v>
      </c>
      <c r="X82" s="104">
        <f>'[3]chap7-2_初期状態'!F82</f>
        <v>11</v>
      </c>
      <c r="Y82" s="104">
        <f t="shared" si="7"/>
        <v>22.334863511746327</v>
      </c>
    </row>
    <row r="83" spans="13:25" ht="15">
      <c r="M83" s="104" t="s">
        <v>406</v>
      </c>
      <c r="N83" s="104">
        <v>91</v>
      </c>
      <c r="O83" s="107">
        <v>191</v>
      </c>
      <c r="P83" s="104">
        <f t="shared" si="4"/>
        <v>20.895612957065694</v>
      </c>
      <c r="Q83" s="104">
        <f t="shared" si="5"/>
        <v>191</v>
      </c>
      <c r="V83" s="104">
        <f>'[3]chap7-2_初期状態'!D83</f>
        <v>171</v>
      </c>
      <c r="W83" s="104">
        <f t="shared" si="6"/>
        <v>191</v>
      </c>
      <c r="X83" s="104">
        <f>'[3]chap7-2_初期状態'!F83</f>
        <v>27</v>
      </c>
      <c r="Y83" s="104">
        <f t="shared" si="7"/>
        <v>20.895612957065694</v>
      </c>
    </row>
    <row r="84" spans="13:25" ht="15">
      <c r="M84" s="104" t="s">
        <v>407</v>
      </c>
      <c r="N84" s="104">
        <v>53</v>
      </c>
      <c r="O84" s="107">
        <v>153</v>
      </c>
      <c r="P84" s="104">
        <f t="shared" si="4"/>
        <v>27.732053091798718</v>
      </c>
      <c r="Q84" s="104">
        <f t="shared" si="5"/>
        <v>153</v>
      </c>
      <c r="V84" s="104">
        <f>'[3]chap7-2_初期状態'!D84</f>
        <v>156</v>
      </c>
      <c r="W84" s="104">
        <f t="shared" si="6"/>
        <v>153</v>
      </c>
      <c r="X84" s="104">
        <f>'[3]chap7-2_初期状態'!F84</f>
        <v>36</v>
      </c>
      <c r="Y84" s="104">
        <f t="shared" si="7"/>
        <v>27.732053091798718</v>
      </c>
    </row>
    <row r="85" spans="13:25" ht="15">
      <c r="M85" s="104" t="s">
        <v>413</v>
      </c>
      <c r="N85" s="104">
        <v>94</v>
      </c>
      <c r="O85" s="107">
        <v>194</v>
      </c>
      <c r="P85" s="104">
        <f t="shared" si="4"/>
        <v>20.355893999060456</v>
      </c>
      <c r="Q85" s="104">
        <f t="shared" si="5"/>
        <v>194</v>
      </c>
      <c r="V85" s="104">
        <f>'[3]chap7-2_初期状態'!D85</f>
        <v>187</v>
      </c>
      <c r="W85" s="104">
        <f t="shared" si="6"/>
        <v>194</v>
      </c>
      <c r="X85" s="104">
        <f>'[3]chap7-2_初期状態'!F85</f>
        <v>17</v>
      </c>
      <c r="Y85" s="104">
        <f t="shared" si="7"/>
        <v>20.355893999060456</v>
      </c>
    </row>
    <row r="86" spans="13:25" ht="15">
      <c r="M86" s="104" t="s">
        <v>421</v>
      </c>
      <c r="N86" s="104">
        <v>86</v>
      </c>
      <c r="O86" s="107">
        <v>185.99999988742175</v>
      </c>
      <c r="P86" s="104">
        <f t="shared" si="4"/>
        <v>21.795144573994634</v>
      </c>
      <c r="Q86" s="104">
        <f t="shared" si="5"/>
        <v>186</v>
      </c>
      <c r="V86" s="104">
        <f>'[3]chap7-2_初期状態'!D86</f>
        <v>193</v>
      </c>
      <c r="W86" s="104">
        <f t="shared" si="6"/>
        <v>185.99999988742175</v>
      </c>
      <c r="X86" s="104">
        <f>'[3]chap7-2_初期状態'!F86</f>
        <v>14</v>
      </c>
      <c r="Y86" s="104">
        <f t="shared" si="7"/>
        <v>21.795144573994634</v>
      </c>
    </row>
    <row r="87" spans="13:25" ht="15">
      <c r="M87" s="104" t="s">
        <v>422</v>
      </c>
      <c r="N87" s="104">
        <v>90</v>
      </c>
      <c r="O87" s="107">
        <v>189.99999992746459</v>
      </c>
      <c r="P87" s="104">
        <f t="shared" si="4"/>
        <v>21.075519289450355</v>
      </c>
      <c r="Q87" s="104">
        <f t="shared" si="5"/>
        <v>190</v>
      </c>
      <c r="V87" s="104">
        <f>'[3]chap7-2_初期状態'!D87</f>
        <v>146</v>
      </c>
      <c r="W87" s="104">
        <f t="shared" si="6"/>
        <v>189.99999992746459</v>
      </c>
      <c r="X87" s="104">
        <f>'[3]chap7-2_初期状態'!F87</f>
        <v>30</v>
      </c>
      <c r="Y87" s="104">
        <f t="shared" si="7"/>
        <v>21.075519289450355</v>
      </c>
    </row>
    <row r="88" spans="13:25" ht="15">
      <c r="M88" s="104" t="s">
        <v>428</v>
      </c>
      <c r="N88" s="104">
        <v>93</v>
      </c>
      <c r="O88" s="107">
        <v>193</v>
      </c>
      <c r="P88" s="104">
        <f t="shared" si="4"/>
        <v>20.535800318395538</v>
      </c>
      <c r="Q88" s="104">
        <f t="shared" si="5"/>
        <v>193</v>
      </c>
      <c r="V88" s="104">
        <f>'[3]chap7-2_初期状態'!D88</f>
        <v>170</v>
      </c>
      <c r="W88" s="104">
        <f t="shared" si="6"/>
        <v>193</v>
      </c>
      <c r="X88" s="104">
        <f>'[3]chap7-2_初期状態'!F88</f>
        <v>27</v>
      </c>
      <c r="Y88" s="104">
        <f t="shared" si="7"/>
        <v>20.535800318395538</v>
      </c>
    </row>
    <row r="89" spans="13:25" ht="15">
      <c r="M89" s="104" t="s">
        <v>429</v>
      </c>
      <c r="N89" s="104">
        <v>81</v>
      </c>
      <c r="O89" s="107">
        <v>181</v>
      </c>
      <c r="P89" s="104">
        <f t="shared" si="4"/>
        <v>22.694676150416491</v>
      </c>
      <c r="Q89" s="104">
        <f t="shared" si="5"/>
        <v>181</v>
      </c>
      <c r="V89" s="104">
        <f>'[3]chap7-2_初期状態'!D89</f>
        <v>172</v>
      </c>
      <c r="W89" s="104">
        <f t="shared" si="6"/>
        <v>181</v>
      </c>
      <c r="X89" s="104">
        <f>'[3]chap7-2_初期状態'!F89</f>
        <v>37</v>
      </c>
      <c r="Y89" s="104">
        <f t="shared" si="7"/>
        <v>22.694676150416491</v>
      </c>
    </row>
    <row r="90" spans="13:25" ht="15">
      <c r="M90" s="104" t="s">
        <v>433</v>
      </c>
      <c r="N90" s="104">
        <v>66</v>
      </c>
      <c r="O90" s="107">
        <v>166</v>
      </c>
      <c r="P90" s="104">
        <f t="shared" si="4"/>
        <v>25.393270940442683</v>
      </c>
      <c r="Q90" s="104">
        <f t="shared" si="5"/>
        <v>166</v>
      </c>
      <c r="V90" s="104">
        <f>'[3]chap7-2_初期状態'!D90</f>
        <v>152</v>
      </c>
      <c r="W90" s="104">
        <f t="shared" si="6"/>
        <v>166</v>
      </c>
      <c r="X90" s="104">
        <f>'[3]chap7-2_初期状態'!F90</f>
        <v>28</v>
      </c>
      <c r="Y90" s="104">
        <f t="shared" si="7"/>
        <v>25.393270940442683</v>
      </c>
    </row>
    <row r="91" spans="13:25" ht="15">
      <c r="M91" s="104" t="s">
        <v>437</v>
      </c>
      <c r="N91" s="104">
        <v>104</v>
      </c>
      <c r="O91" s="107">
        <v>204</v>
      </c>
      <c r="P91" s="104">
        <f t="shared" si="4"/>
        <v>18.556830805709659</v>
      </c>
      <c r="Q91" s="104">
        <f t="shared" si="5"/>
        <v>204</v>
      </c>
      <c r="V91" s="104">
        <f>'[3]chap7-2_初期状態'!D91</f>
        <v>196</v>
      </c>
      <c r="W91" s="104">
        <f t="shared" si="6"/>
        <v>204</v>
      </c>
      <c r="X91" s="104">
        <f>'[3]chap7-2_初期状態'!F91</f>
        <v>28</v>
      </c>
      <c r="Y91" s="104">
        <f t="shared" si="7"/>
        <v>18.556830805709659</v>
      </c>
    </row>
    <row r="92" spans="13:25" ht="15">
      <c r="M92" s="104" t="s">
        <v>438</v>
      </c>
      <c r="N92" s="104">
        <v>88</v>
      </c>
      <c r="O92" s="107">
        <v>188</v>
      </c>
      <c r="P92" s="104">
        <f t="shared" si="4"/>
        <v>21.435331915070932</v>
      </c>
      <c r="Q92" s="104">
        <f t="shared" si="5"/>
        <v>188</v>
      </c>
      <c r="V92" s="104">
        <f>'[3]chap7-2_初期状態'!D92</f>
        <v>169</v>
      </c>
      <c r="W92" s="104">
        <f t="shared" si="6"/>
        <v>188</v>
      </c>
      <c r="X92" s="104">
        <f>'[3]chap7-2_初期状態'!F92</f>
        <v>20</v>
      </c>
      <c r="Y92" s="104">
        <f t="shared" si="7"/>
        <v>21.435331915070932</v>
      </c>
    </row>
    <row r="93" spans="13:25" ht="15">
      <c r="M93" s="104" t="s">
        <v>443</v>
      </c>
      <c r="N93" s="104">
        <v>45</v>
      </c>
      <c r="O93" s="107">
        <v>145</v>
      </c>
      <c r="P93" s="104">
        <f t="shared" si="4"/>
        <v>29.171303646479355</v>
      </c>
      <c r="Q93" s="104">
        <f t="shared" si="5"/>
        <v>145</v>
      </c>
      <c r="V93" s="104">
        <f>'[3]chap7-2_初期状態'!D93</f>
        <v>168</v>
      </c>
      <c r="W93" s="104">
        <f t="shared" si="6"/>
        <v>145</v>
      </c>
      <c r="X93" s="104">
        <f>'[3]chap7-2_初期状態'!F93</f>
        <v>25</v>
      </c>
      <c r="Y93" s="104">
        <f t="shared" si="7"/>
        <v>29.171303646479355</v>
      </c>
    </row>
    <row r="94" spans="13:25" ht="15">
      <c r="M94" s="104" t="s">
        <v>444</v>
      </c>
      <c r="N94" s="104">
        <v>42</v>
      </c>
      <c r="O94" s="107">
        <v>141.99999963390107</v>
      </c>
      <c r="P94" s="104">
        <f t="shared" si="4"/>
        <v>29.711022670348108</v>
      </c>
      <c r="Q94" s="104">
        <f t="shared" si="5"/>
        <v>142</v>
      </c>
      <c r="V94" s="104">
        <f>'[3]chap7-2_初期状態'!D94</f>
        <v>103</v>
      </c>
      <c r="W94" s="104">
        <f t="shared" si="6"/>
        <v>141.99999963390107</v>
      </c>
      <c r="X94" s="104">
        <f>'[3]chap7-2_初期状態'!F94</f>
        <v>31</v>
      </c>
      <c r="Y94" s="104">
        <f t="shared" si="7"/>
        <v>29.711022670348108</v>
      </c>
    </row>
    <row r="95" spans="13:25" ht="15">
      <c r="M95" s="104" t="s">
        <v>449</v>
      </c>
      <c r="N95" s="104">
        <v>128</v>
      </c>
      <c r="O95" s="107">
        <v>216.9694576421843</v>
      </c>
      <c r="P95" s="104">
        <f t="shared" si="4"/>
        <v>16.223543417532063</v>
      </c>
      <c r="Q95" s="104">
        <f t="shared" si="5"/>
        <v>228</v>
      </c>
      <c r="V95" s="104">
        <f>'[3]chap7-2_初期状態'!D95</f>
        <v>173</v>
      </c>
      <c r="W95" s="104">
        <f t="shared" si="6"/>
        <v>216.9694576421843</v>
      </c>
      <c r="X95" s="104">
        <f>'[3]chap7-2_初期状態'!F95</f>
        <v>26</v>
      </c>
      <c r="Y95" s="104">
        <f t="shared" si="7"/>
        <v>16.223543417532063</v>
      </c>
    </row>
    <row r="96" spans="13:25" ht="15">
      <c r="M96" s="104" t="s">
        <v>455</v>
      </c>
      <c r="N96" s="104">
        <v>75</v>
      </c>
      <c r="O96" s="107">
        <v>175</v>
      </c>
      <c r="P96" s="104">
        <f t="shared" si="4"/>
        <v>23.774114066426968</v>
      </c>
      <c r="Q96" s="104">
        <f t="shared" si="5"/>
        <v>175</v>
      </c>
      <c r="V96" s="104">
        <f>'[3]chap7-2_初期状態'!D96</f>
        <v>127</v>
      </c>
      <c r="W96" s="104">
        <f t="shared" si="6"/>
        <v>175</v>
      </c>
      <c r="X96" s="104">
        <f>'[3]chap7-2_初期状態'!F96</f>
        <v>43</v>
      </c>
      <c r="Y96" s="104">
        <f t="shared" si="7"/>
        <v>23.774114066426968</v>
      </c>
    </row>
    <row r="97" spans="13:25" ht="15">
      <c r="M97" s="104" t="s">
        <v>456</v>
      </c>
      <c r="N97" s="104">
        <v>49</v>
      </c>
      <c r="O97" s="107">
        <v>149</v>
      </c>
      <c r="P97" s="104">
        <f t="shared" si="4"/>
        <v>28.451678369139039</v>
      </c>
      <c r="Q97" s="104">
        <f t="shared" si="5"/>
        <v>149</v>
      </c>
      <c r="V97" s="104">
        <f>'[3]chap7-2_初期状態'!D97</f>
        <v>101</v>
      </c>
      <c r="W97" s="104">
        <f t="shared" si="6"/>
        <v>149</v>
      </c>
      <c r="X97" s="104">
        <f>'[3]chap7-2_初期状態'!F97</f>
        <v>36</v>
      </c>
      <c r="Y97" s="104">
        <f t="shared" si="7"/>
        <v>28.451678369139039</v>
      </c>
    </row>
    <row r="98" spans="13:25" ht="15">
      <c r="M98" s="104" t="s">
        <v>461</v>
      </c>
      <c r="N98" s="104">
        <v>74</v>
      </c>
      <c r="O98" s="107">
        <v>173.99999979455004</v>
      </c>
      <c r="P98" s="104">
        <f t="shared" si="4"/>
        <v>23.954020422723794</v>
      </c>
      <c r="Q98" s="104">
        <f t="shared" si="5"/>
        <v>174</v>
      </c>
      <c r="V98" s="104">
        <f>'[3]chap7-2_初期状態'!D98</f>
        <v>113</v>
      </c>
      <c r="W98" s="104">
        <f t="shared" si="6"/>
        <v>173.99999979455004</v>
      </c>
      <c r="X98" s="104">
        <f>'[3]chap7-2_初期状態'!F98</f>
        <v>38</v>
      </c>
      <c r="Y98" s="104">
        <f t="shared" si="7"/>
        <v>23.954020422723794</v>
      </c>
    </row>
    <row r="99" spans="13:25" ht="15">
      <c r="M99" s="104" t="s">
        <v>465</v>
      </c>
      <c r="N99" s="104">
        <v>97</v>
      </c>
      <c r="O99" s="107">
        <v>197</v>
      </c>
      <c r="P99" s="104">
        <f t="shared" si="4"/>
        <v>19.816175041055217</v>
      </c>
      <c r="Q99" s="104">
        <f t="shared" si="5"/>
        <v>197</v>
      </c>
      <c r="V99" s="104">
        <f>'[3]chap7-2_初期状態'!D99</f>
        <v>162</v>
      </c>
      <c r="W99" s="104">
        <f t="shared" si="6"/>
        <v>197</v>
      </c>
      <c r="X99" s="104">
        <f>'[3]chap7-2_初期状態'!F99</f>
        <v>28</v>
      </c>
      <c r="Y99" s="104">
        <f t="shared" si="7"/>
        <v>19.816175041055217</v>
      </c>
    </row>
    <row r="100" spans="13:25" ht="15">
      <c r="M100" s="104" t="s">
        <v>466</v>
      </c>
      <c r="N100" s="104">
        <v>58</v>
      </c>
      <c r="O100" s="107">
        <v>157.99999971449949</v>
      </c>
      <c r="P100" s="104">
        <f t="shared" si="4"/>
        <v>26.832521546486667</v>
      </c>
      <c r="Q100" s="104">
        <f t="shared" si="5"/>
        <v>158</v>
      </c>
      <c r="V100" s="104">
        <f>'[3]chap7-2_初期状態'!D100</f>
        <v>144</v>
      </c>
      <c r="W100" s="104">
        <f t="shared" si="6"/>
        <v>157.99999971449949</v>
      </c>
      <c r="X100" s="104">
        <f>'[3]chap7-2_初期状態'!F100</f>
        <v>27</v>
      </c>
      <c r="Y100" s="104">
        <f t="shared" si="7"/>
        <v>26.832521546486667</v>
      </c>
    </row>
    <row r="101" spans="13:25" ht="15">
      <c r="M101" s="104" t="s">
        <v>473</v>
      </c>
      <c r="N101" s="104">
        <v>78</v>
      </c>
      <c r="O101" s="107">
        <v>178</v>
      </c>
      <c r="P101" s="104">
        <f t="shared" si="4"/>
        <v>23.23439510842173</v>
      </c>
      <c r="Q101" s="104">
        <f t="shared" si="5"/>
        <v>178</v>
      </c>
      <c r="V101" s="104">
        <f>'[3]chap7-2_初期状態'!D101</f>
        <v>126</v>
      </c>
      <c r="W101" s="104">
        <f t="shared" si="6"/>
        <v>178</v>
      </c>
      <c r="X101" s="104">
        <f>'[3]chap7-2_初期状態'!F101</f>
        <v>36</v>
      </c>
      <c r="Y101" s="104">
        <f t="shared" si="7"/>
        <v>23.23439510842173</v>
      </c>
    </row>
    <row r="102" spans="13:25" ht="15">
      <c r="M102" s="104" t="s">
        <v>480</v>
      </c>
      <c r="N102" s="104">
        <v>112</v>
      </c>
      <c r="O102" s="107">
        <v>208.99166819091306</v>
      </c>
      <c r="P102" s="104">
        <f t="shared" si="4"/>
        <v>17.658798154140491</v>
      </c>
      <c r="Q102" s="104">
        <f t="shared" si="5"/>
        <v>212</v>
      </c>
      <c r="V102" s="104">
        <f>'[3]chap7-2_初期状態'!D102</f>
        <v>226</v>
      </c>
      <c r="W102" s="104">
        <f t="shared" si="6"/>
        <v>208.99166819091306</v>
      </c>
      <c r="X102" s="104">
        <f>'[3]chap7-2_初期状態'!F102</f>
        <v>9</v>
      </c>
      <c r="Y102" s="104">
        <f t="shared" si="7"/>
        <v>17.658798154140491</v>
      </c>
    </row>
    <row r="103" spans="13:25" ht="15">
      <c r="M103" s="104" t="s">
        <v>481</v>
      </c>
      <c r="N103" s="104">
        <v>114</v>
      </c>
      <c r="O103" s="107">
        <v>209.98889231725644</v>
      </c>
      <c r="P103" s="104">
        <f t="shared" si="4"/>
        <v>17.479391232017917</v>
      </c>
      <c r="Q103" s="104">
        <f t="shared" si="5"/>
        <v>214</v>
      </c>
      <c r="V103" s="104">
        <f>'[3]chap7-2_初期状態'!D103</f>
        <v>176</v>
      </c>
      <c r="W103" s="104">
        <f t="shared" si="6"/>
        <v>209.98889231725644</v>
      </c>
      <c r="X103" s="104">
        <f>'[3]chap7-2_初期状態'!F103</f>
        <v>19</v>
      </c>
      <c r="Y103" s="104">
        <f t="shared" si="7"/>
        <v>17.479391232017917</v>
      </c>
    </row>
    <row r="104" spans="13:25" ht="15">
      <c r="M104" s="104" t="s">
        <v>487</v>
      </c>
      <c r="N104" s="104">
        <v>94</v>
      </c>
      <c r="O104" s="107">
        <v>193.99999994518154</v>
      </c>
      <c r="P104" s="104">
        <f t="shared" si="4"/>
        <v>20.35589400892264</v>
      </c>
      <c r="Q104" s="104">
        <f t="shared" si="5"/>
        <v>194</v>
      </c>
      <c r="V104" s="104">
        <f>'[3]chap7-2_初期状態'!D104</f>
        <v>184</v>
      </c>
      <c r="W104" s="104">
        <f t="shared" si="6"/>
        <v>193.99999994518154</v>
      </c>
      <c r="X104" s="104">
        <f>'[3]chap7-2_初期状態'!F104</f>
        <v>35</v>
      </c>
      <c r="Y104" s="104">
        <f t="shared" si="7"/>
        <v>20.35589400892264</v>
      </c>
    </row>
    <row r="105" spans="13:25" ht="15">
      <c r="M105" s="104" t="s">
        <v>488</v>
      </c>
      <c r="N105" s="104">
        <v>98</v>
      </c>
      <c r="O105" s="107">
        <v>198</v>
      </c>
      <c r="P105" s="104">
        <f t="shared" si="4"/>
        <v>19.636268721720135</v>
      </c>
      <c r="Q105" s="104">
        <f t="shared" si="5"/>
        <v>198</v>
      </c>
      <c r="V105" s="104">
        <f>'[3]chap7-2_初期状態'!D105</f>
        <v>137</v>
      </c>
      <c r="W105" s="104">
        <f t="shared" si="6"/>
        <v>198</v>
      </c>
      <c r="X105" s="104">
        <f>'[3]chap7-2_初期状態'!F105</f>
        <v>43</v>
      </c>
      <c r="Y105" s="104">
        <f t="shared" si="7"/>
        <v>19.636268721720135</v>
      </c>
    </row>
    <row r="106" spans="13:25" ht="15">
      <c r="M106" s="104" t="s">
        <v>496</v>
      </c>
      <c r="N106" s="104">
        <v>65</v>
      </c>
      <c r="O106" s="107">
        <v>164.99999983336616</v>
      </c>
      <c r="P106" s="104">
        <f t="shared" si="4"/>
        <v>25.573177289756245</v>
      </c>
      <c r="Q106" s="104">
        <f t="shared" si="5"/>
        <v>165</v>
      </c>
      <c r="V106" s="104">
        <f>'[3]chap7-2_初期状態'!D106</f>
        <v>138</v>
      </c>
      <c r="W106" s="104">
        <f t="shared" si="6"/>
        <v>164.99999983336616</v>
      </c>
      <c r="X106" s="104">
        <f>'[3]chap7-2_初期状態'!F106</f>
        <v>28</v>
      </c>
      <c r="Y106" s="104">
        <f t="shared" si="7"/>
        <v>25.573177289756245</v>
      </c>
    </row>
    <row r="107" spans="13:25" ht="15">
      <c r="M107" s="104" t="s">
        <v>497</v>
      </c>
      <c r="N107" s="104">
        <v>67</v>
      </c>
      <c r="O107" s="107">
        <v>166.99999978095059</v>
      </c>
      <c r="P107" s="104">
        <f t="shared" si="4"/>
        <v>25.213364660515978</v>
      </c>
      <c r="Q107" s="104">
        <f t="shared" si="5"/>
        <v>167</v>
      </c>
      <c r="V107" s="104">
        <f>'[3]chap7-2_初期状態'!D107</f>
        <v>133</v>
      </c>
      <c r="W107" s="104">
        <f t="shared" si="6"/>
        <v>166.99999978095059</v>
      </c>
      <c r="X107" s="104">
        <f>'[3]chap7-2_初期状態'!F107</f>
        <v>17</v>
      </c>
      <c r="Y107" s="104">
        <f t="shared" si="7"/>
        <v>25.213364660515978</v>
      </c>
    </row>
    <row r="108" spans="13:25" ht="15">
      <c r="M108" s="104" t="s">
        <v>500</v>
      </c>
      <c r="N108" s="104">
        <v>88</v>
      </c>
      <c r="O108" s="107">
        <v>188</v>
      </c>
      <c r="P108" s="104">
        <f t="shared" si="4"/>
        <v>21.435331915070932</v>
      </c>
      <c r="Q108" s="104">
        <f t="shared" si="5"/>
        <v>188</v>
      </c>
      <c r="V108" s="104">
        <f>'[3]chap7-2_初期状態'!D108</f>
        <v>159</v>
      </c>
      <c r="W108" s="104">
        <f t="shared" si="6"/>
        <v>188</v>
      </c>
      <c r="X108" s="104">
        <f>'[3]chap7-2_初期状態'!F108</f>
        <v>21</v>
      </c>
      <c r="Y108" s="104">
        <f t="shared" si="7"/>
        <v>21.435331915070932</v>
      </c>
    </row>
    <row r="109" spans="13:25" ht="15">
      <c r="M109" s="104" t="s">
        <v>507</v>
      </c>
      <c r="N109" s="104">
        <v>85</v>
      </c>
      <c r="O109" s="107">
        <v>185</v>
      </c>
      <c r="P109" s="104">
        <f t="shared" si="4"/>
        <v>21.975050873076171</v>
      </c>
      <c r="Q109" s="104">
        <f t="shared" si="5"/>
        <v>185</v>
      </c>
      <c r="V109" s="104">
        <f>'[3]chap7-2_初期状態'!D109</f>
        <v>129</v>
      </c>
      <c r="W109" s="104">
        <f t="shared" si="6"/>
        <v>185</v>
      </c>
      <c r="X109" s="104">
        <f>'[3]chap7-2_初期状態'!F109</f>
        <v>19</v>
      </c>
      <c r="Y109" s="104">
        <f t="shared" si="7"/>
        <v>21.975050873076171</v>
      </c>
    </row>
    <row r="110" spans="13:25" ht="15">
      <c r="M110" s="104" t="s">
        <v>511</v>
      </c>
      <c r="N110" s="104">
        <v>88</v>
      </c>
      <c r="O110" s="107">
        <v>187.99999976521059</v>
      </c>
      <c r="P110" s="104">
        <f t="shared" si="4"/>
        <v>21.435331957311028</v>
      </c>
      <c r="Q110" s="104">
        <f t="shared" si="5"/>
        <v>188</v>
      </c>
      <c r="V110" s="104">
        <f>'[3]chap7-2_初期状態'!D110</f>
        <v>154</v>
      </c>
      <c r="W110" s="104">
        <f t="shared" si="6"/>
        <v>187.99999976521059</v>
      </c>
      <c r="X110" s="104">
        <f>'[3]chap7-2_初期状態'!F110</f>
        <v>27</v>
      </c>
      <c r="Y110" s="104">
        <f t="shared" si="7"/>
        <v>21.435331957311028</v>
      </c>
    </row>
    <row r="111" spans="13:25" ht="15">
      <c r="M111" s="104" t="s">
        <v>512</v>
      </c>
      <c r="N111" s="104">
        <v>80</v>
      </c>
      <c r="O111" s="107">
        <v>179.99999952067779</v>
      </c>
      <c r="P111" s="104">
        <f t="shared" si="4"/>
        <v>22.874582555984666</v>
      </c>
      <c r="Q111" s="104">
        <f t="shared" si="5"/>
        <v>180</v>
      </c>
      <c r="V111" s="104">
        <f>'[3]chap7-2_初期状態'!D111</f>
        <v>166</v>
      </c>
      <c r="W111" s="104">
        <f t="shared" si="6"/>
        <v>179.99999952067779</v>
      </c>
      <c r="X111" s="104">
        <f>'[3]chap7-2_初期状態'!F111</f>
        <v>13</v>
      </c>
      <c r="Y111" s="104">
        <f t="shared" si="7"/>
        <v>22.874582555984666</v>
      </c>
    </row>
    <row r="112" spans="13:25" ht="15">
      <c r="M112" s="104" t="s">
        <v>517</v>
      </c>
      <c r="N112" s="104">
        <v>89</v>
      </c>
      <c r="O112" s="107">
        <v>188.99999999815847</v>
      </c>
      <c r="P112" s="104">
        <f t="shared" si="4"/>
        <v>21.255425596067155</v>
      </c>
      <c r="Q112" s="104">
        <f t="shared" si="5"/>
        <v>189</v>
      </c>
      <c r="V112" s="104">
        <f>'[3]chap7-2_初期状態'!D112</f>
        <v>142</v>
      </c>
      <c r="W112" s="104">
        <f t="shared" si="6"/>
        <v>188.99999999815847</v>
      </c>
      <c r="X112" s="104">
        <f>'[3]chap7-2_初期状態'!F112</f>
        <v>22</v>
      </c>
      <c r="Y112" s="104">
        <f t="shared" si="7"/>
        <v>21.255425596067155</v>
      </c>
    </row>
    <row r="113" spans="13:25" ht="15">
      <c r="M113" s="104" t="s">
        <v>518</v>
      </c>
      <c r="N113" s="104">
        <v>78</v>
      </c>
      <c r="O113" s="107">
        <v>177.9999999742985</v>
      </c>
      <c r="P113" s="104">
        <f t="shared" si="4"/>
        <v>23.234395113045593</v>
      </c>
      <c r="Q113" s="104">
        <f t="shared" si="5"/>
        <v>178</v>
      </c>
      <c r="V113" s="104">
        <f>'[3]chap7-2_初期状態'!D113</f>
        <v>158</v>
      </c>
      <c r="W113" s="104">
        <f t="shared" si="6"/>
        <v>177.9999999742985</v>
      </c>
      <c r="X113" s="104">
        <f>'[3]chap7-2_初期状態'!F113</f>
        <v>17</v>
      </c>
      <c r="Y113" s="104">
        <f t="shared" si="7"/>
        <v>23.234395113045593</v>
      </c>
    </row>
    <row r="114" spans="13:25" ht="15">
      <c r="M114" s="104" t="s">
        <v>524</v>
      </c>
      <c r="N114" s="104">
        <v>67</v>
      </c>
      <c r="O114" s="107">
        <v>166.99999982112612</v>
      </c>
      <c r="P114" s="104">
        <f t="shared" si="4"/>
        <v>25.213364653288146</v>
      </c>
      <c r="Q114" s="104">
        <f t="shared" si="5"/>
        <v>167</v>
      </c>
      <c r="V114" s="104">
        <f>'[3]chap7-2_初期状態'!D114</f>
        <v>113</v>
      </c>
      <c r="W114" s="104">
        <f t="shared" si="6"/>
        <v>166.99999982112612</v>
      </c>
      <c r="X114" s="104">
        <f>'[3]chap7-2_初期状態'!F114</f>
        <v>40</v>
      </c>
      <c r="Y114" s="104">
        <f t="shared" si="7"/>
        <v>25.213364653288146</v>
      </c>
    </row>
    <row r="115" spans="13:25" ht="15">
      <c r="M115" s="104" t="s">
        <v>525</v>
      </c>
      <c r="N115" s="104">
        <v>105</v>
      </c>
      <c r="O115" s="107">
        <v>205</v>
      </c>
      <c r="P115" s="104">
        <f t="shared" si="4"/>
        <v>18.376924486374577</v>
      </c>
      <c r="Q115" s="104">
        <f t="shared" si="5"/>
        <v>205</v>
      </c>
      <c r="V115" s="104">
        <f>'[3]chap7-2_初期状態'!D115</f>
        <v>161</v>
      </c>
      <c r="W115" s="104">
        <f t="shared" si="6"/>
        <v>205</v>
      </c>
      <c r="X115" s="104">
        <f>'[3]chap7-2_初期状態'!F115</f>
        <v>19</v>
      </c>
      <c r="Y115" s="104">
        <f t="shared" si="7"/>
        <v>18.376924486374577</v>
      </c>
    </row>
    <row r="116" spans="13:25" ht="15">
      <c r="M116" s="104" t="s">
        <v>532</v>
      </c>
      <c r="N116" s="104">
        <v>93</v>
      </c>
      <c r="O116" s="107">
        <v>192.99999986840456</v>
      </c>
      <c r="P116" s="104">
        <f t="shared" si="4"/>
        <v>20.535800342070388</v>
      </c>
      <c r="Q116" s="104">
        <f t="shared" si="5"/>
        <v>193</v>
      </c>
      <c r="V116" s="104">
        <f>'[3]chap7-2_初期状態'!D116</f>
        <v>191</v>
      </c>
      <c r="W116" s="104">
        <f t="shared" si="6"/>
        <v>192.99999986840456</v>
      </c>
      <c r="X116" s="104">
        <f>'[3]chap7-2_初期状態'!F116</f>
        <v>19</v>
      </c>
      <c r="Y116" s="104">
        <f t="shared" si="7"/>
        <v>20.535800342070388</v>
      </c>
    </row>
    <row r="117" spans="13:25" ht="15">
      <c r="M117" s="104" t="s">
        <v>541</v>
      </c>
      <c r="N117" s="104">
        <v>76</v>
      </c>
      <c r="O117" s="107">
        <v>175.99999971973335</v>
      </c>
      <c r="P117" s="104">
        <f t="shared" si="4"/>
        <v>23.594207797513629</v>
      </c>
      <c r="Q117" s="104">
        <f t="shared" si="5"/>
        <v>176</v>
      </c>
      <c r="V117" s="104">
        <f>'[3]chap7-2_初期状態'!D117</f>
        <v>204</v>
      </c>
      <c r="W117" s="104">
        <f t="shared" si="6"/>
        <v>175.99999971973335</v>
      </c>
      <c r="X117" s="104">
        <f>'[3]chap7-2_初期状態'!F117</f>
        <v>22</v>
      </c>
      <c r="Y117" s="104">
        <f t="shared" si="7"/>
        <v>23.594207797513629</v>
      </c>
    </row>
    <row r="118" spans="13:25" ht="15">
      <c r="M118" s="104" t="s">
        <v>542</v>
      </c>
      <c r="N118" s="104">
        <v>81</v>
      </c>
      <c r="O118" s="107">
        <v>180.99999988599157</v>
      </c>
      <c r="P118" s="104">
        <f t="shared" si="4"/>
        <v>22.69467617092733</v>
      </c>
      <c r="Q118" s="104">
        <f t="shared" si="5"/>
        <v>181</v>
      </c>
      <c r="V118" s="104">
        <f>'[3]chap7-2_初期状態'!D118</f>
        <v>148</v>
      </c>
      <c r="W118" s="104">
        <f t="shared" si="6"/>
        <v>180.99999988599157</v>
      </c>
      <c r="X118" s="104">
        <f>'[3]chap7-2_初期状態'!F118</f>
        <v>39</v>
      </c>
      <c r="Y118" s="104">
        <f t="shared" si="7"/>
        <v>22.69467617092733</v>
      </c>
    </row>
    <row r="119" spans="13:25" ht="15">
      <c r="M119" s="104" t="s">
        <v>546</v>
      </c>
      <c r="N119" s="104">
        <v>90</v>
      </c>
      <c r="O119" s="107">
        <v>189.9999999172957</v>
      </c>
      <c r="P119" s="104">
        <f t="shared" si="4"/>
        <v>21.075519291279804</v>
      </c>
      <c r="Q119" s="104">
        <f t="shared" si="5"/>
        <v>190</v>
      </c>
      <c r="V119" s="104">
        <f>'[3]chap7-2_初期状態'!D119</f>
        <v>175</v>
      </c>
      <c r="W119" s="104">
        <f t="shared" si="6"/>
        <v>189.9999999172957</v>
      </c>
      <c r="X119" s="104">
        <f>'[3]chap7-2_初期状態'!F119</f>
        <v>24</v>
      </c>
      <c r="Y119" s="104">
        <f t="shared" si="7"/>
        <v>21.075519291279804</v>
      </c>
    </row>
    <row r="120" spans="13:25" ht="15">
      <c r="M120" s="104" t="s">
        <v>551</v>
      </c>
      <c r="N120" s="104">
        <v>114</v>
      </c>
      <c r="O120" s="107">
        <v>209.988892266519</v>
      </c>
      <c r="P120" s="104">
        <f t="shared" si="4"/>
        <v>17.479391241145905</v>
      </c>
      <c r="Q120" s="104">
        <f t="shared" si="5"/>
        <v>214</v>
      </c>
      <c r="V120" s="104">
        <f>'[3]chap7-2_初期状態'!D120</f>
        <v>180</v>
      </c>
      <c r="W120" s="104">
        <f t="shared" si="6"/>
        <v>209.988892266519</v>
      </c>
      <c r="X120" s="104">
        <f>'[3]chap7-2_初期状態'!F120</f>
        <v>30</v>
      </c>
      <c r="Y120" s="104">
        <f t="shared" si="7"/>
        <v>17.479391241145905</v>
      </c>
    </row>
    <row r="121" spans="13:25" ht="15">
      <c r="M121" s="104" t="s">
        <v>556</v>
      </c>
      <c r="N121" s="104">
        <v>89</v>
      </c>
      <c r="O121" s="107">
        <v>189</v>
      </c>
      <c r="P121" s="104">
        <f t="shared" si="4"/>
        <v>21.255425595735851</v>
      </c>
      <c r="Q121" s="104">
        <f t="shared" si="5"/>
        <v>189</v>
      </c>
      <c r="V121" s="104">
        <f>'[3]chap7-2_初期状態'!D121</f>
        <v>196</v>
      </c>
      <c r="W121" s="104">
        <f t="shared" si="6"/>
        <v>189</v>
      </c>
      <c r="X121" s="104">
        <f>'[3]chap7-2_初期状態'!F121</f>
        <v>23</v>
      </c>
      <c r="Y121" s="104">
        <f t="shared" si="7"/>
        <v>21.255425595735851</v>
      </c>
    </row>
    <row r="122" spans="13:25" ht="15">
      <c r="M122" s="104" t="s">
        <v>561</v>
      </c>
      <c r="N122" s="104">
        <v>73</v>
      </c>
      <c r="O122" s="107">
        <v>172.99999945988222</v>
      </c>
      <c r="P122" s="104">
        <f t="shared" si="4"/>
        <v>24.13392680226773</v>
      </c>
      <c r="Q122" s="104">
        <f t="shared" si="5"/>
        <v>173</v>
      </c>
      <c r="V122" s="104">
        <f>'[3]chap7-2_初期状態'!D122</f>
        <v>139</v>
      </c>
      <c r="W122" s="104">
        <f t="shared" si="6"/>
        <v>172.99999945988222</v>
      </c>
      <c r="X122" s="104">
        <f>'[3]chap7-2_初期状態'!F122</f>
        <v>23</v>
      </c>
      <c r="Y122" s="104">
        <f t="shared" si="7"/>
        <v>24.13392680226773</v>
      </c>
    </row>
    <row r="123" spans="13:25" ht="15">
      <c r="M123" s="104" t="s">
        <v>567</v>
      </c>
      <c r="N123" s="104">
        <v>89</v>
      </c>
      <c r="O123" s="107">
        <v>189</v>
      </c>
      <c r="P123" s="104">
        <f t="shared" si="4"/>
        <v>21.255425595735851</v>
      </c>
      <c r="Q123" s="104">
        <f t="shared" si="5"/>
        <v>189</v>
      </c>
      <c r="V123" s="104">
        <f>'[3]chap7-2_初期状態'!D123</f>
        <v>164</v>
      </c>
      <c r="W123" s="104">
        <f t="shared" si="6"/>
        <v>189</v>
      </c>
      <c r="X123" s="104">
        <f>'[3]chap7-2_初期状態'!F123</f>
        <v>34</v>
      </c>
      <c r="Y123" s="104">
        <f t="shared" si="7"/>
        <v>21.255425595735851</v>
      </c>
    </row>
    <row r="124" spans="13:25" ht="15">
      <c r="M124" s="104" t="s">
        <v>574</v>
      </c>
      <c r="N124" s="104">
        <v>42</v>
      </c>
      <c r="O124" s="107">
        <v>142</v>
      </c>
      <c r="P124" s="104">
        <f t="shared" si="4"/>
        <v>29.711022604484597</v>
      </c>
      <c r="Q124" s="104">
        <f t="shared" si="5"/>
        <v>142</v>
      </c>
      <c r="V124" s="104">
        <f>'[3]chap7-2_初期状態'!D124</f>
        <v>130</v>
      </c>
      <c r="W124" s="104">
        <f t="shared" si="6"/>
        <v>142</v>
      </c>
      <c r="X124" s="104">
        <f>'[3]chap7-2_初期状態'!F124</f>
        <v>19</v>
      </c>
      <c r="Y124" s="104">
        <f t="shared" si="7"/>
        <v>29.711022604484597</v>
      </c>
    </row>
    <row r="125" spans="13:25" ht="15">
      <c r="M125" s="104" t="s">
        <v>583</v>
      </c>
      <c r="N125" s="104">
        <v>68</v>
      </c>
      <c r="O125" s="107">
        <v>168</v>
      </c>
      <c r="P125" s="104">
        <f t="shared" si="4"/>
        <v>25.033458301772527</v>
      </c>
      <c r="Q125" s="104">
        <f t="shared" si="5"/>
        <v>168</v>
      </c>
      <c r="V125" s="104">
        <f>'[3]chap7-2_初期状態'!D125</f>
        <v>148</v>
      </c>
      <c r="W125" s="104">
        <f t="shared" si="6"/>
        <v>168</v>
      </c>
      <c r="X125" s="104">
        <f>'[3]chap7-2_初期状態'!F125</f>
        <v>30</v>
      </c>
      <c r="Y125" s="104">
        <f t="shared" si="7"/>
        <v>25.033458301772527</v>
      </c>
    </row>
    <row r="126" spans="13:25" ht="15">
      <c r="M126" s="104" t="s">
        <v>589</v>
      </c>
      <c r="N126" s="104">
        <v>128</v>
      </c>
      <c r="O126" s="107">
        <v>216.96945718614558</v>
      </c>
      <c r="P126" s="104">
        <f t="shared" si="4"/>
        <v>16.223543499576309</v>
      </c>
      <c r="Q126" s="104">
        <f t="shared" si="5"/>
        <v>228</v>
      </c>
      <c r="V126" s="104">
        <f>'[3]chap7-2_初期状態'!D126</f>
        <v>167</v>
      </c>
      <c r="W126" s="104">
        <f t="shared" si="6"/>
        <v>216.96945718614558</v>
      </c>
      <c r="X126" s="104">
        <f>'[3]chap7-2_初期状態'!F126</f>
        <v>30</v>
      </c>
      <c r="Y126" s="104">
        <f t="shared" si="7"/>
        <v>16.223543499576309</v>
      </c>
    </row>
    <row r="127" spans="13:25" ht="15">
      <c r="M127" s="104" t="s">
        <v>596</v>
      </c>
      <c r="N127" s="104">
        <v>78</v>
      </c>
      <c r="O127" s="107">
        <v>177.9999997320962</v>
      </c>
      <c r="P127" s="104">
        <f t="shared" si="4"/>
        <v>23.234395156619314</v>
      </c>
      <c r="Q127" s="104">
        <f t="shared" si="5"/>
        <v>178</v>
      </c>
      <c r="V127" s="104">
        <f>'[3]chap7-2_初期状態'!D127</f>
        <v>180</v>
      </c>
      <c r="W127" s="104">
        <f t="shared" si="6"/>
        <v>177.9999997320962</v>
      </c>
      <c r="X127" s="104">
        <f>'[3]chap7-2_初期状態'!F127</f>
        <v>36</v>
      </c>
      <c r="Y127" s="104">
        <f t="shared" si="7"/>
        <v>23.234395156619314</v>
      </c>
    </row>
    <row r="128" spans="13:25" ht="15">
      <c r="M128" s="104" t="s">
        <v>597</v>
      </c>
      <c r="N128" s="104">
        <v>103</v>
      </c>
      <c r="O128" s="107">
        <v>203</v>
      </c>
      <c r="P128" s="104">
        <f t="shared" si="4"/>
        <v>18.736737125044741</v>
      </c>
      <c r="Q128" s="104">
        <f t="shared" si="5"/>
        <v>203</v>
      </c>
      <c r="V128" s="104">
        <f>'[3]chap7-2_初期状態'!D128</f>
        <v>195</v>
      </c>
      <c r="W128" s="104">
        <f t="shared" si="6"/>
        <v>203</v>
      </c>
      <c r="X128" s="104">
        <f>'[3]chap7-2_初期状態'!F128</f>
        <v>22</v>
      </c>
      <c r="Y128" s="104">
        <f t="shared" si="7"/>
        <v>18.736737125044741</v>
      </c>
    </row>
    <row r="129" spans="13:25" ht="15">
      <c r="M129" s="104" t="s">
        <v>600</v>
      </c>
      <c r="N129" s="104">
        <v>61</v>
      </c>
      <c r="O129" s="107">
        <v>161</v>
      </c>
      <c r="P129" s="104">
        <f t="shared" si="4"/>
        <v>26.292802537118082</v>
      </c>
      <c r="Q129" s="104">
        <f t="shared" si="5"/>
        <v>161</v>
      </c>
      <c r="V129" s="104">
        <f>'[3]chap7-2_初期状態'!D129</f>
        <v>118</v>
      </c>
      <c r="W129" s="104">
        <f t="shared" si="6"/>
        <v>161</v>
      </c>
      <c r="X129" s="104">
        <f>'[3]chap7-2_初期状態'!F129</f>
        <v>28</v>
      </c>
      <c r="Y129" s="104">
        <f t="shared" si="7"/>
        <v>26.292802537118082</v>
      </c>
    </row>
    <row r="130" spans="13:25" ht="15">
      <c r="M130" s="104" t="s">
        <v>601</v>
      </c>
      <c r="N130" s="104">
        <v>109</v>
      </c>
      <c r="O130" s="107">
        <v>207.49583370997766</v>
      </c>
      <c r="P130" s="104">
        <f t="shared" ref="P130:P136" si="8">$C$36 + $C$37 * O130</f>
        <v>17.92790822994008</v>
      </c>
      <c r="Q130" s="104">
        <f t="shared" ref="Q130:Q136" si="9">N130+100</f>
        <v>209</v>
      </c>
      <c r="V130" s="104">
        <f>'[3]chap7-2_初期状態'!D130</f>
        <v>153</v>
      </c>
      <c r="W130" s="104">
        <f t="shared" si="6"/>
        <v>207.49583370997766</v>
      </c>
      <c r="X130" s="104">
        <f>'[3]chap7-2_初期状態'!F130</f>
        <v>15</v>
      </c>
      <c r="Y130" s="104">
        <f t="shared" si="7"/>
        <v>17.92790822994008</v>
      </c>
    </row>
    <row r="131" spans="13:25" ht="15">
      <c r="M131" s="104" t="s">
        <v>606</v>
      </c>
      <c r="N131" s="104">
        <v>48</v>
      </c>
      <c r="O131" s="107">
        <v>148</v>
      </c>
      <c r="P131" s="104">
        <f t="shared" si="8"/>
        <v>28.631584688474117</v>
      </c>
      <c r="Q131" s="104">
        <f t="shared" si="9"/>
        <v>148</v>
      </c>
      <c r="V131" s="104">
        <f>'[3]chap7-2_初期状態'!D131</f>
        <v>166</v>
      </c>
      <c r="W131" s="104">
        <f t="shared" ref="W131:W136" si="10">O131</f>
        <v>148</v>
      </c>
      <c r="X131" s="104">
        <f>'[3]chap7-2_初期状態'!F131</f>
        <v>27</v>
      </c>
      <c r="Y131" s="104">
        <f t="shared" ref="Y131:Y136" si="11">P131</f>
        <v>28.631584688474117</v>
      </c>
    </row>
    <row r="132" spans="13:25" ht="15">
      <c r="M132" s="104" t="s">
        <v>607</v>
      </c>
      <c r="N132" s="104">
        <v>93</v>
      </c>
      <c r="O132" s="107">
        <v>192.99999977542063</v>
      </c>
      <c r="P132" s="104">
        <f t="shared" si="8"/>
        <v>20.535800358798781</v>
      </c>
      <c r="Q132" s="104">
        <f t="shared" si="9"/>
        <v>193</v>
      </c>
      <c r="V132" s="104">
        <f>'[3]chap7-2_初期状態'!D132</f>
        <v>161</v>
      </c>
      <c r="W132" s="104">
        <f t="shared" si="10"/>
        <v>192.99999977542063</v>
      </c>
      <c r="X132" s="104">
        <f>'[3]chap7-2_初期状態'!F132</f>
        <v>45</v>
      </c>
      <c r="Y132" s="104">
        <f t="shared" si="11"/>
        <v>20.535800358798781</v>
      </c>
    </row>
    <row r="133" spans="13:25" ht="15">
      <c r="M133" s="104" t="s">
        <v>612</v>
      </c>
      <c r="N133" s="104">
        <v>75</v>
      </c>
      <c r="O133" s="107">
        <v>174.99999975359398</v>
      </c>
      <c r="P133" s="104">
        <f t="shared" si="8"/>
        <v>23.774114110756969</v>
      </c>
      <c r="Q133" s="104">
        <f t="shared" si="9"/>
        <v>175</v>
      </c>
      <c r="V133" s="104">
        <f>'[3]chap7-2_初期状態'!D133</f>
        <v>166</v>
      </c>
      <c r="W133" s="104">
        <f t="shared" si="10"/>
        <v>174.99999975359398</v>
      </c>
      <c r="X133" s="104">
        <f>'[3]chap7-2_初期状態'!F133</f>
        <v>30</v>
      </c>
      <c r="Y133" s="104">
        <f t="shared" si="11"/>
        <v>23.774114110756969</v>
      </c>
    </row>
    <row r="134" spans="13:25" ht="15">
      <c r="M134" s="104" t="s">
        <v>619</v>
      </c>
      <c r="N134" s="104">
        <v>84</v>
      </c>
      <c r="O134" s="107">
        <v>184</v>
      </c>
      <c r="P134" s="104">
        <f t="shared" si="8"/>
        <v>22.154957192411253</v>
      </c>
      <c r="Q134" s="104">
        <f t="shared" si="9"/>
        <v>184</v>
      </c>
      <c r="V134" s="104">
        <f>'[3]chap7-2_初期状態'!D134</f>
        <v>178</v>
      </c>
      <c r="W134" s="104">
        <f t="shared" si="10"/>
        <v>184</v>
      </c>
      <c r="X134" s="104">
        <f>'[3]chap7-2_初期状態'!F134</f>
        <v>34</v>
      </c>
      <c r="Y134" s="104">
        <f t="shared" si="11"/>
        <v>22.154957192411253</v>
      </c>
    </row>
    <row r="135" spans="13:25" ht="15">
      <c r="M135" s="104" t="s">
        <v>624</v>
      </c>
      <c r="N135" s="104">
        <v>86</v>
      </c>
      <c r="O135" s="107">
        <v>186</v>
      </c>
      <c r="P135" s="104">
        <f t="shared" si="8"/>
        <v>21.795144553741089</v>
      </c>
      <c r="Q135" s="104">
        <f t="shared" si="9"/>
        <v>186</v>
      </c>
      <c r="V135" s="104">
        <f>'[3]chap7-2_初期状態'!D135</f>
        <v>157</v>
      </c>
      <c r="W135" s="104">
        <f t="shared" si="10"/>
        <v>186</v>
      </c>
      <c r="X135" s="104">
        <f>'[3]chap7-2_初期状態'!F135</f>
        <v>28</v>
      </c>
      <c r="Y135" s="104">
        <f t="shared" si="11"/>
        <v>21.795144553741089</v>
      </c>
    </row>
    <row r="136" spans="13:25" ht="15">
      <c r="M136" s="104" t="s">
        <v>625</v>
      </c>
      <c r="N136" s="104">
        <v>107</v>
      </c>
      <c r="O136" s="107">
        <v>206.49861112823345</v>
      </c>
      <c r="P136" s="104">
        <f t="shared" si="8"/>
        <v>18.107314874179508</v>
      </c>
      <c r="Q136" s="104">
        <f t="shared" si="9"/>
        <v>207</v>
      </c>
      <c r="V136" s="104">
        <f>'[3]chap7-2_初期状態'!D136</f>
        <v>179</v>
      </c>
      <c r="W136" s="104">
        <f t="shared" si="10"/>
        <v>206.49861112823345</v>
      </c>
      <c r="X136" s="104">
        <f>'[3]chap7-2_初期状態'!F136</f>
        <v>19</v>
      </c>
      <c r="Y136" s="104">
        <f t="shared" si="11"/>
        <v>18.107314874179508</v>
      </c>
    </row>
  </sheetData>
  <mergeCells count="5">
    <mergeCell ref="B7:C7"/>
    <mergeCell ref="S7:T7"/>
    <mergeCell ref="B11:C11"/>
    <mergeCell ref="B15:C15"/>
    <mergeCell ref="B19:C19"/>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29</vt:i4>
      </vt:variant>
    </vt:vector>
  </HeadingPairs>
  <TitlesOfParts>
    <vt:vector size="29" baseType="lpstr">
      <vt:lpstr>CP2_知見</vt:lpstr>
      <vt:lpstr>dataset</vt:lpstr>
      <vt:lpstr>CP2_1</vt:lpstr>
      <vt:lpstr>CP2_2</vt:lpstr>
      <vt:lpstr>CP3_知見</vt:lpstr>
      <vt:lpstr>CP3_2</vt:lpstr>
      <vt:lpstr>CP3_3</vt:lpstr>
      <vt:lpstr>CP3_4</vt:lpstr>
      <vt:lpstr>CP3_5</vt:lpstr>
      <vt:lpstr>CP3_6</vt:lpstr>
      <vt:lpstr>CP3_7</vt:lpstr>
      <vt:lpstr>CP4_知見</vt:lpstr>
      <vt:lpstr>CP4_8</vt:lpstr>
      <vt:lpstr>CP4_9</vt:lpstr>
      <vt:lpstr>CP4_10</vt:lpstr>
      <vt:lpstr>CP5_知見</vt:lpstr>
      <vt:lpstr>CP5_1_1</vt:lpstr>
      <vt:lpstr>CP5_1_2</vt:lpstr>
      <vt:lpstr>CP5_2</vt:lpstr>
      <vt:lpstr>CP5_3</vt:lpstr>
      <vt:lpstr>CP5_4</vt:lpstr>
      <vt:lpstr>CP6_知見</vt:lpstr>
      <vt:lpstr>CP6_3</vt:lpstr>
      <vt:lpstr>CP6_4</vt:lpstr>
      <vt:lpstr>CP6_5</vt:lpstr>
      <vt:lpstr>CP7_知見</vt:lpstr>
      <vt:lpstr>CP7_2_1</vt:lpstr>
      <vt:lpstr>CP7_2_2</vt:lpstr>
      <vt:lpstr>CP7_3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石黒将太郎</dc:creator>
  <cp:lastModifiedBy>ishowaseda</cp:lastModifiedBy>
  <dcterms:created xsi:type="dcterms:W3CDTF">2015-06-05T18:19:34Z</dcterms:created>
  <dcterms:modified xsi:type="dcterms:W3CDTF">2026-01-11T12:05:44Z</dcterms:modified>
</cp:coreProperties>
</file>