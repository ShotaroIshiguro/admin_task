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ni\ROOT\admin_task\自学\外資系投資銀行のエクセル仕事術\"/>
    </mc:Choice>
  </mc:AlternateContent>
  <xr:revisionPtr revIDLastSave="0" documentId="13_ncr:1_{C3DE5D42-445C-4713-A9EA-DD3DD4D3FBDB}" xr6:coauthVersionLast="47" xr6:coauthVersionMax="47" xr10:uidLastSave="{00000000-0000-0000-0000-000000000000}"/>
  <bookViews>
    <workbookView xWindow="-105" yWindow="0" windowWidth="15900" windowHeight="15585" xr2:uid="{F9F222B0-85A3-42AD-94AD-7207BCAC5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 s="1"/>
  <c r="H8" i="1"/>
  <c r="H7" i="1" s="1"/>
  <c r="F8" i="1"/>
  <c r="F7" i="1" s="1"/>
  <c r="G4" i="1"/>
  <c r="H4" i="1" s="1"/>
  <c r="H3" i="1" s="1"/>
  <c r="H12" i="1" s="1"/>
  <c r="F3" i="1"/>
  <c r="F12" i="1" l="1"/>
  <c r="G3" i="1"/>
  <c r="G12" i="1" s="1"/>
  <c r="K18" i="1" s="1"/>
</calcChain>
</file>

<file path=xl/sharedStrings.xml><?xml version="1.0" encoding="utf-8"?>
<sst xmlns="http://schemas.openxmlformats.org/spreadsheetml/2006/main" count="29" uniqueCount="20">
  <si>
    <t>収益計画</t>
    <rPh sb="0" eb="4">
      <t>シュウエキケイカク</t>
    </rPh>
    <phoneticPr fontId="2"/>
  </si>
  <si>
    <t>売上</t>
    <rPh sb="0" eb="2">
      <t>ウリアゲ</t>
    </rPh>
    <phoneticPr fontId="2"/>
  </si>
  <si>
    <t>自動車販売</t>
    <rPh sb="0" eb="5">
      <t>ジドウシャハンバイ</t>
    </rPh>
    <phoneticPr fontId="2"/>
  </si>
  <si>
    <t>成長率</t>
    <rPh sb="0" eb="3">
      <t>セイチョウリツ</t>
    </rPh>
    <phoneticPr fontId="2"/>
  </si>
  <si>
    <t>サービスメンテナンス</t>
    <phoneticPr fontId="2"/>
  </si>
  <si>
    <t>費用</t>
    <rPh sb="0" eb="2">
      <t>ヒヨウ</t>
    </rPh>
    <phoneticPr fontId="2"/>
  </si>
  <si>
    <t>人件費</t>
    <rPh sb="0" eb="3">
      <t>ジンケンヒ</t>
    </rPh>
    <phoneticPr fontId="2"/>
  </si>
  <si>
    <t>従業員数</t>
    <rPh sb="0" eb="4">
      <t>ジュウギョウインスウ</t>
    </rPh>
    <phoneticPr fontId="2"/>
  </si>
  <si>
    <t>一人当たりの人件費</t>
    <rPh sb="0" eb="3">
      <t>ヒトリア</t>
    </rPh>
    <rPh sb="6" eb="9">
      <t>ジンケンヒ</t>
    </rPh>
    <phoneticPr fontId="2"/>
  </si>
  <si>
    <t>販売管理費</t>
    <rPh sb="0" eb="5">
      <t>ハンバイカンリヒ</t>
    </rPh>
    <phoneticPr fontId="2"/>
  </si>
  <si>
    <t>利益</t>
    <rPh sb="0" eb="2">
      <t>リエキ</t>
    </rPh>
    <phoneticPr fontId="2"/>
  </si>
  <si>
    <t>百万円</t>
    <rPh sb="0" eb="3">
      <t>ヒャクマンエン</t>
    </rPh>
    <phoneticPr fontId="2"/>
  </si>
  <si>
    <t>人</t>
    <rPh sb="0" eb="1">
      <t>ヒト</t>
    </rPh>
    <phoneticPr fontId="2"/>
  </si>
  <si>
    <t>%</t>
    <phoneticPr fontId="2"/>
  </si>
  <si>
    <t>一年目</t>
    <rPh sb="0" eb="3">
      <t>イチネンメ</t>
    </rPh>
    <phoneticPr fontId="2"/>
  </si>
  <si>
    <t>二年目</t>
    <rPh sb="0" eb="3">
      <t>ニネンメ</t>
    </rPh>
    <phoneticPr fontId="2"/>
  </si>
  <si>
    <t>三年目</t>
    <rPh sb="0" eb="3">
      <t>サンネンメ</t>
    </rPh>
    <phoneticPr fontId="2"/>
  </si>
  <si>
    <t>N/A</t>
    <phoneticPr fontId="2"/>
  </si>
  <si>
    <t>二年目の利益シミュレーション</t>
    <rPh sb="0" eb="3">
      <t>ニネンメ</t>
    </rPh>
    <rPh sb="4" eb="6">
      <t>リエキ</t>
    </rPh>
    <phoneticPr fontId="2"/>
  </si>
  <si>
    <t>の成長率</t>
    <rPh sb="1" eb="4">
      <t>セイチョウリツ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</si>
</sst>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4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horizontal="right" vertical="center"/>
    </xf>
    <xf numFmtId="1" fontId="0" fillId="2" borderId="0" xfId="0" applyNumberFormat="1" applyFill="1" applyBorder="1" applyAlignment="1">
      <alignment horizontal="right"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Border="1">
      <alignment vertical="center"/>
    </xf>
    <xf numFmtId="0" fontId="0" fillId="3" borderId="0" xfId="0" applyFill="1" applyBorder="1" applyAlignment="1">
      <alignment horizontal="right" vertical="center"/>
    </xf>
    <xf numFmtId="1" fontId="0" fillId="3" borderId="0" xfId="0" applyNumberForma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9" fontId="3" fillId="3" borderId="0" xfId="0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right" vertical="center"/>
    </xf>
    <xf numFmtId="1" fontId="0" fillId="2" borderId="2" xfId="0" applyNumberFormat="1" applyFill="1" applyBorder="1" applyAlignment="1">
      <alignment horizontal="right" vertical="center"/>
    </xf>
    <xf numFmtId="9" fontId="0" fillId="3" borderId="0" xfId="0" applyNumberFormat="1" applyFill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41C6-61D9-4AC7-83C4-0848DFB057CF}">
  <dimension ref="B2:P23"/>
  <sheetViews>
    <sheetView tabSelected="1" topLeftCell="E1" workbookViewId="0">
      <selection activeCell="H22" sqref="H22"/>
    </sheetView>
  </sheetViews>
  <sheetFormatPr defaultRowHeight="18.75" x14ac:dyDescent="0.4"/>
  <cols>
    <col min="1" max="1" width="9" style="7"/>
    <col min="2" max="3" width="3.5" style="7" customWidth="1"/>
    <col min="4" max="4" width="19.25" style="7" bestFit="1" customWidth="1"/>
    <col min="5" max="8" width="9" style="7"/>
    <col min="9" max="9" width="2.875" style="7" customWidth="1"/>
    <col min="10" max="16384" width="9" style="7"/>
  </cols>
  <sheetData>
    <row r="2" spans="2:10" x14ac:dyDescent="0.4">
      <c r="B2" s="6" t="s">
        <v>0</v>
      </c>
      <c r="C2" s="6"/>
      <c r="D2" s="6"/>
      <c r="E2" s="6"/>
      <c r="F2" s="6" t="s">
        <v>14</v>
      </c>
      <c r="G2" s="6" t="s">
        <v>15</v>
      </c>
      <c r="H2" s="6" t="s">
        <v>16</v>
      </c>
      <c r="I2" s="6"/>
    </row>
    <row r="3" spans="2:10" x14ac:dyDescent="0.4">
      <c r="B3" s="1" t="s">
        <v>1</v>
      </c>
      <c r="C3" s="1"/>
      <c r="D3" s="1"/>
      <c r="E3" s="1" t="s">
        <v>11</v>
      </c>
      <c r="F3" s="2">
        <f>F4+F6</f>
        <v>500</v>
      </c>
      <c r="G3" s="2">
        <f t="shared" ref="G3:H3" si="0">G4+G6</f>
        <v>509</v>
      </c>
      <c r="H3" s="3">
        <f t="shared" si="0"/>
        <v>518.27</v>
      </c>
      <c r="I3" s="1"/>
    </row>
    <row r="4" spans="2:10" x14ac:dyDescent="0.4">
      <c r="B4" s="8"/>
      <c r="C4" s="8" t="s">
        <v>2</v>
      </c>
      <c r="D4" s="8"/>
      <c r="E4" s="8" t="s">
        <v>11</v>
      </c>
      <c r="F4" s="11">
        <v>300</v>
      </c>
      <c r="G4" s="9">
        <f>F4+F4*G5</f>
        <v>309</v>
      </c>
      <c r="H4" s="10">
        <f>G4+G4*H5</f>
        <v>318.27</v>
      </c>
      <c r="I4" s="8"/>
    </row>
    <row r="5" spans="2:10" x14ac:dyDescent="0.4">
      <c r="B5" s="8"/>
      <c r="C5" s="8"/>
      <c r="D5" s="8" t="s">
        <v>3</v>
      </c>
      <c r="E5" s="8" t="s">
        <v>13</v>
      </c>
      <c r="F5" s="11" t="s">
        <v>17</v>
      </c>
      <c r="G5" s="12">
        <v>0.03</v>
      </c>
      <c r="H5" s="12">
        <v>0.03</v>
      </c>
      <c r="I5" s="8"/>
    </row>
    <row r="6" spans="2:10" x14ac:dyDescent="0.4">
      <c r="B6" s="8"/>
      <c r="C6" s="8" t="s">
        <v>4</v>
      </c>
      <c r="D6" s="8"/>
      <c r="E6" s="8" t="s">
        <v>11</v>
      </c>
      <c r="F6" s="13">
        <v>200</v>
      </c>
      <c r="G6" s="11">
        <v>200</v>
      </c>
      <c r="H6" s="11">
        <v>200</v>
      </c>
      <c r="I6" s="8"/>
    </row>
    <row r="7" spans="2:10" x14ac:dyDescent="0.4">
      <c r="B7" s="1" t="s">
        <v>5</v>
      </c>
      <c r="C7" s="1"/>
      <c r="D7" s="1"/>
      <c r="E7" s="1" t="s">
        <v>11</v>
      </c>
      <c r="F7" s="2">
        <f>F8+F11</f>
        <v>475</v>
      </c>
      <c r="G7" s="2">
        <f t="shared" ref="G7:H7" si="1">G8+G11</f>
        <v>475</v>
      </c>
      <c r="H7" s="2">
        <f t="shared" si="1"/>
        <v>475</v>
      </c>
      <c r="I7" s="1"/>
    </row>
    <row r="8" spans="2:10" x14ac:dyDescent="0.4">
      <c r="B8" s="8"/>
      <c r="C8" s="8" t="s">
        <v>6</v>
      </c>
      <c r="D8" s="8"/>
      <c r="E8" s="8" t="s">
        <v>11</v>
      </c>
      <c r="F8" s="9">
        <f>F9*F10</f>
        <v>245</v>
      </c>
      <c r="G8" s="9">
        <f t="shared" ref="G8:H8" si="2">G9*G10</f>
        <v>245</v>
      </c>
      <c r="H8" s="9">
        <f t="shared" si="2"/>
        <v>245</v>
      </c>
      <c r="I8" s="8"/>
    </row>
    <row r="9" spans="2:10" x14ac:dyDescent="0.4">
      <c r="B9" s="8"/>
      <c r="C9" s="8"/>
      <c r="D9" s="8" t="s">
        <v>7</v>
      </c>
      <c r="E9" s="8" t="s">
        <v>12</v>
      </c>
      <c r="F9" s="11">
        <v>35</v>
      </c>
      <c r="G9" s="11">
        <v>35</v>
      </c>
      <c r="H9" s="11">
        <v>35</v>
      </c>
      <c r="I9" s="8"/>
    </row>
    <row r="10" spans="2:10" x14ac:dyDescent="0.4">
      <c r="B10" s="8"/>
      <c r="C10" s="8"/>
      <c r="D10" s="8" t="s">
        <v>8</v>
      </c>
      <c r="E10" s="8" t="s">
        <v>11</v>
      </c>
      <c r="F10" s="11">
        <v>7</v>
      </c>
      <c r="G10" s="11">
        <v>7</v>
      </c>
      <c r="H10" s="11">
        <v>7</v>
      </c>
      <c r="I10" s="8"/>
    </row>
    <row r="11" spans="2:10" x14ac:dyDescent="0.4">
      <c r="B11" s="8"/>
      <c r="C11" s="8" t="s">
        <v>9</v>
      </c>
      <c r="D11" s="8"/>
      <c r="E11" s="8" t="s">
        <v>11</v>
      </c>
      <c r="F11" s="11">
        <v>230</v>
      </c>
      <c r="G11" s="11">
        <v>230</v>
      </c>
      <c r="H11" s="11">
        <v>230</v>
      </c>
      <c r="I11" s="8"/>
    </row>
    <row r="12" spans="2:10" x14ac:dyDescent="0.4">
      <c r="B12" s="4" t="s">
        <v>10</v>
      </c>
      <c r="C12" s="4"/>
      <c r="D12" s="4"/>
      <c r="E12" s="4" t="s">
        <v>11</v>
      </c>
      <c r="F12" s="5">
        <f>F3-F7</f>
        <v>25</v>
      </c>
      <c r="G12" s="5">
        <f t="shared" ref="G12:I12" si="3">G3-G7</f>
        <v>34</v>
      </c>
      <c r="H12" s="14">
        <f t="shared" si="3"/>
        <v>43.269999999999982</v>
      </c>
      <c r="I12" s="5"/>
    </row>
    <row r="15" spans="2:10" x14ac:dyDescent="0.4">
      <c r="J15" s="7" t="s">
        <v>18</v>
      </c>
    </row>
    <row r="17" spans="10:16" x14ac:dyDescent="0.4">
      <c r="M17" s="7" t="s">
        <v>7</v>
      </c>
    </row>
    <row r="18" spans="10:16" x14ac:dyDescent="0.4">
      <c r="K18" s="16">
        <f>G12</f>
        <v>34</v>
      </c>
      <c r="L18" s="7">
        <v>30</v>
      </c>
      <c r="M18" s="7">
        <v>35</v>
      </c>
      <c r="N18" s="7">
        <v>40</v>
      </c>
      <c r="O18" s="7">
        <v>45</v>
      </c>
      <c r="P18" s="7">
        <v>50</v>
      </c>
    </row>
    <row r="19" spans="10:16" x14ac:dyDescent="0.4">
      <c r="K19" s="15">
        <v>-0.1</v>
      </c>
      <c r="L19" s="7">
        <f t="dataTable" ref="L19:P23" dt2D="1" dtr="1" r1="G9" r2="G5"/>
        <v>30</v>
      </c>
      <c r="M19" s="7">
        <v>-5</v>
      </c>
      <c r="N19" s="7">
        <v>-40</v>
      </c>
      <c r="O19" s="7">
        <v>-75</v>
      </c>
      <c r="P19" s="7">
        <v>-110</v>
      </c>
    </row>
    <row r="20" spans="10:16" x14ac:dyDescent="0.4">
      <c r="J20" s="7" t="s">
        <v>2</v>
      </c>
      <c r="K20" s="15">
        <v>-0.05</v>
      </c>
      <c r="L20" s="7">
        <v>45</v>
      </c>
      <c r="M20" s="7">
        <v>10</v>
      </c>
      <c r="N20" s="7">
        <v>-25</v>
      </c>
      <c r="O20" s="7">
        <v>-60</v>
      </c>
      <c r="P20" s="7">
        <v>-95</v>
      </c>
    </row>
    <row r="21" spans="10:16" x14ac:dyDescent="0.4">
      <c r="J21" s="7" t="s">
        <v>19</v>
      </c>
      <c r="K21" s="15">
        <v>0</v>
      </c>
      <c r="L21" s="7">
        <v>60</v>
      </c>
      <c r="M21" s="7">
        <v>25</v>
      </c>
      <c r="N21" s="7">
        <v>-10</v>
      </c>
      <c r="O21" s="7">
        <v>-45</v>
      </c>
      <c r="P21" s="7">
        <v>-80</v>
      </c>
    </row>
    <row r="22" spans="10:16" x14ac:dyDescent="0.4">
      <c r="K22" s="15">
        <v>0.05</v>
      </c>
      <c r="L22" s="7">
        <v>75</v>
      </c>
      <c r="M22" s="7">
        <v>40</v>
      </c>
      <c r="N22" s="7">
        <v>5</v>
      </c>
      <c r="O22" s="7">
        <v>-30</v>
      </c>
      <c r="P22" s="7">
        <v>-65</v>
      </c>
    </row>
    <row r="23" spans="10:16" x14ac:dyDescent="0.4">
      <c r="K23" s="15">
        <v>0.1</v>
      </c>
      <c r="L23" s="7">
        <v>90</v>
      </c>
      <c r="M23" s="7">
        <v>55</v>
      </c>
      <c r="N23" s="7">
        <v>20</v>
      </c>
      <c r="O23" s="7">
        <v>-15</v>
      </c>
      <c r="P23" s="7">
        <v>-50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ishowaseda</dc:creator>
  <cp:lastModifiedBy>ishowaseda</cp:lastModifiedBy>
  <dcterms:created xsi:type="dcterms:W3CDTF">2026-01-11T12:31:01Z</dcterms:created>
  <dcterms:modified xsi:type="dcterms:W3CDTF">2026-01-11T12:52:37Z</dcterms:modified>
</cp:coreProperties>
</file>