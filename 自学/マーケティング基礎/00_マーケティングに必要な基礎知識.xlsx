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enni\ROOT\admin_task\自学\マーケティング基礎\"/>
    </mc:Choice>
  </mc:AlternateContent>
  <xr:revisionPtr revIDLastSave="0" documentId="13_ncr:1_{282018E4-2866-452D-8817-D744960FB413}" xr6:coauthVersionLast="47" xr6:coauthVersionMax="47" xr10:uidLastSave="{00000000-0000-0000-0000-000000000000}"/>
  <bookViews>
    <workbookView xWindow="19170" yWindow="0" windowWidth="19335" windowHeight="15585" xr2:uid="{17E04A60-BDAC-4FD4-8C66-B80BF717BEE3}"/>
  </bookViews>
  <sheets>
    <sheet name="A_複利計算" sheetId="1" r:id="rId1"/>
    <sheet name="A4_業績推移" sheetId="2" r:id="rId2"/>
    <sheet name="B2_RMS" sheetId="3" r:id="rId3"/>
    <sheet name="C1_損益分岐点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1" i="4" l="1"/>
  <c r="N42" i="4"/>
  <c r="N43" i="4"/>
  <c r="N44" i="4"/>
  <c r="N45" i="4"/>
  <c r="N46" i="4"/>
  <c r="N47" i="4"/>
  <c r="N48" i="4"/>
  <c r="N49" i="4"/>
  <c r="N50" i="4"/>
  <c r="N51" i="4"/>
  <c r="N52" i="4"/>
  <c r="N53" i="4"/>
  <c r="N54" i="4"/>
  <c r="N55" i="4"/>
  <c r="N56" i="4"/>
  <c r="N57" i="4"/>
  <c r="N58" i="4"/>
  <c r="N59" i="4"/>
  <c r="N60" i="4"/>
  <c r="N61" i="4"/>
  <c r="N62" i="4"/>
  <c r="N63" i="4"/>
  <c r="N64" i="4"/>
  <c r="N65" i="4"/>
  <c r="N66" i="4"/>
  <c r="N67" i="4"/>
  <c r="N68" i="4"/>
  <c r="N69" i="4"/>
  <c r="N70" i="4"/>
  <c r="N71" i="4"/>
  <c r="N72" i="4"/>
  <c r="N73" i="4"/>
  <c r="N74" i="4"/>
  <c r="N75" i="4"/>
  <c r="N76" i="4"/>
  <c r="N77" i="4"/>
  <c r="N78" i="4"/>
  <c r="N79" i="4"/>
  <c r="N80" i="4"/>
  <c r="N81" i="4"/>
  <c r="N82" i="4"/>
  <c r="N83" i="4"/>
  <c r="N84" i="4"/>
  <c r="N85" i="4"/>
  <c r="N86" i="4"/>
  <c r="N87" i="4"/>
  <c r="N88" i="4"/>
  <c r="N89" i="4"/>
  <c r="N90" i="4"/>
  <c r="N40" i="4"/>
  <c r="M85" i="4"/>
  <c r="M86" i="4"/>
  <c r="M87" i="4"/>
  <c r="M88" i="4"/>
  <c r="M89" i="4"/>
  <c r="M90" i="4"/>
  <c r="M41" i="4"/>
  <c r="M42" i="4"/>
  <c r="M43" i="4"/>
  <c r="M44" i="4"/>
  <c r="M45" i="4"/>
  <c r="M46" i="4"/>
  <c r="M47" i="4"/>
  <c r="M48" i="4"/>
  <c r="M49" i="4"/>
  <c r="M50" i="4"/>
  <c r="M51" i="4"/>
  <c r="M52" i="4"/>
  <c r="M53" i="4"/>
  <c r="M54" i="4"/>
  <c r="M55" i="4"/>
  <c r="M56" i="4"/>
  <c r="M57" i="4"/>
  <c r="M58" i="4"/>
  <c r="M59" i="4"/>
  <c r="M60" i="4"/>
  <c r="M61" i="4"/>
  <c r="M62" i="4"/>
  <c r="M63" i="4"/>
  <c r="M64" i="4"/>
  <c r="M65" i="4"/>
  <c r="M66" i="4"/>
  <c r="M67" i="4"/>
  <c r="M68" i="4"/>
  <c r="M69" i="4"/>
  <c r="M70" i="4"/>
  <c r="M71" i="4"/>
  <c r="M72" i="4"/>
  <c r="M73" i="4"/>
  <c r="M74" i="4"/>
  <c r="M75" i="4"/>
  <c r="M76" i="4"/>
  <c r="M77" i="4"/>
  <c r="M78" i="4"/>
  <c r="M79" i="4"/>
  <c r="M80" i="4"/>
  <c r="M81" i="4"/>
  <c r="M82" i="4"/>
  <c r="M83" i="4"/>
  <c r="M84" i="4"/>
  <c r="M40" i="4"/>
  <c r="F34" i="4"/>
  <c r="F33" i="4"/>
  <c r="F31" i="4"/>
  <c r="F32" i="4" s="1"/>
  <c r="AW31" i="4"/>
  <c r="AW32" i="4" s="1"/>
  <c r="AX31" i="4"/>
  <c r="AX32" i="4" s="1"/>
  <c r="AY31" i="4"/>
  <c r="AY32" i="4" s="1"/>
  <c r="AZ31" i="4"/>
  <c r="AZ32" i="4" s="1"/>
  <c r="BA31" i="4"/>
  <c r="BA32" i="4" s="1"/>
  <c r="BB31" i="4"/>
  <c r="BB32" i="4" s="1"/>
  <c r="BC31" i="4"/>
  <c r="BC32" i="4" s="1"/>
  <c r="BD31" i="4"/>
  <c r="BD32" i="4" s="1"/>
  <c r="BE31" i="4"/>
  <c r="BE32" i="4" s="1"/>
  <c r="BF31" i="4"/>
  <c r="BF32" i="4" s="1"/>
  <c r="AW33" i="4"/>
  <c r="AX33" i="4"/>
  <c r="AY33" i="4"/>
  <c r="AZ33" i="4"/>
  <c r="AZ36" i="4" s="1"/>
  <c r="BA33" i="4"/>
  <c r="BB33" i="4"/>
  <c r="BC33" i="4"/>
  <c r="BD33" i="4"/>
  <c r="BE33" i="4"/>
  <c r="BF33" i="4"/>
  <c r="AW34" i="4"/>
  <c r="AX34" i="4"/>
  <c r="AY34" i="4"/>
  <c r="AZ34" i="4"/>
  <c r="BA34" i="4"/>
  <c r="BB34" i="4"/>
  <c r="BC34" i="4"/>
  <c r="BD34" i="4"/>
  <c r="BE34" i="4"/>
  <c r="BF34" i="4"/>
  <c r="AW35" i="4"/>
  <c r="AX35" i="4"/>
  <c r="AY35" i="4"/>
  <c r="AZ35" i="4"/>
  <c r="BA35" i="4"/>
  <c r="BB35" i="4"/>
  <c r="BC35" i="4"/>
  <c r="BD35" i="4"/>
  <c r="BE35" i="4"/>
  <c r="BF35" i="4"/>
  <c r="S31" i="4"/>
  <c r="S32" i="4" s="1"/>
  <c r="T31" i="4"/>
  <c r="T32" i="4" s="1"/>
  <c r="U31" i="4"/>
  <c r="U32" i="4" s="1"/>
  <c r="V31" i="4"/>
  <c r="V32" i="4" s="1"/>
  <c r="W31" i="4"/>
  <c r="W32" i="4" s="1"/>
  <c r="X31" i="4"/>
  <c r="Y31" i="4"/>
  <c r="Y32" i="4" s="1"/>
  <c r="Z31" i="4"/>
  <c r="Z32" i="4" s="1"/>
  <c r="AA31" i="4"/>
  <c r="AA32" i="4" s="1"/>
  <c r="AB31" i="4"/>
  <c r="AB32" i="4" s="1"/>
  <c r="AC31" i="4"/>
  <c r="AC32" i="4" s="1"/>
  <c r="AD31" i="4"/>
  <c r="AD32" i="4" s="1"/>
  <c r="AE31" i="4"/>
  <c r="AE32" i="4" s="1"/>
  <c r="AF31" i="4"/>
  <c r="AF32" i="4" s="1"/>
  <c r="AG31" i="4"/>
  <c r="AG32" i="4" s="1"/>
  <c r="AH31" i="4"/>
  <c r="AH32" i="4" s="1"/>
  <c r="AI31" i="4"/>
  <c r="AI32" i="4" s="1"/>
  <c r="AJ31" i="4"/>
  <c r="AJ32" i="4" s="1"/>
  <c r="AK31" i="4"/>
  <c r="AK32" i="4" s="1"/>
  <c r="AL31" i="4"/>
  <c r="AL32" i="4" s="1"/>
  <c r="AM31" i="4"/>
  <c r="AM32" i="4" s="1"/>
  <c r="AN31" i="4"/>
  <c r="AN32" i="4" s="1"/>
  <c r="AO31" i="4"/>
  <c r="AO32" i="4" s="1"/>
  <c r="AP31" i="4"/>
  <c r="AP32" i="4" s="1"/>
  <c r="AQ31" i="4"/>
  <c r="AQ32" i="4" s="1"/>
  <c r="AR31" i="4"/>
  <c r="AR32" i="4" s="1"/>
  <c r="AS31" i="4"/>
  <c r="AS32" i="4" s="1"/>
  <c r="AT31" i="4"/>
  <c r="AT32" i="4" s="1"/>
  <c r="AU31" i="4"/>
  <c r="AU32" i="4" s="1"/>
  <c r="AV31" i="4"/>
  <c r="AV32" i="4" s="1"/>
  <c r="X32" i="4"/>
  <c r="S33" i="4"/>
  <c r="T33" i="4"/>
  <c r="U33" i="4"/>
  <c r="V33" i="4"/>
  <c r="W33" i="4"/>
  <c r="X33" i="4"/>
  <c r="Y33" i="4"/>
  <c r="Z33" i="4"/>
  <c r="AA33" i="4"/>
  <c r="AB33" i="4"/>
  <c r="AC33" i="4"/>
  <c r="AD33" i="4"/>
  <c r="AE33" i="4"/>
  <c r="AF33" i="4"/>
  <c r="AG33" i="4"/>
  <c r="AH33" i="4"/>
  <c r="AI33" i="4"/>
  <c r="AJ33" i="4"/>
  <c r="AK33" i="4"/>
  <c r="AL33" i="4"/>
  <c r="AM33" i="4"/>
  <c r="AN33" i="4"/>
  <c r="AO33" i="4"/>
  <c r="AP33" i="4"/>
  <c r="AQ33" i="4"/>
  <c r="AR33" i="4"/>
  <c r="AS33" i="4"/>
  <c r="AT33" i="4"/>
  <c r="AU33" i="4"/>
  <c r="AV33" i="4"/>
  <c r="S34" i="4"/>
  <c r="T34" i="4"/>
  <c r="U34" i="4"/>
  <c r="V34" i="4"/>
  <c r="W34" i="4"/>
  <c r="X34" i="4"/>
  <c r="Y34" i="4"/>
  <c r="Z34" i="4"/>
  <c r="AA34" i="4"/>
  <c r="AB34" i="4"/>
  <c r="AC34" i="4"/>
  <c r="AD34" i="4"/>
  <c r="AE34" i="4"/>
  <c r="AF34" i="4"/>
  <c r="AG34" i="4"/>
  <c r="AH34" i="4"/>
  <c r="AI34" i="4"/>
  <c r="AJ34" i="4"/>
  <c r="AK34" i="4"/>
  <c r="AL34" i="4"/>
  <c r="AM34" i="4"/>
  <c r="AN34" i="4"/>
  <c r="AO34" i="4"/>
  <c r="AP34" i="4"/>
  <c r="AQ34" i="4"/>
  <c r="AR34" i="4"/>
  <c r="AS34" i="4"/>
  <c r="AT34" i="4"/>
  <c r="AU34" i="4"/>
  <c r="AV34" i="4"/>
  <c r="S35" i="4"/>
  <c r="T35" i="4"/>
  <c r="U35" i="4"/>
  <c r="V35" i="4"/>
  <c r="W35" i="4"/>
  <c r="X35" i="4"/>
  <c r="Y35" i="4"/>
  <c r="Z35" i="4"/>
  <c r="AA35" i="4"/>
  <c r="AB35" i="4"/>
  <c r="AC35" i="4"/>
  <c r="AD35" i="4"/>
  <c r="AE35" i="4"/>
  <c r="AF35" i="4"/>
  <c r="AG35" i="4"/>
  <c r="AH35" i="4"/>
  <c r="AI35" i="4"/>
  <c r="AJ35" i="4"/>
  <c r="AK35" i="4"/>
  <c r="AL35" i="4"/>
  <c r="AM35" i="4"/>
  <c r="AN35" i="4"/>
  <c r="AO35" i="4"/>
  <c r="AP35" i="4"/>
  <c r="AQ35" i="4"/>
  <c r="AR35" i="4"/>
  <c r="AS35" i="4"/>
  <c r="AT35" i="4"/>
  <c r="AU35" i="4"/>
  <c r="AV35" i="4"/>
  <c r="H31" i="4"/>
  <c r="H32" i="4" s="1"/>
  <c r="I31" i="4"/>
  <c r="I32" i="4" s="1"/>
  <c r="J31" i="4"/>
  <c r="J32" i="4" s="1"/>
  <c r="K31" i="4"/>
  <c r="K32" i="4" s="1"/>
  <c r="L31" i="4"/>
  <c r="L32" i="4" s="1"/>
  <c r="M31" i="4"/>
  <c r="M32" i="4" s="1"/>
  <c r="N31" i="4"/>
  <c r="N32" i="4" s="1"/>
  <c r="O31" i="4"/>
  <c r="O32" i="4" s="1"/>
  <c r="P31" i="4"/>
  <c r="P32" i="4" s="1"/>
  <c r="Q31" i="4"/>
  <c r="Q32" i="4" s="1"/>
  <c r="R31" i="4"/>
  <c r="R32" i="4" s="1"/>
  <c r="H33" i="4"/>
  <c r="I33" i="4"/>
  <c r="J33" i="4"/>
  <c r="K33" i="4"/>
  <c r="L33" i="4"/>
  <c r="M33" i="4"/>
  <c r="N33" i="4"/>
  <c r="O33" i="4"/>
  <c r="P33" i="4"/>
  <c r="Q33" i="4"/>
  <c r="R33" i="4"/>
  <c r="H34" i="4"/>
  <c r="I34" i="4"/>
  <c r="J34" i="4"/>
  <c r="K34" i="4"/>
  <c r="L34" i="4"/>
  <c r="M34" i="4"/>
  <c r="N34" i="4"/>
  <c r="O34" i="4"/>
  <c r="P34" i="4"/>
  <c r="Q34" i="4"/>
  <c r="R34" i="4"/>
  <c r="H35" i="4"/>
  <c r="I35" i="4"/>
  <c r="J35" i="4"/>
  <c r="K35" i="4"/>
  <c r="L35" i="4"/>
  <c r="M35" i="4"/>
  <c r="N35" i="4"/>
  <c r="O35" i="4"/>
  <c r="P35" i="4"/>
  <c r="Q35" i="4"/>
  <c r="R35" i="4"/>
  <c r="F35" i="4"/>
  <c r="F19" i="4"/>
  <c r="F20" i="4" s="1"/>
  <c r="F24" i="4"/>
  <c r="F23" i="4"/>
  <c r="F22" i="4"/>
  <c r="F8" i="4"/>
  <c r="F14" i="4" s="1"/>
  <c r="D33" i="3"/>
  <c r="D32" i="3"/>
  <c r="E34" i="3"/>
  <c r="E32" i="3"/>
  <c r="E33" i="3"/>
  <c r="D34" i="3"/>
  <c r="D26" i="3"/>
  <c r="E21" i="3"/>
  <c r="E22" i="3"/>
  <c r="E20" i="3"/>
  <c r="D20" i="3"/>
  <c r="D21" i="3"/>
  <c r="D22" i="3"/>
  <c r="D14" i="3"/>
  <c r="E14" i="3"/>
  <c r="D15" i="3"/>
  <c r="E15" i="3"/>
  <c r="D16" i="3"/>
  <c r="E16" i="3"/>
  <c r="F12" i="2"/>
  <c r="G12" i="2"/>
  <c r="H12" i="2"/>
  <c r="I12" i="2"/>
  <c r="J12" i="2"/>
  <c r="E12" i="2"/>
  <c r="F11" i="2"/>
  <c r="G11" i="2"/>
  <c r="H11" i="2"/>
  <c r="I11" i="2"/>
  <c r="J11" i="2"/>
  <c r="E11" i="2"/>
  <c r="F15" i="2"/>
  <c r="H15" i="2"/>
  <c r="J15" i="2"/>
  <c r="E15" i="2"/>
  <c r="F13" i="2"/>
  <c r="H13" i="2"/>
  <c r="J13" i="2"/>
  <c r="E13" i="2"/>
  <c r="F10" i="2"/>
  <c r="F16" i="2" s="1"/>
  <c r="G10" i="2"/>
  <c r="G14" i="2" s="1"/>
  <c r="H10" i="2"/>
  <c r="H16" i="2" s="1"/>
  <c r="I10" i="2"/>
  <c r="I15" i="2" s="1"/>
  <c r="J10" i="2"/>
  <c r="J16" i="2" s="1"/>
  <c r="E10" i="2"/>
  <c r="E16" i="2" s="1"/>
  <c r="M10" i="1"/>
  <c r="M9" i="1"/>
  <c r="M8" i="1"/>
  <c r="M7" i="1"/>
  <c r="M6" i="1"/>
  <c r="K7" i="1"/>
  <c r="K6" i="1"/>
  <c r="I10" i="1"/>
  <c r="I9" i="1"/>
  <c r="I7" i="1"/>
  <c r="I6" i="1"/>
  <c r="G13" i="2" l="1"/>
  <c r="G15" i="2"/>
  <c r="L36" i="4"/>
  <c r="J36" i="4"/>
  <c r="J37" i="4" s="1"/>
  <c r="I36" i="4"/>
  <c r="AH36" i="4"/>
  <c r="AH37" i="4" s="1"/>
  <c r="AT36" i="4"/>
  <c r="H36" i="4"/>
  <c r="H37" i="4" s="1"/>
  <c r="F36" i="4"/>
  <c r="F37" i="4" s="1"/>
  <c r="P36" i="4"/>
  <c r="P37" i="4" s="1"/>
  <c r="AG36" i="4"/>
  <c r="AR36" i="4"/>
  <c r="AR37" i="4" s="1"/>
  <c r="AF36" i="4"/>
  <c r="AF37" i="4" s="1"/>
  <c r="T36" i="4"/>
  <c r="T37" i="4" s="1"/>
  <c r="K36" i="4"/>
  <c r="K37" i="4" s="1"/>
  <c r="AQ36" i="4"/>
  <c r="AQ37" i="4" s="1"/>
  <c r="AE36" i="4"/>
  <c r="AE37" i="4" s="1"/>
  <c r="S36" i="4"/>
  <c r="S37" i="4" s="1"/>
  <c r="X36" i="4"/>
  <c r="BF36" i="4"/>
  <c r="BF37" i="4" s="1"/>
  <c r="AU36" i="4"/>
  <c r="AU37" i="4" s="1"/>
  <c r="AI36" i="4"/>
  <c r="AI37" i="4" s="1"/>
  <c r="W36" i="4"/>
  <c r="W37" i="4" s="1"/>
  <c r="AG37" i="4"/>
  <c r="BE36" i="4"/>
  <c r="BE37" i="4" s="1"/>
  <c r="AJ36" i="4"/>
  <c r="AJ37" i="4" s="1"/>
  <c r="AS36" i="4"/>
  <c r="AS37" i="4" s="1"/>
  <c r="AV36" i="4"/>
  <c r="AV37" i="4" s="1"/>
  <c r="I37" i="4"/>
  <c r="V36" i="4"/>
  <c r="V37" i="4" s="1"/>
  <c r="L37" i="4"/>
  <c r="Q36" i="4"/>
  <c r="Q37" i="4" s="1"/>
  <c r="AT37" i="4"/>
  <c r="U36" i="4"/>
  <c r="U37" i="4" s="1"/>
  <c r="Z36" i="4"/>
  <c r="Z37" i="4" s="1"/>
  <c r="BB36" i="4"/>
  <c r="BB37" i="4" s="1"/>
  <c r="AP36" i="4"/>
  <c r="AP37" i="4" s="1"/>
  <c r="AN36" i="4"/>
  <c r="AN37" i="4" s="1"/>
  <c r="AM36" i="4"/>
  <c r="AM37" i="4" s="1"/>
  <c r="AL36" i="4"/>
  <c r="AL37" i="4" s="1"/>
  <c r="BD36" i="4"/>
  <c r="BD37" i="4" s="1"/>
  <c r="AK36" i="4"/>
  <c r="AK37" i="4" s="1"/>
  <c r="Y36" i="4"/>
  <c r="Y37" i="4" s="1"/>
  <c r="BC36" i="4"/>
  <c r="BC37" i="4" s="1"/>
  <c r="BA36" i="4"/>
  <c r="BA37" i="4" s="1"/>
  <c r="AY36" i="4"/>
  <c r="AY37" i="4" s="1"/>
  <c r="F25" i="4"/>
  <c r="F26" i="4" s="1"/>
  <c r="AC36" i="4"/>
  <c r="AC37" i="4" s="1"/>
  <c r="AB36" i="4"/>
  <c r="AB37" i="4" s="1"/>
  <c r="M36" i="4"/>
  <c r="M37" i="4" s="1"/>
  <c r="AX36" i="4"/>
  <c r="AX37" i="4" s="1"/>
  <c r="R36" i="4"/>
  <c r="R37" i="4" s="1"/>
  <c r="X37" i="4"/>
  <c r="AO36" i="4"/>
  <c r="AO37" i="4" s="1"/>
  <c r="O36" i="4"/>
  <c r="O37" i="4" s="1"/>
  <c r="AW36" i="4"/>
  <c r="AW37" i="4" s="1"/>
  <c r="AD36" i="4"/>
  <c r="AD37" i="4" s="1"/>
  <c r="N36" i="4"/>
  <c r="N37" i="4" s="1"/>
  <c r="AA36" i="4"/>
  <c r="AA37" i="4" s="1"/>
  <c r="AZ37" i="4"/>
  <c r="E26" i="3"/>
  <c r="E28" i="3"/>
  <c r="D27" i="3"/>
  <c r="D28" i="3"/>
  <c r="E27" i="3"/>
  <c r="E14" i="2"/>
  <c r="I13" i="2"/>
  <c r="J14" i="2"/>
  <c r="I14" i="2"/>
  <c r="I16" i="2"/>
  <c r="H14" i="2"/>
  <c r="G16" i="2"/>
  <c r="F14" i="2"/>
</calcChain>
</file>

<file path=xl/sharedStrings.xml><?xml version="1.0" encoding="utf-8"?>
<sst xmlns="http://schemas.openxmlformats.org/spreadsheetml/2006/main" count="107" uniqueCount="53">
  <si>
    <t>2014年</t>
    <rPh sb="4" eb="5">
      <t>ネン</t>
    </rPh>
    <phoneticPr fontId="2"/>
  </si>
  <si>
    <t>2015年</t>
    <rPh sb="4" eb="5">
      <t>ネン</t>
    </rPh>
    <phoneticPr fontId="2"/>
  </si>
  <si>
    <t>2016年</t>
    <rPh sb="4" eb="5">
      <t>ネン</t>
    </rPh>
    <phoneticPr fontId="2"/>
  </si>
  <si>
    <t>2017年</t>
    <rPh sb="4" eb="5">
      <t>ネン</t>
    </rPh>
    <phoneticPr fontId="2"/>
  </si>
  <si>
    <t>2018年</t>
    <rPh sb="4" eb="5">
      <t>ネン</t>
    </rPh>
    <phoneticPr fontId="2"/>
  </si>
  <si>
    <t>2019年</t>
    <rPh sb="4" eb="5">
      <t>ネン</t>
    </rPh>
    <phoneticPr fontId="2"/>
  </si>
  <si>
    <t>A社</t>
    <rPh sb="1" eb="2">
      <t>シャ</t>
    </rPh>
    <phoneticPr fontId="2"/>
  </si>
  <si>
    <t>B社</t>
    <rPh sb="1" eb="2">
      <t>シャ</t>
    </rPh>
    <phoneticPr fontId="2"/>
  </si>
  <si>
    <t>データ種類</t>
    <rPh sb="3" eb="5">
      <t>シュルイ</t>
    </rPh>
    <phoneticPr fontId="2"/>
  </si>
  <si>
    <t>生データ</t>
    <rPh sb="0" eb="1">
      <t>ナマ</t>
    </rPh>
    <phoneticPr fontId="2"/>
  </si>
  <si>
    <t>計算値</t>
    <rPh sb="0" eb="3">
      <t>ケイサンチ</t>
    </rPh>
    <phoneticPr fontId="2"/>
  </si>
  <si>
    <t>A社の売上比率</t>
    <rPh sb="1" eb="2">
      <t>シャ</t>
    </rPh>
    <rPh sb="3" eb="7">
      <t>ウリアゲヒリツ</t>
    </rPh>
    <phoneticPr fontId="2"/>
  </si>
  <si>
    <t>B社の売上比率</t>
    <rPh sb="1" eb="2">
      <t>シャ</t>
    </rPh>
    <rPh sb="3" eb="7">
      <t>ウリアゲヒリツ</t>
    </rPh>
    <phoneticPr fontId="2"/>
  </si>
  <si>
    <t>C社の売上比率</t>
    <rPh sb="1" eb="2">
      <t>シャ</t>
    </rPh>
    <rPh sb="3" eb="7">
      <t>ウリアゲヒリツ</t>
    </rPh>
    <phoneticPr fontId="2"/>
  </si>
  <si>
    <t>D社の売上比率</t>
    <rPh sb="1" eb="2">
      <t>シャ</t>
    </rPh>
    <rPh sb="3" eb="7">
      <t>ウリアゲヒリツ</t>
    </rPh>
    <phoneticPr fontId="2"/>
  </si>
  <si>
    <t>項目</t>
    <rPh sb="0" eb="2">
      <t>コウモク</t>
    </rPh>
    <phoneticPr fontId="2"/>
  </si>
  <si>
    <t>A社の売上げ</t>
    <rPh sb="1" eb="2">
      <t>シャ</t>
    </rPh>
    <rPh sb="3" eb="4">
      <t>ウ</t>
    </rPh>
    <rPh sb="4" eb="5">
      <t>ア</t>
    </rPh>
    <phoneticPr fontId="2"/>
  </si>
  <si>
    <t>B社の売上げ</t>
    <rPh sb="1" eb="2">
      <t>シャ</t>
    </rPh>
    <rPh sb="3" eb="4">
      <t>ウ</t>
    </rPh>
    <rPh sb="4" eb="5">
      <t>ア</t>
    </rPh>
    <phoneticPr fontId="2"/>
  </si>
  <si>
    <t>新興C社の売上げ</t>
    <rPh sb="0" eb="2">
      <t>シンコウ</t>
    </rPh>
    <rPh sb="3" eb="4">
      <t>シャ</t>
    </rPh>
    <rPh sb="5" eb="6">
      <t>ウ</t>
    </rPh>
    <rPh sb="6" eb="7">
      <t>ア</t>
    </rPh>
    <phoneticPr fontId="2"/>
  </si>
  <si>
    <t>新興D社の売上げ</t>
    <rPh sb="0" eb="2">
      <t>シンコウ</t>
    </rPh>
    <rPh sb="3" eb="4">
      <t>シャ</t>
    </rPh>
    <rPh sb="5" eb="6">
      <t>ウ</t>
    </rPh>
    <rPh sb="6" eb="7">
      <t>ア</t>
    </rPh>
    <phoneticPr fontId="2"/>
  </si>
  <si>
    <t>4社合計売上げ</t>
    <rPh sb="1" eb="2">
      <t>シャ</t>
    </rPh>
    <rPh sb="2" eb="4">
      <t>ゴウケイ</t>
    </rPh>
    <rPh sb="4" eb="6">
      <t>ウリアゲ</t>
    </rPh>
    <phoneticPr fontId="2"/>
  </si>
  <si>
    <t>A・B社の合計売上げ</t>
    <rPh sb="3" eb="4">
      <t>シャ</t>
    </rPh>
    <rPh sb="5" eb="7">
      <t>ゴウケイ</t>
    </rPh>
    <rPh sb="7" eb="9">
      <t>ウリア</t>
    </rPh>
    <phoneticPr fontId="2"/>
  </si>
  <si>
    <t>C・D社の合計売上げ</t>
    <rPh sb="3" eb="4">
      <t>シャ</t>
    </rPh>
    <rPh sb="5" eb="7">
      <t>ゴウケイ</t>
    </rPh>
    <rPh sb="7" eb="9">
      <t>ウリア</t>
    </rPh>
    <phoneticPr fontId="2"/>
  </si>
  <si>
    <t>市場規模</t>
    <rPh sb="0" eb="4">
      <t>シジョウキボ</t>
    </rPh>
    <phoneticPr fontId="2"/>
  </si>
  <si>
    <t>マーケットシェア(%)</t>
    <phoneticPr fontId="2"/>
  </si>
  <si>
    <t>市場規模(億円)</t>
    <rPh sb="0" eb="4">
      <t>シジョウキボ</t>
    </rPh>
    <rPh sb="5" eb="7">
      <t>オクエン</t>
    </rPh>
    <phoneticPr fontId="2"/>
  </si>
  <si>
    <t>C社</t>
    <rPh sb="1" eb="2">
      <t>シャ</t>
    </rPh>
    <phoneticPr fontId="2"/>
  </si>
  <si>
    <t>RMS</t>
    <phoneticPr fontId="2"/>
  </si>
  <si>
    <t>会社単位の売り上げ規模
(億円)</t>
    <rPh sb="0" eb="4">
      <t>カイシャタンイ</t>
    </rPh>
    <rPh sb="5" eb="6">
      <t>ウ</t>
    </rPh>
    <rPh sb="7" eb="8">
      <t>ア</t>
    </rPh>
    <rPh sb="9" eb="11">
      <t>キボ</t>
    </rPh>
    <rPh sb="13" eb="15">
      <t>オクエン</t>
    </rPh>
    <phoneticPr fontId="2"/>
  </si>
  <si>
    <t>RMS円の面積</t>
    <rPh sb="3" eb="4">
      <t>エン</t>
    </rPh>
    <rPh sb="5" eb="7">
      <t>メンセキ</t>
    </rPh>
    <phoneticPr fontId="2"/>
  </si>
  <si>
    <t>RMS円の半径</t>
    <rPh sb="3" eb="4">
      <t>エン</t>
    </rPh>
    <rPh sb="5" eb="7">
      <t>ハンケイ</t>
    </rPh>
    <phoneticPr fontId="2"/>
  </si>
  <si>
    <t>製品Aの損益表（単位百万円）</t>
    <rPh sb="0" eb="2">
      <t>セイヒン</t>
    </rPh>
    <rPh sb="4" eb="7">
      <t>ソンエキヒョウ</t>
    </rPh>
    <rPh sb="8" eb="10">
      <t>タンイ</t>
    </rPh>
    <rPh sb="10" eb="13">
      <t>ヒャクマンエン</t>
    </rPh>
    <phoneticPr fontId="2"/>
  </si>
  <si>
    <t>売上げ</t>
    <rPh sb="0" eb="2">
      <t>ウリア</t>
    </rPh>
    <phoneticPr fontId="2"/>
  </si>
  <si>
    <t>製造原価</t>
    <rPh sb="0" eb="4">
      <t>セイゾウゲンカ</t>
    </rPh>
    <phoneticPr fontId="2"/>
  </si>
  <si>
    <t>粗利益</t>
    <rPh sb="0" eb="3">
      <t>アラリエキ</t>
    </rPh>
    <phoneticPr fontId="2"/>
  </si>
  <si>
    <t>販売一般管理費</t>
    <rPh sb="0" eb="2">
      <t>ハンバイ</t>
    </rPh>
    <rPh sb="2" eb="7">
      <t>イッパンカンリヒ</t>
    </rPh>
    <phoneticPr fontId="2"/>
  </si>
  <si>
    <t>人件費</t>
    <rPh sb="0" eb="3">
      <t>ジンケンヒ</t>
    </rPh>
    <phoneticPr fontId="2"/>
  </si>
  <si>
    <t>販売費</t>
    <rPh sb="0" eb="3">
      <t>ハンバイヒ</t>
    </rPh>
    <phoneticPr fontId="2"/>
  </si>
  <si>
    <t>その他</t>
    <rPh sb="2" eb="3">
      <t>タ</t>
    </rPh>
    <phoneticPr fontId="2"/>
  </si>
  <si>
    <t>販売一般管理費合計</t>
    <rPh sb="0" eb="2">
      <t>ハンバイ</t>
    </rPh>
    <rPh sb="2" eb="7">
      <t>イッパンカンリヒ</t>
    </rPh>
    <rPh sb="7" eb="9">
      <t>ゴウケイ</t>
    </rPh>
    <phoneticPr fontId="2"/>
  </si>
  <si>
    <t>営業利益</t>
    <rPh sb="0" eb="4">
      <t>エイギョウリエキ</t>
    </rPh>
    <phoneticPr fontId="2"/>
  </si>
  <si>
    <t>←固定費90%、変動費10%</t>
    <rPh sb="1" eb="4">
      <t>コテイヒ</t>
    </rPh>
    <rPh sb="8" eb="11">
      <t>ヘンドウヒ</t>
    </rPh>
    <phoneticPr fontId="2"/>
  </si>
  <si>
    <t>←固定費30%、変動費70%</t>
    <rPh sb="1" eb="4">
      <t>コテイヒ</t>
    </rPh>
    <rPh sb="8" eb="11">
      <t>ヘンドウヒ</t>
    </rPh>
    <phoneticPr fontId="2"/>
  </si>
  <si>
    <t>←固定費50%、変動費50%</t>
    <rPh sb="1" eb="4">
      <t>コテイヒ</t>
    </rPh>
    <rPh sb="8" eb="11">
      <t>ヘンドウヒ</t>
    </rPh>
    <phoneticPr fontId="2"/>
  </si>
  <si>
    <t>←変動費100%</t>
    <rPh sb="1" eb="4">
      <t>ヘンドウヒ</t>
    </rPh>
    <phoneticPr fontId="2"/>
  </si>
  <si>
    <t>←目指すは1200</t>
    <rPh sb="1" eb="3">
      <t>メザ</t>
    </rPh>
    <phoneticPr fontId="2"/>
  </si>
  <si>
    <t>損益分岐グラフ計算表</t>
    <rPh sb="0" eb="4">
      <t>ソンエキブンキ</t>
    </rPh>
    <rPh sb="7" eb="10">
      <t>ケイサンヒョウ</t>
    </rPh>
    <phoneticPr fontId="2"/>
  </si>
  <si>
    <t>変動費比率を反映済みのデータ</t>
    <rPh sb="0" eb="3">
      <t>ヘンドウヒ</t>
    </rPh>
    <rPh sb="3" eb="5">
      <t>ヒリツ</t>
    </rPh>
    <rPh sb="6" eb="9">
      <t>ハンエイズ</t>
    </rPh>
    <phoneticPr fontId="2"/>
  </si>
  <si>
    <t>販管費合計</t>
    <rPh sb="0" eb="3">
      <t>ハンカンヒ</t>
    </rPh>
    <rPh sb="3" eb="5">
      <t>ゴウケイ</t>
    </rPh>
    <phoneticPr fontId="2"/>
  </si>
  <si>
    <t>総経費</t>
    <rPh sb="0" eb="3">
      <t>ソウケイヒ</t>
    </rPh>
    <phoneticPr fontId="2"/>
  </si>
  <si>
    <t>売上げ=経費</t>
    <rPh sb="0" eb="2">
      <t>ウリア</t>
    </rPh>
    <rPh sb="4" eb="6">
      <t>ケイヒ</t>
    </rPh>
    <phoneticPr fontId="2"/>
  </si>
  <si>
    <t>左式とy=xの交点を求める</t>
    <rPh sb="0" eb="2">
      <t>ヒダリシキ</t>
    </rPh>
    <rPh sb="7" eb="9">
      <t>コウテン</t>
    </rPh>
    <rPh sb="10" eb="11">
      <t>モト</t>
    </rPh>
    <phoneticPr fontId="2"/>
  </si>
  <si>
    <t>　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</si>
</sst>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000"/>
    <numFmt numFmtId="177" formatCode="#,##0_ "/>
    <numFmt numFmtId="185" formatCode="0.0"/>
  </numFmts>
  <fonts count="6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4"/>
      <name val="游ゴシック"/>
      <family val="2"/>
      <charset val="128"/>
      <scheme val="minor"/>
    </font>
    <font>
      <sz val="11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0" fillId="2" borderId="0" xfId="0" applyFill="1">
      <alignment vertical="center"/>
    </xf>
    <xf numFmtId="177" fontId="0" fillId="2" borderId="0" xfId="0" applyNumberFormat="1" applyFill="1">
      <alignment vertical="center"/>
    </xf>
    <xf numFmtId="0" fontId="0" fillId="2" borderId="1" xfId="0" applyFill="1" applyBorder="1">
      <alignment vertical="center"/>
    </xf>
    <xf numFmtId="0" fontId="0" fillId="2" borderId="1" xfId="0" applyFill="1" applyBorder="1" applyAlignment="1">
      <alignment horizontal="right" vertical="center"/>
    </xf>
    <xf numFmtId="177" fontId="0" fillId="2" borderId="1" xfId="0" applyNumberFormat="1" applyFill="1" applyBorder="1">
      <alignment vertical="center"/>
    </xf>
    <xf numFmtId="0" fontId="0" fillId="2" borderId="3" xfId="0" applyFill="1" applyBorder="1" applyAlignment="1">
      <alignment horizontal="right" vertical="center"/>
    </xf>
    <xf numFmtId="177" fontId="0" fillId="2" borderId="4" xfId="0" applyNumberFormat="1" applyFill="1" applyBorder="1">
      <alignment vertical="center"/>
    </xf>
    <xf numFmtId="9" fontId="0" fillId="2" borderId="0" xfId="1" applyFont="1" applyFill="1">
      <alignment vertical="center"/>
    </xf>
    <xf numFmtId="177" fontId="0" fillId="2" borderId="2" xfId="0" applyNumberFormat="1" applyFill="1" applyBorder="1">
      <alignment vertical="center"/>
    </xf>
    <xf numFmtId="9" fontId="0" fillId="2" borderId="4" xfId="1" applyFont="1" applyFill="1" applyBorder="1">
      <alignment vertical="center"/>
    </xf>
    <xf numFmtId="9" fontId="0" fillId="2" borderId="5" xfId="1" applyFont="1" applyFill="1" applyBorder="1">
      <alignment vertical="center"/>
    </xf>
    <xf numFmtId="9" fontId="0" fillId="2" borderId="1" xfId="1" applyFont="1" applyFill="1" applyBorder="1">
      <alignment vertical="center"/>
    </xf>
    <xf numFmtId="0" fontId="0" fillId="2" borderId="6" xfId="0" applyFill="1" applyBorder="1">
      <alignment vertical="center"/>
    </xf>
    <xf numFmtId="0" fontId="0" fillId="2" borderId="7" xfId="0" applyFill="1" applyBorder="1" applyAlignment="1">
      <alignment horizontal="right" vertical="center"/>
    </xf>
    <xf numFmtId="0" fontId="0" fillId="2" borderId="6" xfId="0" applyFill="1" applyBorder="1" applyAlignment="1">
      <alignment horizontal="right" vertical="center"/>
    </xf>
    <xf numFmtId="0" fontId="0" fillId="2" borderId="8" xfId="0" applyFill="1" applyBorder="1">
      <alignment vertical="center"/>
    </xf>
    <xf numFmtId="0" fontId="3" fillId="2" borderId="8" xfId="0" applyFont="1" applyFill="1" applyBorder="1">
      <alignment vertical="center"/>
    </xf>
    <xf numFmtId="0" fontId="0" fillId="2" borderId="8" xfId="0" applyFill="1" applyBorder="1" applyAlignment="1">
      <alignment horizontal="right" vertical="center"/>
    </xf>
    <xf numFmtId="0" fontId="0" fillId="2" borderId="5" xfId="0" applyFill="1" applyBorder="1" applyAlignment="1">
      <alignment horizontal="right" vertical="center"/>
    </xf>
    <xf numFmtId="0" fontId="0" fillId="2" borderId="4" xfId="0" applyFill="1" applyBorder="1" applyAlignment="1">
      <alignment horizontal="right" vertical="center"/>
    </xf>
    <xf numFmtId="0" fontId="0" fillId="2" borderId="0" xfId="0" applyFill="1" applyAlignment="1">
      <alignment horizontal="right" vertical="center"/>
    </xf>
    <xf numFmtId="0" fontId="3" fillId="2" borderId="8" xfId="0" applyFont="1" applyFill="1" applyBorder="1" applyAlignment="1">
      <alignment vertical="center" wrapText="1"/>
    </xf>
    <xf numFmtId="0" fontId="0" fillId="2" borderId="0" xfId="0" applyFill="1" applyBorder="1">
      <alignment vertical="center"/>
    </xf>
    <xf numFmtId="2" fontId="0" fillId="2" borderId="4" xfId="0" applyNumberFormat="1" applyFill="1" applyBorder="1" applyAlignment="1">
      <alignment horizontal="right" vertical="center"/>
    </xf>
    <xf numFmtId="2" fontId="0" fillId="2" borderId="0" xfId="0" applyNumberFormat="1" applyFill="1" applyAlignment="1">
      <alignment horizontal="right" vertical="center"/>
    </xf>
    <xf numFmtId="185" fontId="0" fillId="2" borderId="4" xfId="0" applyNumberFormat="1" applyFill="1" applyBorder="1" applyAlignment="1">
      <alignment horizontal="right" vertical="center"/>
    </xf>
    <xf numFmtId="185" fontId="0" fillId="2" borderId="5" xfId="0" applyNumberFormat="1" applyFill="1" applyBorder="1" applyAlignment="1">
      <alignment horizontal="right" vertical="center"/>
    </xf>
    <xf numFmtId="185" fontId="0" fillId="2" borderId="0" xfId="0" applyNumberFormat="1" applyFill="1" applyAlignment="1">
      <alignment horizontal="right" vertical="center"/>
    </xf>
    <xf numFmtId="185" fontId="0" fillId="2" borderId="1" xfId="0" applyNumberFormat="1" applyFill="1" applyBorder="1" applyAlignment="1">
      <alignment horizontal="right" vertical="center"/>
    </xf>
    <xf numFmtId="0" fontId="4" fillId="2" borderId="5" xfId="0" applyFont="1" applyFill="1" applyBorder="1" applyAlignment="1">
      <alignment horizontal="right" vertical="center"/>
    </xf>
    <xf numFmtId="0" fontId="4" fillId="2" borderId="1" xfId="0" applyFont="1" applyFill="1" applyBorder="1" applyAlignment="1">
      <alignment horizontal="right" vertical="center"/>
    </xf>
    <xf numFmtId="0" fontId="4" fillId="2" borderId="4" xfId="0" applyFont="1" applyFill="1" applyBorder="1" applyAlignment="1">
      <alignment horizontal="right" vertical="center"/>
    </xf>
    <xf numFmtId="0" fontId="4" fillId="2" borderId="0" xfId="0" applyFont="1" applyFill="1" applyAlignment="1">
      <alignment horizontal="right" vertical="center"/>
    </xf>
    <xf numFmtId="177" fontId="4" fillId="2" borderId="4" xfId="0" applyNumberFormat="1" applyFont="1" applyFill="1" applyBorder="1">
      <alignment vertical="center"/>
    </xf>
    <xf numFmtId="177" fontId="4" fillId="2" borderId="0" xfId="0" applyNumberFormat="1" applyFont="1" applyFill="1">
      <alignment vertical="center"/>
    </xf>
    <xf numFmtId="177" fontId="4" fillId="2" borderId="5" xfId="0" applyNumberFormat="1" applyFont="1" applyFill="1" applyBorder="1">
      <alignment vertical="center"/>
    </xf>
    <xf numFmtId="177" fontId="4" fillId="2" borderId="1" xfId="0" applyNumberFormat="1" applyFont="1" applyFill="1" applyBorder="1">
      <alignment vertical="center"/>
    </xf>
    <xf numFmtId="0" fontId="4" fillId="2" borderId="0" xfId="0" applyFont="1" applyFill="1">
      <alignment vertical="center"/>
    </xf>
    <xf numFmtId="0" fontId="4" fillId="2" borderId="1" xfId="0" applyFont="1" applyFill="1" applyBorder="1">
      <alignment vertical="center"/>
    </xf>
    <xf numFmtId="0" fontId="5" fillId="2" borderId="1" xfId="0" applyFont="1" applyFill="1" applyBorder="1">
      <alignment vertical="center"/>
    </xf>
    <xf numFmtId="0" fontId="5" fillId="2" borderId="0" xfId="0" applyFont="1" applyFill="1">
      <alignment vertical="center"/>
    </xf>
    <xf numFmtId="0" fontId="0" fillId="2" borderId="4" xfId="0" applyFill="1" applyBorder="1">
      <alignment vertical="center"/>
    </xf>
    <xf numFmtId="0" fontId="5" fillId="2" borderId="5" xfId="0" applyFont="1" applyFill="1" applyBorder="1">
      <alignment vertical="center"/>
    </xf>
    <xf numFmtId="0" fontId="0" fillId="2" borderId="3" xfId="0" applyFill="1" applyBorder="1">
      <alignment vertical="center"/>
    </xf>
    <xf numFmtId="0" fontId="5" fillId="2" borderId="4" xfId="0" applyFont="1" applyFill="1" applyBorder="1">
      <alignment vertical="center"/>
    </xf>
    <xf numFmtId="0" fontId="0" fillId="2" borderId="5" xfId="0" applyFill="1" applyBorder="1">
      <alignment vertical="center"/>
    </xf>
    <xf numFmtId="0" fontId="3" fillId="2" borderId="3" xfId="0" applyFont="1" applyFill="1" applyBorder="1">
      <alignment vertical="center"/>
    </xf>
    <xf numFmtId="0" fontId="3" fillId="2" borderId="0" xfId="0" applyFont="1" applyFill="1">
      <alignment vertical="center"/>
    </xf>
  </cellXfs>
  <cellStyles count="2">
    <cellStyle name="パーセント" xfId="1" builtinId="5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A</a:t>
            </a:r>
            <a:r>
              <a:rPr lang="ja-JP" altLang="en-US"/>
              <a:t>・</a:t>
            </a:r>
            <a:r>
              <a:rPr lang="en-US" altLang="ja-JP"/>
              <a:t>B</a:t>
            </a:r>
            <a:r>
              <a:rPr lang="ja-JP" altLang="en-US"/>
              <a:t>社の売上げ推移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A4_業績推移!$D$6</c:f>
              <c:strCache>
                <c:ptCount val="1"/>
                <c:pt idx="0">
                  <c:v>A社の売上げ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A4_業績推移!$E$5:$J$5</c:f>
              <c:strCache>
                <c:ptCount val="6"/>
                <c:pt idx="0">
                  <c:v>2014年</c:v>
                </c:pt>
                <c:pt idx="1">
                  <c:v>2015年</c:v>
                </c:pt>
                <c:pt idx="2">
                  <c:v>2016年</c:v>
                </c:pt>
                <c:pt idx="3">
                  <c:v>2017年</c:v>
                </c:pt>
                <c:pt idx="4">
                  <c:v>2018年</c:v>
                </c:pt>
                <c:pt idx="5">
                  <c:v>2019年</c:v>
                </c:pt>
              </c:strCache>
            </c:strRef>
          </c:cat>
          <c:val>
            <c:numRef>
              <c:f>A4_業績推移!$E$6:$J$6</c:f>
              <c:numCache>
                <c:formatCode>#,##0_ </c:formatCode>
                <c:ptCount val="6"/>
                <c:pt idx="0">
                  <c:v>950</c:v>
                </c:pt>
                <c:pt idx="1">
                  <c:v>1000</c:v>
                </c:pt>
                <c:pt idx="2">
                  <c:v>900</c:v>
                </c:pt>
                <c:pt idx="3">
                  <c:v>800</c:v>
                </c:pt>
                <c:pt idx="4">
                  <c:v>750</c:v>
                </c:pt>
                <c:pt idx="5">
                  <c:v>750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C0-4D7D-8B48-3D21F9AA63A9}"/>
            </c:ext>
          </c:extLst>
        </c:ser>
        <c:ser>
          <c:idx val="1"/>
          <c:order val="1"/>
          <c:tx>
            <c:strRef>
              <c:f>A4_業績推移!$D$7</c:f>
              <c:strCache>
                <c:ptCount val="1"/>
                <c:pt idx="0">
                  <c:v>B社の売上げ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A4_業績推移!$E$5:$J$5</c:f>
              <c:strCache>
                <c:ptCount val="6"/>
                <c:pt idx="0">
                  <c:v>2014年</c:v>
                </c:pt>
                <c:pt idx="1">
                  <c:v>2015年</c:v>
                </c:pt>
                <c:pt idx="2">
                  <c:v>2016年</c:v>
                </c:pt>
                <c:pt idx="3">
                  <c:v>2017年</c:v>
                </c:pt>
                <c:pt idx="4">
                  <c:v>2018年</c:v>
                </c:pt>
                <c:pt idx="5">
                  <c:v>2019年</c:v>
                </c:pt>
              </c:strCache>
            </c:strRef>
          </c:cat>
          <c:val>
            <c:numRef>
              <c:f>A4_業績推移!$E$7:$J$7</c:f>
              <c:numCache>
                <c:formatCode>#,##0_ </c:formatCode>
                <c:ptCount val="6"/>
                <c:pt idx="0">
                  <c:v>900</c:v>
                </c:pt>
                <c:pt idx="1">
                  <c:v>800</c:v>
                </c:pt>
                <c:pt idx="2">
                  <c:v>750</c:v>
                </c:pt>
                <c:pt idx="3">
                  <c:v>700</c:v>
                </c:pt>
                <c:pt idx="4">
                  <c:v>600</c:v>
                </c:pt>
                <c:pt idx="5">
                  <c:v>600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C0-4D7D-8B48-3D21F9AA63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51474159"/>
        <c:axId val="1751475599"/>
      </c:lineChart>
      <c:catAx>
        <c:axId val="17514741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751475599"/>
        <c:crosses val="autoZero"/>
        <c:auto val="1"/>
        <c:lblAlgn val="ctr"/>
        <c:lblOffset val="100"/>
        <c:noMultiLvlLbl val="0"/>
      </c:catAx>
      <c:valAx>
        <c:axId val="1751475599"/>
        <c:scaling>
          <c:orientation val="minMax"/>
          <c:max val="12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7514741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新興企業</a:t>
            </a:r>
            <a:r>
              <a:rPr lang="en-US" altLang="ja-JP"/>
              <a:t>C</a:t>
            </a:r>
            <a:r>
              <a:rPr lang="ja-JP" altLang="en-US"/>
              <a:t>・</a:t>
            </a:r>
            <a:r>
              <a:rPr lang="en-US" altLang="ja-JP"/>
              <a:t>D</a:t>
            </a:r>
            <a:r>
              <a:rPr lang="ja-JP" altLang="en-US"/>
              <a:t>社の合計売上げ推移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8.4383357973735404E-2"/>
          <c:y val="0.19542490561117473"/>
          <c:w val="0.88670039252887167"/>
          <c:h val="0.59219385990770879"/>
        </c:manualLayout>
      </c:layout>
      <c:lineChart>
        <c:grouping val="standard"/>
        <c:varyColors val="0"/>
        <c:ser>
          <c:idx val="0"/>
          <c:order val="0"/>
          <c:tx>
            <c:strRef>
              <c:f>A4_業績推移!$D$12</c:f>
              <c:strCache>
                <c:ptCount val="1"/>
                <c:pt idx="0">
                  <c:v>C・D社の合計売上げ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A4_業績推移!$E$5:$J$5</c:f>
              <c:strCache>
                <c:ptCount val="6"/>
                <c:pt idx="0">
                  <c:v>2014年</c:v>
                </c:pt>
                <c:pt idx="1">
                  <c:v>2015年</c:v>
                </c:pt>
                <c:pt idx="2">
                  <c:v>2016年</c:v>
                </c:pt>
                <c:pt idx="3">
                  <c:v>2017年</c:v>
                </c:pt>
                <c:pt idx="4">
                  <c:v>2018年</c:v>
                </c:pt>
                <c:pt idx="5">
                  <c:v>2019年</c:v>
                </c:pt>
              </c:strCache>
            </c:strRef>
          </c:cat>
          <c:val>
            <c:numRef>
              <c:f>A4_業績推移!$E$12:$J$12</c:f>
              <c:numCache>
                <c:formatCode>#,##0_ </c:formatCode>
                <c:ptCount val="6"/>
                <c:pt idx="0">
                  <c:v>0</c:v>
                </c:pt>
                <c:pt idx="1">
                  <c:v>220</c:v>
                </c:pt>
                <c:pt idx="2">
                  <c:v>0</c:v>
                </c:pt>
                <c:pt idx="3">
                  <c:v>355</c:v>
                </c:pt>
                <c:pt idx="4">
                  <c:v>455</c:v>
                </c:pt>
                <c:pt idx="5">
                  <c:v>515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568-4CEB-A6A3-CD72ABE764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12596783"/>
        <c:axId val="1001741247"/>
      </c:lineChart>
      <c:catAx>
        <c:axId val="14125967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01741247"/>
        <c:crosses val="autoZero"/>
        <c:auto val="1"/>
        <c:lblAlgn val="ctr"/>
        <c:lblOffset val="100"/>
        <c:noMultiLvlLbl val="0"/>
      </c:catAx>
      <c:valAx>
        <c:axId val="1001741247"/>
        <c:scaling>
          <c:orientation val="minMax"/>
          <c:max val="6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4125967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33906514446674341"/>
          <c:y val="0.88597836993616708"/>
          <c:w val="0.31696012746949015"/>
          <c:h val="7.593410923026339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978563835085673E-2"/>
          <c:y val="3.0449203122340191E-2"/>
          <c:w val="0.95288508389755433"/>
          <c:h val="0.93910159375531965"/>
        </c:manualLayout>
      </c:layout>
      <c:scatterChart>
        <c:scatterStyle val="smooth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B2_RMS!$C$38:$C$57</c:f>
              <c:numCache>
                <c:formatCode>General</c:formatCode>
                <c:ptCount val="20"/>
                <c:pt idx="0">
                  <c:v>2</c:v>
                </c:pt>
                <c:pt idx="1">
                  <c:v>1.9</c:v>
                </c:pt>
                <c:pt idx="2">
                  <c:v>1.8</c:v>
                </c:pt>
                <c:pt idx="3">
                  <c:v>1.7</c:v>
                </c:pt>
                <c:pt idx="4">
                  <c:v>1.6</c:v>
                </c:pt>
                <c:pt idx="5">
                  <c:v>1.5</c:v>
                </c:pt>
                <c:pt idx="6">
                  <c:v>1.4</c:v>
                </c:pt>
                <c:pt idx="7">
                  <c:v>1.3</c:v>
                </c:pt>
                <c:pt idx="8">
                  <c:v>1.2</c:v>
                </c:pt>
                <c:pt idx="9">
                  <c:v>1.1000000000000001</c:v>
                </c:pt>
                <c:pt idx="10">
                  <c:v>1</c:v>
                </c:pt>
                <c:pt idx="11">
                  <c:v>0.9</c:v>
                </c:pt>
                <c:pt idx="12">
                  <c:v>0.8</c:v>
                </c:pt>
                <c:pt idx="13">
                  <c:v>0.7</c:v>
                </c:pt>
                <c:pt idx="14">
                  <c:v>0.6</c:v>
                </c:pt>
                <c:pt idx="15">
                  <c:v>0.5</c:v>
                </c:pt>
                <c:pt idx="16">
                  <c:v>0.4</c:v>
                </c:pt>
                <c:pt idx="17">
                  <c:v>0.3</c:v>
                </c:pt>
                <c:pt idx="18">
                  <c:v>0.2</c:v>
                </c:pt>
                <c:pt idx="19">
                  <c:v>0.1</c:v>
                </c:pt>
              </c:numCache>
            </c:numRef>
          </c:xVal>
          <c:yVal>
            <c:numRef>
              <c:f>B2_RMS!$D$38:$D$57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443-4E4D-856E-190B74B6DA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1261455"/>
        <c:axId val="1921259055"/>
      </c:scatterChart>
      <c:valAx>
        <c:axId val="1921261455"/>
        <c:scaling>
          <c:logBase val="10"/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921259055"/>
        <c:crosses val="autoZero"/>
        <c:crossBetween val="midCat"/>
      </c:valAx>
      <c:valAx>
        <c:axId val="1921259055"/>
        <c:scaling>
          <c:orientation val="minMax"/>
          <c:max val="1"/>
          <c:min val="-1"/>
        </c:scaling>
        <c:delete val="1"/>
        <c:axPos val="r"/>
        <c:numFmt formatCode="General" sourceLinked="1"/>
        <c:majorTickMark val="none"/>
        <c:minorTickMark val="none"/>
        <c:tickLblPos val="nextTo"/>
        <c:crossAx val="1921261455"/>
        <c:crossesAt val="0.1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'C1_損益分岐点'!$M$39</c:f>
              <c:strCache>
                <c:ptCount val="1"/>
                <c:pt idx="0">
                  <c:v>総経費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none"/>
          </c:marker>
          <c:dPt>
            <c:idx val="7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2-B3CF-47EC-A397-4D7CB686452C}"/>
              </c:ext>
            </c:extLst>
          </c:dPt>
          <c:trendline>
            <c:spPr>
              <a:ln w="19050" cap="rnd">
                <a:noFill/>
                <a:prstDash val="solid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35798392349965991"/>
                  <c:y val="0.1230284149354845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'C1_損益分岐点'!$J$40:$J$90</c:f>
              <c:numCache>
                <c:formatCode>General</c:formatCode>
                <c:ptCount val="51"/>
                <c:pt idx="0">
                  <c:v>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  <c:pt idx="6">
                  <c:v>600</c:v>
                </c:pt>
                <c:pt idx="7">
                  <c:v>700</c:v>
                </c:pt>
                <c:pt idx="8">
                  <c:v>800</c:v>
                </c:pt>
                <c:pt idx="9">
                  <c:v>900</c:v>
                </c:pt>
                <c:pt idx="10">
                  <c:v>1000</c:v>
                </c:pt>
                <c:pt idx="11">
                  <c:v>1100</c:v>
                </c:pt>
                <c:pt idx="12">
                  <c:v>1200</c:v>
                </c:pt>
                <c:pt idx="13">
                  <c:v>1300</c:v>
                </c:pt>
                <c:pt idx="14">
                  <c:v>1400</c:v>
                </c:pt>
                <c:pt idx="15">
                  <c:v>1500</c:v>
                </c:pt>
                <c:pt idx="16">
                  <c:v>1600</c:v>
                </c:pt>
                <c:pt idx="17">
                  <c:v>1700</c:v>
                </c:pt>
                <c:pt idx="18">
                  <c:v>1800</c:v>
                </c:pt>
                <c:pt idx="19">
                  <c:v>1900</c:v>
                </c:pt>
                <c:pt idx="20">
                  <c:v>2000</c:v>
                </c:pt>
                <c:pt idx="21">
                  <c:v>2100</c:v>
                </c:pt>
                <c:pt idx="22">
                  <c:v>2200</c:v>
                </c:pt>
                <c:pt idx="23">
                  <c:v>2300</c:v>
                </c:pt>
                <c:pt idx="24">
                  <c:v>2400</c:v>
                </c:pt>
                <c:pt idx="25">
                  <c:v>2500</c:v>
                </c:pt>
                <c:pt idx="26">
                  <c:v>2600</c:v>
                </c:pt>
                <c:pt idx="27">
                  <c:v>2700</c:v>
                </c:pt>
                <c:pt idx="28">
                  <c:v>2800</c:v>
                </c:pt>
                <c:pt idx="29">
                  <c:v>2900</c:v>
                </c:pt>
                <c:pt idx="30">
                  <c:v>3000</c:v>
                </c:pt>
                <c:pt idx="31">
                  <c:v>3100</c:v>
                </c:pt>
                <c:pt idx="32">
                  <c:v>3200</c:v>
                </c:pt>
                <c:pt idx="33">
                  <c:v>3300</c:v>
                </c:pt>
                <c:pt idx="34">
                  <c:v>3400</c:v>
                </c:pt>
                <c:pt idx="35">
                  <c:v>3500</c:v>
                </c:pt>
                <c:pt idx="36">
                  <c:v>3600</c:v>
                </c:pt>
                <c:pt idx="37">
                  <c:v>3700</c:v>
                </c:pt>
                <c:pt idx="38">
                  <c:v>3800</c:v>
                </c:pt>
                <c:pt idx="39">
                  <c:v>3900</c:v>
                </c:pt>
                <c:pt idx="40">
                  <c:v>4000</c:v>
                </c:pt>
                <c:pt idx="41">
                  <c:v>4100</c:v>
                </c:pt>
                <c:pt idx="42">
                  <c:v>4200</c:v>
                </c:pt>
                <c:pt idx="43">
                  <c:v>4300</c:v>
                </c:pt>
                <c:pt idx="44">
                  <c:v>4400</c:v>
                </c:pt>
                <c:pt idx="45">
                  <c:v>4500</c:v>
                </c:pt>
                <c:pt idx="46">
                  <c:v>4600</c:v>
                </c:pt>
                <c:pt idx="47">
                  <c:v>4700</c:v>
                </c:pt>
                <c:pt idx="48">
                  <c:v>4800</c:v>
                </c:pt>
                <c:pt idx="49">
                  <c:v>4900</c:v>
                </c:pt>
                <c:pt idx="50">
                  <c:v>5000</c:v>
                </c:pt>
              </c:numCache>
            </c:numRef>
          </c:xVal>
          <c:yVal>
            <c:numRef>
              <c:f>'C1_損益分岐点'!$M$40:$M$90</c:f>
              <c:numCache>
                <c:formatCode>General</c:formatCode>
                <c:ptCount val="51"/>
                <c:pt idx="0">
                  <c:v>280</c:v>
                </c:pt>
                <c:pt idx="1">
                  <c:v>350</c:v>
                </c:pt>
                <c:pt idx="2">
                  <c:v>420</c:v>
                </c:pt>
                <c:pt idx="3">
                  <c:v>490</c:v>
                </c:pt>
                <c:pt idx="4">
                  <c:v>560</c:v>
                </c:pt>
                <c:pt idx="5">
                  <c:v>630</c:v>
                </c:pt>
                <c:pt idx="6">
                  <c:v>700</c:v>
                </c:pt>
                <c:pt idx="7">
                  <c:v>770</c:v>
                </c:pt>
                <c:pt idx="8">
                  <c:v>840</c:v>
                </c:pt>
                <c:pt idx="9">
                  <c:v>910</c:v>
                </c:pt>
                <c:pt idx="10">
                  <c:v>980</c:v>
                </c:pt>
                <c:pt idx="11">
                  <c:v>1050</c:v>
                </c:pt>
                <c:pt idx="12">
                  <c:v>1120</c:v>
                </c:pt>
                <c:pt idx="13">
                  <c:v>1190</c:v>
                </c:pt>
                <c:pt idx="14">
                  <c:v>1260</c:v>
                </c:pt>
                <c:pt idx="15">
                  <c:v>1330</c:v>
                </c:pt>
                <c:pt idx="16">
                  <c:v>1400</c:v>
                </c:pt>
                <c:pt idx="17">
                  <c:v>1470</c:v>
                </c:pt>
                <c:pt idx="18">
                  <c:v>1540</c:v>
                </c:pt>
                <c:pt idx="19">
                  <c:v>1610</c:v>
                </c:pt>
                <c:pt idx="20">
                  <c:v>1680</c:v>
                </c:pt>
                <c:pt idx="21">
                  <c:v>1750</c:v>
                </c:pt>
                <c:pt idx="22">
                  <c:v>1820</c:v>
                </c:pt>
                <c:pt idx="23">
                  <c:v>1890</c:v>
                </c:pt>
                <c:pt idx="24">
                  <c:v>1960</c:v>
                </c:pt>
                <c:pt idx="25">
                  <c:v>2030</c:v>
                </c:pt>
                <c:pt idx="26">
                  <c:v>2100</c:v>
                </c:pt>
                <c:pt idx="27">
                  <c:v>2170</c:v>
                </c:pt>
                <c:pt idx="28">
                  <c:v>2240</c:v>
                </c:pt>
                <c:pt idx="29">
                  <c:v>2310</c:v>
                </c:pt>
                <c:pt idx="30">
                  <c:v>2380</c:v>
                </c:pt>
                <c:pt idx="31">
                  <c:v>2450</c:v>
                </c:pt>
                <c:pt idx="32">
                  <c:v>2520</c:v>
                </c:pt>
                <c:pt idx="33">
                  <c:v>2590</c:v>
                </c:pt>
                <c:pt idx="34">
                  <c:v>2660</c:v>
                </c:pt>
                <c:pt idx="35">
                  <c:v>2730</c:v>
                </c:pt>
                <c:pt idx="36">
                  <c:v>2800</c:v>
                </c:pt>
                <c:pt idx="37">
                  <c:v>2870</c:v>
                </c:pt>
                <c:pt idx="38">
                  <c:v>2940</c:v>
                </c:pt>
                <c:pt idx="39">
                  <c:v>3010</c:v>
                </c:pt>
                <c:pt idx="40">
                  <c:v>3080</c:v>
                </c:pt>
                <c:pt idx="41">
                  <c:v>3150</c:v>
                </c:pt>
                <c:pt idx="42">
                  <c:v>3220</c:v>
                </c:pt>
                <c:pt idx="43">
                  <c:v>3290</c:v>
                </c:pt>
                <c:pt idx="44">
                  <c:v>3360</c:v>
                </c:pt>
                <c:pt idx="45">
                  <c:v>3430</c:v>
                </c:pt>
                <c:pt idx="46">
                  <c:v>3500</c:v>
                </c:pt>
                <c:pt idx="47">
                  <c:v>3570</c:v>
                </c:pt>
                <c:pt idx="48">
                  <c:v>3640</c:v>
                </c:pt>
                <c:pt idx="49">
                  <c:v>3710</c:v>
                </c:pt>
                <c:pt idx="50">
                  <c:v>3780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3CF-47EC-A397-4D7CB68645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1269615"/>
        <c:axId val="1921266735"/>
      </c:scatterChart>
      <c:valAx>
        <c:axId val="19212696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売上げ（百万円）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921266735"/>
        <c:crosses val="autoZero"/>
        <c:crossBetween val="midCat"/>
      </c:valAx>
      <c:valAx>
        <c:axId val="1921266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経費（百万円）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9212696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'C1_損益分岐点'!$N$39</c:f>
              <c:strCache>
                <c:ptCount val="1"/>
                <c:pt idx="0">
                  <c:v>営業利益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olid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30474388688646975"/>
                  <c:y val="9.1591015379255167E-2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ja-JP" altLang="en-US" sz="2400" baseline="0"/>
                      <a:t>y = 0.3x - 280</a:t>
                    </a:r>
                    <a:endParaRPr lang="ja-JP" altLang="en-US" sz="2400"/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'C1_損益分岐点'!$J$40:$J$90</c:f>
              <c:numCache>
                <c:formatCode>General</c:formatCode>
                <c:ptCount val="51"/>
                <c:pt idx="0">
                  <c:v>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  <c:pt idx="6">
                  <c:v>600</c:v>
                </c:pt>
                <c:pt idx="7">
                  <c:v>700</c:v>
                </c:pt>
                <c:pt idx="8">
                  <c:v>800</c:v>
                </c:pt>
                <c:pt idx="9">
                  <c:v>900</c:v>
                </c:pt>
                <c:pt idx="10">
                  <c:v>1000</c:v>
                </c:pt>
                <c:pt idx="11">
                  <c:v>1100</c:v>
                </c:pt>
                <c:pt idx="12">
                  <c:v>1200</c:v>
                </c:pt>
                <c:pt idx="13">
                  <c:v>1300</c:v>
                </c:pt>
                <c:pt idx="14">
                  <c:v>1400</c:v>
                </c:pt>
                <c:pt idx="15">
                  <c:v>1500</c:v>
                </c:pt>
                <c:pt idx="16">
                  <c:v>1600</c:v>
                </c:pt>
                <c:pt idx="17">
                  <c:v>1700</c:v>
                </c:pt>
                <c:pt idx="18">
                  <c:v>1800</c:v>
                </c:pt>
                <c:pt idx="19">
                  <c:v>1900</c:v>
                </c:pt>
                <c:pt idx="20">
                  <c:v>2000</c:v>
                </c:pt>
                <c:pt idx="21">
                  <c:v>2100</c:v>
                </c:pt>
                <c:pt idx="22">
                  <c:v>2200</c:v>
                </c:pt>
                <c:pt idx="23">
                  <c:v>2300</c:v>
                </c:pt>
                <c:pt idx="24">
                  <c:v>2400</c:v>
                </c:pt>
                <c:pt idx="25">
                  <c:v>2500</c:v>
                </c:pt>
                <c:pt idx="26">
                  <c:v>2600</c:v>
                </c:pt>
                <c:pt idx="27">
                  <c:v>2700</c:v>
                </c:pt>
                <c:pt idx="28">
                  <c:v>2800</c:v>
                </c:pt>
                <c:pt idx="29">
                  <c:v>2900</c:v>
                </c:pt>
                <c:pt idx="30">
                  <c:v>3000</c:v>
                </c:pt>
                <c:pt idx="31">
                  <c:v>3100</c:v>
                </c:pt>
                <c:pt idx="32">
                  <c:v>3200</c:v>
                </c:pt>
                <c:pt idx="33">
                  <c:v>3300</c:v>
                </c:pt>
                <c:pt idx="34">
                  <c:v>3400</c:v>
                </c:pt>
                <c:pt idx="35">
                  <c:v>3500</c:v>
                </c:pt>
                <c:pt idx="36">
                  <c:v>3600</c:v>
                </c:pt>
                <c:pt idx="37">
                  <c:v>3700</c:v>
                </c:pt>
                <c:pt idx="38">
                  <c:v>3800</c:v>
                </c:pt>
                <c:pt idx="39">
                  <c:v>3900</c:v>
                </c:pt>
                <c:pt idx="40">
                  <c:v>4000</c:v>
                </c:pt>
                <c:pt idx="41">
                  <c:v>4100</c:v>
                </c:pt>
                <c:pt idx="42">
                  <c:v>4200</c:v>
                </c:pt>
                <c:pt idx="43">
                  <c:v>4300</c:v>
                </c:pt>
                <c:pt idx="44">
                  <c:v>4400</c:v>
                </c:pt>
                <c:pt idx="45">
                  <c:v>4500</c:v>
                </c:pt>
                <c:pt idx="46">
                  <c:v>4600</c:v>
                </c:pt>
                <c:pt idx="47">
                  <c:v>4700</c:v>
                </c:pt>
                <c:pt idx="48">
                  <c:v>4800</c:v>
                </c:pt>
                <c:pt idx="49">
                  <c:v>4900</c:v>
                </c:pt>
                <c:pt idx="50">
                  <c:v>5000</c:v>
                </c:pt>
              </c:numCache>
            </c:numRef>
          </c:xVal>
          <c:yVal>
            <c:numRef>
              <c:f>'C1_損益分岐点'!$N$40:$N$90</c:f>
              <c:numCache>
                <c:formatCode>General</c:formatCode>
                <c:ptCount val="51"/>
                <c:pt idx="0">
                  <c:v>-280</c:v>
                </c:pt>
                <c:pt idx="1">
                  <c:v>-250</c:v>
                </c:pt>
                <c:pt idx="2">
                  <c:v>-220</c:v>
                </c:pt>
                <c:pt idx="3">
                  <c:v>-190</c:v>
                </c:pt>
                <c:pt idx="4">
                  <c:v>-160</c:v>
                </c:pt>
                <c:pt idx="5">
                  <c:v>-130</c:v>
                </c:pt>
                <c:pt idx="6">
                  <c:v>-100</c:v>
                </c:pt>
                <c:pt idx="7">
                  <c:v>-70</c:v>
                </c:pt>
                <c:pt idx="8">
                  <c:v>-40</c:v>
                </c:pt>
                <c:pt idx="9">
                  <c:v>-10</c:v>
                </c:pt>
                <c:pt idx="10">
                  <c:v>20</c:v>
                </c:pt>
                <c:pt idx="11">
                  <c:v>50</c:v>
                </c:pt>
                <c:pt idx="12">
                  <c:v>80</c:v>
                </c:pt>
                <c:pt idx="13">
                  <c:v>110</c:v>
                </c:pt>
                <c:pt idx="14">
                  <c:v>140</c:v>
                </c:pt>
                <c:pt idx="15">
                  <c:v>170</c:v>
                </c:pt>
                <c:pt idx="16">
                  <c:v>200</c:v>
                </c:pt>
                <c:pt idx="17">
                  <c:v>230</c:v>
                </c:pt>
                <c:pt idx="18">
                  <c:v>260</c:v>
                </c:pt>
                <c:pt idx="19">
                  <c:v>290</c:v>
                </c:pt>
                <c:pt idx="20">
                  <c:v>320</c:v>
                </c:pt>
                <c:pt idx="21">
                  <c:v>350</c:v>
                </c:pt>
                <c:pt idx="22">
                  <c:v>380</c:v>
                </c:pt>
                <c:pt idx="23">
                  <c:v>410</c:v>
                </c:pt>
                <c:pt idx="24">
                  <c:v>440</c:v>
                </c:pt>
                <c:pt idx="25">
                  <c:v>470</c:v>
                </c:pt>
                <c:pt idx="26">
                  <c:v>500</c:v>
                </c:pt>
                <c:pt idx="27">
                  <c:v>530</c:v>
                </c:pt>
                <c:pt idx="28">
                  <c:v>560</c:v>
                </c:pt>
                <c:pt idx="29">
                  <c:v>590</c:v>
                </c:pt>
                <c:pt idx="30">
                  <c:v>620</c:v>
                </c:pt>
                <c:pt idx="31">
                  <c:v>650</c:v>
                </c:pt>
                <c:pt idx="32">
                  <c:v>680</c:v>
                </c:pt>
                <c:pt idx="33">
                  <c:v>710</c:v>
                </c:pt>
                <c:pt idx="34">
                  <c:v>740</c:v>
                </c:pt>
                <c:pt idx="35">
                  <c:v>770</c:v>
                </c:pt>
                <c:pt idx="36">
                  <c:v>800</c:v>
                </c:pt>
                <c:pt idx="37">
                  <c:v>830</c:v>
                </c:pt>
                <c:pt idx="38">
                  <c:v>860</c:v>
                </c:pt>
                <c:pt idx="39">
                  <c:v>890</c:v>
                </c:pt>
                <c:pt idx="40">
                  <c:v>920</c:v>
                </c:pt>
                <c:pt idx="41">
                  <c:v>950</c:v>
                </c:pt>
                <c:pt idx="42">
                  <c:v>980</c:v>
                </c:pt>
                <c:pt idx="43">
                  <c:v>1010</c:v>
                </c:pt>
                <c:pt idx="44">
                  <c:v>1040</c:v>
                </c:pt>
                <c:pt idx="45">
                  <c:v>1070</c:v>
                </c:pt>
                <c:pt idx="46">
                  <c:v>1100</c:v>
                </c:pt>
                <c:pt idx="47">
                  <c:v>1130</c:v>
                </c:pt>
                <c:pt idx="48">
                  <c:v>1160</c:v>
                </c:pt>
                <c:pt idx="49">
                  <c:v>1190</c:v>
                </c:pt>
                <c:pt idx="50">
                  <c:v>1220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025-4C8A-A5D8-2A5C2DDDB9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1226415"/>
        <c:axId val="1921244655"/>
      </c:scatterChart>
      <c:valAx>
        <c:axId val="19212264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921244655"/>
        <c:crosses val="autoZero"/>
        <c:crossBetween val="midCat"/>
      </c:valAx>
      <c:valAx>
        <c:axId val="1921244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9212264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'C1_損益分岐点'!$M$39</c:f>
              <c:strCache>
                <c:ptCount val="1"/>
                <c:pt idx="0">
                  <c:v>総経費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'C1_損益分岐点'!$J$40:$J$61</c:f>
              <c:numCache>
                <c:formatCode>General</c:formatCode>
                <c:ptCount val="22"/>
                <c:pt idx="0">
                  <c:v>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  <c:pt idx="6">
                  <c:v>600</c:v>
                </c:pt>
                <c:pt idx="7">
                  <c:v>700</c:v>
                </c:pt>
                <c:pt idx="8">
                  <c:v>800</c:v>
                </c:pt>
                <c:pt idx="9">
                  <c:v>900</c:v>
                </c:pt>
                <c:pt idx="10">
                  <c:v>1000</c:v>
                </c:pt>
                <c:pt idx="11">
                  <c:v>1100</c:v>
                </c:pt>
                <c:pt idx="12">
                  <c:v>1200</c:v>
                </c:pt>
                <c:pt idx="13">
                  <c:v>1300</c:v>
                </c:pt>
                <c:pt idx="14">
                  <c:v>1400</c:v>
                </c:pt>
                <c:pt idx="15">
                  <c:v>1500</c:v>
                </c:pt>
                <c:pt idx="16">
                  <c:v>1600</c:v>
                </c:pt>
                <c:pt idx="17">
                  <c:v>1700</c:v>
                </c:pt>
                <c:pt idx="18">
                  <c:v>1800</c:v>
                </c:pt>
                <c:pt idx="19">
                  <c:v>1900</c:v>
                </c:pt>
                <c:pt idx="20">
                  <c:v>2000</c:v>
                </c:pt>
                <c:pt idx="21">
                  <c:v>2100</c:v>
                </c:pt>
              </c:numCache>
            </c:numRef>
          </c:cat>
          <c:val>
            <c:numRef>
              <c:f>'C1_損益分岐点'!$M$40:$M$61</c:f>
              <c:numCache>
                <c:formatCode>General</c:formatCode>
                <c:ptCount val="22"/>
                <c:pt idx="0">
                  <c:v>280</c:v>
                </c:pt>
                <c:pt idx="1">
                  <c:v>350</c:v>
                </c:pt>
                <c:pt idx="2">
                  <c:v>420</c:v>
                </c:pt>
                <c:pt idx="3">
                  <c:v>490</c:v>
                </c:pt>
                <c:pt idx="4">
                  <c:v>560</c:v>
                </c:pt>
                <c:pt idx="5">
                  <c:v>630</c:v>
                </c:pt>
                <c:pt idx="6">
                  <c:v>700</c:v>
                </c:pt>
                <c:pt idx="7">
                  <c:v>770</c:v>
                </c:pt>
                <c:pt idx="8">
                  <c:v>840</c:v>
                </c:pt>
                <c:pt idx="9">
                  <c:v>910</c:v>
                </c:pt>
                <c:pt idx="10">
                  <c:v>980</c:v>
                </c:pt>
                <c:pt idx="11">
                  <c:v>1050</c:v>
                </c:pt>
                <c:pt idx="12">
                  <c:v>1120</c:v>
                </c:pt>
                <c:pt idx="13">
                  <c:v>1190</c:v>
                </c:pt>
                <c:pt idx="14">
                  <c:v>1260</c:v>
                </c:pt>
                <c:pt idx="15">
                  <c:v>1330</c:v>
                </c:pt>
                <c:pt idx="16">
                  <c:v>1400</c:v>
                </c:pt>
                <c:pt idx="17">
                  <c:v>1470</c:v>
                </c:pt>
                <c:pt idx="18">
                  <c:v>1540</c:v>
                </c:pt>
                <c:pt idx="19">
                  <c:v>1610</c:v>
                </c:pt>
                <c:pt idx="20">
                  <c:v>1680</c:v>
                </c:pt>
                <c:pt idx="21">
                  <c:v>1750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1EA-447F-828C-78667F42C26B}"/>
            </c:ext>
          </c:extLst>
        </c:ser>
        <c:ser>
          <c:idx val="1"/>
          <c:order val="1"/>
          <c:tx>
            <c:strRef>
              <c:f>'C1_損益分岐点'!$P$39</c:f>
              <c:strCache>
                <c:ptCount val="1"/>
                <c:pt idx="0">
                  <c:v>売上げ=経費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'C1_損益分岐点'!$J$40:$J$61</c:f>
              <c:numCache>
                <c:formatCode>General</c:formatCode>
                <c:ptCount val="22"/>
                <c:pt idx="0">
                  <c:v>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  <c:pt idx="6">
                  <c:v>600</c:v>
                </c:pt>
                <c:pt idx="7">
                  <c:v>700</c:v>
                </c:pt>
                <c:pt idx="8">
                  <c:v>800</c:v>
                </c:pt>
                <c:pt idx="9">
                  <c:v>900</c:v>
                </c:pt>
                <c:pt idx="10">
                  <c:v>1000</c:v>
                </c:pt>
                <c:pt idx="11">
                  <c:v>1100</c:v>
                </c:pt>
                <c:pt idx="12">
                  <c:v>1200</c:v>
                </c:pt>
                <c:pt idx="13">
                  <c:v>1300</c:v>
                </c:pt>
                <c:pt idx="14">
                  <c:v>1400</c:v>
                </c:pt>
                <c:pt idx="15">
                  <c:v>1500</c:v>
                </c:pt>
                <c:pt idx="16">
                  <c:v>1600</c:v>
                </c:pt>
                <c:pt idx="17">
                  <c:v>1700</c:v>
                </c:pt>
                <c:pt idx="18">
                  <c:v>1800</c:v>
                </c:pt>
                <c:pt idx="19">
                  <c:v>1900</c:v>
                </c:pt>
                <c:pt idx="20">
                  <c:v>2000</c:v>
                </c:pt>
                <c:pt idx="21">
                  <c:v>2100</c:v>
                </c:pt>
              </c:numCache>
            </c:numRef>
          </c:cat>
          <c:val>
            <c:numRef>
              <c:f>'C1_損益分岐点'!$P$40:$P$61</c:f>
              <c:numCache>
                <c:formatCode>General</c:formatCode>
                <c:ptCount val="22"/>
                <c:pt idx="0">
                  <c:v>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  <c:pt idx="6">
                  <c:v>600</c:v>
                </c:pt>
                <c:pt idx="7">
                  <c:v>700</c:v>
                </c:pt>
                <c:pt idx="8">
                  <c:v>800</c:v>
                </c:pt>
                <c:pt idx="9">
                  <c:v>900</c:v>
                </c:pt>
                <c:pt idx="10">
                  <c:v>1000</c:v>
                </c:pt>
                <c:pt idx="11">
                  <c:v>1100</c:v>
                </c:pt>
                <c:pt idx="12">
                  <c:v>1200</c:v>
                </c:pt>
                <c:pt idx="13">
                  <c:v>1300</c:v>
                </c:pt>
                <c:pt idx="14">
                  <c:v>1400</c:v>
                </c:pt>
                <c:pt idx="15">
                  <c:v>1500</c:v>
                </c:pt>
                <c:pt idx="16">
                  <c:v>1600</c:v>
                </c:pt>
                <c:pt idx="17">
                  <c:v>1700</c:v>
                </c:pt>
                <c:pt idx="18">
                  <c:v>1800</c:v>
                </c:pt>
                <c:pt idx="19">
                  <c:v>1900</c:v>
                </c:pt>
                <c:pt idx="20">
                  <c:v>2000</c:v>
                </c:pt>
                <c:pt idx="21">
                  <c:v>2100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1EA-447F-828C-78667F42C2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40884255"/>
        <c:axId val="1540888575"/>
      </c:lineChart>
      <c:catAx>
        <c:axId val="15408842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540888575"/>
        <c:crosses val="autoZero"/>
        <c:auto val="1"/>
        <c:lblAlgn val="ctr"/>
        <c:lblOffset val="100"/>
        <c:noMultiLvlLbl val="0"/>
      </c:catAx>
      <c:valAx>
        <c:axId val="1540888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5408842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367145</xdr:colOff>
      <xdr:row>17</xdr:row>
      <xdr:rowOff>74035</xdr:rowOff>
    </xdr:from>
    <xdr:to>
      <xdr:col>6</xdr:col>
      <xdr:colOff>322118</xdr:colOff>
      <xdr:row>28</xdr:row>
      <xdr:rowOff>202189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797DB826-1786-E5AD-F897-AA8CFBEB5C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613930</xdr:colOff>
      <xdr:row>17</xdr:row>
      <xdr:rowOff>74036</xdr:rowOff>
    </xdr:from>
    <xdr:to>
      <xdr:col>14</xdr:col>
      <xdr:colOff>229467</xdr:colOff>
      <xdr:row>28</xdr:row>
      <xdr:rowOff>202190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6AA02316-F0F3-CA8C-D127-0E0F6B9162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36699</xdr:colOff>
      <xdr:row>36</xdr:row>
      <xdr:rowOff>152119</xdr:rowOff>
    </xdr:from>
    <xdr:to>
      <xdr:col>18</xdr:col>
      <xdr:colOff>381000</xdr:colOff>
      <xdr:row>56</xdr:row>
      <xdr:rowOff>33617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82A19872-4A43-BF22-37C8-DF0E4755F0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429465</xdr:colOff>
      <xdr:row>78</xdr:row>
      <xdr:rowOff>172851</xdr:rowOff>
    </xdr:from>
    <xdr:to>
      <xdr:col>8</xdr:col>
      <xdr:colOff>486615</xdr:colOff>
      <xdr:row>90</xdr:row>
      <xdr:rowOff>58550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24B19917-5C18-EB41-7EFA-D8746FD624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122464</xdr:colOff>
      <xdr:row>68</xdr:row>
      <xdr:rowOff>9523</xdr:rowOff>
    </xdr:from>
    <xdr:to>
      <xdr:col>26</xdr:col>
      <xdr:colOff>353785</xdr:colOff>
      <xdr:row>85</xdr:row>
      <xdr:rowOff>231320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EAE0D5D2-7C4D-CA38-8900-27E7DEFFF2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340179</xdr:colOff>
      <xdr:row>41</xdr:row>
      <xdr:rowOff>118381</xdr:rowOff>
    </xdr:from>
    <xdr:to>
      <xdr:col>29</xdr:col>
      <xdr:colOff>231322</xdr:colOff>
      <xdr:row>59</xdr:row>
      <xdr:rowOff>54427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2A3C6585-DFE7-4DF8-C518-E1F9F53260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C38A508-D743-44BE-9417-9A331EFECCDE}">
  <we:reference id="wa200009404" version="1.0.0.8" store="ja-JP" storeType="OMEX"/>
  <we:alternateReferences>
    <we:reference id="WA200009404" version="1.0.0.8" store="WA200009404" storeType="OMEX"/>
  </we:alternateReferences>
  <we:properties/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68CF82-D8A1-4F48-9646-4EDA4C4BEBFC}">
  <dimension ref="I6:M10"/>
  <sheetViews>
    <sheetView tabSelected="1" workbookViewId="0">
      <selection activeCell="M10" sqref="M10"/>
    </sheetView>
  </sheetViews>
  <sheetFormatPr defaultRowHeight="18.75" x14ac:dyDescent="0.4"/>
  <cols>
    <col min="13" max="13" width="15.5" bestFit="1" customWidth="1"/>
  </cols>
  <sheetData>
    <row r="6" spans="9:13" x14ac:dyDescent="0.4">
      <c r="I6">
        <f>(190/120)^(1/8)</f>
        <v>1.0591233537353109</v>
      </c>
      <c r="K6">
        <f>2^(1/5)</f>
        <v>1.1486983549970351</v>
      </c>
      <c r="M6" s="1">
        <f>6845.5/1248.29</f>
        <v>5.4839019779057754</v>
      </c>
    </row>
    <row r="7" spans="9:13" x14ac:dyDescent="0.4">
      <c r="I7">
        <f>I6-1</f>
        <v>5.9123353735310857E-2</v>
      </c>
      <c r="K7">
        <f>(K6-1)*100</f>
        <v>14.869835499703509</v>
      </c>
      <c r="M7" s="1">
        <f>M6^(1/20)</f>
        <v>1.0888159750039301</v>
      </c>
    </row>
    <row r="8" spans="9:13" x14ac:dyDescent="0.4">
      <c r="I8">
        <v>5.91</v>
      </c>
      <c r="M8" s="1">
        <f>(M7-1)*100</f>
        <v>8.8815975003930134</v>
      </c>
    </row>
    <row r="9" spans="9:13" x14ac:dyDescent="0.4">
      <c r="I9">
        <f>(1+I7)^3</f>
        <v>1.188063443954857</v>
      </c>
      <c r="M9" s="1">
        <f>M8/100</f>
        <v>8.8815975003930139E-2</v>
      </c>
    </row>
    <row r="10" spans="9:13" x14ac:dyDescent="0.4">
      <c r="I10">
        <f>190*I9</f>
        <v>225.73205435142282</v>
      </c>
      <c r="M10" s="1">
        <f>10000*(1+M9)^10</f>
        <v>23417.73255015476</v>
      </c>
    </row>
  </sheetData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82FB7-F4F5-42FC-8C54-9DC2180311D7}">
  <dimension ref="B4:K16"/>
  <sheetViews>
    <sheetView zoomScale="70" zoomScaleNormal="70" workbookViewId="0">
      <selection activeCell="G8" sqref="G8"/>
    </sheetView>
  </sheetViews>
  <sheetFormatPr defaultRowHeight="18.75" x14ac:dyDescent="0.4"/>
  <cols>
    <col min="1" max="1" width="9" style="2" customWidth="1"/>
    <col min="2" max="2" width="2" style="2" customWidth="1"/>
    <col min="3" max="3" width="10.875" style="2" bestFit="1" customWidth="1"/>
    <col min="4" max="4" width="21" style="2" customWidth="1"/>
    <col min="5" max="10" width="9" style="2"/>
    <col min="11" max="11" width="2.125" style="2" customWidth="1"/>
    <col min="12" max="16384" width="9" style="2"/>
  </cols>
  <sheetData>
    <row r="4" spans="2:11" x14ac:dyDescent="0.4">
      <c r="B4" s="4"/>
      <c r="C4" s="4"/>
      <c r="D4" s="4"/>
      <c r="E4" s="4"/>
      <c r="F4" s="4"/>
      <c r="G4" s="4"/>
      <c r="H4" s="4"/>
      <c r="I4" s="4"/>
      <c r="J4" s="4"/>
      <c r="K4" s="4"/>
    </row>
    <row r="5" spans="2:11" ht="19.5" thickBot="1" x14ac:dyDescent="0.45">
      <c r="B5" s="14"/>
      <c r="C5" s="14" t="s">
        <v>8</v>
      </c>
      <c r="D5" s="14" t="s">
        <v>15</v>
      </c>
      <c r="E5" s="15" t="s">
        <v>0</v>
      </c>
      <c r="F5" s="16" t="s">
        <v>1</v>
      </c>
      <c r="G5" s="16" t="s">
        <v>2</v>
      </c>
      <c r="H5" s="16" t="s">
        <v>3</v>
      </c>
      <c r="I5" s="16" t="s">
        <v>4</v>
      </c>
      <c r="J5" s="16" t="s">
        <v>5</v>
      </c>
      <c r="K5" s="16"/>
    </row>
    <row r="6" spans="2:11" ht="19.5" thickTop="1" x14ac:dyDescent="0.4">
      <c r="C6" s="2" t="s">
        <v>9</v>
      </c>
      <c r="D6" s="2" t="s">
        <v>16</v>
      </c>
      <c r="E6" s="35">
        <v>950</v>
      </c>
      <c r="F6" s="36">
        <v>1000</v>
      </c>
      <c r="G6" s="36">
        <v>900</v>
      </c>
      <c r="H6" s="36">
        <v>800</v>
      </c>
      <c r="I6" s="36">
        <v>750</v>
      </c>
      <c r="J6" s="36">
        <v>750</v>
      </c>
      <c r="K6" s="3"/>
    </row>
    <row r="7" spans="2:11" x14ac:dyDescent="0.4">
      <c r="D7" s="2" t="s">
        <v>17</v>
      </c>
      <c r="E7" s="35">
        <v>900</v>
      </c>
      <c r="F7" s="36">
        <v>800</v>
      </c>
      <c r="G7" s="36">
        <v>750</v>
      </c>
      <c r="H7" s="36">
        <v>700</v>
      </c>
      <c r="I7" s="36">
        <v>600</v>
      </c>
      <c r="J7" s="36">
        <v>600</v>
      </c>
      <c r="K7" s="3"/>
    </row>
    <row r="8" spans="2:11" x14ac:dyDescent="0.4">
      <c r="D8" s="2" t="s">
        <v>18</v>
      </c>
      <c r="E8" s="35">
        <v>0</v>
      </c>
      <c r="F8" s="36">
        <v>150</v>
      </c>
      <c r="G8" s="36" t="s">
        <v>52</v>
      </c>
      <c r="H8" s="36">
        <v>225</v>
      </c>
      <c r="I8" s="36">
        <v>275</v>
      </c>
      <c r="J8" s="36">
        <v>315</v>
      </c>
      <c r="K8" s="3"/>
    </row>
    <row r="9" spans="2:11" x14ac:dyDescent="0.4">
      <c r="B9" s="4"/>
      <c r="C9" s="4"/>
      <c r="D9" s="4" t="s">
        <v>19</v>
      </c>
      <c r="E9" s="37">
        <v>0</v>
      </c>
      <c r="F9" s="38">
        <v>70</v>
      </c>
      <c r="G9" s="38">
        <v>100</v>
      </c>
      <c r="H9" s="38">
        <v>130</v>
      </c>
      <c r="I9" s="38">
        <v>180</v>
      </c>
      <c r="J9" s="38">
        <v>200</v>
      </c>
      <c r="K9" s="6"/>
    </row>
    <row r="10" spans="2:11" x14ac:dyDescent="0.4">
      <c r="C10" s="2" t="s">
        <v>10</v>
      </c>
      <c r="D10" s="2" t="s">
        <v>20</v>
      </c>
      <c r="E10" s="10">
        <f>SUM(E6:E9)</f>
        <v>1850</v>
      </c>
      <c r="F10" s="3">
        <f t="shared" ref="F10:J10" si="0">SUM(F6:F9)</f>
        <v>2020</v>
      </c>
      <c r="G10" s="3">
        <f t="shared" si="0"/>
        <v>1750</v>
      </c>
      <c r="H10" s="3">
        <f t="shared" si="0"/>
        <v>1855</v>
      </c>
      <c r="I10" s="3">
        <f t="shared" si="0"/>
        <v>1805</v>
      </c>
      <c r="J10" s="3">
        <f t="shared" si="0"/>
        <v>1865</v>
      </c>
      <c r="K10" s="3"/>
    </row>
    <row r="11" spans="2:11" x14ac:dyDescent="0.4">
      <c r="D11" s="2" t="s">
        <v>21</v>
      </c>
      <c r="E11" s="8">
        <f t="shared" ref="E11:J11" si="1">E6+E7</f>
        <v>1850</v>
      </c>
      <c r="F11" s="3">
        <f t="shared" si="1"/>
        <v>1800</v>
      </c>
      <c r="G11" s="3">
        <f t="shared" si="1"/>
        <v>1650</v>
      </c>
      <c r="H11" s="3">
        <f t="shared" si="1"/>
        <v>1500</v>
      </c>
      <c r="I11" s="3">
        <f t="shared" si="1"/>
        <v>1350</v>
      </c>
      <c r="J11" s="3">
        <f t="shared" si="1"/>
        <v>1350</v>
      </c>
      <c r="K11" s="3"/>
    </row>
    <row r="12" spans="2:11" x14ac:dyDescent="0.4">
      <c r="D12" s="2" t="s">
        <v>22</v>
      </c>
      <c r="E12" s="8">
        <f t="shared" ref="E12:J12" si="2">E8+E9</f>
        <v>0</v>
      </c>
      <c r="F12" s="3">
        <f t="shared" si="2"/>
        <v>220</v>
      </c>
      <c r="G12" s="3" t="e">
        <f t="shared" si="2"/>
        <v>#VALUE!</v>
      </c>
      <c r="H12" s="3">
        <f t="shared" si="2"/>
        <v>355</v>
      </c>
      <c r="I12" s="3">
        <f t="shared" si="2"/>
        <v>455</v>
      </c>
      <c r="J12" s="3">
        <f t="shared" si="2"/>
        <v>515</v>
      </c>
      <c r="K12" s="3"/>
    </row>
    <row r="13" spans="2:11" x14ac:dyDescent="0.4">
      <c r="D13" s="2" t="s">
        <v>11</v>
      </c>
      <c r="E13" s="11">
        <f t="shared" ref="E13:J13" si="3">E6/E10</f>
        <v>0.51351351351351349</v>
      </c>
      <c r="F13" s="9">
        <f t="shared" si="3"/>
        <v>0.49504950495049505</v>
      </c>
      <c r="G13" s="9">
        <f t="shared" si="3"/>
        <v>0.51428571428571423</v>
      </c>
      <c r="H13" s="9">
        <f t="shared" si="3"/>
        <v>0.43126684636118601</v>
      </c>
      <c r="I13" s="9">
        <f t="shared" si="3"/>
        <v>0.41551246537396119</v>
      </c>
      <c r="J13" s="9">
        <f t="shared" si="3"/>
        <v>0.40214477211796246</v>
      </c>
      <c r="K13" s="9"/>
    </row>
    <row r="14" spans="2:11" x14ac:dyDescent="0.4">
      <c r="D14" s="2" t="s">
        <v>12</v>
      </c>
      <c r="E14" s="11">
        <f>E7/E10</f>
        <v>0.48648648648648651</v>
      </c>
      <c r="F14" s="9">
        <f t="shared" ref="F14:J14" si="4">F7/F10</f>
        <v>0.39603960396039606</v>
      </c>
      <c r="G14" s="9">
        <f t="shared" si="4"/>
        <v>0.42857142857142855</v>
      </c>
      <c r="H14" s="9">
        <f t="shared" si="4"/>
        <v>0.37735849056603776</v>
      </c>
      <c r="I14" s="9">
        <f t="shared" si="4"/>
        <v>0.33240997229916897</v>
      </c>
      <c r="J14" s="9">
        <f t="shared" si="4"/>
        <v>0.32171581769436997</v>
      </c>
      <c r="K14" s="9"/>
    </row>
    <row r="15" spans="2:11" x14ac:dyDescent="0.4">
      <c r="D15" s="2" t="s">
        <v>13</v>
      </c>
      <c r="E15" s="11">
        <f>E8/E10</f>
        <v>0</v>
      </c>
      <c r="F15" s="9">
        <f t="shared" ref="F15:J15" si="5">F8/F10</f>
        <v>7.4257425742574254E-2</v>
      </c>
      <c r="G15" s="9" t="e">
        <f t="shared" si="5"/>
        <v>#VALUE!</v>
      </c>
      <c r="H15" s="9">
        <f t="shared" si="5"/>
        <v>0.12129380053908356</v>
      </c>
      <c r="I15" s="9">
        <f t="shared" si="5"/>
        <v>0.1523545706371191</v>
      </c>
      <c r="J15" s="9">
        <f t="shared" si="5"/>
        <v>0.16890080428954424</v>
      </c>
      <c r="K15" s="9"/>
    </row>
    <row r="16" spans="2:11" x14ac:dyDescent="0.4">
      <c r="B16" s="4"/>
      <c r="C16" s="4"/>
      <c r="D16" s="4" t="s">
        <v>14</v>
      </c>
      <c r="E16" s="12">
        <f>E9/E10</f>
        <v>0</v>
      </c>
      <c r="F16" s="13">
        <f t="shared" ref="F16:J16" si="6">F9/F10</f>
        <v>3.4653465346534656E-2</v>
      </c>
      <c r="G16" s="13">
        <f t="shared" si="6"/>
        <v>5.7142857142857141E-2</v>
      </c>
      <c r="H16" s="13">
        <f t="shared" si="6"/>
        <v>7.0080862533692723E-2</v>
      </c>
      <c r="I16" s="13">
        <f t="shared" si="6"/>
        <v>9.9722991689750698E-2</v>
      </c>
      <c r="J16" s="13">
        <f t="shared" si="6"/>
        <v>0.10723860589812333</v>
      </c>
      <c r="K16" s="13"/>
    </row>
  </sheetData>
  <phoneticPr fontId="2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DA6009-AFD3-48B6-AA52-C7074CAD95C4}">
  <dimension ref="B2:F57"/>
  <sheetViews>
    <sheetView zoomScale="85" zoomScaleNormal="85" workbookViewId="0">
      <selection activeCell="D32" sqref="D32"/>
    </sheetView>
  </sheetViews>
  <sheetFormatPr defaultRowHeight="18.75" x14ac:dyDescent="0.4"/>
  <cols>
    <col min="1" max="1" width="9" style="2"/>
    <col min="2" max="2" width="1.875" style="2" customWidth="1"/>
    <col min="3" max="3" width="22.5" style="2" customWidth="1"/>
    <col min="4" max="5" width="10.375" style="2" bestFit="1" customWidth="1"/>
    <col min="6" max="6" width="2" style="2" customWidth="1"/>
    <col min="7" max="16384" width="9" style="2"/>
  </cols>
  <sheetData>
    <row r="2" spans="2:6" x14ac:dyDescent="0.4">
      <c r="B2" s="4"/>
      <c r="C2" s="4"/>
      <c r="D2" s="4"/>
      <c r="E2" s="4"/>
      <c r="F2" s="4"/>
    </row>
    <row r="3" spans="2:6" x14ac:dyDescent="0.4">
      <c r="B3" s="17"/>
      <c r="C3" s="18" t="s">
        <v>25</v>
      </c>
      <c r="D3" s="7" t="s">
        <v>4</v>
      </c>
      <c r="E3" s="19" t="s">
        <v>5</v>
      </c>
      <c r="F3" s="17"/>
    </row>
    <row r="4" spans="2:6" x14ac:dyDescent="0.4">
      <c r="B4" s="4"/>
      <c r="C4" s="4" t="s">
        <v>23</v>
      </c>
      <c r="D4" s="31">
        <v>1000</v>
      </c>
      <c r="E4" s="32">
        <v>1100</v>
      </c>
      <c r="F4" s="4"/>
    </row>
    <row r="7" spans="2:6" x14ac:dyDescent="0.4">
      <c r="B7" s="17"/>
      <c r="C7" s="18" t="s">
        <v>24</v>
      </c>
      <c r="D7" s="7" t="s">
        <v>4</v>
      </c>
      <c r="E7" s="19" t="s">
        <v>5</v>
      </c>
      <c r="F7" s="17"/>
    </row>
    <row r="8" spans="2:6" x14ac:dyDescent="0.4">
      <c r="C8" s="2" t="s">
        <v>6</v>
      </c>
      <c r="D8" s="33">
        <v>40</v>
      </c>
      <c r="E8" s="34">
        <v>40</v>
      </c>
    </row>
    <row r="9" spans="2:6" x14ac:dyDescent="0.4">
      <c r="C9" s="2" t="s">
        <v>7</v>
      </c>
      <c r="D9" s="33">
        <v>30</v>
      </c>
      <c r="E9" s="34">
        <v>35</v>
      </c>
    </row>
    <row r="10" spans="2:6" x14ac:dyDescent="0.4">
      <c r="B10" s="4"/>
      <c r="C10" s="4" t="s">
        <v>26</v>
      </c>
      <c r="D10" s="31">
        <v>10</v>
      </c>
      <c r="E10" s="32">
        <v>20</v>
      </c>
      <c r="F10" s="4"/>
    </row>
    <row r="13" spans="2:6" x14ac:dyDescent="0.4">
      <c r="B13" s="17"/>
      <c r="C13" s="18" t="s">
        <v>27</v>
      </c>
      <c r="D13" s="7" t="s">
        <v>4</v>
      </c>
      <c r="E13" s="19" t="s">
        <v>5</v>
      </c>
      <c r="F13" s="17"/>
    </row>
    <row r="14" spans="2:6" x14ac:dyDescent="0.4">
      <c r="C14" s="2" t="s">
        <v>6</v>
      </c>
      <c r="D14" s="25">
        <f>D8/D9</f>
        <v>1.3333333333333333</v>
      </c>
      <c r="E14" s="26">
        <f>E8/E9</f>
        <v>1.1428571428571428</v>
      </c>
    </row>
    <row r="15" spans="2:6" x14ac:dyDescent="0.4">
      <c r="C15" s="2" t="s">
        <v>7</v>
      </c>
      <c r="D15" s="21">
        <f>D9/D8</f>
        <v>0.75</v>
      </c>
      <c r="E15" s="22">
        <f>E9/E8</f>
        <v>0.875</v>
      </c>
    </row>
    <row r="16" spans="2:6" x14ac:dyDescent="0.4">
      <c r="B16" s="4"/>
      <c r="C16" s="4" t="s">
        <v>26</v>
      </c>
      <c r="D16" s="20">
        <f>D10/D8</f>
        <v>0.25</v>
      </c>
      <c r="E16" s="5">
        <f>E10/E8</f>
        <v>0.5</v>
      </c>
      <c r="F16" s="4"/>
    </row>
    <row r="19" spans="2:6" ht="36" x14ac:dyDescent="0.4">
      <c r="B19" s="17"/>
      <c r="C19" s="23" t="s">
        <v>28</v>
      </c>
      <c r="D19" s="7" t="s">
        <v>4</v>
      </c>
      <c r="E19" s="19" t="s">
        <v>5</v>
      </c>
      <c r="F19" s="17"/>
    </row>
    <row r="20" spans="2:6" x14ac:dyDescent="0.4">
      <c r="C20" s="2" t="s">
        <v>6</v>
      </c>
      <c r="D20" s="21">
        <f>$D$4*D8/100</f>
        <v>400</v>
      </c>
      <c r="E20" s="22">
        <f>$E$4*E8/100</f>
        <v>440</v>
      </c>
    </row>
    <row r="21" spans="2:6" x14ac:dyDescent="0.4">
      <c r="C21" s="2" t="s">
        <v>7</v>
      </c>
      <c r="D21" s="21">
        <f t="shared" ref="D21" si="0">$D$4*D9/100</f>
        <v>300</v>
      </c>
      <c r="E21" s="22">
        <f>$E$4*E9/100</f>
        <v>385</v>
      </c>
    </row>
    <row r="22" spans="2:6" x14ac:dyDescent="0.4">
      <c r="B22" s="4"/>
      <c r="C22" s="4" t="s">
        <v>26</v>
      </c>
      <c r="D22" s="20">
        <f t="shared" ref="D22" si="1">$D$4*D10/100</f>
        <v>100</v>
      </c>
      <c r="E22" s="5">
        <f t="shared" ref="E22" si="2">$E$4*E10/100</f>
        <v>220</v>
      </c>
      <c r="F22" s="4"/>
    </row>
    <row r="25" spans="2:6" x14ac:dyDescent="0.4">
      <c r="B25" s="17"/>
      <c r="C25" s="23" t="s">
        <v>29</v>
      </c>
      <c r="D25" s="7" t="s">
        <v>4</v>
      </c>
      <c r="E25" s="19" t="s">
        <v>5</v>
      </c>
      <c r="F25" s="17"/>
    </row>
    <row r="26" spans="2:6" x14ac:dyDescent="0.4">
      <c r="C26" s="2" t="s">
        <v>6</v>
      </c>
      <c r="D26" s="27">
        <f>PI()*5*5</f>
        <v>78.539816339744831</v>
      </c>
      <c r="E26" s="29">
        <f>$D$26*E20/$D$20</f>
        <v>86.393797973719316</v>
      </c>
    </row>
    <row r="27" spans="2:6" x14ac:dyDescent="0.4">
      <c r="C27" s="2" t="s">
        <v>7</v>
      </c>
      <c r="D27" s="27">
        <f>D26*D21/D20</f>
        <v>58.90486225480862</v>
      </c>
      <c r="E27" s="29">
        <f>$D$26*E21/$D$20</f>
        <v>75.594573227004403</v>
      </c>
    </row>
    <row r="28" spans="2:6" x14ac:dyDescent="0.4">
      <c r="B28" s="4"/>
      <c r="C28" s="4" t="s">
        <v>26</v>
      </c>
      <c r="D28" s="28">
        <f>D26*D22/D20</f>
        <v>19.634954084936208</v>
      </c>
      <c r="E28" s="30">
        <f>$D$26*E22/$D$20</f>
        <v>43.196898986859658</v>
      </c>
      <c r="F28" s="4"/>
    </row>
    <row r="31" spans="2:6" x14ac:dyDescent="0.4">
      <c r="B31" s="17"/>
      <c r="C31" s="23" t="s">
        <v>30</v>
      </c>
      <c r="D31" s="7" t="s">
        <v>4</v>
      </c>
      <c r="E31" s="19" t="s">
        <v>5</v>
      </c>
      <c r="F31" s="17"/>
    </row>
    <row r="32" spans="2:6" x14ac:dyDescent="0.4">
      <c r="C32" s="2" t="s">
        <v>6</v>
      </c>
      <c r="D32" s="27">
        <f>SQRT(D26/PI())</f>
        <v>5</v>
      </c>
      <c r="E32" s="29">
        <f>SQRT(E26/PI())</f>
        <v>5.2440442408507577</v>
      </c>
    </row>
    <row r="33" spans="2:6" x14ac:dyDescent="0.4">
      <c r="C33" s="2" t="s">
        <v>7</v>
      </c>
      <c r="D33" s="27">
        <f>SQRT(D27/PI())</f>
        <v>4.3301270189221936</v>
      </c>
      <c r="E33" s="29">
        <f t="shared" ref="E33" si="3">SQRT(E27/PI())</f>
        <v>4.9053542175871465</v>
      </c>
    </row>
    <row r="34" spans="2:6" x14ac:dyDescent="0.4">
      <c r="B34" s="4"/>
      <c r="C34" s="4" t="s">
        <v>26</v>
      </c>
      <c r="D34" s="28">
        <f t="shared" ref="D33:E34" si="4">SQRT(D28/PI())</f>
        <v>2.5</v>
      </c>
      <c r="E34" s="30">
        <f>SQRT(E28/PI())</f>
        <v>3.7080992435478315</v>
      </c>
      <c r="F34" s="4"/>
    </row>
    <row r="38" spans="2:6" x14ac:dyDescent="0.4">
      <c r="C38" s="2">
        <v>2</v>
      </c>
      <c r="D38" s="2">
        <v>0</v>
      </c>
    </row>
    <row r="39" spans="2:6" x14ac:dyDescent="0.4">
      <c r="C39" s="2">
        <v>1.9</v>
      </c>
      <c r="D39" s="2">
        <v>0</v>
      </c>
    </row>
    <row r="40" spans="2:6" x14ac:dyDescent="0.4">
      <c r="C40" s="2">
        <v>1.8</v>
      </c>
      <c r="D40" s="2">
        <v>0</v>
      </c>
    </row>
    <row r="41" spans="2:6" x14ac:dyDescent="0.4">
      <c r="C41" s="2">
        <v>1.7</v>
      </c>
      <c r="D41" s="2">
        <v>0</v>
      </c>
    </row>
    <row r="42" spans="2:6" x14ac:dyDescent="0.4">
      <c r="C42" s="2">
        <v>1.6</v>
      </c>
      <c r="D42" s="2">
        <v>0</v>
      </c>
    </row>
    <row r="43" spans="2:6" x14ac:dyDescent="0.4">
      <c r="C43" s="2">
        <v>1.5</v>
      </c>
      <c r="D43" s="2">
        <v>0</v>
      </c>
    </row>
    <row r="44" spans="2:6" x14ac:dyDescent="0.4">
      <c r="C44" s="2">
        <v>1.4</v>
      </c>
      <c r="D44" s="2">
        <v>0</v>
      </c>
    </row>
    <row r="45" spans="2:6" x14ac:dyDescent="0.4">
      <c r="C45" s="2">
        <v>1.3</v>
      </c>
      <c r="D45" s="2">
        <v>0</v>
      </c>
    </row>
    <row r="46" spans="2:6" x14ac:dyDescent="0.4">
      <c r="C46" s="2">
        <v>1.2</v>
      </c>
      <c r="D46" s="2">
        <v>0</v>
      </c>
    </row>
    <row r="47" spans="2:6" x14ac:dyDescent="0.4">
      <c r="C47" s="2">
        <v>1.1000000000000001</v>
      </c>
      <c r="D47" s="2">
        <v>0</v>
      </c>
    </row>
    <row r="48" spans="2:6" x14ac:dyDescent="0.4">
      <c r="C48" s="2">
        <v>1</v>
      </c>
      <c r="D48" s="2">
        <v>0</v>
      </c>
    </row>
    <row r="49" spans="3:4" x14ac:dyDescent="0.4">
      <c r="C49" s="2">
        <v>0.9</v>
      </c>
      <c r="D49" s="2">
        <v>0</v>
      </c>
    </row>
    <row r="50" spans="3:4" x14ac:dyDescent="0.4">
      <c r="C50" s="2">
        <v>0.8</v>
      </c>
      <c r="D50" s="2">
        <v>0</v>
      </c>
    </row>
    <row r="51" spans="3:4" x14ac:dyDescent="0.4">
      <c r="C51" s="2">
        <v>0.7</v>
      </c>
      <c r="D51" s="2">
        <v>0</v>
      </c>
    </row>
    <row r="52" spans="3:4" x14ac:dyDescent="0.4">
      <c r="C52" s="2">
        <v>0.6</v>
      </c>
      <c r="D52" s="2">
        <v>0</v>
      </c>
    </row>
    <row r="53" spans="3:4" x14ac:dyDescent="0.4">
      <c r="C53" s="2">
        <v>0.5</v>
      </c>
      <c r="D53" s="2">
        <v>0</v>
      </c>
    </row>
    <row r="54" spans="3:4" x14ac:dyDescent="0.4">
      <c r="C54" s="2">
        <v>0.4</v>
      </c>
      <c r="D54" s="2">
        <v>0</v>
      </c>
    </row>
    <row r="55" spans="3:4" x14ac:dyDescent="0.4">
      <c r="C55" s="2">
        <v>0.3</v>
      </c>
      <c r="D55" s="2">
        <v>0</v>
      </c>
    </row>
    <row r="56" spans="3:4" x14ac:dyDescent="0.4">
      <c r="C56" s="2">
        <v>0.2</v>
      </c>
      <c r="D56" s="2">
        <v>0</v>
      </c>
    </row>
    <row r="57" spans="3:4" x14ac:dyDescent="0.4">
      <c r="C57" s="2">
        <v>0.1</v>
      </c>
      <c r="D57" s="2">
        <v>0</v>
      </c>
    </row>
  </sheetData>
  <phoneticPr fontId="2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6A0CC-1740-4F72-9A78-3451F01AFE90}">
  <dimension ref="B3:BF90"/>
  <sheetViews>
    <sheetView topLeftCell="J31" zoomScale="70" zoomScaleNormal="70" workbookViewId="0">
      <selection activeCell="P39" activeCellId="2" sqref="J39:J61 M39:M61 P39:P61"/>
    </sheetView>
  </sheetViews>
  <sheetFormatPr defaultRowHeight="18.75" x14ac:dyDescent="0.4"/>
  <cols>
    <col min="1" max="2" width="9" style="2"/>
    <col min="3" max="3" width="2.25" style="2" customWidth="1"/>
    <col min="4" max="4" width="9" style="2"/>
    <col min="5" max="5" width="8.25" style="22" customWidth="1"/>
    <col min="6" max="6" width="10.5" style="2" customWidth="1"/>
    <col min="7" max="7" width="2.25" style="2" customWidth="1"/>
    <col min="8" max="11" width="9" style="2"/>
    <col min="12" max="12" width="11" style="2" bestFit="1" customWidth="1"/>
    <col min="13" max="16384" width="9" style="2"/>
  </cols>
  <sheetData>
    <row r="3" spans="2:8" x14ac:dyDescent="0.4">
      <c r="B3" s="49" t="s">
        <v>9</v>
      </c>
    </row>
    <row r="4" spans="2:8" x14ac:dyDescent="0.4">
      <c r="D4" s="2" t="s">
        <v>31</v>
      </c>
    </row>
    <row r="5" spans="2:8" x14ac:dyDescent="0.4">
      <c r="C5" s="4"/>
      <c r="D5" s="4" t="s">
        <v>15</v>
      </c>
      <c r="E5" s="5"/>
      <c r="F5" s="4" t="s">
        <v>5</v>
      </c>
      <c r="G5" s="4"/>
    </row>
    <row r="6" spans="2:8" x14ac:dyDescent="0.4">
      <c r="D6" s="2" t="s">
        <v>32</v>
      </c>
      <c r="F6" s="39">
        <v>1000</v>
      </c>
    </row>
    <row r="7" spans="2:8" x14ac:dyDescent="0.4">
      <c r="C7" s="4"/>
      <c r="D7" s="4" t="s">
        <v>33</v>
      </c>
      <c r="E7" s="5"/>
      <c r="F7" s="40">
        <v>500</v>
      </c>
      <c r="G7" s="4"/>
      <c r="H7" s="2" t="s">
        <v>44</v>
      </c>
    </row>
    <row r="8" spans="2:8" x14ac:dyDescent="0.4">
      <c r="C8" s="17"/>
      <c r="D8" s="17" t="s">
        <v>34</v>
      </c>
      <c r="E8" s="19"/>
      <c r="F8" s="17">
        <f>F6-F7</f>
        <v>500</v>
      </c>
      <c r="G8" s="17"/>
    </row>
    <row r="9" spans="2:8" x14ac:dyDescent="0.4">
      <c r="D9" s="2" t="s">
        <v>35</v>
      </c>
    </row>
    <row r="10" spans="2:8" x14ac:dyDescent="0.4">
      <c r="E10" s="22" t="s">
        <v>36</v>
      </c>
      <c r="F10" s="39">
        <v>200</v>
      </c>
      <c r="H10" s="2" t="s">
        <v>41</v>
      </c>
    </row>
    <row r="11" spans="2:8" x14ac:dyDescent="0.4">
      <c r="E11" s="22" t="s">
        <v>37</v>
      </c>
      <c r="F11" s="39">
        <v>200</v>
      </c>
      <c r="H11" s="2" t="s">
        <v>42</v>
      </c>
    </row>
    <row r="12" spans="2:8" x14ac:dyDescent="0.4">
      <c r="E12" s="22" t="s">
        <v>38</v>
      </c>
      <c r="F12" s="39">
        <v>80</v>
      </c>
      <c r="H12" s="2" t="s">
        <v>43</v>
      </c>
    </row>
    <row r="13" spans="2:8" x14ac:dyDescent="0.4">
      <c r="C13" s="4"/>
      <c r="D13" s="4" t="s">
        <v>39</v>
      </c>
      <c r="E13" s="5"/>
      <c r="F13" s="4">
        <v>480</v>
      </c>
      <c r="G13" s="4"/>
    </row>
    <row r="14" spans="2:8" x14ac:dyDescent="0.4">
      <c r="C14" s="17"/>
      <c r="D14" s="17" t="s">
        <v>40</v>
      </c>
      <c r="E14" s="19"/>
      <c r="F14" s="18">
        <f>F8-F13</f>
        <v>20</v>
      </c>
      <c r="G14" s="17"/>
    </row>
    <row r="16" spans="2:8" x14ac:dyDescent="0.4">
      <c r="B16" s="49" t="s">
        <v>47</v>
      </c>
    </row>
    <row r="17" spans="2:58" x14ac:dyDescent="0.4">
      <c r="C17" s="4"/>
      <c r="D17" s="4" t="s">
        <v>15</v>
      </c>
      <c r="E17" s="5"/>
      <c r="F17" s="4" t="s">
        <v>5</v>
      </c>
      <c r="G17" s="4"/>
    </row>
    <row r="18" spans="2:58" x14ac:dyDescent="0.4">
      <c r="D18" s="2" t="s">
        <v>32</v>
      </c>
      <c r="F18" s="39">
        <v>1000</v>
      </c>
    </row>
    <row r="19" spans="2:58" x14ac:dyDescent="0.4">
      <c r="C19" s="4"/>
      <c r="D19" s="4" t="s">
        <v>33</v>
      </c>
      <c r="E19" s="5"/>
      <c r="F19" s="41">
        <f>($F$7*1)/$F$6*$F$18</f>
        <v>500</v>
      </c>
      <c r="G19" s="4"/>
      <c r="H19" s="2" t="s">
        <v>44</v>
      </c>
    </row>
    <row r="20" spans="2:58" x14ac:dyDescent="0.4">
      <c r="C20" s="17"/>
      <c r="D20" s="17" t="s">
        <v>34</v>
      </c>
      <c r="E20" s="19"/>
      <c r="F20" s="17">
        <f>F18-F19</f>
        <v>500</v>
      </c>
      <c r="G20" s="17"/>
    </row>
    <row r="21" spans="2:58" x14ac:dyDescent="0.4">
      <c r="D21" s="2" t="s">
        <v>35</v>
      </c>
    </row>
    <row r="22" spans="2:58" x14ac:dyDescent="0.4">
      <c r="E22" s="22" t="s">
        <v>36</v>
      </c>
      <c r="F22" s="42">
        <f>($F$10*0.9)+($F$10*0.1)/$F$6*$F$18</f>
        <v>200</v>
      </c>
      <c r="H22" s="2" t="s">
        <v>41</v>
      </c>
    </row>
    <row r="23" spans="2:58" x14ac:dyDescent="0.4">
      <c r="E23" s="22" t="s">
        <v>37</v>
      </c>
      <c r="F23" s="42">
        <f>($F$11*0.3)+($F$11*0.7)/$F$6*$F$18</f>
        <v>200</v>
      </c>
      <c r="H23" s="2" t="s">
        <v>42</v>
      </c>
    </row>
    <row r="24" spans="2:58" x14ac:dyDescent="0.4">
      <c r="E24" s="22" t="s">
        <v>38</v>
      </c>
      <c r="F24" s="42">
        <f>($F$12*0.5)+($F$12*0.5)/$F$6*$F$18</f>
        <v>80</v>
      </c>
      <c r="H24" s="2" t="s">
        <v>43</v>
      </c>
    </row>
    <row r="25" spans="2:58" x14ac:dyDescent="0.4">
      <c r="C25" s="4"/>
      <c r="D25" s="4" t="s">
        <v>39</v>
      </c>
      <c r="E25" s="5"/>
      <c r="F25" s="4">
        <f>SUM(F22:F24)</f>
        <v>480</v>
      </c>
      <c r="G25" s="4"/>
    </row>
    <row r="26" spans="2:58" x14ac:dyDescent="0.4">
      <c r="C26" s="17"/>
      <c r="D26" s="17" t="s">
        <v>40</v>
      </c>
      <c r="E26" s="19"/>
      <c r="F26" s="18">
        <f>F20-F25</f>
        <v>20</v>
      </c>
      <c r="G26" s="17"/>
      <c r="H26" s="2" t="s">
        <v>45</v>
      </c>
    </row>
    <row r="28" spans="2:58" x14ac:dyDescent="0.4">
      <c r="B28" s="49" t="s">
        <v>46</v>
      </c>
    </row>
    <row r="29" spans="2:58" x14ac:dyDescent="0.4">
      <c r="D29" s="4"/>
      <c r="E29" s="5" t="s">
        <v>15</v>
      </c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</row>
    <row r="30" spans="2:58" x14ac:dyDescent="0.4">
      <c r="E30" s="22" t="s">
        <v>32</v>
      </c>
      <c r="F30" s="39">
        <v>1000</v>
      </c>
      <c r="H30" s="43">
        <v>0</v>
      </c>
      <c r="I30" s="2">
        <v>100</v>
      </c>
      <c r="J30" s="2">
        <v>200</v>
      </c>
      <c r="K30" s="2">
        <v>300</v>
      </c>
      <c r="L30" s="2">
        <v>400</v>
      </c>
      <c r="M30" s="2">
        <v>500</v>
      </c>
      <c r="N30" s="2">
        <v>600</v>
      </c>
      <c r="O30" s="2">
        <v>700</v>
      </c>
      <c r="P30" s="2">
        <v>800</v>
      </c>
      <c r="Q30" s="2">
        <v>900</v>
      </c>
      <c r="R30" s="2">
        <v>1000</v>
      </c>
      <c r="S30" s="2">
        <v>1100</v>
      </c>
      <c r="T30" s="2">
        <v>1200</v>
      </c>
      <c r="U30" s="2">
        <v>1300</v>
      </c>
      <c r="V30" s="2">
        <v>1400</v>
      </c>
      <c r="W30" s="2">
        <v>1500</v>
      </c>
      <c r="X30" s="2">
        <v>1600</v>
      </c>
      <c r="Y30" s="2">
        <v>1700</v>
      </c>
      <c r="Z30" s="2">
        <v>1800</v>
      </c>
      <c r="AA30" s="2">
        <v>1900</v>
      </c>
      <c r="AB30" s="2">
        <v>2000</v>
      </c>
      <c r="AC30" s="2">
        <v>2100</v>
      </c>
      <c r="AD30" s="2">
        <v>2200</v>
      </c>
      <c r="AE30" s="2">
        <v>2300</v>
      </c>
      <c r="AF30" s="2">
        <v>2400</v>
      </c>
      <c r="AG30" s="2">
        <v>2500</v>
      </c>
      <c r="AH30" s="2">
        <v>2600</v>
      </c>
      <c r="AI30" s="2">
        <v>2700</v>
      </c>
      <c r="AJ30" s="2">
        <v>2800</v>
      </c>
      <c r="AK30" s="2">
        <v>2900</v>
      </c>
      <c r="AL30" s="2">
        <v>3000</v>
      </c>
      <c r="AM30" s="2">
        <v>3100</v>
      </c>
      <c r="AN30" s="2">
        <v>3200</v>
      </c>
      <c r="AO30" s="2">
        <v>3300</v>
      </c>
      <c r="AP30" s="2">
        <v>3400</v>
      </c>
      <c r="AQ30" s="2">
        <v>3500</v>
      </c>
      <c r="AR30" s="2">
        <v>3600</v>
      </c>
      <c r="AS30" s="2">
        <v>3700</v>
      </c>
      <c r="AT30" s="2">
        <v>3800</v>
      </c>
      <c r="AU30" s="2">
        <v>3900</v>
      </c>
      <c r="AV30" s="2">
        <v>4000</v>
      </c>
      <c r="AW30" s="2">
        <v>4100</v>
      </c>
      <c r="AX30" s="2">
        <v>4200</v>
      </c>
      <c r="AY30" s="2">
        <v>4300</v>
      </c>
      <c r="AZ30" s="2">
        <v>4400</v>
      </c>
      <c r="BA30" s="2">
        <v>4500</v>
      </c>
      <c r="BB30" s="2">
        <v>4600</v>
      </c>
      <c r="BC30" s="2">
        <v>4700</v>
      </c>
      <c r="BD30" s="2">
        <v>4800</v>
      </c>
      <c r="BE30" s="2">
        <v>4900</v>
      </c>
      <c r="BF30" s="2">
        <v>5000</v>
      </c>
    </row>
    <row r="31" spans="2:58" x14ac:dyDescent="0.4">
      <c r="D31" s="4"/>
      <c r="E31" s="5" t="s">
        <v>33</v>
      </c>
      <c r="F31" s="41">
        <f>($F$7*1)/$F$6*F$30</f>
        <v>500</v>
      </c>
      <c r="G31" s="41"/>
      <c r="H31" s="44">
        <f>($F$7*1)/$F$6*H$30</f>
        <v>0</v>
      </c>
      <c r="I31" s="41">
        <f>($F$7*1)/$F$6*I$30</f>
        <v>50</v>
      </c>
      <c r="J31" s="41">
        <f>($F$7*1)/$F$6*J$30</f>
        <v>100</v>
      </c>
      <c r="K31" s="41">
        <f>($F$7*1)/$F$6*K$30</f>
        <v>150</v>
      </c>
      <c r="L31" s="41">
        <f>($F$7*1)/$F$6*L$30</f>
        <v>200</v>
      </c>
      <c r="M31" s="41">
        <f>($F$7*1)/$F$6*M$30</f>
        <v>250</v>
      </c>
      <c r="N31" s="41">
        <f>($F$7*1)/$F$6*N$30</f>
        <v>300</v>
      </c>
      <c r="O31" s="41">
        <f>($F$7*1)/$F$6*O$30</f>
        <v>350</v>
      </c>
      <c r="P31" s="41">
        <f>($F$7*1)/$F$6*P$30</f>
        <v>400</v>
      </c>
      <c r="Q31" s="41">
        <f>($F$7*1)/$F$6*Q$30</f>
        <v>450</v>
      </c>
      <c r="R31" s="41">
        <f>($F$7*1)/$F$6*R$30</f>
        <v>500</v>
      </c>
      <c r="S31" s="41">
        <f>($F$7*1)/$F$6*S$30</f>
        <v>550</v>
      </c>
      <c r="T31" s="41">
        <f>($F$7*1)/$F$6*T$30</f>
        <v>600</v>
      </c>
      <c r="U31" s="41">
        <f>($F$7*1)/$F$6*U$30</f>
        <v>650</v>
      </c>
      <c r="V31" s="41">
        <f>($F$7*1)/$F$6*V$30</f>
        <v>700</v>
      </c>
      <c r="W31" s="41">
        <f>($F$7*1)/$F$6*W$30</f>
        <v>750</v>
      </c>
      <c r="X31" s="41">
        <f>($F$7*1)/$F$6*X$30</f>
        <v>800</v>
      </c>
      <c r="Y31" s="41">
        <f>($F$7*1)/$F$6*Y$30</f>
        <v>850</v>
      </c>
      <c r="Z31" s="41">
        <f>($F$7*1)/$F$6*Z$30</f>
        <v>900</v>
      </c>
      <c r="AA31" s="41">
        <f>($F$7*1)/$F$6*AA$30</f>
        <v>950</v>
      </c>
      <c r="AB31" s="41">
        <f>($F$7*1)/$F$6*AB$30</f>
        <v>1000</v>
      </c>
      <c r="AC31" s="41">
        <f>($F$7*1)/$F$6*AC$30</f>
        <v>1050</v>
      </c>
      <c r="AD31" s="41">
        <f>($F$7*1)/$F$6*AD$30</f>
        <v>1100</v>
      </c>
      <c r="AE31" s="41">
        <f>($F$7*1)/$F$6*AE$30</f>
        <v>1150</v>
      </c>
      <c r="AF31" s="41">
        <f>($F$7*1)/$F$6*AF$30</f>
        <v>1200</v>
      </c>
      <c r="AG31" s="41">
        <f>($F$7*1)/$F$6*AG$30</f>
        <v>1250</v>
      </c>
      <c r="AH31" s="41">
        <f>($F$7*1)/$F$6*AH$30</f>
        <v>1300</v>
      </c>
      <c r="AI31" s="41">
        <f>($F$7*1)/$F$6*AI$30</f>
        <v>1350</v>
      </c>
      <c r="AJ31" s="41">
        <f>($F$7*1)/$F$6*AJ$30</f>
        <v>1400</v>
      </c>
      <c r="AK31" s="41">
        <f>($F$7*1)/$F$6*AK$30</f>
        <v>1450</v>
      </c>
      <c r="AL31" s="41">
        <f>($F$7*1)/$F$6*AL$30</f>
        <v>1500</v>
      </c>
      <c r="AM31" s="41">
        <f>($F$7*1)/$F$6*AM$30</f>
        <v>1550</v>
      </c>
      <c r="AN31" s="41">
        <f>($F$7*1)/$F$6*AN$30</f>
        <v>1600</v>
      </c>
      <c r="AO31" s="41">
        <f>($F$7*1)/$F$6*AO$30</f>
        <v>1650</v>
      </c>
      <c r="AP31" s="41">
        <f>($F$7*1)/$F$6*AP$30</f>
        <v>1700</v>
      </c>
      <c r="AQ31" s="41">
        <f>($F$7*1)/$F$6*AQ$30</f>
        <v>1750</v>
      </c>
      <c r="AR31" s="41">
        <f>($F$7*1)/$F$6*AR$30</f>
        <v>1800</v>
      </c>
      <c r="AS31" s="41">
        <f>($F$7*1)/$F$6*AS$30</f>
        <v>1850</v>
      </c>
      <c r="AT31" s="41">
        <f>($F$7*1)/$F$6*AT$30</f>
        <v>1900</v>
      </c>
      <c r="AU31" s="41">
        <f>($F$7*1)/$F$6*AU$30</f>
        <v>1950</v>
      </c>
      <c r="AV31" s="41">
        <f>($F$7*1)/$F$6*AV$30</f>
        <v>2000</v>
      </c>
      <c r="AW31" s="41">
        <f>($F$7*1)/$F$6*AW$30</f>
        <v>2050</v>
      </c>
      <c r="AX31" s="41">
        <f>($F$7*1)/$F$6*AX$30</f>
        <v>2100</v>
      </c>
      <c r="AY31" s="41">
        <f>($F$7*1)/$F$6*AY$30</f>
        <v>2150</v>
      </c>
      <c r="AZ31" s="41">
        <f>($F$7*1)/$F$6*AZ$30</f>
        <v>2200</v>
      </c>
      <c r="BA31" s="41">
        <f>($F$7*1)/$F$6*BA$30</f>
        <v>2250</v>
      </c>
      <c r="BB31" s="41">
        <f>($F$7*1)/$F$6*BB$30</f>
        <v>2300</v>
      </c>
      <c r="BC31" s="41">
        <f>($F$7*1)/$F$6*BC$30</f>
        <v>2350</v>
      </c>
      <c r="BD31" s="41">
        <f>($F$7*1)/$F$6*BD$30</f>
        <v>2400</v>
      </c>
      <c r="BE31" s="41">
        <f>($F$7*1)/$F$6*BE$30</f>
        <v>2450</v>
      </c>
      <c r="BF31" s="41">
        <f>($F$7*1)/$F$6*BF$30</f>
        <v>2500</v>
      </c>
    </row>
    <row r="32" spans="2:58" x14ac:dyDescent="0.4">
      <c r="D32" s="17"/>
      <c r="E32" s="19" t="s">
        <v>34</v>
      </c>
      <c r="F32" s="17">
        <f>F30-F31</f>
        <v>500</v>
      </c>
      <c r="G32" s="17"/>
      <c r="H32" s="45">
        <f t="shared" ref="H32:R32" si="0">H30-H31</f>
        <v>0</v>
      </c>
      <c r="I32" s="17">
        <f t="shared" si="0"/>
        <v>50</v>
      </c>
      <c r="J32" s="17">
        <f t="shared" si="0"/>
        <v>100</v>
      </c>
      <c r="K32" s="17">
        <f t="shared" si="0"/>
        <v>150</v>
      </c>
      <c r="L32" s="17">
        <f t="shared" si="0"/>
        <v>200</v>
      </c>
      <c r="M32" s="17">
        <f t="shared" si="0"/>
        <v>250</v>
      </c>
      <c r="N32" s="17">
        <f t="shared" si="0"/>
        <v>300</v>
      </c>
      <c r="O32" s="17">
        <f t="shared" si="0"/>
        <v>350</v>
      </c>
      <c r="P32" s="17">
        <f t="shared" si="0"/>
        <v>400</v>
      </c>
      <c r="Q32" s="17">
        <f t="shared" si="0"/>
        <v>450</v>
      </c>
      <c r="R32" s="17">
        <f t="shared" si="0"/>
        <v>500</v>
      </c>
      <c r="S32" s="17">
        <f t="shared" ref="S32" si="1">S30-S31</f>
        <v>550</v>
      </c>
      <c r="T32" s="17">
        <f t="shared" ref="T32" si="2">T30-T31</f>
        <v>600</v>
      </c>
      <c r="U32" s="17">
        <f t="shared" ref="U32" si="3">U30-U31</f>
        <v>650</v>
      </c>
      <c r="V32" s="17">
        <f t="shared" ref="V32" si="4">V30-V31</f>
        <v>700</v>
      </c>
      <c r="W32" s="17">
        <f t="shared" ref="W32" si="5">W30-W31</f>
        <v>750</v>
      </c>
      <c r="X32" s="17">
        <f t="shared" ref="X32" si="6">X30-X31</f>
        <v>800</v>
      </c>
      <c r="Y32" s="17">
        <f t="shared" ref="Y32" si="7">Y30-Y31</f>
        <v>850</v>
      </c>
      <c r="Z32" s="17">
        <f t="shared" ref="Z32" si="8">Z30-Z31</f>
        <v>900</v>
      </c>
      <c r="AA32" s="17">
        <f t="shared" ref="AA32" si="9">AA30-AA31</f>
        <v>950</v>
      </c>
      <c r="AB32" s="17">
        <f t="shared" ref="AB32" si="10">AB30-AB31</f>
        <v>1000</v>
      </c>
      <c r="AC32" s="17">
        <f t="shared" ref="AC32" si="11">AC30-AC31</f>
        <v>1050</v>
      </c>
      <c r="AD32" s="17">
        <f t="shared" ref="AD32" si="12">AD30-AD31</f>
        <v>1100</v>
      </c>
      <c r="AE32" s="17">
        <f t="shared" ref="AE32" si="13">AE30-AE31</f>
        <v>1150</v>
      </c>
      <c r="AF32" s="17">
        <f t="shared" ref="AF32" si="14">AF30-AF31</f>
        <v>1200</v>
      </c>
      <c r="AG32" s="17">
        <f t="shared" ref="AG32" si="15">AG30-AG31</f>
        <v>1250</v>
      </c>
      <c r="AH32" s="17">
        <f t="shared" ref="AH32" si="16">AH30-AH31</f>
        <v>1300</v>
      </c>
      <c r="AI32" s="17">
        <f t="shared" ref="AI32" si="17">AI30-AI31</f>
        <v>1350</v>
      </c>
      <c r="AJ32" s="17">
        <f t="shared" ref="AJ32" si="18">AJ30-AJ31</f>
        <v>1400</v>
      </c>
      <c r="AK32" s="17">
        <f t="shared" ref="AK32" si="19">AK30-AK31</f>
        <v>1450</v>
      </c>
      <c r="AL32" s="17">
        <f t="shared" ref="AL32" si="20">AL30-AL31</f>
        <v>1500</v>
      </c>
      <c r="AM32" s="17">
        <f t="shared" ref="AM32" si="21">AM30-AM31</f>
        <v>1550</v>
      </c>
      <c r="AN32" s="17">
        <f t="shared" ref="AN32" si="22">AN30-AN31</f>
        <v>1600</v>
      </c>
      <c r="AO32" s="17">
        <f t="shared" ref="AO32" si="23">AO30-AO31</f>
        <v>1650</v>
      </c>
      <c r="AP32" s="17">
        <f t="shared" ref="AP32" si="24">AP30-AP31</f>
        <v>1700</v>
      </c>
      <c r="AQ32" s="17">
        <f t="shared" ref="AQ32" si="25">AQ30-AQ31</f>
        <v>1750</v>
      </c>
      <c r="AR32" s="17">
        <f t="shared" ref="AR32" si="26">AR30-AR31</f>
        <v>1800</v>
      </c>
      <c r="AS32" s="17">
        <f t="shared" ref="AS32" si="27">AS30-AS31</f>
        <v>1850</v>
      </c>
      <c r="AT32" s="17">
        <f t="shared" ref="AT32" si="28">AT30-AT31</f>
        <v>1900</v>
      </c>
      <c r="AU32" s="17">
        <f t="shared" ref="AU32" si="29">AU30-AU31</f>
        <v>1950</v>
      </c>
      <c r="AV32" s="17">
        <f t="shared" ref="AV32" si="30">AV30-AV31</f>
        <v>2000</v>
      </c>
      <c r="AW32" s="17">
        <f t="shared" ref="AW32" si="31">AW30-AW31</f>
        <v>2050</v>
      </c>
      <c r="AX32" s="17">
        <f t="shared" ref="AX32" si="32">AX30-AX31</f>
        <v>2100</v>
      </c>
      <c r="AY32" s="17">
        <f t="shared" ref="AY32" si="33">AY30-AY31</f>
        <v>2150</v>
      </c>
      <c r="AZ32" s="17">
        <f t="shared" ref="AZ32" si="34">AZ30-AZ31</f>
        <v>2200</v>
      </c>
      <c r="BA32" s="17">
        <f t="shared" ref="BA32" si="35">BA30-BA31</f>
        <v>2250</v>
      </c>
      <c r="BB32" s="17">
        <f t="shared" ref="BB32" si="36">BB30-BB31</f>
        <v>2300</v>
      </c>
      <c r="BC32" s="17">
        <f t="shared" ref="BC32" si="37">BC30-BC31</f>
        <v>2350</v>
      </c>
      <c r="BD32" s="17">
        <f t="shared" ref="BD32" si="38">BD30-BD31</f>
        <v>2400</v>
      </c>
      <c r="BE32" s="17">
        <f t="shared" ref="BE32" si="39">BE30-BE31</f>
        <v>2450</v>
      </c>
      <c r="BF32" s="17">
        <f t="shared" ref="BF32" si="40">BF30-BF31</f>
        <v>2500</v>
      </c>
    </row>
    <row r="33" spans="4:58" x14ac:dyDescent="0.4">
      <c r="E33" s="22" t="s">
        <v>36</v>
      </c>
      <c r="F33" s="42">
        <f>($F$10*0.9)+($F$10*0.1)/$F$6*F$30</f>
        <v>200</v>
      </c>
      <c r="G33" s="42"/>
      <c r="H33" s="46">
        <f>($F$10*0.9)+($F$10*0.1)/$F$6*H$30</f>
        <v>180</v>
      </c>
      <c r="I33" s="42">
        <f>($F$10*0.9)+($F$10*0.1)/$F$6*I$30</f>
        <v>182</v>
      </c>
      <c r="J33" s="42">
        <f>($F$10*0.9)+($F$10*0.1)/$F$6*J$30</f>
        <v>184</v>
      </c>
      <c r="K33" s="42">
        <f>($F$10*0.9)+($F$10*0.1)/$F$6*K$30</f>
        <v>186</v>
      </c>
      <c r="L33" s="42">
        <f>($F$10*0.9)+($F$10*0.1)/$F$6*L$30</f>
        <v>188</v>
      </c>
      <c r="M33" s="42">
        <f>($F$10*0.9)+($F$10*0.1)/$F$6*M$30</f>
        <v>190</v>
      </c>
      <c r="N33" s="42">
        <f>($F$10*0.9)+($F$10*0.1)/$F$6*N$30</f>
        <v>192</v>
      </c>
      <c r="O33" s="42">
        <f>($F$10*0.9)+($F$10*0.1)/$F$6*O$30</f>
        <v>194</v>
      </c>
      <c r="P33" s="42">
        <f>($F$10*0.9)+($F$10*0.1)/$F$6*P$30</f>
        <v>196</v>
      </c>
      <c r="Q33" s="42">
        <f>($F$10*0.9)+($F$10*0.1)/$F$6*Q$30</f>
        <v>198</v>
      </c>
      <c r="R33" s="42">
        <f>($F$10*0.9)+($F$10*0.1)/$F$6*R$30</f>
        <v>200</v>
      </c>
      <c r="S33" s="42">
        <f>($F$10*0.9)+($F$10*0.1)/$F$6*S$30</f>
        <v>202</v>
      </c>
      <c r="T33" s="42">
        <f>($F$10*0.9)+($F$10*0.1)/$F$6*T$30</f>
        <v>204</v>
      </c>
      <c r="U33" s="42">
        <f>($F$10*0.9)+($F$10*0.1)/$F$6*U$30</f>
        <v>206</v>
      </c>
      <c r="V33" s="42">
        <f>($F$10*0.9)+($F$10*0.1)/$F$6*V$30</f>
        <v>208</v>
      </c>
      <c r="W33" s="42">
        <f>($F$10*0.9)+($F$10*0.1)/$F$6*W$30</f>
        <v>210</v>
      </c>
      <c r="X33" s="42">
        <f>($F$10*0.9)+($F$10*0.1)/$F$6*X$30</f>
        <v>212</v>
      </c>
      <c r="Y33" s="42">
        <f>($F$10*0.9)+($F$10*0.1)/$F$6*Y$30</f>
        <v>214</v>
      </c>
      <c r="Z33" s="42">
        <f>($F$10*0.9)+($F$10*0.1)/$F$6*Z$30</f>
        <v>216</v>
      </c>
      <c r="AA33" s="42">
        <f>($F$10*0.9)+($F$10*0.1)/$F$6*AA$30</f>
        <v>218</v>
      </c>
      <c r="AB33" s="42">
        <f>($F$10*0.9)+($F$10*0.1)/$F$6*AB$30</f>
        <v>220</v>
      </c>
      <c r="AC33" s="42">
        <f>($F$10*0.9)+($F$10*0.1)/$F$6*AC$30</f>
        <v>222</v>
      </c>
      <c r="AD33" s="42">
        <f>($F$10*0.9)+($F$10*0.1)/$F$6*AD$30</f>
        <v>224</v>
      </c>
      <c r="AE33" s="42">
        <f>($F$10*0.9)+($F$10*0.1)/$F$6*AE$30</f>
        <v>226</v>
      </c>
      <c r="AF33" s="42">
        <f>($F$10*0.9)+($F$10*0.1)/$F$6*AF$30</f>
        <v>228</v>
      </c>
      <c r="AG33" s="42">
        <f>($F$10*0.9)+($F$10*0.1)/$F$6*AG$30</f>
        <v>230</v>
      </c>
      <c r="AH33" s="42">
        <f>($F$10*0.9)+($F$10*0.1)/$F$6*AH$30</f>
        <v>232</v>
      </c>
      <c r="AI33" s="42">
        <f>($F$10*0.9)+($F$10*0.1)/$F$6*AI$30</f>
        <v>234</v>
      </c>
      <c r="AJ33" s="42">
        <f>($F$10*0.9)+($F$10*0.1)/$F$6*AJ$30</f>
        <v>236</v>
      </c>
      <c r="AK33" s="42">
        <f>($F$10*0.9)+($F$10*0.1)/$F$6*AK$30</f>
        <v>238</v>
      </c>
      <c r="AL33" s="42">
        <f>($F$10*0.9)+($F$10*0.1)/$F$6*AL$30</f>
        <v>240</v>
      </c>
      <c r="AM33" s="42">
        <f>($F$10*0.9)+($F$10*0.1)/$F$6*AM$30</f>
        <v>242</v>
      </c>
      <c r="AN33" s="42">
        <f>($F$10*0.9)+($F$10*0.1)/$F$6*AN$30</f>
        <v>244</v>
      </c>
      <c r="AO33" s="42">
        <f>($F$10*0.9)+($F$10*0.1)/$F$6*AO$30</f>
        <v>246</v>
      </c>
      <c r="AP33" s="42">
        <f>($F$10*0.9)+($F$10*0.1)/$F$6*AP$30</f>
        <v>248</v>
      </c>
      <c r="AQ33" s="42">
        <f>($F$10*0.9)+($F$10*0.1)/$F$6*AQ$30</f>
        <v>250</v>
      </c>
      <c r="AR33" s="42">
        <f>($F$10*0.9)+($F$10*0.1)/$F$6*AR$30</f>
        <v>252</v>
      </c>
      <c r="AS33" s="42">
        <f>($F$10*0.9)+($F$10*0.1)/$F$6*AS$30</f>
        <v>254</v>
      </c>
      <c r="AT33" s="42">
        <f>($F$10*0.9)+($F$10*0.1)/$F$6*AT$30</f>
        <v>256</v>
      </c>
      <c r="AU33" s="42">
        <f>($F$10*0.9)+($F$10*0.1)/$F$6*AU$30</f>
        <v>258</v>
      </c>
      <c r="AV33" s="42">
        <f>($F$10*0.9)+($F$10*0.1)/$F$6*AV$30</f>
        <v>260</v>
      </c>
      <c r="AW33" s="42">
        <f>($F$10*0.9)+($F$10*0.1)/$F$6*AW$30</f>
        <v>262</v>
      </c>
      <c r="AX33" s="42">
        <f>($F$10*0.9)+($F$10*0.1)/$F$6*AX$30</f>
        <v>264</v>
      </c>
      <c r="AY33" s="42">
        <f>($F$10*0.9)+($F$10*0.1)/$F$6*AY$30</f>
        <v>266</v>
      </c>
      <c r="AZ33" s="42">
        <f>($F$10*0.9)+($F$10*0.1)/$F$6*AZ$30</f>
        <v>268</v>
      </c>
      <c r="BA33" s="42">
        <f>($F$10*0.9)+($F$10*0.1)/$F$6*BA$30</f>
        <v>270</v>
      </c>
      <c r="BB33" s="42">
        <f>($F$10*0.9)+($F$10*0.1)/$F$6*BB$30</f>
        <v>272</v>
      </c>
      <c r="BC33" s="42">
        <f>($F$10*0.9)+($F$10*0.1)/$F$6*BC$30</f>
        <v>274</v>
      </c>
      <c r="BD33" s="42">
        <f>($F$10*0.9)+($F$10*0.1)/$F$6*BD$30</f>
        <v>276</v>
      </c>
      <c r="BE33" s="42">
        <f>($F$10*0.9)+($F$10*0.1)/$F$6*BE$30</f>
        <v>278</v>
      </c>
      <c r="BF33" s="42">
        <f>($F$10*0.9)+($F$10*0.1)/$F$6*BF$30</f>
        <v>280</v>
      </c>
    </row>
    <row r="34" spans="4:58" x14ac:dyDescent="0.4">
      <c r="E34" s="22" t="s">
        <v>37</v>
      </c>
      <c r="F34" s="42">
        <f>($F$11*0.3)+($F$11*0.7)/$F$6*F$30</f>
        <v>200</v>
      </c>
      <c r="G34" s="42"/>
      <c r="H34" s="46">
        <f>($F$11*0.3)+($F$11*0.7)/$F$6*H$30</f>
        <v>60</v>
      </c>
      <c r="I34" s="42">
        <f>($F$11*0.3)+($F$11*0.7)/$F$6*I$30</f>
        <v>74</v>
      </c>
      <c r="J34" s="42">
        <f>($F$11*0.3)+($F$11*0.7)/$F$6*J$30</f>
        <v>88</v>
      </c>
      <c r="K34" s="42">
        <f>($F$11*0.3)+($F$11*0.7)/$F$6*K$30</f>
        <v>102</v>
      </c>
      <c r="L34" s="42">
        <f>($F$11*0.3)+($F$11*0.7)/$F$6*L$30</f>
        <v>116</v>
      </c>
      <c r="M34" s="42">
        <f>($F$11*0.3)+($F$11*0.7)/$F$6*M$30</f>
        <v>130</v>
      </c>
      <c r="N34" s="42">
        <f>($F$11*0.3)+($F$11*0.7)/$F$6*N$30</f>
        <v>144</v>
      </c>
      <c r="O34" s="42">
        <f>($F$11*0.3)+($F$11*0.7)/$F$6*O$30</f>
        <v>158</v>
      </c>
      <c r="P34" s="42">
        <f>($F$11*0.3)+($F$11*0.7)/$F$6*P$30</f>
        <v>172</v>
      </c>
      <c r="Q34" s="42">
        <f>($F$11*0.3)+($F$11*0.7)/$F$6*Q$30</f>
        <v>186</v>
      </c>
      <c r="R34" s="42">
        <f>($F$11*0.3)+($F$11*0.7)/$F$6*R$30</f>
        <v>200</v>
      </c>
      <c r="S34" s="42">
        <f>($F$11*0.3)+($F$11*0.7)/$F$6*S$30</f>
        <v>214.00000000000003</v>
      </c>
      <c r="T34" s="42">
        <f>($F$11*0.3)+($F$11*0.7)/$F$6*T$30</f>
        <v>228.00000000000003</v>
      </c>
      <c r="U34" s="42">
        <f>($F$11*0.3)+($F$11*0.7)/$F$6*U$30</f>
        <v>242.00000000000003</v>
      </c>
      <c r="V34" s="42">
        <f>($F$11*0.3)+($F$11*0.7)/$F$6*V$30</f>
        <v>256</v>
      </c>
      <c r="W34" s="42">
        <f>($F$11*0.3)+($F$11*0.7)/$F$6*W$30</f>
        <v>270</v>
      </c>
      <c r="X34" s="42">
        <f>($F$11*0.3)+($F$11*0.7)/$F$6*X$30</f>
        <v>284</v>
      </c>
      <c r="Y34" s="42">
        <f>($F$11*0.3)+($F$11*0.7)/$F$6*Y$30</f>
        <v>298</v>
      </c>
      <c r="Z34" s="42">
        <f>($F$11*0.3)+($F$11*0.7)/$F$6*Z$30</f>
        <v>312</v>
      </c>
      <c r="AA34" s="42">
        <f>($F$11*0.3)+($F$11*0.7)/$F$6*AA$30</f>
        <v>326</v>
      </c>
      <c r="AB34" s="42">
        <f>($F$11*0.3)+($F$11*0.7)/$F$6*AB$30</f>
        <v>340</v>
      </c>
      <c r="AC34" s="42">
        <f>($F$11*0.3)+($F$11*0.7)/$F$6*AC$30</f>
        <v>354</v>
      </c>
      <c r="AD34" s="42">
        <f>($F$11*0.3)+($F$11*0.7)/$F$6*AD$30</f>
        <v>368.00000000000006</v>
      </c>
      <c r="AE34" s="42">
        <f>($F$11*0.3)+($F$11*0.7)/$F$6*AE$30</f>
        <v>382.00000000000006</v>
      </c>
      <c r="AF34" s="42">
        <f>($F$11*0.3)+($F$11*0.7)/$F$6*AF$30</f>
        <v>396.00000000000006</v>
      </c>
      <c r="AG34" s="42">
        <f>($F$11*0.3)+($F$11*0.7)/$F$6*AG$30</f>
        <v>410.00000000000006</v>
      </c>
      <c r="AH34" s="42">
        <f>($F$11*0.3)+($F$11*0.7)/$F$6*AH$30</f>
        <v>424.00000000000006</v>
      </c>
      <c r="AI34" s="42">
        <f>($F$11*0.3)+($F$11*0.7)/$F$6*AI$30</f>
        <v>438.00000000000006</v>
      </c>
      <c r="AJ34" s="42">
        <f>($F$11*0.3)+($F$11*0.7)/$F$6*AJ$30</f>
        <v>452.00000000000006</v>
      </c>
      <c r="AK34" s="42">
        <f>($F$11*0.3)+($F$11*0.7)/$F$6*AK$30</f>
        <v>466.00000000000006</v>
      </c>
      <c r="AL34" s="42">
        <f>($F$11*0.3)+($F$11*0.7)/$F$6*AL$30</f>
        <v>480.00000000000006</v>
      </c>
      <c r="AM34" s="42">
        <f>($F$11*0.3)+($F$11*0.7)/$F$6*AM$30</f>
        <v>494.00000000000006</v>
      </c>
      <c r="AN34" s="42">
        <f>($F$11*0.3)+($F$11*0.7)/$F$6*AN$30</f>
        <v>508.00000000000006</v>
      </c>
      <c r="AO34" s="42">
        <f>($F$11*0.3)+($F$11*0.7)/$F$6*AO$30</f>
        <v>522</v>
      </c>
      <c r="AP34" s="42">
        <f>($F$11*0.3)+($F$11*0.7)/$F$6*AP$30</f>
        <v>536</v>
      </c>
      <c r="AQ34" s="42">
        <f>($F$11*0.3)+($F$11*0.7)/$F$6*AQ$30</f>
        <v>550</v>
      </c>
      <c r="AR34" s="42">
        <f>($F$11*0.3)+($F$11*0.7)/$F$6*AR$30</f>
        <v>564</v>
      </c>
      <c r="AS34" s="42">
        <f>($F$11*0.3)+($F$11*0.7)/$F$6*AS$30</f>
        <v>578</v>
      </c>
      <c r="AT34" s="42">
        <f>($F$11*0.3)+($F$11*0.7)/$F$6*AT$30</f>
        <v>592</v>
      </c>
      <c r="AU34" s="42">
        <f>($F$11*0.3)+($F$11*0.7)/$F$6*AU$30</f>
        <v>606</v>
      </c>
      <c r="AV34" s="42">
        <f>($F$11*0.3)+($F$11*0.7)/$F$6*AV$30</f>
        <v>620</v>
      </c>
      <c r="AW34" s="42">
        <f>($F$11*0.3)+($F$11*0.7)/$F$6*AW$30</f>
        <v>634</v>
      </c>
      <c r="AX34" s="42">
        <f>($F$11*0.3)+($F$11*0.7)/$F$6*AX$30</f>
        <v>648</v>
      </c>
      <c r="AY34" s="42">
        <f>($F$11*0.3)+($F$11*0.7)/$F$6*AY$30</f>
        <v>662.00000000000011</v>
      </c>
      <c r="AZ34" s="42">
        <f>($F$11*0.3)+($F$11*0.7)/$F$6*AZ$30</f>
        <v>676.00000000000011</v>
      </c>
      <c r="BA34" s="42">
        <f>($F$11*0.3)+($F$11*0.7)/$F$6*BA$30</f>
        <v>690.00000000000011</v>
      </c>
      <c r="BB34" s="42">
        <f>($F$11*0.3)+($F$11*0.7)/$F$6*BB$30</f>
        <v>704.00000000000011</v>
      </c>
      <c r="BC34" s="42">
        <f>($F$11*0.3)+($F$11*0.7)/$F$6*BC$30</f>
        <v>718.00000000000011</v>
      </c>
      <c r="BD34" s="42">
        <f>($F$11*0.3)+($F$11*0.7)/$F$6*BD$30</f>
        <v>732.00000000000011</v>
      </c>
      <c r="BE34" s="42">
        <f>($F$11*0.3)+($F$11*0.7)/$F$6*BE$30</f>
        <v>746.00000000000011</v>
      </c>
      <c r="BF34" s="42">
        <f>($F$11*0.3)+($F$11*0.7)/$F$6*BF$30</f>
        <v>760.00000000000011</v>
      </c>
    </row>
    <row r="35" spans="4:58" x14ac:dyDescent="0.4">
      <c r="E35" s="22" t="s">
        <v>38</v>
      </c>
      <c r="F35" s="42">
        <f>($F$12*0.5)+($F$12*0.5)/$F$6*F$30</f>
        <v>80</v>
      </c>
      <c r="G35" s="42"/>
      <c r="H35" s="46">
        <f>($F$12*0.5)+($F$12*0.5)/$F$6*H$30</f>
        <v>40</v>
      </c>
      <c r="I35" s="42">
        <f>($F$12*0.5)+($F$12*0.5)/$F$6*I$30</f>
        <v>44</v>
      </c>
      <c r="J35" s="42">
        <f>($F$12*0.5)+($F$12*0.5)/$F$6*J$30</f>
        <v>48</v>
      </c>
      <c r="K35" s="42">
        <f>($F$12*0.5)+($F$12*0.5)/$F$6*K$30</f>
        <v>52</v>
      </c>
      <c r="L35" s="42">
        <f>($F$12*0.5)+($F$12*0.5)/$F$6*L$30</f>
        <v>56</v>
      </c>
      <c r="M35" s="42">
        <f>($F$12*0.5)+($F$12*0.5)/$F$6*M$30</f>
        <v>60</v>
      </c>
      <c r="N35" s="42">
        <f>($F$12*0.5)+($F$12*0.5)/$F$6*N$30</f>
        <v>64</v>
      </c>
      <c r="O35" s="42">
        <f>($F$12*0.5)+($F$12*0.5)/$F$6*O$30</f>
        <v>68</v>
      </c>
      <c r="P35" s="42">
        <f>($F$12*0.5)+($F$12*0.5)/$F$6*P$30</f>
        <v>72</v>
      </c>
      <c r="Q35" s="42">
        <f>($F$12*0.5)+($F$12*0.5)/$F$6*Q$30</f>
        <v>76</v>
      </c>
      <c r="R35" s="42">
        <f>($F$12*0.5)+($F$12*0.5)/$F$6*R$30</f>
        <v>80</v>
      </c>
      <c r="S35" s="42">
        <f>($F$12*0.5)+($F$12*0.5)/$F$6*S$30</f>
        <v>84</v>
      </c>
      <c r="T35" s="42">
        <f>($F$12*0.5)+($F$12*0.5)/$F$6*T$30</f>
        <v>88</v>
      </c>
      <c r="U35" s="42">
        <f>($F$12*0.5)+($F$12*0.5)/$F$6*U$30</f>
        <v>92</v>
      </c>
      <c r="V35" s="42">
        <f>($F$12*0.5)+($F$12*0.5)/$F$6*V$30</f>
        <v>96</v>
      </c>
      <c r="W35" s="42">
        <f>($F$12*0.5)+($F$12*0.5)/$F$6*W$30</f>
        <v>100</v>
      </c>
      <c r="X35" s="42">
        <f>($F$12*0.5)+($F$12*0.5)/$F$6*X$30</f>
        <v>104</v>
      </c>
      <c r="Y35" s="42">
        <f>($F$12*0.5)+($F$12*0.5)/$F$6*Y$30</f>
        <v>108</v>
      </c>
      <c r="Z35" s="42">
        <f>($F$12*0.5)+($F$12*0.5)/$F$6*Z$30</f>
        <v>112</v>
      </c>
      <c r="AA35" s="42">
        <f>($F$12*0.5)+($F$12*0.5)/$F$6*AA$30</f>
        <v>116</v>
      </c>
      <c r="AB35" s="42">
        <f>($F$12*0.5)+($F$12*0.5)/$F$6*AB$30</f>
        <v>120</v>
      </c>
      <c r="AC35" s="42">
        <f>($F$12*0.5)+($F$12*0.5)/$F$6*AC$30</f>
        <v>124</v>
      </c>
      <c r="AD35" s="42">
        <f>($F$12*0.5)+($F$12*0.5)/$F$6*AD$30</f>
        <v>128</v>
      </c>
      <c r="AE35" s="42">
        <f>($F$12*0.5)+($F$12*0.5)/$F$6*AE$30</f>
        <v>132</v>
      </c>
      <c r="AF35" s="42">
        <f>($F$12*0.5)+($F$12*0.5)/$F$6*AF$30</f>
        <v>136</v>
      </c>
      <c r="AG35" s="42">
        <f>($F$12*0.5)+($F$12*0.5)/$F$6*AG$30</f>
        <v>140</v>
      </c>
      <c r="AH35" s="42">
        <f>($F$12*0.5)+($F$12*0.5)/$F$6*AH$30</f>
        <v>144</v>
      </c>
      <c r="AI35" s="42">
        <f>($F$12*0.5)+($F$12*0.5)/$F$6*AI$30</f>
        <v>148</v>
      </c>
      <c r="AJ35" s="42">
        <f>($F$12*0.5)+($F$12*0.5)/$F$6*AJ$30</f>
        <v>152</v>
      </c>
      <c r="AK35" s="42">
        <f>($F$12*0.5)+($F$12*0.5)/$F$6*AK$30</f>
        <v>156</v>
      </c>
      <c r="AL35" s="42">
        <f>($F$12*0.5)+($F$12*0.5)/$F$6*AL$30</f>
        <v>160</v>
      </c>
      <c r="AM35" s="42">
        <f>($F$12*0.5)+($F$12*0.5)/$F$6*AM$30</f>
        <v>164</v>
      </c>
      <c r="AN35" s="42">
        <f>($F$12*0.5)+($F$12*0.5)/$F$6*AN$30</f>
        <v>168</v>
      </c>
      <c r="AO35" s="42">
        <f>($F$12*0.5)+($F$12*0.5)/$F$6*AO$30</f>
        <v>172</v>
      </c>
      <c r="AP35" s="42">
        <f>($F$12*0.5)+($F$12*0.5)/$F$6*AP$30</f>
        <v>176</v>
      </c>
      <c r="AQ35" s="42">
        <f>($F$12*0.5)+($F$12*0.5)/$F$6*AQ$30</f>
        <v>180</v>
      </c>
      <c r="AR35" s="42">
        <f>($F$12*0.5)+($F$12*0.5)/$F$6*AR$30</f>
        <v>184</v>
      </c>
      <c r="AS35" s="42">
        <f>($F$12*0.5)+($F$12*0.5)/$F$6*AS$30</f>
        <v>188</v>
      </c>
      <c r="AT35" s="42">
        <f>($F$12*0.5)+($F$12*0.5)/$F$6*AT$30</f>
        <v>192</v>
      </c>
      <c r="AU35" s="42">
        <f>($F$12*0.5)+($F$12*0.5)/$F$6*AU$30</f>
        <v>196</v>
      </c>
      <c r="AV35" s="42">
        <f>($F$12*0.5)+($F$12*0.5)/$F$6*AV$30</f>
        <v>200</v>
      </c>
      <c r="AW35" s="42">
        <f>($F$12*0.5)+($F$12*0.5)/$F$6*AW$30</f>
        <v>204</v>
      </c>
      <c r="AX35" s="42">
        <f>($F$12*0.5)+($F$12*0.5)/$F$6*AX$30</f>
        <v>208</v>
      </c>
      <c r="AY35" s="42">
        <f>($F$12*0.5)+($F$12*0.5)/$F$6*AY$30</f>
        <v>212</v>
      </c>
      <c r="AZ35" s="42">
        <f>($F$12*0.5)+($F$12*0.5)/$F$6*AZ$30</f>
        <v>216</v>
      </c>
      <c r="BA35" s="42">
        <f>($F$12*0.5)+($F$12*0.5)/$F$6*BA$30</f>
        <v>220</v>
      </c>
      <c r="BB35" s="42">
        <f>($F$12*0.5)+($F$12*0.5)/$F$6*BB$30</f>
        <v>224</v>
      </c>
      <c r="BC35" s="42">
        <f>($F$12*0.5)+($F$12*0.5)/$F$6*BC$30</f>
        <v>228</v>
      </c>
      <c r="BD35" s="42">
        <f>($F$12*0.5)+($F$12*0.5)/$F$6*BD$30</f>
        <v>232</v>
      </c>
      <c r="BE35" s="42">
        <f>($F$12*0.5)+($F$12*0.5)/$F$6*BE$30</f>
        <v>236</v>
      </c>
      <c r="BF35" s="42">
        <f>($F$12*0.5)+($F$12*0.5)/$F$6*BF$30</f>
        <v>240</v>
      </c>
    </row>
    <row r="36" spans="4:58" x14ac:dyDescent="0.4">
      <c r="D36" s="4"/>
      <c r="E36" s="5" t="s">
        <v>39</v>
      </c>
      <c r="F36" s="4">
        <f>SUM(F33:F35)</f>
        <v>480</v>
      </c>
      <c r="G36" s="4"/>
      <c r="H36" s="47">
        <f t="shared" ref="H36:R36" si="41">SUM(H33:H35)</f>
        <v>280</v>
      </c>
      <c r="I36" s="4">
        <f t="shared" si="41"/>
        <v>300</v>
      </c>
      <c r="J36" s="4">
        <f t="shared" si="41"/>
        <v>320</v>
      </c>
      <c r="K36" s="4">
        <f t="shared" si="41"/>
        <v>340</v>
      </c>
      <c r="L36" s="4">
        <f t="shared" si="41"/>
        <v>360</v>
      </c>
      <c r="M36" s="4">
        <f t="shared" si="41"/>
        <v>380</v>
      </c>
      <c r="N36" s="4">
        <f t="shared" si="41"/>
        <v>400</v>
      </c>
      <c r="O36" s="4">
        <f t="shared" si="41"/>
        <v>420</v>
      </c>
      <c r="P36" s="4">
        <f t="shared" si="41"/>
        <v>440</v>
      </c>
      <c r="Q36" s="4">
        <f t="shared" si="41"/>
        <v>460</v>
      </c>
      <c r="R36" s="4">
        <f t="shared" si="41"/>
        <v>480</v>
      </c>
      <c r="S36" s="4">
        <f t="shared" ref="S36" si="42">SUM(S33:S35)</f>
        <v>500</v>
      </c>
      <c r="T36" s="4">
        <f t="shared" ref="T36" si="43">SUM(T33:T35)</f>
        <v>520</v>
      </c>
      <c r="U36" s="4">
        <f t="shared" ref="U36" si="44">SUM(U33:U35)</f>
        <v>540</v>
      </c>
      <c r="V36" s="4">
        <f t="shared" ref="V36" si="45">SUM(V33:V35)</f>
        <v>560</v>
      </c>
      <c r="W36" s="4">
        <f t="shared" ref="W36" si="46">SUM(W33:W35)</f>
        <v>580</v>
      </c>
      <c r="X36" s="4">
        <f t="shared" ref="X36" si="47">SUM(X33:X35)</f>
        <v>600</v>
      </c>
      <c r="Y36" s="4">
        <f t="shared" ref="Y36" si="48">SUM(Y33:Y35)</f>
        <v>620</v>
      </c>
      <c r="Z36" s="4">
        <f t="shared" ref="Z36" si="49">SUM(Z33:Z35)</f>
        <v>640</v>
      </c>
      <c r="AA36" s="4">
        <f t="shared" ref="AA36" si="50">SUM(AA33:AA35)</f>
        <v>660</v>
      </c>
      <c r="AB36" s="4">
        <f t="shared" ref="AB36" si="51">SUM(AB33:AB35)</f>
        <v>680</v>
      </c>
      <c r="AC36" s="4">
        <f t="shared" ref="AC36" si="52">SUM(AC33:AC35)</f>
        <v>700</v>
      </c>
      <c r="AD36" s="4">
        <f t="shared" ref="AD36" si="53">SUM(AD33:AD35)</f>
        <v>720</v>
      </c>
      <c r="AE36" s="4">
        <f t="shared" ref="AE36" si="54">SUM(AE33:AE35)</f>
        <v>740</v>
      </c>
      <c r="AF36" s="4">
        <f t="shared" ref="AF36" si="55">SUM(AF33:AF35)</f>
        <v>760</v>
      </c>
      <c r="AG36" s="4">
        <f t="shared" ref="AG36" si="56">SUM(AG33:AG35)</f>
        <v>780</v>
      </c>
      <c r="AH36" s="4">
        <f t="shared" ref="AH36" si="57">SUM(AH33:AH35)</f>
        <v>800</v>
      </c>
      <c r="AI36" s="4">
        <f t="shared" ref="AI36" si="58">SUM(AI33:AI35)</f>
        <v>820</v>
      </c>
      <c r="AJ36" s="4">
        <f t="shared" ref="AJ36" si="59">SUM(AJ33:AJ35)</f>
        <v>840</v>
      </c>
      <c r="AK36" s="4">
        <f t="shared" ref="AK36" si="60">SUM(AK33:AK35)</f>
        <v>860</v>
      </c>
      <c r="AL36" s="4">
        <f t="shared" ref="AL36" si="61">SUM(AL33:AL35)</f>
        <v>880</v>
      </c>
      <c r="AM36" s="4">
        <f t="shared" ref="AM36" si="62">SUM(AM33:AM35)</f>
        <v>900</v>
      </c>
      <c r="AN36" s="4">
        <f t="shared" ref="AN36" si="63">SUM(AN33:AN35)</f>
        <v>920</v>
      </c>
      <c r="AO36" s="4">
        <f t="shared" ref="AO36" si="64">SUM(AO33:AO35)</f>
        <v>940</v>
      </c>
      <c r="AP36" s="4">
        <f t="shared" ref="AP36" si="65">SUM(AP33:AP35)</f>
        <v>960</v>
      </c>
      <c r="AQ36" s="4">
        <f t="shared" ref="AQ36" si="66">SUM(AQ33:AQ35)</f>
        <v>980</v>
      </c>
      <c r="AR36" s="4">
        <f t="shared" ref="AR36" si="67">SUM(AR33:AR35)</f>
        <v>1000</v>
      </c>
      <c r="AS36" s="4">
        <f t="shared" ref="AS36" si="68">SUM(AS33:AS35)</f>
        <v>1020</v>
      </c>
      <c r="AT36" s="4">
        <f t="shared" ref="AT36" si="69">SUM(AT33:AT35)</f>
        <v>1040</v>
      </c>
      <c r="AU36" s="4">
        <f t="shared" ref="AU36" si="70">SUM(AU33:AU35)</f>
        <v>1060</v>
      </c>
      <c r="AV36" s="4">
        <f t="shared" ref="AV36" si="71">SUM(AV33:AV35)</f>
        <v>1080</v>
      </c>
      <c r="AW36" s="4">
        <f t="shared" ref="AW36" si="72">SUM(AW33:AW35)</f>
        <v>1100</v>
      </c>
      <c r="AX36" s="4">
        <f t="shared" ref="AX36" si="73">SUM(AX33:AX35)</f>
        <v>1120</v>
      </c>
      <c r="AY36" s="4">
        <f t="shared" ref="AY36" si="74">SUM(AY33:AY35)</f>
        <v>1140</v>
      </c>
      <c r="AZ36" s="4">
        <f t="shared" ref="AZ36" si="75">SUM(AZ33:AZ35)</f>
        <v>1160</v>
      </c>
      <c r="BA36" s="4">
        <f t="shared" ref="BA36" si="76">SUM(BA33:BA35)</f>
        <v>1180</v>
      </c>
      <c r="BB36" s="4">
        <f t="shared" ref="BB36" si="77">SUM(BB33:BB35)</f>
        <v>1200</v>
      </c>
      <c r="BC36" s="4">
        <f t="shared" ref="BC36" si="78">SUM(BC33:BC35)</f>
        <v>1220</v>
      </c>
      <c r="BD36" s="4">
        <f t="shared" ref="BD36" si="79">SUM(BD33:BD35)</f>
        <v>1240</v>
      </c>
      <c r="BE36" s="4">
        <f t="shared" ref="BE36" si="80">SUM(BE33:BE35)</f>
        <v>1260</v>
      </c>
      <c r="BF36" s="4">
        <f t="shared" ref="BF36" si="81">SUM(BF33:BF35)</f>
        <v>1280</v>
      </c>
    </row>
    <row r="37" spans="4:58" x14ac:dyDescent="0.4">
      <c r="D37" s="17"/>
      <c r="E37" s="19" t="s">
        <v>40</v>
      </c>
      <c r="F37" s="18">
        <f>F32-F36</f>
        <v>20</v>
      </c>
      <c r="G37" s="18"/>
      <c r="H37" s="48">
        <f t="shared" ref="H37:R37" si="82">H32-H36</f>
        <v>-280</v>
      </c>
      <c r="I37" s="18">
        <f t="shared" si="82"/>
        <v>-250</v>
      </c>
      <c r="J37" s="18">
        <f t="shared" si="82"/>
        <v>-220</v>
      </c>
      <c r="K37" s="18">
        <f t="shared" si="82"/>
        <v>-190</v>
      </c>
      <c r="L37" s="18">
        <f t="shared" si="82"/>
        <v>-160</v>
      </c>
      <c r="M37" s="18">
        <f t="shared" si="82"/>
        <v>-130</v>
      </c>
      <c r="N37" s="18">
        <f t="shared" si="82"/>
        <v>-100</v>
      </c>
      <c r="O37" s="18">
        <f t="shared" si="82"/>
        <v>-70</v>
      </c>
      <c r="P37" s="18">
        <f t="shared" si="82"/>
        <v>-40</v>
      </c>
      <c r="Q37" s="18">
        <f t="shared" si="82"/>
        <v>-10</v>
      </c>
      <c r="R37" s="18">
        <f t="shared" si="82"/>
        <v>20</v>
      </c>
      <c r="S37" s="18">
        <f t="shared" ref="S37" si="83">S32-S36</f>
        <v>50</v>
      </c>
      <c r="T37" s="18">
        <f t="shared" ref="T37" si="84">T32-T36</f>
        <v>80</v>
      </c>
      <c r="U37" s="18">
        <f t="shared" ref="U37" si="85">U32-U36</f>
        <v>110</v>
      </c>
      <c r="V37" s="18">
        <f t="shared" ref="V37" si="86">V32-V36</f>
        <v>140</v>
      </c>
      <c r="W37" s="18">
        <f t="shared" ref="W37" si="87">W32-W36</f>
        <v>170</v>
      </c>
      <c r="X37" s="18">
        <f t="shared" ref="X37" si="88">X32-X36</f>
        <v>200</v>
      </c>
      <c r="Y37" s="18">
        <f t="shared" ref="Y37" si="89">Y32-Y36</f>
        <v>230</v>
      </c>
      <c r="Z37" s="18">
        <f t="shared" ref="Z37" si="90">Z32-Z36</f>
        <v>260</v>
      </c>
      <c r="AA37" s="18">
        <f t="shared" ref="AA37" si="91">AA32-AA36</f>
        <v>290</v>
      </c>
      <c r="AB37" s="18">
        <f t="shared" ref="AB37" si="92">AB32-AB36</f>
        <v>320</v>
      </c>
      <c r="AC37" s="18">
        <f t="shared" ref="AC37" si="93">AC32-AC36</f>
        <v>350</v>
      </c>
      <c r="AD37" s="18">
        <f t="shared" ref="AD37" si="94">AD32-AD36</f>
        <v>380</v>
      </c>
      <c r="AE37" s="18">
        <f t="shared" ref="AE37" si="95">AE32-AE36</f>
        <v>410</v>
      </c>
      <c r="AF37" s="18">
        <f t="shared" ref="AF37" si="96">AF32-AF36</f>
        <v>440</v>
      </c>
      <c r="AG37" s="18">
        <f t="shared" ref="AG37" si="97">AG32-AG36</f>
        <v>470</v>
      </c>
      <c r="AH37" s="18">
        <f t="shared" ref="AH37" si="98">AH32-AH36</f>
        <v>500</v>
      </c>
      <c r="AI37" s="18">
        <f t="shared" ref="AI37" si="99">AI32-AI36</f>
        <v>530</v>
      </c>
      <c r="AJ37" s="18">
        <f t="shared" ref="AJ37" si="100">AJ32-AJ36</f>
        <v>560</v>
      </c>
      <c r="AK37" s="18">
        <f t="shared" ref="AK37" si="101">AK32-AK36</f>
        <v>590</v>
      </c>
      <c r="AL37" s="18">
        <f t="shared" ref="AL37" si="102">AL32-AL36</f>
        <v>620</v>
      </c>
      <c r="AM37" s="18">
        <f t="shared" ref="AM37" si="103">AM32-AM36</f>
        <v>650</v>
      </c>
      <c r="AN37" s="18">
        <f t="shared" ref="AN37" si="104">AN32-AN36</f>
        <v>680</v>
      </c>
      <c r="AO37" s="18">
        <f t="shared" ref="AO37" si="105">AO32-AO36</f>
        <v>710</v>
      </c>
      <c r="AP37" s="18">
        <f t="shared" ref="AP37" si="106">AP32-AP36</f>
        <v>740</v>
      </c>
      <c r="AQ37" s="18">
        <f t="shared" ref="AQ37" si="107">AQ32-AQ36</f>
        <v>770</v>
      </c>
      <c r="AR37" s="18">
        <f t="shared" ref="AR37" si="108">AR32-AR36</f>
        <v>800</v>
      </c>
      <c r="AS37" s="18">
        <f t="shared" ref="AS37" si="109">AS32-AS36</f>
        <v>830</v>
      </c>
      <c r="AT37" s="18">
        <f t="shared" ref="AT37" si="110">AT32-AT36</f>
        <v>860</v>
      </c>
      <c r="AU37" s="18">
        <f t="shared" ref="AU37" si="111">AU32-AU36</f>
        <v>890</v>
      </c>
      <c r="AV37" s="18">
        <f t="shared" ref="AV37" si="112">AV32-AV36</f>
        <v>920</v>
      </c>
      <c r="AW37" s="18">
        <f t="shared" ref="AW37" si="113">AW32-AW36</f>
        <v>950</v>
      </c>
      <c r="AX37" s="18">
        <f t="shared" ref="AX37" si="114">AX32-AX36</f>
        <v>980</v>
      </c>
      <c r="AY37" s="18">
        <f t="shared" ref="AY37" si="115">AY32-AY36</f>
        <v>1010</v>
      </c>
      <c r="AZ37" s="18">
        <f t="shared" ref="AZ37" si="116">AZ32-AZ36</f>
        <v>1040</v>
      </c>
      <c r="BA37" s="18">
        <f t="shared" ref="BA37" si="117">BA32-BA36</f>
        <v>1070</v>
      </c>
      <c r="BB37" s="18">
        <f t="shared" ref="BB37" si="118">BB32-BB36</f>
        <v>1100</v>
      </c>
      <c r="BC37" s="18">
        <f t="shared" ref="BC37" si="119">BC32-BC36</f>
        <v>1130</v>
      </c>
      <c r="BD37" s="18">
        <f t="shared" ref="BD37" si="120">BD32-BD36</f>
        <v>1160</v>
      </c>
      <c r="BE37" s="18">
        <f t="shared" ref="BE37" si="121">BE32-BE36</f>
        <v>1190</v>
      </c>
      <c r="BF37" s="18">
        <f t="shared" ref="BF37" si="122">BF32-BF36</f>
        <v>1220</v>
      </c>
    </row>
    <row r="39" spans="4:58" x14ac:dyDescent="0.4">
      <c r="J39" s="5" t="s">
        <v>32</v>
      </c>
      <c r="K39" s="5" t="s">
        <v>33</v>
      </c>
      <c r="L39" s="5" t="s">
        <v>48</v>
      </c>
      <c r="M39" s="5" t="s">
        <v>49</v>
      </c>
      <c r="N39" s="5" t="s">
        <v>40</v>
      </c>
      <c r="P39" s="2" t="s">
        <v>50</v>
      </c>
    </row>
    <row r="40" spans="4:58" x14ac:dyDescent="0.4">
      <c r="J40" s="24">
        <v>0</v>
      </c>
      <c r="K40" s="22">
        <v>0</v>
      </c>
      <c r="L40" s="2">
        <v>280</v>
      </c>
      <c r="M40" s="2">
        <f>K40+L40</f>
        <v>280</v>
      </c>
      <c r="N40" s="2">
        <f>J40-M40</f>
        <v>-280</v>
      </c>
      <c r="P40" s="24">
        <v>0</v>
      </c>
    </row>
    <row r="41" spans="4:58" x14ac:dyDescent="0.4">
      <c r="J41" s="2">
        <v>100</v>
      </c>
      <c r="K41" s="2">
        <v>50</v>
      </c>
      <c r="L41" s="2">
        <v>300</v>
      </c>
      <c r="M41" s="2">
        <f t="shared" ref="M41:M90" si="123">K41+L41</f>
        <v>350</v>
      </c>
      <c r="N41" s="2">
        <f t="shared" ref="N41:N90" si="124">J41-M41</f>
        <v>-250</v>
      </c>
      <c r="P41" s="2">
        <v>100</v>
      </c>
    </row>
    <row r="42" spans="4:58" x14ac:dyDescent="0.4">
      <c r="J42" s="2">
        <v>200</v>
      </c>
      <c r="K42" s="2">
        <v>100</v>
      </c>
      <c r="L42" s="2">
        <v>320</v>
      </c>
      <c r="M42" s="2">
        <f t="shared" si="123"/>
        <v>420</v>
      </c>
      <c r="N42" s="2">
        <f t="shared" si="124"/>
        <v>-220</v>
      </c>
      <c r="P42" s="2">
        <v>200</v>
      </c>
    </row>
    <row r="43" spans="4:58" x14ac:dyDescent="0.4">
      <c r="J43" s="2">
        <v>300</v>
      </c>
      <c r="K43" s="2">
        <v>150</v>
      </c>
      <c r="L43" s="2">
        <v>340</v>
      </c>
      <c r="M43" s="2">
        <f t="shared" si="123"/>
        <v>490</v>
      </c>
      <c r="N43" s="2">
        <f t="shared" si="124"/>
        <v>-190</v>
      </c>
      <c r="P43" s="2">
        <v>300</v>
      </c>
    </row>
    <row r="44" spans="4:58" x14ac:dyDescent="0.4">
      <c r="J44" s="2">
        <v>400</v>
      </c>
      <c r="K44" s="2">
        <v>200</v>
      </c>
      <c r="L44" s="2">
        <v>360</v>
      </c>
      <c r="M44" s="2">
        <f t="shared" si="123"/>
        <v>560</v>
      </c>
      <c r="N44" s="2">
        <f t="shared" si="124"/>
        <v>-160</v>
      </c>
      <c r="P44" s="2">
        <v>400</v>
      </c>
    </row>
    <row r="45" spans="4:58" x14ac:dyDescent="0.4">
      <c r="J45" s="2">
        <v>500</v>
      </c>
      <c r="K45" s="2">
        <v>250</v>
      </c>
      <c r="L45" s="2">
        <v>380</v>
      </c>
      <c r="M45" s="2">
        <f t="shared" si="123"/>
        <v>630</v>
      </c>
      <c r="N45" s="2">
        <f t="shared" si="124"/>
        <v>-130</v>
      </c>
      <c r="P45" s="2">
        <v>500</v>
      </c>
    </row>
    <row r="46" spans="4:58" x14ac:dyDescent="0.4">
      <c r="J46" s="2">
        <v>600</v>
      </c>
      <c r="K46" s="2">
        <v>300</v>
      </c>
      <c r="L46" s="2">
        <v>400</v>
      </c>
      <c r="M46" s="2">
        <f t="shared" si="123"/>
        <v>700</v>
      </c>
      <c r="N46" s="2">
        <f t="shared" si="124"/>
        <v>-100</v>
      </c>
      <c r="P46" s="2">
        <v>600</v>
      </c>
    </row>
    <row r="47" spans="4:58" x14ac:dyDescent="0.4">
      <c r="J47" s="2">
        <v>700</v>
      </c>
      <c r="K47" s="2">
        <v>350</v>
      </c>
      <c r="L47" s="2">
        <v>420</v>
      </c>
      <c r="M47" s="2">
        <f t="shared" si="123"/>
        <v>770</v>
      </c>
      <c r="N47" s="2">
        <f t="shared" si="124"/>
        <v>-70</v>
      </c>
      <c r="P47" s="2">
        <v>700</v>
      </c>
    </row>
    <row r="48" spans="4:58" x14ac:dyDescent="0.4">
      <c r="J48" s="2">
        <v>800</v>
      </c>
      <c r="K48" s="2">
        <v>400</v>
      </c>
      <c r="L48" s="2">
        <v>440</v>
      </c>
      <c r="M48" s="2">
        <f t="shared" si="123"/>
        <v>840</v>
      </c>
      <c r="N48" s="2">
        <f t="shared" si="124"/>
        <v>-40</v>
      </c>
      <c r="P48" s="2">
        <v>800</v>
      </c>
    </row>
    <row r="49" spans="10:29" x14ac:dyDescent="0.4">
      <c r="J49" s="2">
        <v>900</v>
      </c>
      <c r="K49" s="2">
        <v>450</v>
      </c>
      <c r="L49" s="2">
        <v>460</v>
      </c>
      <c r="M49" s="2">
        <f t="shared" si="123"/>
        <v>910</v>
      </c>
      <c r="N49" s="2">
        <f t="shared" si="124"/>
        <v>-10</v>
      </c>
      <c r="P49" s="2">
        <v>900</v>
      </c>
    </row>
    <row r="50" spans="10:29" x14ac:dyDescent="0.4">
      <c r="J50" s="2">
        <v>1000</v>
      </c>
      <c r="K50" s="2">
        <v>500</v>
      </c>
      <c r="L50" s="2">
        <v>480</v>
      </c>
      <c r="M50" s="2">
        <f t="shared" si="123"/>
        <v>980</v>
      </c>
      <c r="N50" s="2">
        <f t="shared" si="124"/>
        <v>20</v>
      </c>
      <c r="P50" s="2">
        <v>1000</v>
      </c>
    </row>
    <row r="51" spans="10:29" x14ac:dyDescent="0.4">
      <c r="J51" s="2">
        <v>1100</v>
      </c>
      <c r="K51" s="2">
        <v>550</v>
      </c>
      <c r="L51" s="2">
        <v>500</v>
      </c>
      <c r="M51" s="2">
        <f t="shared" si="123"/>
        <v>1050</v>
      </c>
      <c r="N51" s="2">
        <f t="shared" si="124"/>
        <v>50</v>
      </c>
      <c r="P51" s="2">
        <v>1100</v>
      </c>
    </row>
    <row r="52" spans="10:29" x14ac:dyDescent="0.4">
      <c r="J52" s="2">
        <v>1200</v>
      </c>
      <c r="K52" s="2">
        <v>600</v>
      </c>
      <c r="L52" s="2">
        <v>520</v>
      </c>
      <c r="M52" s="2">
        <f t="shared" si="123"/>
        <v>1120</v>
      </c>
      <c r="N52" s="2">
        <f t="shared" si="124"/>
        <v>80</v>
      </c>
      <c r="P52" s="2">
        <v>1200</v>
      </c>
    </row>
    <row r="53" spans="10:29" x14ac:dyDescent="0.4">
      <c r="J53" s="2">
        <v>1300</v>
      </c>
      <c r="K53" s="2">
        <v>650</v>
      </c>
      <c r="L53" s="2">
        <v>540</v>
      </c>
      <c r="M53" s="2">
        <f t="shared" si="123"/>
        <v>1190</v>
      </c>
      <c r="N53" s="2">
        <f t="shared" si="124"/>
        <v>110</v>
      </c>
      <c r="P53" s="2">
        <v>1300</v>
      </c>
    </row>
    <row r="54" spans="10:29" x14ac:dyDescent="0.4">
      <c r="J54" s="2">
        <v>1400</v>
      </c>
      <c r="K54" s="2">
        <v>700</v>
      </c>
      <c r="L54" s="2">
        <v>560</v>
      </c>
      <c r="M54" s="2">
        <f t="shared" si="123"/>
        <v>1260</v>
      </c>
      <c r="N54" s="2">
        <f t="shared" si="124"/>
        <v>140</v>
      </c>
      <c r="P54" s="2">
        <v>1400</v>
      </c>
    </row>
    <row r="55" spans="10:29" x14ac:dyDescent="0.4">
      <c r="J55" s="2">
        <v>1500</v>
      </c>
      <c r="K55" s="2">
        <v>750</v>
      </c>
      <c r="L55" s="2">
        <v>580</v>
      </c>
      <c r="M55" s="2">
        <f t="shared" si="123"/>
        <v>1330</v>
      </c>
      <c r="N55" s="2">
        <f t="shared" si="124"/>
        <v>170</v>
      </c>
      <c r="P55" s="2">
        <v>1500</v>
      </c>
    </row>
    <row r="56" spans="10:29" x14ac:dyDescent="0.4">
      <c r="J56" s="2">
        <v>1600</v>
      </c>
      <c r="K56" s="2">
        <v>800</v>
      </c>
      <c r="L56" s="2">
        <v>600</v>
      </c>
      <c r="M56" s="2">
        <f t="shared" si="123"/>
        <v>1400</v>
      </c>
      <c r="N56" s="2">
        <f t="shared" si="124"/>
        <v>200</v>
      </c>
      <c r="P56" s="2">
        <v>1600</v>
      </c>
    </row>
    <row r="57" spans="10:29" x14ac:dyDescent="0.4">
      <c r="J57" s="2">
        <v>1700</v>
      </c>
      <c r="K57" s="2">
        <v>850</v>
      </c>
      <c r="L57" s="2">
        <v>620</v>
      </c>
      <c r="M57" s="2">
        <f t="shared" si="123"/>
        <v>1470</v>
      </c>
      <c r="N57" s="2">
        <f t="shared" si="124"/>
        <v>230</v>
      </c>
      <c r="P57" s="2">
        <v>1700</v>
      </c>
    </row>
    <row r="58" spans="10:29" x14ac:dyDescent="0.4">
      <c r="J58" s="2">
        <v>1800</v>
      </c>
      <c r="K58" s="2">
        <v>900</v>
      </c>
      <c r="L58" s="2">
        <v>640</v>
      </c>
      <c r="M58" s="2">
        <f t="shared" si="123"/>
        <v>1540</v>
      </c>
      <c r="N58" s="2">
        <f t="shared" si="124"/>
        <v>260</v>
      </c>
      <c r="P58" s="2">
        <v>1800</v>
      </c>
    </row>
    <row r="59" spans="10:29" x14ac:dyDescent="0.4">
      <c r="J59" s="2">
        <v>1900</v>
      </c>
      <c r="K59" s="2">
        <v>950</v>
      </c>
      <c r="L59" s="2">
        <v>660</v>
      </c>
      <c r="M59" s="2">
        <f t="shared" si="123"/>
        <v>1610</v>
      </c>
      <c r="N59" s="2">
        <f t="shared" si="124"/>
        <v>290</v>
      </c>
      <c r="P59" s="2">
        <v>1900</v>
      </c>
    </row>
    <row r="60" spans="10:29" x14ac:dyDescent="0.4">
      <c r="J60" s="2">
        <v>2000</v>
      </c>
      <c r="K60" s="2">
        <v>1000</v>
      </c>
      <c r="L60" s="2">
        <v>680</v>
      </c>
      <c r="M60" s="2">
        <f t="shared" si="123"/>
        <v>1680</v>
      </c>
      <c r="N60" s="2">
        <f t="shared" si="124"/>
        <v>320</v>
      </c>
      <c r="P60" s="2">
        <v>2000</v>
      </c>
    </row>
    <row r="61" spans="10:29" x14ac:dyDescent="0.4">
      <c r="J61" s="2">
        <v>2100</v>
      </c>
      <c r="K61" s="2">
        <v>1050</v>
      </c>
      <c r="L61" s="2">
        <v>700</v>
      </c>
      <c r="M61" s="2">
        <f t="shared" si="123"/>
        <v>1750</v>
      </c>
      <c r="N61" s="2">
        <f t="shared" si="124"/>
        <v>350</v>
      </c>
      <c r="P61" s="2">
        <v>2100</v>
      </c>
      <c r="AC61" s="2" t="s">
        <v>51</v>
      </c>
    </row>
    <row r="62" spans="10:29" x14ac:dyDescent="0.4">
      <c r="J62" s="2">
        <v>2200</v>
      </c>
      <c r="K62" s="2">
        <v>1100</v>
      </c>
      <c r="L62" s="2">
        <v>720</v>
      </c>
      <c r="M62" s="2">
        <f t="shared" si="123"/>
        <v>1820</v>
      </c>
      <c r="N62" s="2">
        <f t="shared" si="124"/>
        <v>380</v>
      </c>
      <c r="P62" s="2">
        <v>2200</v>
      </c>
    </row>
    <row r="63" spans="10:29" x14ac:dyDescent="0.4">
      <c r="J63" s="2">
        <v>2300</v>
      </c>
      <c r="K63" s="2">
        <v>1150</v>
      </c>
      <c r="L63" s="2">
        <v>740</v>
      </c>
      <c r="M63" s="2">
        <f t="shared" si="123"/>
        <v>1890</v>
      </c>
      <c r="N63" s="2">
        <f t="shared" si="124"/>
        <v>410</v>
      </c>
      <c r="P63" s="2">
        <v>2300</v>
      </c>
    </row>
    <row r="64" spans="10:29" x14ac:dyDescent="0.4">
      <c r="J64" s="2">
        <v>2400</v>
      </c>
      <c r="K64" s="2">
        <v>1200</v>
      </c>
      <c r="L64" s="2">
        <v>760</v>
      </c>
      <c r="M64" s="2">
        <f t="shared" si="123"/>
        <v>1960</v>
      </c>
      <c r="N64" s="2">
        <f t="shared" si="124"/>
        <v>440</v>
      </c>
      <c r="P64" s="2">
        <v>2400</v>
      </c>
    </row>
    <row r="65" spans="10:16" x14ac:dyDescent="0.4">
      <c r="J65" s="2">
        <v>2500</v>
      </c>
      <c r="K65" s="2">
        <v>1250</v>
      </c>
      <c r="L65" s="2">
        <v>780</v>
      </c>
      <c r="M65" s="2">
        <f t="shared" si="123"/>
        <v>2030</v>
      </c>
      <c r="N65" s="2">
        <f t="shared" si="124"/>
        <v>470</v>
      </c>
      <c r="P65" s="2">
        <v>2500</v>
      </c>
    </row>
    <row r="66" spans="10:16" x14ac:dyDescent="0.4">
      <c r="J66" s="2">
        <v>2600</v>
      </c>
      <c r="K66" s="2">
        <v>1300</v>
      </c>
      <c r="L66" s="2">
        <v>800</v>
      </c>
      <c r="M66" s="2">
        <f t="shared" si="123"/>
        <v>2100</v>
      </c>
      <c r="N66" s="2">
        <f t="shared" si="124"/>
        <v>500</v>
      </c>
      <c r="P66" s="2">
        <v>2600</v>
      </c>
    </row>
    <row r="67" spans="10:16" x14ac:dyDescent="0.4">
      <c r="J67" s="2">
        <v>2700</v>
      </c>
      <c r="K67" s="2">
        <v>1350</v>
      </c>
      <c r="L67" s="2">
        <v>820</v>
      </c>
      <c r="M67" s="2">
        <f t="shared" si="123"/>
        <v>2170</v>
      </c>
      <c r="N67" s="2">
        <f t="shared" si="124"/>
        <v>530</v>
      </c>
      <c r="P67" s="2">
        <v>2700</v>
      </c>
    </row>
    <row r="68" spans="10:16" x14ac:dyDescent="0.4">
      <c r="J68" s="2">
        <v>2800</v>
      </c>
      <c r="K68" s="2">
        <v>1400</v>
      </c>
      <c r="L68" s="2">
        <v>840</v>
      </c>
      <c r="M68" s="2">
        <f t="shared" si="123"/>
        <v>2240</v>
      </c>
      <c r="N68" s="2">
        <f t="shared" si="124"/>
        <v>560</v>
      </c>
      <c r="P68" s="2">
        <v>2800</v>
      </c>
    </row>
    <row r="69" spans="10:16" x14ac:dyDescent="0.4">
      <c r="J69" s="2">
        <v>2900</v>
      </c>
      <c r="K69" s="2">
        <v>1450</v>
      </c>
      <c r="L69" s="2">
        <v>860</v>
      </c>
      <c r="M69" s="2">
        <f t="shared" si="123"/>
        <v>2310</v>
      </c>
      <c r="N69" s="2">
        <f t="shared" si="124"/>
        <v>590</v>
      </c>
      <c r="P69" s="2">
        <v>2900</v>
      </c>
    </row>
    <row r="70" spans="10:16" x14ac:dyDescent="0.4">
      <c r="J70" s="2">
        <v>3000</v>
      </c>
      <c r="K70" s="2">
        <v>1500</v>
      </c>
      <c r="L70" s="2">
        <v>880</v>
      </c>
      <c r="M70" s="2">
        <f t="shared" si="123"/>
        <v>2380</v>
      </c>
      <c r="N70" s="2">
        <f t="shared" si="124"/>
        <v>620</v>
      </c>
      <c r="P70" s="2">
        <v>3000</v>
      </c>
    </row>
    <row r="71" spans="10:16" x14ac:dyDescent="0.4">
      <c r="J71" s="2">
        <v>3100</v>
      </c>
      <c r="K71" s="2">
        <v>1550</v>
      </c>
      <c r="L71" s="2">
        <v>900</v>
      </c>
      <c r="M71" s="2">
        <f t="shared" si="123"/>
        <v>2450</v>
      </c>
      <c r="N71" s="2">
        <f t="shared" si="124"/>
        <v>650</v>
      </c>
      <c r="P71" s="2">
        <v>3100</v>
      </c>
    </row>
    <row r="72" spans="10:16" x14ac:dyDescent="0.4">
      <c r="J72" s="2">
        <v>3200</v>
      </c>
      <c r="K72" s="2">
        <v>1600</v>
      </c>
      <c r="L72" s="2">
        <v>920</v>
      </c>
      <c r="M72" s="2">
        <f t="shared" si="123"/>
        <v>2520</v>
      </c>
      <c r="N72" s="2">
        <f t="shared" si="124"/>
        <v>680</v>
      </c>
      <c r="P72" s="2">
        <v>3200</v>
      </c>
    </row>
    <row r="73" spans="10:16" x14ac:dyDescent="0.4">
      <c r="J73" s="2">
        <v>3300</v>
      </c>
      <c r="K73" s="2">
        <v>1650</v>
      </c>
      <c r="L73" s="2">
        <v>940</v>
      </c>
      <c r="M73" s="2">
        <f t="shared" si="123"/>
        <v>2590</v>
      </c>
      <c r="N73" s="2">
        <f t="shared" si="124"/>
        <v>710</v>
      </c>
      <c r="P73" s="2">
        <v>3300</v>
      </c>
    </row>
    <row r="74" spans="10:16" x14ac:dyDescent="0.4">
      <c r="J74" s="2">
        <v>3400</v>
      </c>
      <c r="K74" s="2">
        <v>1700</v>
      </c>
      <c r="L74" s="2">
        <v>960</v>
      </c>
      <c r="M74" s="2">
        <f t="shared" si="123"/>
        <v>2660</v>
      </c>
      <c r="N74" s="2">
        <f t="shared" si="124"/>
        <v>740</v>
      </c>
      <c r="P74" s="2">
        <v>3400</v>
      </c>
    </row>
    <row r="75" spans="10:16" x14ac:dyDescent="0.4">
      <c r="J75" s="2">
        <v>3500</v>
      </c>
      <c r="K75" s="2">
        <v>1750</v>
      </c>
      <c r="L75" s="2">
        <v>980</v>
      </c>
      <c r="M75" s="2">
        <f t="shared" si="123"/>
        <v>2730</v>
      </c>
      <c r="N75" s="2">
        <f t="shared" si="124"/>
        <v>770</v>
      </c>
      <c r="P75" s="2">
        <v>3500</v>
      </c>
    </row>
    <row r="76" spans="10:16" x14ac:dyDescent="0.4">
      <c r="J76" s="2">
        <v>3600</v>
      </c>
      <c r="K76" s="2">
        <v>1800</v>
      </c>
      <c r="L76" s="2">
        <v>1000</v>
      </c>
      <c r="M76" s="2">
        <f t="shared" si="123"/>
        <v>2800</v>
      </c>
      <c r="N76" s="2">
        <f t="shared" si="124"/>
        <v>800</v>
      </c>
      <c r="P76" s="2">
        <v>3600</v>
      </c>
    </row>
    <row r="77" spans="10:16" x14ac:dyDescent="0.4">
      <c r="J77" s="2">
        <v>3700</v>
      </c>
      <c r="K77" s="2">
        <v>1850</v>
      </c>
      <c r="L77" s="2">
        <v>1020</v>
      </c>
      <c r="M77" s="2">
        <f t="shared" si="123"/>
        <v>2870</v>
      </c>
      <c r="N77" s="2">
        <f t="shared" si="124"/>
        <v>830</v>
      </c>
      <c r="P77" s="2">
        <v>3700</v>
      </c>
    </row>
    <row r="78" spans="10:16" x14ac:dyDescent="0.4">
      <c r="J78" s="2">
        <v>3800</v>
      </c>
      <c r="K78" s="2">
        <v>1900</v>
      </c>
      <c r="L78" s="2">
        <v>1040</v>
      </c>
      <c r="M78" s="2">
        <f t="shared" si="123"/>
        <v>2940</v>
      </c>
      <c r="N78" s="2">
        <f t="shared" si="124"/>
        <v>860</v>
      </c>
      <c r="P78" s="2">
        <v>3800</v>
      </c>
    </row>
    <row r="79" spans="10:16" x14ac:dyDescent="0.4">
      <c r="J79" s="2">
        <v>3900</v>
      </c>
      <c r="K79" s="2">
        <v>1950</v>
      </c>
      <c r="L79" s="2">
        <v>1060</v>
      </c>
      <c r="M79" s="2">
        <f t="shared" si="123"/>
        <v>3010</v>
      </c>
      <c r="N79" s="2">
        <f t="shared" si="124"/>
        <v>890</v>
      </c>
      <c r="P79" s="2">
        <v>3900</v>
      </c>
    </row>
    <row r="80" spans="10:16" x14ac:dyDescent="0.4">
      <c r="J80" s="2">
        <v>4000</v>
      </c>
      <c r="K80" s="2">
        <v>2000</v>
      </c>
      <c r="L80" s="2">
        <v>1080</v>
      </c>
      <c r="M80" s="2">
        <f t="shared" si="123"/>
        <v>3080</v>
      </c>
      <c r="N80" s="2">
        <f t="shared" si="124"/>
        <v>920</v>
      </c>
      <c r="P80" s="2">
        <v>4000</v>
      </c>
    </row>
    <row r="81" spans="10:16" x14ac:dyDescent="0.4">
      <c r="J81" s="2">
        <v>4100</v>
      </c>
      <c r="K81" s="2">
        <v>2050</v>
      </c>
      <c r="L81" s="2">
        <v>1100</v>
      </c>
      <c r="M81" s="2">
        <f t="shared" si="123"/>
        <v>3150</v>
      </c>
      <c r="N81" s="2">
        <f t="shared" si="124"/>
        <v>950</v>
      </c>
      <c r="P81" s="2">
        <v>4100</v>
      </c>
    </row>
    <row r="82" spans="10:16" x14ac:dyDescent="0.4">
      <c r="J82" s="2">
        <v>4200</v>
      </c>
      <c r="K82" s="2">
        <v>2100</v>
      </c>
      <c r="L82" s="2">
        <v>1120</v>
      </c>
      <c r="M82" s="2">
        <f t="shared" si="123"/>
        <v>3220</v>
      </c>
      <c r="N82" s="2">
        <f t="shared" si="124"/>
        <v>980</v>
      </c>
      <c r="P82" s="2">
        <v>4200</v>
      </c>
    </row>
    <row r="83" spans="10:16" x14ac:dyDescent="0.4">
      <c r="J83" s="2">
        <v>4300</v>
      </c>
      <c r="K83" s="2">
        <v>2150</v>
      </c>
      <c r="L83" s="2">
        <v>1140</v>
      </c>
      <c r="M83" s="2">
        <f t="shared" si="123"/>
        <v>3290</v>
      </c>
      <c r="N83" s="2">
        <f t="shared" si="124"/>
        <v>1010</v>
      </c>
      <c r="P83" s="2">
        <v>4300</v>
      </c>
    </row>
    <row r="84" spans="10:16" x14ac:dyDescent="0.4">
      <c r="J84" s="2">
        <v>4400</v>
      </c>
      <c r="K84" s="2">
        <v>2200</v>
      </c>
      <c r="L84" s="2">
        <v>1160</v>
      </c>
      <c r="M84" s="2">
        <f t="shared" si="123"/>
        <v>3360</v>
      </c>
      <c r="N84" s="2">
        <f t="shared" si="124"/>
        <v>1040</v>
      </c>
      <c r="P84" s="2">
        <v>4400</v>
      </c>
    </row>
    <row r="85" spans="10:16" x14ac:dyDescent="0.4">
      <c r="J85" s="2">
        <v>4500</v>
      </c>
      <c r="K85" s="2">
        <v>2250</v>
      </c>
      <c r="L85" s="2">
        <v>1180</v>
      </c>
      <c r="M85" s="2">
        <f>K85+L85</f>
        <v>3430</v>
      </c>
      <c r="N85" s="2">
        <f t="shared" si="124"/>
        <v>1070</v>
      </c>
      <c r="P85" s="2">
        <v>4500</v>
      </c>
    </row>
    <row r="86" spans="10:16" x14ac:dyDescent="0.4">
      <c r="J86" s="2">
        <v>4600</v>
      </c>
      <c r="K86" s="2">
        <v>2300</v>
      </c>
      <c r="L86" s="2">
        <v>1200</v>
      </c>
      <c r="M86" s="2">
        <f t="shared" si="123"/>
        <v>3500</v>
      </c>
      <c r="N86" s="2">
        <f t="shared" si="124"/>
        <v>1100</v>
      </c>
      <c r="P86" s="2">
        <v>4600</v>
      </c>
    </row>
    <row r="87" spans="10:16" x14ac:dyDescent="0.4">
      <c r="J87" s="2">
        <v>4700</v>
      </c>
      <c r="K87" s="2">
        <v>2350</v>
      </c>
      <c r="L87" s="2">
        <v>1220</v>
      </c>
      <c r="M87" s="2">
        <f t="shared" si="123"/>
        <v>3570</v>
      </c>
      <c r="N87" s="2">
        <f t="shared" si="124"/>
        <v>1130</v>
      </c>
      <c r="P87" s="2">
        <v>4700</v>
      </c>
    </row>
    <row r="88" spans="10:16" x14ac:dyDescent="0.4">
      <c r="J88" s="2">
        <v>4800</v>
      </c>
      <c r="K88" s="2">
        <v>2400</v>
      </c>
      <c r="L88" s="2">
        <v>1240</v>
      </c>
      <c r="M88" s="2">
        <f t="shared" si="123"/>
        <v>3640</v>
      </c>
      <c r="N88" s="2">
        <f t="shared" si="124"/>
        <v>1160</v>
      </c>
      <c r="P88" s="2">
        <v>4800</v>
      </c>
    </row>
    <row r="89" spans="10:16" x14ac:dyDescent="0.4">
      <c r="J89" s="2">
        <v>4900</v>
      </c>
      <c r="K89" s="2">
        <v>2450</v>
      </c>
      <c r="L89" s="2">
        <v>1260</v>
      </c>
      <c r="M89" s="2">
        <f t="shared" si="123"/>
        <v>3710</v>
      </c>
      <c r="N89" s="2">
        <f t="shared" si="124"/>
        <v>1190</v>
      </c>
      <c r="P89" s="2">
        <v>4900</v>
      </c>
    </row>
    <row r="90" spans="10:16" x14ac:dyDescent="0.4">
      <c r="J90" s="2">
        <v>5000</v>
      </c>
      <c r="K90" s="2">
        <v>2500</v>
      </c>
      <c r="L90" s="2">
        <v>1280</v>
      </c>
      <c r="M90" s="2">
        <f t="shared" si="123"/>
        <v>3780</v>
      </c>
      <c r="N90" s="2">
        <f t="shared" si="124"/>
        <v>1220</v>
      </c>
      <c r="P90" s="2">
        <v>5000</v>
      </c>
    </row>
  </sheetData>
  <phoneticPr fontId="2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A_複利計算</vt:lpstr>
      <vt:lpstr>A4_業績推移</vt:lpstr>
      <vt:lpstr>B2_RMS</vt:lpstr>
      <vt:lpstr>C1_損益分岐点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ishowaseda</dc:creator>
  <cp:lastModifiedBy>ishowaseda</cp:lastModifiedBy>
  <dcterms:created xsi:type="dcterms:W3CDTF">2026-04-07T13:09:32Z</dcterms:created>
  <dcterms:modified xsi:type="dcterms:W3CDTF">2026-04-11T15:59:07Z</dcterms:modified>
</cp:coreProperties>
</file>