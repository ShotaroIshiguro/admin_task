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nni\ROOT\admin_task\自学\マーケティング基礎\"/>
    </mc:Choice>
  </mc:AlternateContent>
  <xr:revisionPtr revIDLastSave="0" documentId="13_ncr:1_{1F91FC73-97F8-4B24-BDF3-593C5EBCCEDE}" xr6:coauthVersionLast="47" xr6:coauthVersionMax="47" xr10:uidLastSave="{00000000-0000-0000-0000-000000000000}"/>
  <bookViews>
    <workbookView xWindow="18840" yWindow="0" windowWidth="19665" windowHeight="15585" activeTab="1" xr2:uid="{16104FD8-6B5C-4A2F-89F2-1249C57F811D}"/>
  </bookViews>
  <sheets>
    <sheet name="3.4_BCG" sheetId="1" r:id="rId1"/>
    <sheet name="3.7_エクスペリエンスカーブ" sheetId="2" r:id="rId2"/>
    <sheet name="パワポ貼り付け用" sheetId="3" r:id="rId3"/>
  </sheets>
  <definedNames>
    <definedName name="_xlnm._FilterDatabase" localSheetId="0" hidden="1">'3.4_BCG'!$N$11:$P$19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5" i="2" l="1"/>
  <c r="AA45" i="2"/>
  <c r="AB45" i="2" s="1"/>
  <c r="AC45" i="2" s="1"/>
  <c r="Z46" i="2"/>
  <c r="AA46" i="2"/>
  <c r="AB46" i="2" s="1"/>
  <c r="AC46" i="2" s="1"/>
  <c r="Z47" i="2"/>
  <c r="AB47" i="2" s="1"/>
  <c r="AC47" i="2" s="1"/>
  <c r="AA47" i="2"/>
  <c r="Z48" i="2"/>
  <c r="AA48" i="2"/>
  <c r="AB48" i="2" s="1"/>
  <c r="AC48" i="2" s="1"/>
  <c r="Z49" i="2"/>
  <c r="AA49" i="2"/>
  <c r="AB49" i="2" s="1"/>
  <c r="AC49" i="2" s="1"/>
  <c r="Z50" i="2"/>
  <c r="AB50" i="2" s="1"/>
  <c r="AC50" i="2" s="1"/>
  <c r="AA50" i="2"/>
  <c r="Z51" i="2"/>
  <c r="AA51" i="2"/>
  <c r="AB51" i="2" s="1"/>
  <c r="AC51" i="2" s="1"/>
  <c r="Z52" i="2"/>
  <c r="AA52" i="2"/>
  <c r="AB52" i="2" s="1"/>
  <c r="AC52" i="2" s="1"/>
  <c r="Z53" i="2"/>
  <c r="AB53" i="2" s="1"/>
  <c r="AC53" i="2" s="1"/>
  <c r="AA53" i="2"/>
  <c r="Z54" i="2"/>
  <c r="AA54" i="2"/>
  <c r="AB54" i="2" s="1"/>
  <c r="AC54" i="2" s="1"/>
  <c r="Z55" i="2"/>
  <c r="AA55" i="2"/>
  <c r="AB55" i="2" s="1"/>
  <c r="AC55" i="2" s="1"/>
  <c r="Z56" i="2"/>
  <c r="AB56" i="2" s="1"/>
  <c r="AC56" i="2" s="1"/>
  <c r="AA56" i="2"/>
  <c r="Z57" i="2"/>
  <c r="AA57" i="2"/>
  <c r="AB57" i="2" s="1"/>
  <c r="AC57" i="2" s="1"/>
  <c r="Z58" i="2"/>
  <c r="AA58" i="2"/>
  <c r="AB58" i="2" s="1"/>
  <c r="AC58" i="2" s="1"/>
  <c r="Z59" i="2"/>
  <c r="AB59" i="2" s="1"/>
  <c r="AC59" i="2" s="1"/>
  <c r="AA59" i="2"/>
  <c r="Z86" i="2"/>
  <c r="AA86" i="2"/>
  <c r="Z87" i="2"/>
  <c r="AA87" i="2"/>
  <c r="Z88" i="2"/>
  <c r="AA88" i="2"/>
  <c r="AB88" i="2" s="1"/>
  <c r="Z89" i="2"/>
  <c r="AA89" i="2"/>
  <c r="AB89" i="2" s="1"/>
  <c r="AC89" i="2" s="1"/>
  <c r="Z90" i="2"/>
  <c r="AA90" i="2"/>
  <c r="Z91" i="2"/>
  <c r="AA91" i="2"/>
  <c r="Z92" i="2"/>
  <c r="AA92" i="2"/>
  <c r="Z93" i="2"/>
  <c r="AA93" i="2"/>
  <c r="Z94" i="2"/>
  <c r="AA94" i="2"/>
  <c r="AB94" i="2" s="1"/>
  <c r="Z95" i="2"/>
  <c r="AA95" i="2"/>
  <c r="AB95" i="2" s="1"/>
  <c r="AC95" i="2" s="1"/>
  <c r="Z96" i="2"/>
  <c r="AA96" i="2"/>
  <c r="Z97" i="2"/>
  <c r="AA97" i="2"/>
  <c r="Z98" i="2"/>
  <c r="AA98" i="2"/>
  <c r="Z99" i="2"/>
  <c r="AA99" i="2"/>
  <c r="Z100" i="2"/>
  <c r="AA100" i="2"/>
  <c r="AB100" i="2" s="1"/>
  <c r="Z101" i="2"/>
  <c r="AA101" i="2"/>
  <c r="AB101" i="2" s="1"/>
  <c r="AC101" i="2" s="1"/>
  <c r="Z102" i="2"/>
  <c r="AA102" i="2"/>
  <c r="AB102" i="2" s="1"/>
  <c r="AC102" i="2" s="1"/>
  <c r="Z103" i="2"/>
  <c r="AA103" i="2"/>
  <c r="Z104" i="2"/>
  <c r="AA104" i="2"/>
  <c r="Z105" i="2"/>
  <c r="AA105" i="2"/>
  <c r="Z106" i="2"/>
  <c r="AA106" i="2"/>
  <c r="AB106" i="2" s="1"/>
  <c r="Z107" i="2"/>
  <c r="AA107" i="2"/>
  <c r="AB107" i="2" s="1"/>
  <c r="AC107" i="2" s="1"/>
  <c r="Z108" i="2"/>
  <c r="AA108" i="2"/>
  <c r="Z109" i="2"/>
  <c r="AA109" i="2"/>
  <c r="AA85" i="2"/>
  <c r="Z85" i="2"/>
  <c r="AA81" i="2"/>
  <c r="Z70" i="2"/>
  <c r="AA70" i="2"/>
  <c r="Z71" i="2"/>
  <c r="AA71" i="2"/>
  <c r="AB71" i="2" s="1"/>
  <c r="Z72" i="2"/>
  <c r="AA72" i="2"/>
  <c r="Z73" i="2"/>
  <c r="AA73" i="2"/>
  <c r="AB73" i="2" s="1"/>
  <c r="AC73" i="2" s="1"/>
  <c r="Z74" i="2"/>
  <c r="AA74" i="2"/>
  <c r="Z75" i="2"/>
  <c r="AA75" i="2"/>
  <c r="AA69" i="2"/>
  <c r="Z69" i="2"/>
  <c r="AB70" i="2"/>
  <c r="AA65" i="2"/>
  <c r="AA41" i="2"/>
  <c r="AA42" i="2"/>
  <c r="AA43" i="2"/>
  <c r="AA44" i="2"/>
  <c r="AA40" i="2"/>
  <c r="AB40" i="2" s="1"/>
  <c r="Z41" i="2"/>
  <c r="Z42" i="2"/>
  <c r="Z43" i="2"/>
  <c r="Z44" i="2"/>
  <c r="Z40" i="2"/>
  <c r="AA36" i="2"/>
  <c r="AA7" i="2"/>
  <c r="AA12" i="2"/>
  <c r="AA13" i="2"/>
  <c r="AA14" i="2"/>
  <c r="AA15" i="2"/>
  <c r="AB15" i="2" s="1"/>
  <c r="AA16" i="2"/>
  <c r="AA17" i="2"/>
  <c r="AA18" i="2"/>
  <c r="AA19" i="2"/>
  <c r="AA20" i="2"/>
  <c r="AA21" i="2"/>
  <c r="AA22" i="2"/>
  <c r="AA23" i="2"/>
  <c r="AA24" i="2"/>
  <c r="AA25" i="2"/>
  <c r="AA26" i="2"/>
  <c r="AA27" i="2"/>
  <c r="AB27" i="2" s="1"/>
  <c r="AA28" i="2"/>
  <c r="AA29" i="2"/>
  <c r="AA30" i="2"/>
  <c r="AA11" i="2"/>
  <c r="Z30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11" i="2"/>
  <c r="S10" i="2"/>
  <c r="S13" i="2" s="1"/>
  <c r="U13" i="2" s="1"/>
  <c r="S9" i="2"/>
  <c r="R13" i="2" s="1"/>
  <c r="F13" i="3"/>
  <c r="K15" i="2"/>
  <c r="L25" i="2" s="1"/>
  <c r="L27" i="2" s="1"/>
  <c r="Q14" i="2"/>
  <c r="Q15" i="2" s="1"/>
  <c r="K27" i="2"/>
  <c r="N27" i="2" s="1"/>
  <c r="L8" i="2"/>
  <c r="M10" i="2" s="1"/>
  <c r="L7" i="2"/>
  <c r="E19" i="1"/>
  <c r="F19" i="1"/>
  <c r="G19" i="1"/>
  <c r="H19" i="1"/>
  <c r="I19" i="1"/>
  <c r="J19" i="1"/>
  <c r="K19" i="1"/>
  <c r="D19" i="1"/>
  <c r="G15" i="1"/>
  <c r="H15" i="1"/>
  <c r="I15" i="1"/>
  <c r="J15" i="1"/>
  <c r="K15" i="1"/>
  <c r="E15" i="1"/>
  <c r="D15" i="1"/>
  <c r="F15" i="1"/>
  <c r="I16" i="1"/>
  <c r="J16" i="1"/>
  <c r="K16" i="1"/>
  <c r="H16" i="1"/>
  <c r="E16" i="1"/>
  <c r="F16" i="1"/>
  <c r="G16" i="1"/>
  <c r="D16" i="1"/>
  <c r="AB90" i="2" l="1"/>
  <c r="AC90" i="2" s="1"/>
  <c r="AB72" i="2"/>
  <c r="AC72" i="2" s="1"/>
  <c r="AC40" i="2"/>
  <c r="AC70" i="2"/>
  <c r="AB69" i="2"/>
  <c r="AC69" i="2" s="1"/>
  <c r="AB43" i="2"/>
  <c r="AC43" i="2" s="1"/>
  <c r="AB109" i="2"/>
  <c r="AC109" i="2" s="1"/>
  <c r="AB103" i="2"/>
  <c r="AC103" i="2" s="1"/>
  <c r="AB91" i="2"/>
  <c r="AC91" i="2" s="1"/>
  <c r="AC106" i="2"/>
  <c r="AC100" i="2"/>
  <c r="AC94" i="2"/>
  <c r="AC71" i="2"/>
  <c r="AC88" i="2"/>
  <c r="AB44" i="2"/>
  <c r="AC44" i="2" s="1"/>
  <c r="AB74" i="2"/>
  <c r="AC74" i="2" s="1"/>
  <c r="AB96" i="2"/>
  <c r="AC96" i="2" s="1"/>
  <c r="AB104" i="2"/>
  <c r="AC104" i="2" s="1"/>
  <c r="AB98" i="2"/>
  <c r="AC98" i="2" s="1"/>
  <c r="AB92" i="2"/>
  <c r="AC92" i="2" s="1"/>
  <c r="AB86" i="2"/>
  <c r="AC86" i="2" s="1"/>
  <c r="AB97" i="2"/>
  <c r="AC97" i="2" s="1"/>
  <c r="AB108" i="2"/>
  <c r="AC108" i="2" s="1"/>
  <c r="AB105" i="2"/>
  <c r="AC105" i="2" s="1"/>
  <c r="AB99" i="2"/>
  <c r="AC99" i="2" s="1"/>
  <c r="AB93" i="2"/>
  <c r="AC93" i="2" s="1"/>
  <c r="AB87" i="2"/>
  <c r="AC87" i="2" s="1"/>
  <c r="AB85" i="2"/>
  <c r="AC85" i="2" s="1"/>
  <c r="AB42" i="2"/>
  <c r="AC42" i="2" s="1"/>
  <c r="AB41" i="2"/>
  <c r="AC41" i="2" s="1"/>
  <c r="AB75" i="2"/>
  <c r="AC75" i="2" s="1"/>
  <c r="AB17" i="2"/>
  <c r="AC17" i="2" s="1"/>
  <c r="AB29" i="2"/>
  <c r="AC29" i="2" s="1"/>
  <c r="AB22" i="2"/>
  <c r="AC22" i="2" s="1"/>
  <c r="AB28" i="2"/>
  <c r="AC28" i="2" s="1"/>
  <c r="AB16" i="2"/>
  <c r="AC16" i="2" s="1"/>
  <c r="AB26" i="2"/>
  <c r="AC26" i="2" s="1"/>
  <c r="AB14" i="2"/>
  <c r="AC14" i="2" s="1"/>
  <c r="AB25" i="2"/>
  <c r="AC25" i="2" s="1"/>
  <c r="AB13" i="2"/>
  <c r="AC13" i="2" s="1"/>
  <c r="AB24" i="2"/>
  <c r="AC24" i="2" s="1"/>
  <c r="AB12" i="2"/>
  <c r="AC12" i="2" s="1"/>
  <c r="AB23" i="2"/>
  <c r="AC23" i="2" s="1"/>
  <c r="AC15" i="2"/>
  <c r="AB21" i="2"/>
  <c r="AC21" i="2" s="1"/>
  <c r="AB20" i="2"/>
  <c r="AC20" i="2" s="1"/>
  <c r="AB11" i="2"/>
  <c r="AC11" i="2" s="1"/>
  <c r="AB19" i="2"/>
  <c r="AC19" i="2" s="1"/>
  <c r="AB30" i="2"/>
  <c r="AC30" i="2" s="1"/>
  <c r="AB18" i="2"/>
  <c r="AC18" i="2" s="1"/>
  <c r="AC27" i="2"/>
  <c r="T13" i="2"/>
  <c r="R15" i="2"/>
  <c r="R14" i="2"/>
  <c r="V13" i="2"/>
  <c r="S15" i="2"/>
  <c r="S14" i="2"/>
  <c r="Q16" i="2"/>
  <c r="L19" i="2"/>
  <c r="E10" i="2"/>
  <c r="E11" i="2" s="1"/>
  <c r="T14" i="2" l="1"/>
  <c r="T15" i="2" s="1"/>
  <c r="V15" i="2" s="1"/>
  <c r="U14" i="2"/>
  <c r="U15" i="2" s="1"/>
  <c r="S16" i="2"/>
  <c r="R16" i="2"/>
  <c r="Q17" i="2"/>
  <c r="V14" i="2" l="1"/>
  <c r="U16" i="2"/>
  <c r="T16" i="2"/>
  <c r="V16" i="2" s="1"/>
  <c r="Q18" i="2"/>
  <c r="R17" i="2"/>
  <c r="T17" i="2" s="1"/>
  <c r="S17" i="2"/>
  <c r="U17" i="2" s="1"/>
  <c r="V17" i="2" l="1"/>
  <c r="S18" i="2"/>
  <c r="U18" i="2" s="1"/>
  <c r="R18" i="2"/>
  <c r="T18" i="2" s="1"/>
  <c r="Q19" i="2"/>
  <c r="V18" i="2" l="1"/>
  <c r="Q20" i="2"/>
  <c r="R19" i="2"/>
  <c r="T19" i="2" s="1"/>
  <c r="S19" i="2"/>
  <c r="U19" i="2" s="1"/>
  <c r="V19" i="2" l="1"/>
  <c r="R20" i="2"/>
  <c r="T20" i="2" s="1"/>
  <c r="S20" i="2"/>
  <c r="U20" i="2" s="1"/>
  <c r="Q21" i="2"/>
  <c r="V20" i="2" l="1"/>
  <c r="Q22" i="2"/>
  <c r="S21" i="2"/>
  <c r="U21" i="2" s="1"/>
  <c r="R21" i="2"/>
  <c r="T21" i="2" s="1"/>
  <c r="V21" i="2" l="1"/>
  <c r="S22" i="2"/>
  <c r="U22" i="2" s="1"/>
  <c r="Q23" i="2"/>
  <c r="R22" i="2"/>
  <c r="T22" i="2" s="1"/>
  <c r="V22" i="2" l="1"/>
  <c r="Q24" i="2"/>
  <c r="R23" i="2"/>
  <c r="T23" i="2" s="1"/>
  <c r="S23" i="2"/>
  <c r="U23" i="2" s="1"/>
  <c r="V23" i="2" l="1"/>
  <c r="R24" i="2"/>
  <c r="T24" i="2" s="1"/>
  <c r="S24" i="2"/>
  <c r="U24" i="2" s="1"/>
  <c r="Q25" i="2"/>
  <c r="V24" i="2" l="1"/>
  <c r="Q26" i="2"/>
  <c r="S25" i="2"/>
  <c r="U25" i="2" s="1"/>
  <c r="R25" i="2"/>
  <c r="T25" i="2" s="1"/>
  <c r="V25" i="2" l="1"/>
  <c r="R26" i="2"/>
  <c r="T26" i="2" s="1"/>
  <c r="S26" i="2"/>
  <c r="U26" i="2" s="1"/>
  <c r="Q27" i="2"/>
  <c r="V26" i="2" l="1"/>
  <c r="Q28" i="2"/>
  <c r="S27" i="2"/>
  <c r="U27" i="2" s="1"/>
  <c r="R27" i="2"/>
  <c r="T27" i="2" s="1"/>
  <c r="V27" i="2" l="1"/>
  <c r="S28" i="2"/>
  <c r="U28" i="2" s="1"/>
  <c r="Q29" i="2"/>
  <c r="R28" i="2"/>
  <c r="T28" i="2" s="1"/>
  <c r="V28" i="2" l="1"/>
  <c r="Q30" i="2"/>
  <c r="R29" i="2"/>
  <c r="T29" i="2" s="1"/>
  <c r="S29" i="2"/>
  <c r="U29" i="2" s="1"/>
  <c r="V29" i="2" l="1"/>
  <c r="R30" i="2"/>
  <c r="T30" i="2" s="1"/>
  <c r="S30" i="2"/>
  <c r="U30" i="2" s="1"/>
  <c r="Q31" i="2"/>
  <c r="V30" i="2" l="1"/>
  <c r="Q32" i="2"/>
  <c r="Q33" i="2" s="1"/>
  <c r="R31" i="2"/>
  <c r="T31" i="2" s="1"/>
  <c r="S31" i="2"/>
  <c r="U31" i="2" s="1"/>
  <c r="Q34" i="2" l="1"/>
  <c r="S33" i="2"/>
  <c r="R33" i="2"/>
  <c r="V31" i="2"/>
  <c r="R32" i="2"/>
  <c r="T32" i="2" s="1"/>
  <c r="S32" i="2"/>
  <c r="U32" i="2" s="1"/>
  <c r="U33" i="2" s="1"/>
  <c r="T33" i="2" l="1"/>
  <c r="V33" i="2" s="1"/>
  <c r="Q35" i="2"/>
  <c r="R34" i="2"/>
  <c r="S34" i="2"/>
  <c r="U34" i="2" s="1"/>
  <c r="T34" i="2"/>
  <c r="V32" i="2"/>
  <c r="S35" i="2" l="1"/>
  <c r="U35" i="2" s="1"/>
  <c r="R35" i="2"/>
  <c r="T35" i="2" s="1"/>
  <c r="V34" i="2"/>
  <c r="V35" i="2" l="1"/>
</calcChain>
</file>

<file path=xl/sharedStrings.xml><?xml version="1.0" encoding="utf-8"?>
<sst xmlns="http://schemas.openxmlformats.org/spreadsheetml/2006/main" count="207" uniqueCount="97">
  <si>
    <t>事業</t>
    <rPh sb="0" eb="2">
      <t>ジギョウ</t>
    </rPh>
    <phoneticPr fontId="2"/>
  </si>
  <si>
    <t>年度</t>
    <rPh sb="0" eb="2">
      <t>ネンド</t>
    </rPh>
    <phoneticPr fontId="2"/>
  </si>
  <si>
    <t>市場成長率推定（％）</t>
    <rPh sb="0" eb="2">
      <t>シジョウ</t>
    </rPh>
    <rPh sb="2" eb="5">
      <t>セイチョウリツ</t>
    </rPh>
    <rPh sb="5" eb="7">
      <t>スイテイ</t>
    </rPh>
    <phoneticPr fontId="2"/>
  </si>
  <si>
    <t>市場リーダー（シェア）</t>
    <rPh sb="0" eb="2">
      <t>シジョウ</t>
    </rPh>
    <phoneticPr fontId="2"/>
  </si>
  <si>
    <t>市場2位（シェア）</t>
    <rPh sb="0" eb="2">
      <t>シジョウ</t>
    </rPh>
    <rPh sb="3" eb="4">
      <t>イ</t>
    </rPh>
    <phoneticPr fontId="2"/>
  </si>
  <si>
    <t>市場3位（シェア）</t>
    <rPh sb="0" eb="2">
      <t>シジョウ</t>
    </rPh>
    <rPh sb="3" eb="4">
      <t>イ</t>
    </rPh>
    <phoneticPr fontId="2"/>
  </si>
  <si>
    <t>A事業</t>
    <rPh sb="1" eb="3">
      <t>ジギョウ</t>
    </rPh>
    <phoneticPr fontId="2"/>
  </si>
  <si>
    <t>B事業</t>
    <rPh sb="1" eb="3">
      <t>ジギョウ</t>
    </rPh>
    <phoneticPr fontId="2"/>
  </si>
  <si>
    <t>C事業</t>
    <rPh sb="1" eb="3">
      <t>ジギョウ</t>
    </rPh>
    <phoneticPr fontId="2"/>
  </si>
  <si>
    <t>D事業</t>
    <rPh sb="1" eb="3">
      <t>ジギョウ</t>
    </rPh>
    <phoneticPr fontId="2"/>
  </si>
  <si>
    <t>X社売上げ（億円）</t>
    <rPh sb="1" eb="2">
      <t>シャ</t>
    </rPh>
    <rPh sb="2" eb="4">
      <t>ウリア</t>
    </rPh>
    <rPh sb="6" eb="8">
      <t>オクエン</t>
    </rPh>
    <phoneticPr fontId="2"/>
  </si>
  <si>
    <t>市場成長率推定（％）</t>
    <rPh sb="0" eb="5">
      <t>シジョウセイチョウリツ</t>
    </rPh>
    <rPh sb="5" eb="7">
      <t>スイテイ</t>
    </rPh>
    <phoneticPr fontId="2"/>
  </si>
  <si>
    <t>円の面積</t>
    <rPh sb="0" eb="1">
      <t>エン</t>
    </rPh>
    <rPh sb="2" eb="4">
      <t>メンセキ</t>
    </rPh>
    <phoneticPr fontId="2"/>
  </si>
  <si>
    <t>X社の相対市場シェア</t>
    <rPh sb="1" eb="2">
      <t>シャ</t>
    </rPh>
    <rPh sb="3" eb="5">
      <t>ソウタイ</t>
    </rPh>
    <rPh sb="5" eb="7">
      <t>シジョウ</t>
    </rPh>
    <phoneticPr fontId="2"/>
  </si>
  <si>
    <t>円の半径</t>
    <rPh sb="0" eb="1">
      <t>エン</t>
    </rPh>
    <rPh sb="2" eb="4">
      <t>ハンケイ</t>
    </rPh>
    <phoneticPr fontId="2"/>
  </si>
  <si>
    <t>背景情報の整理</t>
    <rPh sb="0" eb="4">
      <t>ハイケイジョウホウ</t>
    </rPh>
    <rPh sb="5" eb="7">
      <t>セイリ</t>
    </rPh>
    <phoneticPr fontId="2"/>
  </si>
  <si>
    <t>市場規模</t>
    <rPh sb="0" eb="4">
      <t>シジョウキボ</t>
    </rPh>
    <phoneticPr fontId="2"/>
  </si>
  <si>
    <t>情報種類</t>
    <rPh sb="0" eb="4">
      <t>ジョウホウシュルイ</t>
    </rPh>
    <phoneticPr fontId="2"/>
  </si>
  <si>
    <t>単位</t>
    <rPh sb="0" eb="2">
      <t>タンイ</t>
    </rPh>
    <phoneticPr fontId="2"/>
  </si>
  <si>
    <t>値</t>
    <rPh sb="0" eb="1">
      <t>アタイ</t>
    </rPh>
    <phoneticPr fontId="2"/>
  </si>
  <si>
    <t>台/年</t>
    <rPh sb="0" eb="1">
      <t>ダイ</t>
    </rPh>
    <rPh sb="2" eb="3">
      <t>ネン</t>
    </rPh>
    <phoneticPr fontId="2"/>
  </si>
  <si>
    <t>市場伸び率</t>
    <rPh sb="0" eb="3">
      <t>シジョウノ</t>
    </rPh>
    <rPh sb="4" eb="5">
      <t>リツ</t>
    </rPh>
    <phoneticPr fontId="2"/>
  </si>
  <si>
    <t>%</t>
    <phoneticPr fontId="2"/>
  </si>
  <si>
    <t>A市場シェア</t>
    <rPh sb="1" eb="3">
      <t>シジョウ</t>
    </rPh>
    <phoneticPr fontId="2"/>
  </si>
  <si>
    <t>B市場シェア</t>
    <rPh sb="1" eb="3">
      <t>シジョウ</t>
    </rPh>
    <phoneticPr fontId="2"/>
  </si>
  <si>
    <t>Aラーニング率</t>
    <rPh sb="6" eb="7">
      <t>リツ</t>
    </rPh>
    <phoneticPr fontId="2"/>
  </si>
  <si>
    <t>Bラーニング率</t>
    <rPh sb="6" eb="7">
      <t>リツ</t>
    </rPh>
    <phoneticPr fontId="2"/>
  </si>
  <si>
    <t>備考</t>
    <rPh sb="0" eb="2">
      <t>ビコウ</t>
    </rPh>
    <phoneticPr fontId="2"/>
  </si>
  <si>
    <t>業種によって一定のためA社とB社で共通</t>
    <rPh sb="0" eb="2">
      <t>ギョウシュ</t>
    </rPh>
    <rPh sb="6" eb="8">
      <t>イッテイ</t>
    </rPh>
    <rPh sb="12" eb="13">
      <t>シャ</t>
    </rPh>
    <rPh sb="15" eb="16">
      <t>シャ</t>
    </rPh>
    <rPh sb="17" eb="19">
      <t>キョウツウ</t>
    </rPh>
    <phoneticPr fontId="2"/>
  </si>
  <si>
    <t xml:space="preserve"> 販売・流通コスト</t>
    <rPh sb="1" eb="3">
      <t>ハンバイ</t>
    </rPh>
    <rPh sb="4" eb="6">
      <t>リュウツウ</t>
    </rPh>
    <phoneticPr fontId="2"/>
  </si>
  <si>
    <t>円/台</t>
    <rPh sb="0" eb="1">
      <t>エン</t>
    </rPh>
    <rPh sb="2" eb="3">
      <t>ダイ</t>
    </rPh>
    <phoneticPr fontId="2"/>
  </si>
  <si>
    <t>A累積生産台数</t>
    <rPh sb="1" eb="3">
      <t>ルイセキ</t>
    </rPh>
    <rPh sb="3" eb="7">
      <t>セイサンダイスウ</t>
    </rPh>
    <phoneticPr fontId="2"/>
  </si>
  <si>
    <t>B累積生産台数</t>
    <rPh sb="1" eb="7">
      <t>ルイセキセイサンダイスウ</t>
    </rPh>
    <phoneticPr fontId="2"/>
  </si>
  <si>
    <t>台</t>
    <rPh sb="0" eb="1">
      <t>ダイ</t>
    </rPh>
    <phoneticPr fontId="2"/>
  </si>
  <si>
    <t>背景情報</t>
    <rPh sb="0" eb="4">
      <t>ハイケイジョウホウ</t>
    </rPh>
    <phoneticPr fontId="2"/>
  </si>
  <si>
    <t>累積生産台数</t>
    <rPh sb="0" eb="6">
      <t>ルイセキセイサンダイスウ</t>
    </rPh>
    <phoneticPr fontId="2"/>
  </si>
  <si>
    <t>総生産コスト</t>
    <rPh sb="0" eb="3">
      <t>ソウセイサン</t>
    </rPh>
    <phoneticPr fontId="2"/>
  </si>
  <si>
    <t>ラーニング率x</t>
    <rPh sb="5" eb="6">
      <t>リツ</t>
    </rPh>
    <phoneticPr fontId="2"/>
  </si>
  <si>
    <t>-</t>
  </si>
  <si>
    <t>-</t>
    <phoneticPr fontId="2"/>
  </si>
  <si>
    <t>A社生産コスト実績から算出</t>
    <rPh sb="1" eb="2">
      <t>シャ</t>
    </rPh>
    <rPh sb="2" eb="4">
      <t>セイサン</t>
    </rPh>
    <rPh sb="7" eb="9">
      <t>ジッセキ</t>
    </rPh>
    <rPh sb="11" eb="13">
      <t>サンシュツ</t>
    </rPh>
    <phoneticPr fontId="2"/>
  </si>
  <si>
    <t>GPS機能付き腕時計の生産業におけるラーニング率＝</t>
    <rPh sb="3" eb="5">
      <t>キノウ</t>
    </rPh>
    <rPh sb="5" eb="6">
      <t>ツ</t>
    </rPh>
    <rPh sb="7" eb="10">
      <t>ウデドケイ</t>
    </rPh>
    <rPh sb="11" eb="14">
      <t>セイサンギョウ</t>
    </rPh>
    <rPh sb="23" eb="24">
      <t>リツ</t>
    </rPh>
    <phoneticPr fontId="2"/>
  </si>
  <si>
    <t>A・B社は同じ場所で生産し、品質に差はない</t>
    <rPh sb="3" eb="4">
      <t>シャ</t>
    </rPh>
    <rPh sb="5" eb="6">
      <t>オナ</t>
    </rPh>
    <rPh sb="7" eb="9">
      <t>バショ</t>
    </rPh>
    <rPh sb="10" eb="12">
      <t>セイサン</t>
    </rPh>
    <rPh sb="14" eb="16">
      <t>ヒンシツ</t>
    </rPh>
    <rPh sb="17" eb="18">
      <t>サ</t>
    </rPh>
    <phoneticPr fontId="2"/>
  </si>
  <si>
    <t>⇒累計生産台数が20000台の時の総生産コストは同じと仮定</t>
    <rPh sb="1" eb="3">
      <t>ルイケイ</t>
    </rPh>
    <rPh sb="3" eb="7">
      <t>セイサンダイスウ</t>
    </rPh>
    <rPh sb="13" eb="14">
      <t>ダイ</t>
    </rPh>
    <rPh sb="15" eb="16">
      <t>トキ</t>
    </rPh>
    <rPh sb="17" eb="20">
      <t>ソウセイサン</t>
    </rPh>
    <rPh sb="24" eb="25">
      <t>オナ</t>
    </rPh>
    <rPh sb="27" eb="29">
      <t>カテイ</t>
    </rPh>
    <phoneticPr fontId="2"/>
  </si>
  <si>
    <t>B社の総生産コスト</t>
    <rPh sb="1" eb="2">
      <t>シャ</t>
    </rPh>
    <rPh sb="3" eb="6">
      <t>ソウセイサン</t>
    </rPh>
    <phoneticPr fontId="2"/>
  </si>
  <si>
    <t>＝</t>
    <phoneticPr fontId="2"/>
  </si>
  <si>
    <t>A社生産コスト実績（現状）</t>
    <rPh sb="1" eb="2">
      <t>シャ</t>
    </rPh>
    <rPh sb="2" eb="4">
      <t>セイサン</t>
    </rPh>
    <rPh sb="7" eb="9">
      <t>ジッセキ</t>
    </rPh>
    <rPh sb="10" eb="12">
      <t>ゲンジョウ</t>
    </rPh>
    <phoneticPr fontId="2"/>
  </si>
  <si>
    <t>B社生産コスト予測（現状）</t>
    <rPh sb="1" eb="2">
      <t>シャ</t>
    </rPh>
    <rPh sb="2" eb="4">
      <t>セイサン</t>
    </rPh>
    <rPh sb="7" eb="9">
      <t>ヨソク</t>
    </rPh>
    <rPh sb="10" eb="12">
      <t>ゲンジョウ</t>
    </rPh>
    <phoneticPr fontId="2"/>
  </si>
  <si>
    <t>(円/台)</t>
    <rPh sb="1" eb="2">
      <t>エン</t>
    </rPh>
    <rPh sb="3" eb="4">
      <t>ダイ</t>
    </rPh>
    <phoneticPr fontId="2"/>
  </si>
  <si>
    <t>コスト内訳の比較</t>
    <rPh sb="3" eb="5">
      <t>ウチワケ</t>
    </rPh>
    <rPh sb="6" eb="8">
      <t>ヒカク</t>
    </rPh>
    <phoneticPr fontId="2"/>
  </si>
  <si>
    <t>現在の標準小売価格</t>
    <rPh sb="0" eb="2">
      <t>ゲンザイ</t>
    </rPh>
    <rPh sb="3" eb="7">
      <t>ヒョウジュンコウリ</t>
    </rPh>
    <rPh sb="7" eb="9">
      <t>カカク</t>
    </rPh>
    <phoneticPr fontId="2"/>
  </si>
  <si>
    <t>販売・流通コスト</t>
    <rPh sb="0" eb="2">
      <t>ハンバイ</t>
    </rPh>
    <rPh sb="3" eb="5">
      <t>リュウツウ</t>
    </rPh>
    <phoneticPr fontId="2"/>
  </si>
  <si>
    <t>粗利益</t>
    <rPh sb="0" eb="3">
      <t>アラリエキ</t>
    </rPh>
    <phoneticPr fontId="2"/>
  </si>
  <si>
    <t>コスト内訳</t>
    <rPh sb="3" eb="5">
      <t>ウチワケ</t>
    </rPh>
    <phoneticPr fontId="2"/>
  </si>
  <si>
    <t>年数</t>
    <rPh sb="0" eb="2">
      <t>ネンスウ</t>
    </rPh>
    <phoneticPr fontId="2"/>
  </si>
  <si>
    <t>仮定①：市場シェアは70%の取り合いをする</t>
    <rPh sb="0" eb="2">
      <t>カテイ</t>
    </rPh>
    <rPh sb="4" eb="6">
      <t>シジョウ</t>
    </rPh>
    <rPh sb="14" eb="15">
      <t>ト</t>
    </rPh>
    <rPh sb="16" eb="17">
      <t>ア</t>
    </rPh>
    <phoneticPr fontId="2"/>
  </si>
  <si>
    <t>仮定②：価格差が100円ごとに1%のA社市場シェアがB社に奪われる</t>
    <rPh sb="0" eb="2">
      <t>カテイ</t>
    </rPh>
    <rPh sb="4" eb="6">
      <t>カカク</t>
    </rPh>
    <rPh sb="6" eb="7">
      <t>サ</t>
    </rPh>
    <rPh sb="11" eb="12">
      <t>エン</t>
    </rPh>
    <rPh sb="19" eb="20">
      <t>シャ</t>
    </rPh>
    <rPh sb="20" eb="22">
      <t>シジョウ</t>
    </rPh>
    <rPh sb="27" eb="28">
      <t>シャ</t>
    </rPh>
    <rPh sb="29" eb="30">
      <t>ウバ</t>
    </rPh>
    <phoneticPr fontId="2"/>
  </si>
  <si>
    <t>A社生産台数</t>
    <rPh sb="1" eb="2">
      <t>シャ</t>
    </rPh>
    <rPh sb="2" eb="6">
      <t>セイサンダイスウ</t>
    </rPh>
    <phoneticPr fontId="2"/>
  </si>
  <si>
    <t>B社生産台数</t>
    <rPh sb="1" eb="2">
      <t>シャ</t>
    </rPh>
    <rPh sb="2" eb="6">
      <t>セイサンダイスウ</t>
    </rPh>
    <phoneticPr fontId="2"/>
  </si>
  <si>
    <t>A社累積生産台数</t>
    <rPh sb="1" eb="2">
      <t>シャ</t>
    </rPh>
    <rPh sb="2" eb="8">
      <t>ルイセキセイサンダイスウ</t>
    </rPh>
    <phoneticPr fontId="2"/>
  </si>
  <si>
    <t>B社累積生産台数</t>
    <rPh sb="1" eb="2">
      <t>シャ</t>
    </rPh>
    <rPh sb="2" eb="8">
      <t>ルイセキセイサンダイスウ</t>
    </rPh>
    <phoneticPr fontId="2"/>
  </si>
  <si>
    <t>円B社が値下げし、</t>
    <rPh sb="0" eb="1">
      <t>エン</t>
    </rPh>
    <rPh sb="2" eb="3">
      <t>シャ</t>
    </rPh>
    <rPh sb="4" eb="6">
      <t>ネサ</t>
    </rPh>
    <phoneticPr fontId="2"/>
  </si>
  <si>
    <t>A市場シェア：</t>
    <rPh sb="1" eb="3">
      <t>シジョウ</t>
    </rPh>
    <phoneticPr fontId="2"/>
  </si>
  <si>
    <t>B市場シェア：</t>
    <rPh sb="1" eb="3">
      <t>シジョウ</t>
    </rPh>
    <phoneticPr fontId="2"/>
  </si>
  <si>
    <t>価格</t>
    <rPh sb="0" eb="2">
      <t>カカク</t>
    </rPh>
    <phoneticPr fontId="2"/>
  </si>
  <si>
    <t>奪われ率</t>
    <rPh sb="0" eb="1">
      <t>ウバ</t>
    </rPh>
    <rPh sb="3" eb="4">
      <t>リツ</t>
    </rPh>
    <phoneticPr fontId="2"/>
  </si>
  <si>
    <t>円</t>
    <rPh sb="0" eb="1">
      <t>エン</t>
    </rPh>
    <phoneticPr fontId="2"/>
  </si>
  <si>
    <t>累積生産台数差</t>
    <rPh sb="0" eb="2">
      <t>ルイセキ</t>
    </rPh>
    <rPh sb="2" eb="6">
      <t>セイサンダイスウ</t>
    </rPh>
    <rPh sb="6" eb="7">
      <t>サ</t>
    </rPh>
    <phoneticPr fontId="2"/>
  </si>
  <si>
    <t>経過年数と累積生産台数（差）のグラフ</t>
    <rPh sb="0" eb="2">
      <t>ケイカ</t>
    </rPh>
    <rPh sb="2" eb="4">
      <t>ネンスウ</t>
    </rPh>
    <rPh sb="5" eb="7">
      <t>ルイセキ</t>
    </rPh>
    <rPh sb="7" eb="11">
      <t>セイサンダイスウ</t>
    </rPh>
    <rPh sb="12" eb="13">
      <t>サ</t>
    </rPh>
    <phoneticPr fontId="2"/>
  </si>
  <si>
    <t>総生産コストが負けることが一大事</t>
    <rPh sb="0" eb="3">
      <t>ソウセイサン</t>
    </rPh>
    <rPh sb="7" eb="8">
      <t>マ</t>
    </rPh>
    <rPh sb="13" eb="16">
      <t>イチダイジ</t>
    </rPh>
    <phoneticPr fontId="2"/>
  </si>
  <si>
    <t>商品の品質等が同じ</t>
    <rPh sb="0" eb="2">
      <t>ショウヒン</t>
    </rPh>
    <rPh sb="3" eb="5">
      <t>ヒンシツ</t>
    </rPh>
    <rPh sb="5" eb="6">
      <t>ナド</t>
    </rPh>
    <rPh sb="7" eb="8">
      <t>オナ</t>
    </rPh>
    <phoneticPr fontId="2"/>
  </si>
  <si>
    <t>ブランド力は負けている</t>
    <rPh sb="4" eb="5">
      <t>リョク</t>
    </rPh>
    <rPh sb="6" eb="7">
      <t>マ</t>
    </rPh>
    <phoneticPr fontId="2"/>
  </si>
  <si>
    <t>価格やブランド力が重要</t>
    <rPh sb="0" eb="2">
      <t>カカク</t>
    </rPh>
    <rPh sb="7" eb="8">
      <t>リョク</t>
    </rPh>
    <rPh sb="9" eb="11">
      <t>ジュウヨウ</t>
    </rPh>
    <phoneticPr fontId="2"/>
  </si>
  <si>
    <t>価格は平行線だが、総生産コストを負</t>
    <rPh sb="0" eb="2">
      <t>カカク</t>
    </rPh>
    <rPh sb="3" eb="6">
      <t>ヘイコウセン</t>
    </rPh>
    <rPh sb="9" eb="12">
      <t>ソウセイサン</t>
    </rPh>
    <rPh sb="16" eb="17">
      <t>マ</t>
    </rPh>
    <phoneticPr fontId="2"/>
  </si>
  <si>
    <t>仮定②：B 社は1000円下げ、A社はその値下げ競争に参加しない</t>
    <rPh sb="0" eb="2">
      <t>カテイ</t>
    </rPh>
    <rPh sb="6" eb="7">
      <t>シャ</t>
    </rPh>
    <rPh sb="12" eb="13">
      <t>エン</t>
    </rPh>
    <rPh sb="13" eb="14">
      <t>サ</t>
    </rPh>
    <rPh sb="17" eb="18">
      <t>シャ</t>
    </rPh>
    <rPh sb="21" eb="23">
      <t>ネサ</t>
    </rPh>
    <rPh sb="24" eb="26">
      <t>キョウソウ</t>
    </rPh>
    <rPh sb="27" eb="29">
      <t>サンカ</t>
    </rPh>
    <phoneticPr fontId="2"/>
  </si>
  <si>
    <t>価格感応シェア弾性率</t>
    <rPh sb="0" eb="4">
      <t>カカクカンオウ</t>
    </rPh>
    <rPh sb="7" eb="10">
      <t>ダンセイリツ</t>
    </rPh>
    <phoneticPr fontId="2"/>
  </si>
  <si>
    <t>%  となった場合</t>
    <rPh sb="7" eb="9">
      <t>バアイ</t>
    </rPh>
    <phoneticPr fontId="2"/>
  </si>
  <si>
    <t>価格差が100円ごとに1%のA社市場シェアがB社に奪われる</t>
  </si>
  <si>
    <t>現在の累積生産台数差</t>
    <rPh sb="0" eb="2">
      <t>ゲンザイ</t>
    </rPh>
    <rPh sb="3" eb="9">
      <t>ルイセキセイサンダイスウ</t>
    </rPh>
    <rPh sb="9" eb="10">
      <t>サ</t>
    </rPh>
    <phoneticPr fontId="2"/>
  </si>
  <si>
    <t>A社シェア</t>
    <rPh sb="1" eb="2">
      <t>シャ</t>
    </rPh>
    <phoneticPr fontId="2"/>
  </si>
  <si>
    <t>B社シェア</t>
    <rPh sb="1" eb="2">
      <t>シャ</t>
    </rPh>
    <phoneticPr fontId="2"/>
  </si>
  <si>
    <t>1000円値下げした際の（累積台数逆転必要経過年数）と（価格と奪われ率の比率）の表</t>
    <rPh sb="4" eb="5">
      <t>エン</t>
    </rPh>
    <rPh sb="5" eb="7">
      <t>ネサ</t>
    </rPh>
    <rPh sb="10" eb="11">
      <t>サイ</t>
    </rPh>
    <rPh sb="13" eb="17">
      <t>ルイセキダイスウ</t>
    </rPh>
    <rPh sb="17" eb="19">
      <t>ギャクテン</t>
    </rPh>
    <rPh sb="19" eb="21">
      <t>ヒツヨウ</t>
    </rPh>
    <rPh sb="21" eb="23">
      <t>ケイカ</t>
    </rPh>
    <rPh sb="23" eb="25">
      <t>ネンスウ</t>
    </rPh>
    <rPh sb="28" eb="30">
      <t>カカク</t>
    </rPh>
    <rPh sb="31" eb="32">
      <t>ウバ</t>
    </rPh>
    <rPh sb="34" eb="35">
      <t>リツ</t>
    </rPh>
    <rPh sb="36" eb="38">
      <t>ヒリツ</t>
    </rPh>
    <rPh sb="40" eb="41">
      <t>ヒョウ</t>
    </rPh>
    <phoneticPr fontId="2"/>
  </si>
  <si>
    <t>年</t>
    <rPh sb="0" eb="1">
      <t>ネン</t>
    </rPh>
    <phoneticPr fontId="2"/>
  </si>
  <si>
    <t>年後</t>
    <rPh sb="0" eb="2">
      <t>ネンゴ</t>
    </rPh>
    <phoneticPr fontId="2"/>
  </si>
  <si>
    <t>%/円</t>
    <rPh sb="2" eb="3">
      <t>エン</t>
    </rPh>
    <phoneticPr fontId="2"/>
  </si>
  <si>
    <t>A社市場シェアのほうが大きいため、累積生産台数が逆転しない</t>
    <rPh sb="1" eb="2">
      <t>シャ</t>
    </rPh>
    <rPh sb="2" eb="4">
      <t>シジョウ</t>
    </rPh>
    <rPh sb="11" eb="12">
      <t>オオ</t>
    </rPh>
    <rPh sb="17" eb="21">
      <t>ルイセキセイサン</t>
    </rPh>
    <rPh sb="21" eb="23">
      <t>ダイスウ</t>
    </rPh>
    <rPh sb="24" eb="26">
      <t>ギャクテン</t>
    </rPh>
    <phoneticPr fontId="2"/>
  </si>
  <si>
    <t>累積生産台数逆転必要経過年数</t>
    <rPh sb="0" eb="2">
      <t>ルイセキ</t>
    </rPh>
    <rPh sb="2" eb="4">
      <t>セイサン</t>
    </rPh>
    <rPh sb="4" eb="6">
      <t>ダイスウ</t>
    </rPh>
    <rPh sb="6" eb="8">
      <t>ギャクテン</t>
    </rPh>
    <rPh sb="8" eb="12">
      <t>ヒツヨウケイカ</t>
    </rPh>
    <rPh sb="12" eb="14">
      <t>ネンスウ</t>
    </rPh>
    <phoneticPr fontId="2"/>
  </si>
  <si>
    <t>初年度生産生産台数差</t>
    <rPh sb="0" eb="3">
      <t>ショネンド</t>
    </rPh>
    <rPh sb="3" eb="5">
      <t>セイサン</t>
    </rPh>
    <rPh sb="5" eb="7">
      <t>セイサン</t>
    </rPh>
    <rPh sb="7" eb="9">
      <t>ダイスウ</t>
    </rPh>
    <rPh sb="9" eb="10">
      <t>サ</t>
    </rPh>
    <phoneticPr fontId="2"/>
  </si>
  <si>
    <t>A社</t>
    <rPh sb="1" eb="2">
      <t>シャ</t>
    </rPh>
    <phoneticPr fontId="2"/>
  </si>
  <si>
    <t>B社</t>
    <rPh sb="1" eb="2">
      <t>シャ</t>
    </rPh>
    <phoneticPr fontId="2"/>
  </si>
  <si>
    <t>B社の値下げによって生まれた価格差</t>
    <rPh sb="1" eb="2">
      <t>シャ</t>
    </rPh>
    <rPh sb="3" eb="5">
      <t>ネサ</t>
    </rPh>
    <rPh sb="10" eb="11">
      <t>ウ</t>
    </rPh>
    <rPh sb="14" eb="17">
      <t>カカクサ</t>
    </rPh>
    <phoneticPr fontId="2"/>
  </si>
  <si>
    <t>仮定②：B 社は2000円下げ、A社はその値下げ競争に参加しない</t>
    <rPh sb="0" eb="2">
      <t>カテイ</t>
    </rPh>
    <rPh sb="6" eb="7">
      <t>シャ</t>
    </rPh>
    <rPh sb="12" eb="13">
      <t>エン</t>
    </rPh>
    <rPh sb="13" eb="14">
      <t>サ</t>
    </rPh>
    <rPh sb="17" eb="18">
      <t>シャ</t>
    </rPh>
    <rPh sb="21" eb="23">
      <t>ネサ</t>
    </rPh>
    <rPh sb="24" eb="26">
      <t>キョウソウ</t>
    </rPh>
    <rPh sb="27" eb="29">
      <t>サンカ</t>
    </rPh>
    <phoneticPr fontId="2"/>
  </si>
  <si>
    <t>2000円値下げした際の（累積台数逆転必要経過年数）と（価格と奪われ率の比率）の表</t>
    <rPh sb="4" eb="5">
      <t>エン</t>
    </rPh>
    <rPh sb="5" eb="7">
      <t>ネサ</t>
    </rPh>
    <rPh sb="10" eb="11">
      <t>サイ</t>
    </rPh>
    <rPh sb="13" eb="17">
      <t>ルイセキダイスウ</t>
    </rPh>
    <rPh sb="17" eb="19">
      <t>ギャクテン</t>
    </rPh>
    <rPh sb="19" eb="21">
      <t>ヒツヨウ</t>
    </rPh>
    <rPh sb="21" eb="23">
      <t>ケイカ</t>
    </rPh>
    <rPh sb="23" eb="25">
      <t>ネンスウ</t>
    </rPh>
    <rPh sb="28" eb="30">
      <t>カカク</t>
    </rPh>
    <rPh sb="31" eb="32">
      <t>ウバ</t>
    </rPh>
    <rPh sb="34" eb="35">
      <t>リツ</t>
    </rPh>
    <rPh sb="36" eb="38">
      <t>ヒリツ</t>
    </rPh>
    <rPh sb="40" eb="41">
      <t>ヒョウ</t>
    </rPh>
    <phoneticPr fontId="2"/>
  </si>
  <si>
    <t>3000円値下げした際の（累積台数逆転必要経過年数）と（価格と奪われ率の比率）の表</t>
    <rPh sb="4" eb="5">
      <t>エン</t>
    </rPh>
    <rPh sb="5" eb="7">
      <t>ネサ</t>
    </rPh>
    <rPh sb="10" eb="11">
      <t>サイ</t>
    </rPh>
    <rPh sb="13" eb="17">
      <t>ルイセキダイスウ</t>
    </rPh>
    <rPh sb="17" eb="19">
      <t>ギャクテン</t>
    </rPh>
    <rPh sb="19" eb="21">
      <t>ヒツヨウ</t>
    </rPh>
    <rPh sb="21" eb="23">
      <t>ケイカ</t>
    </rPh>
    <rPh sb="23" eb="25">
      <t>ネンスウ</t>
    </rPh>
    <rPh sb="28" eb="30">
      <t>カカク</t>
    </rPh>
    <rPh sb="31" eb="32">
      <t>ウバ</t>
    </rPh>
    <rPh sb="34" eb="35">
      <t>リツ</t>
    </rPh>
    <rPh sb="36" eb="38">
      <t>ヒリツ</t>
    </rPh>
    <rPh sb="40" eb="41">
      <t>ヒョウ</t>
    </rPh>
    <phoneticPr fontId="2"/>
  </si>
  <si>
    <t>仮定②：B 社は3000円下げ、A社はその値下げ競争に参加しない</t>
    <rPh sb="0" eb="2">
      <t>カテイ</t>
    </rPh>
    <rPh sb="6" eb="7">
      <t>シャ</t>
    </rPh>
    <rPh sb="12" eb="13">
      <t>エン</t>
    </rPh>
    <rPh sb="13" eb="14">
      <t>サ</t>
    </rPh>
    <rPh sb="17" eb="18">
      <t>シャ</t>
    </rPh>
    <rPh sb="21" eb="23">
      <t>ネサ</t>
    </rPh>
    <rPh sb="24" eb="26">
      <t>キョウソウ</t>
    </rPh>
    <rPh sb="27" eb="29">
      <t>サンカ</t>
    </rPh>
    <phoneticPr fontId="2"/>
  </si>
  <si>
    <t>初年度から市場シェアが逆転する</t>
    <rPh sb="0" eb="3">
      <t>ショネンド</t>
    </rPh>
    <rPh sb="5" eb="7">
      <t>シジョウ</t>
    </rPh>
    <rPh sb="11" eb="13">
      <t>ギャクテン</t>
    </rPh>
    <phoneticPr fontId="2"/>
  </si>
  <si>
    <t>800円値下げした際の（累積台数逆転必要経過年数）と（価格と奪われ率の比率）の表</t>
    <rPh sb="3" eb="4">
      <t>エン</t>
    </rPh>
    <rPh sb="4" eb="6">
      <t>ネサ</t>
    </rPh>
    <rPh sb="9" eb="10">
      <t>サイ</t>
    </rPh>
    <rPh sb="12" eb="16">
      <t>ルイセキダイスウ</t>
    </rPh>
    <rPh sb="16" eb="18">
      <t>ギャクテン</t>
    </rPh>
    <rPh sb="18" eb="20">
      <t>ヒツヨウ</t>
    </rPh>
    <rPh sb="20" eb="22">
      <t>ケイカ</t>
    </rPh>
    <rPh sb="22" eb="24">
      <t>ネンスウ</t>
    </rPh>
    <rPh sb="27" eb="29">
      <t>カカク</t>
    </rPh>
    <rPh sb="30" eb="31">
      <t>ウバ</t>
    </rPh>
    <rPh sb="33" eb="34">
      <t>リツ</t>
    </rPh>
    <rPh sb="35" eb="37">
      <t>ヒリツ</t>
    </rPh>
    <rPh sb="39" eb="40">
      <t>ヒョウ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</si>
</sst>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_ "/>
    <numFmt numFmtId="182" formatCode="#,##0.0000;[Red]\-#,##0.0000"/>
  </numFmts>
  <fonts count="1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3" tint="0.249977111117893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b/>
      <sz val="11"/>
      <name val="游ゴシック"/>
      <family val="3"/>
      <charset val="128"/>
      <scheme val="minor"/>
    </font>
    <font>
      <sz val="11"/>
      <color theme="1" tint="0.249977111117893"/>
      <name val="游ゴシック"/>
      <family val="3"/>
      <charset val="128"/>
      <scheme val="minor"/>
    </font>
    <font>
      <b/>
      <sz val="11"/>
      <color theme="1" tint="0.249977111117893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dotted">
        <color auto="1"/>
      </bottom>
      <diagonal/>
    </border>
    <border>
      <left style="thin">
        <color indexed="64"/>
      </left>
      <right/>
      <top style="hair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n">
        <color indexed="64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thin">
        <color indexed="64"/>
      </left>
      <right/>
      <top style="dotted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9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0" xfId="0" applyFill="1" applyBorder="1">
      <alignment vertical="center"/>
    </xf>
    <xf numFmtId="0" fontId="0" fillId="3" borderId="1" xfId="0" applyFill="1" applyBorder="1">
      <alignment vertical="center"/>
    </xf>
    <xf numFmtId="2" fontId="0" fillId="2" borderId="7" xfId="0" applyNumberFormat="1" applyFill="1" applyBorder="1">
      <alignment vertical="center"/>
    </xf>
    <xf numFmtId="2" fontId="0" fillId="2" borderId="0" xfId="0" applyNumberFormat="1" applyFill="1">
      <alignment vertical="center"/>
    </xf>
    <xf numFmtId="2" fontId="0" fillId="2" borderId="6" xfId="0" applyNumberFormat="1" applyFill="1" applyBorder="1">
      <alignment vertical="center"/>
    </xf>
    <xf numFmtId="2" fontId="0" fillId="2" borderId="1" xfId="0" applyNumberFormat="1" applyFill="1" applyBorder="1">
      <alignment vertical="center"/>
    </xf>
    <xf numFmtId="0" fontId="0" fillId="3" borderId="0" xfId="0" applyFill="1">
      <alignment vertical="center"/>
    </xf>
    <xf numFmtId="38" fontId="0" fillId="2" borderId="0" xfId="1" applyFont="1" applyFill="1" applyAlignment="1">
      <alignment horizontal="right"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38" fontId="0" fillId="2" borderId="10" xfId="1" applyFont="1" applyFill="1" applyBorder="1" applyAlignment="1">
      <alignment horizontal="right" vertical="center"/>
    </xf>
    <xf numFmtId="0" fontId="0" fillId="2" borderId="11" xfId="0" applyFill="1" applyBorder="1">
      <alignment vertical="center"/>
    </xf>
    <xf numFmtId="0" fontId="0" fillId="2" borderId="2" xfId="0" applyFill="1" applyBorder="1">
      <alignment vertical="center"/>
    </xf>
    <xf numFmtId="0" fontId="3" fillId="2" borderId="0" xfId="0" applyFont="1" applyFill="1">
      <alignment vertical="center"/>
    </xf>
    <xf numFmtId="38" fontId="0" fillId="2" borderId="2" xfId="1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38" fontId="4" fillId="2" borderId="11" xfId="1" applyFont="1" applyFill="1" applyBorder="1" applyAlignment="1">
      <alignment horizontal="right" vertical="center"/>
    </xf>
    <xf numFmtId="38" fontId="4" fillId="2" borderId="9" xfId="1" applyFont="1" applyFill="1" applyBorder="1" applyAlignment="1">
      <alignment horizontal="right" vertical="center"/>
    </xf>
    <xf numFmtId="38" fontId="4" fillId="2" borderId="10" xfId="1" applyFont="1" applyFill="1" applyBorder="1" applyAlignment="1">
      <alignment horizontal="right" vertical="center"/>
    </xf>
    <xf numFmtId="0" fontId="4" fillId="2" borderId="0" xfId="0" applyFont="1" applyFill="1">
      <alignment vertical="center"/>
    </xf>
    <xf numFmtId="0" fontId="0" fillId="2" borderId="8" xfId="0" applyFill="1" applyBorder="1" applyAlignment="1">
      <alignment horizontal="right" vertical="center"/>
    </xf>
    <xf numFmtId="0" fontId="0" fillId="2" borderId="11" xfId="0" applyFill="1" applyBorder="1" applyAlignment="1">
      <alignment horizontal="right" vertical="center"/>
    </xf>
    <xf numFmtId="0" fontId="0" fillId="2" borderId="2" xfId="0" applyFill="1" applyBorder="1" applyAlignment="1">
      <alignment horizontal="right" vertical="center"/>
    </xf>
    <xf numFmtId="0" fontId="5" fillId="2" borderId="0" xfId="0" applyFont="1" applyFill="1">
      <alignment vertical="center"/>
    </xf>
    <xf numFmtId="38" fontId="4" fillId="2" borderId="11" xfId="1" applyFont="1" applyFill="1" applyBorder="1">
      <alignment vertical="center"/>
    </xf>
    <xf numFmtId="38" fontId="4" fillId="2" borderId="9" xfId="1" applyFont="1" applyFill="1" applyBorder="1">
      <alignment vertical="center"/>
    </xf>
    <xf numFmtId="38" fontId="4" fillId="2" borderId="10" xfId="1" applyFont="1" applyFill="1" applyBorder="1">
      <alignment vertical="center"/>
    </xf>
    <xf numFmtId="38" fontId="6" fillId="2" borderId="10" xfId="1" applyFont="1" applyFill="1" applyBorder="1">
      <alignment vertical="center"/>
    </xf>
    <xf numFmtId="38" fontId="0" fillId="2" borderId="0" xfId="0" applyNumberFormat="1" applyFill="1">
      <alignment vertical="center"/>
    </xf>
    <xf numFmtId="9" fontId="0" fillId="2" borderId="9" xfId="2" applyFont="1" applyFill="1" applyBorder="1">
      <alignment vertical="center"/>
    </xf>
    <xf numFmtId="9" fontId="0" fillId="2" borderId="10" xfId="2" applyFont="1" applyFill="1" applyBorder="1">
      <alignment vertical="center"/>
    </xf>
    <xf numFmtId="9" fontId="3" fillId="2" borderId="0" xfId="2" applyFont="1" applyFill="1" applyAlignment="1">
      <alignment horizontal="left" vertical="center"/>
    </xf>
    <xf numFmtId="180" fontId="0" fillId="2" borderId="9" xfId="2" applyNumberFormat="1" applyFont="1" applyFill="1" applyBorder="1" applyAlignment="1">
      <alignment horizontal="right" vertical="center"/>
    </xf>
    <xf numFmtId="38" fontId="0" fillId="2" borderId="0" xfId="0" applyNumberFormat="1" applyFill="1" applyAlignment="1">
      <alignment horizontal="left" vertical="center"/>
    </xf>
    <xf numFmtId="0" fontId="0" fillId="2" borderId="0" xfId="0" applyFill="1" applyBorder="1" applyAlignment="1">
      <alignment horizontal="right" vertical="center"/>
    </xf>
    <xf numFmtId="9" fontId="0" fillId="2" borderId="0" xfId="2" applyFont="1" applyFill="1" applyBorder="1">
      <alignment vertical="center"/>
    </xf>
    <xf numFmtId="38" fontId="3" fillId="2" borderId="0" xfId="0" applyNumberFormat="1" applyFont="1" applyFill="1" applyAlignment="1">
      <alignment horizontal="left" vertical="center"/>
    </xf>
    <xf numFmtId="38" fontId="0" fillId="2" borderId="9" xfId="1" applyFont="1" applyFill="1" applyBorder="1">
      <alignment vertical="center"/>
    </xf>
    <xf numFmtId="38" fontId="3" fillId="2" borderId="10" xfId="1" applyFont="1" applyFill="1" applyBorder="1">
      <alignment vertical="center"/>
    </xf>
    <xf numFmtId="38" fontId="0" fillId="2" borderId="8" xfId="1" applyFont="1" applyFill="1" applyBorder="1" applyAlignment="1">
      <alignment horizontal="right" vertical="center"/>
    </xf>
    <xf numFmtId="38" fontId="0" fillId="2" borderId="11" xfId="1" applyFont="1" applyFill="1" applyBorder="1">
      <alignment vertical="center"/>
    </xf>
    <xf numFmtId="0" fontId="0" fillId="2" borderId="10" xfId="0" applyFill="1" applyBorder="1" applyAlignment="1">
      <alignment horizontal="right" vertical="center"/>
    </xf>
    <xf numFmtId="0" fontId="0" fillId="2" borderId="12" xfId="0" applyFill="1" applyBorder="1" applyAlignment="1">
      <alignment horizontal="right" vertical="center"/>
    </xf>
    <xf numFmtId="0" fontId="0" fillId="2" borderId="13" xfId="0" applyFill="1" applyBorder="1" applyAlignment="1">
      <alignment horizontal="right" vertical="center"/>
    </xf>
    <xf numFmtId="38" fontId="4" fillId="2" borderId="14" xfId="1" applyFont="1" applyFill="1" applyBorder="1">
      <alignment vertical="center"/>
    </xf>
    <xf numFmtId="38" fontId="0" fillId="2" borderId="15" xfId="1" applyFont="1" applyFill="1" applyBorder="1">
      <alignment vertical="center"/>
    </xf>
    <xf numFmtId="182" fontId="0" fillId="2" borderId="0" xfId="0" applyNumberFormat="1" applyFill="1">
      <alignment vertical="center"/>
    </xf>
    <xf numFmtId="0" fontId="0" fillId="2" borderId="16" xfId="0" applyFill="1" applyBorder="1">
      <alignment vertical="center"/>
    </xf>
    <xf numFmtId="38" fontId="0" fillId="2" borderId="17" xfId="1" applyFont="1" applyFill="1" applyBorder="1">
      <alignment vertical="center"/>
    </xf>
    <xf numFmtId="38" fontId="0" fillId="2" borderId="16" xfId="1" applyFont="1" applyFill="1" applyBorder="1">
      <alignment vertical="center"/>
    </xf>
    <xf numFmtId="0" fontId="0" fillId="2" borderId="18" xfId="0" applyFill="1" applyBorder="1">
      <alignment vertical="center"/>
    </xf>
    <xf numFmtId="38" fontId="0" fillId="2" borderId="19" xfId="1" applyFont="1" applyFill="1" applyBorder="1">
      <alignment vertical="center"/>
    </xf>
    <xf numFmtId="38" fontId="0" fillId="2" borderId="18" xfId="1" applyFont="1" applyFill="1" applyBorder="1">
      <alignment vertical="center"/>
    </xf>
    <xf numFmtId="0" fontId="0" fillId="2" borderId="20" xfId="0" applyFill="1" applyBorder="1">
      <alignment vertical="center"/>
    </xf>
    <xf numFmtId="38" fontId="0" fillId="2" borderId="21" xfId="1" applyFont="1" applyFill="1" applyBorder="1">
      <alignment vertical="center"/>
    </xf>
    <xf numFmtId="38" fontId="0" fillId="2" borderId="20" xfId="1" applyFont="1" applyFill="1" applyBorder="1">
      <alignment vertical="center"/>
    </xf>
    <xf numFmtId="0" fontId="0" fillId="2" borderId="15" xfId="0" applyFill="1" applyBorder="1">
      <alignment vertical="center"/>
    </xf>
    <xf numFmtId="0" fontId="0" fillId="2" borderId="1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2" xfId="0" applyFill="1" applyBorder="1">
      <alignment vertical="center"/>
    </xf>
    <xf numFmtId="0" fontId="3" fillId="2" borderId="11" xfId="0" applyFont="1" applyFill="1" applyBorder="1">
      <alignment vertical="center"/>
    </xf>
    <xf numFmtId="0" fontId="3" fillId="2" borderId="9" xfId="0" applyFont="1" applyFill="1" applyBorder="1">
      <alignment vertical="center"/>
    </xf>
    <xf numFmtId="0" fontId="3" fillId="2" borderId="10" xfId="0" applyFont="1" applyFill="1" applyBorder="1">
      <alignment vertical="center"/>
    </xf>
    <xf numFmtId="38" fontId="3" fillId="2" borderId="11" xfId="1" applyFont="1" applyFill="1" applyBorder="1" applyAlignment="1">
      <alignment horizontal="right" vertical="center"/>
    </xf>
    <xf numFmtId="38" fontId="3" fillId="2" borderId="9" xfId="1" applyFont="1" applyFill="1" applyBorder="1" applyAlignment="1">
      <alignment horizontal="right" vertical="center"/>
    </xf>
    <xf numFmtId="38" fontId="3" fillId="2" borderId="16" xfId="1" applyFont="1" applyFill="1" applyBorder="1" applyAlignment="1">
      <alignment horizontal="right" vertical="center"/>
    </xf>
    <xf numFmtId="38" fontId="3" fillId="2" borderId="18" xfId="1" applyFont="1" applyFill="1" applyBorder="1" applyAlignment="1">
      <alignment horizontal="right" vertical="center"/>
    </xf>
    <xf numFmtId="38" fontId="3" fillId="2" borderId="20" xfId="1" applyFont="1" applyFill="1" applyBorder="1" applyAlignment="1">
      <alignment horizontal="right" vertical="center"/>
    </xf>
    <xf numFmtId="0" fontId="0" fillId="2" borderId="4" xfId="0" applyFill="1" applyBorder="1" applyAlignment="1">
      <alignment horizontal="right" vertical="center"/>
    </xf>
    <xf numFmtId="38" fontId="4" fillId="2" borderId="15" xfId="1" applyFont="1" applyFill="1" applyBorder="1">
      <alignment vertical="center"/>
    </xf>
    <xf numFmtId="38" fontId="7" fillId="2" borderId="13" xfId="1" applyFont="1" applyFill="1" applyBorder="1">
      <alignment vertical="center"/>
    </xf>
    <xf numFmtId="38" fontId="4" fillId="2" borderId="15" xfId="1" applyFont="1" applyFill="1" applyBorder="1" applyAlignment="1">
      <alignment horizontal="right" vertical="center"/>
    </xf>
    <xf numFmtId="0" fontId="8" fillId="2" borderId="2" xfId="0" applyFont="1" applyFill="1" applyBorder="1">
      <alignment vertical="center"/>
    </xf>
    <xf numFmtId="0" fontId="8" fillId="2" borderId="4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right" vertical="center"/>
    </xf>
    <xf numFmtId="0" fontId="8" fillId="2" borderId="11" xfId="0" applyFont="1" applyFill="1" applyBorder="1">
      <alignment vertical="center"/>
    </xf>
    <xf numFmtId="38" fontId="8" fillId="2" borderId="14" xfId="1" applyFont="1" applyFill="1" applyBorder="1">
      <alignment vertical="center"/>
    </xf>
    <xf numFmtId="38" fontId="8" fillId="2" borderId="11" xfId="1" applyFont="1" applyFill="1" applyBorder="1">
      <alignment vertical="center"/>
    </xf>
    <xf numFmtId="0" fontId="8" fillId="2" borderId="9" xfId="0" applyFont="1" applyFill="1" applyBorder="1">
      <alignment vertical="center"/>
    </xf>
    <xf numFmtId="38" fontId="8" fillId="2" borderId="15" xfId="1" applyFont="1" applyFill="1" applyBorder="1" applyAlignment="1">
      <alignment horizontal="right" vertical="center"/>
    </xf>
    <xf numFmtId="38" fontId="8" fillId="2" borderId="9" xfId="1" applyFont="1" applyFill="1" applyBorder="1">
      <alignment vertical="center"/>
    </xf>
    <xf numFmtId="38" fontId="8" fillId="2" borderId="15" xfId="1" applyFont="1" applyFill="1" applyBorder="1">
      <alignment vertical="center"/>
    </xf>
    <xf numFmtId="0" fontId="8" fillId="2" borderId="10" xfId="0" applyFont="1" applyFill="1" applyBorder="1">
      <alignment vertical="center"/>
    </xf>
    <xf numFmtId="38" fontId="9" fillId="2" borderId="13" xfId="1" applyFont="1" applyFill="1" applyBorder="1">
      <alignment vertical="center"/>
    </xf>
    <xf numFmtId="38" fontId="9" fillId="2" borderId="10" xfId="1" applyFont="1" applyFill="1" applyBorder="1">
      <alignment vertical="center"/>
    </xf>
    <xf numFmtId="0" fontId="8" fillId="2" borderId="11" xfId="0" applyFont="1" applyFill="1" applyBorder="1" applyAlignment="1">
      <alignment horizontal="right" vertical="center"/>
    </xf>
    <xf numFmtId="0" fontId="8" fillId="2" borderId="9" xfId="0" applyFont="1" applyFill="1" applyBorder="1" applyAlignment="1">
      <alignment horizontal="right" vertical="center"/>
    </xf>
    <xf numFmtId="0" fontId="8" fillId="2" borderId="10" xfId="0" applyFont="1" applyFill="1" applyBorder="1" applyAlignment="1">
      <alignment horizontal="right" vertical="center"/>
    </xf>
    <xf numFmtId="0" fontId="0" fillId="2" borderId="22" xfId="0" applyFill="1" applyBorder="1">
      <alignment vertical="center"/>
    </xf>
    <xf numFmtId="0" fontId="3" fillId="2" borderId="22" xfId="0" applyFont="1" applyFill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BCG</a:t>
            </a:r>
            <a:r>
              <a:rPr lang="ja-JP" altLang="en-US"/>
              <a:t>（</a:t>
            </a:r>
            <a:r>
              <a:rPr lang="en-US" altLang="ja-JP"/>
              <a:t>2020</a:t>
            </a:r>
            <a:r>
              <a:rPr lang="ja-JP" altLang="en-US"/>
              <a:t>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'3.4_BCG'!$P$11</c:f>
              <c:strCache>
                <c:ptCount val="1"/>
                <c:pt idx="0">
                  <c:v>市場成長率推定（％）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'3.4_BCG'!$O$12:$O$15</c:f>
              <c:numCache>
                <c:formatCode>General</c:formatCode>
                <c:ptCount val="4"/>
                <c:pt idx="0">
                  <c:v>1.75</c:v>
                </c:pt>
                <c:pt idx="1">
                  <c:v>1.4</c:v>
                </c:pt>
                <c:pt idx="2">
                  <c:v>0.4</c:v>
                </c:pt>
                <c:pt idx="3">
                  <c:v>0.16666666666666666</c:v>
                </c:pt>
              </c:numCache>
            </c:numRef>
          </c:xVal>
          <c:yVal>
            <c:numRef>
              <c:f>'3.4_BCG'!$P$12:$P$15</c:f>
              <c:numCache>
                <c:formatCode>General</c:formatCode>
                <c:ptCount val="4"/>
                <c:pt idx="0">
                  <c:v>5</c:v>
                </c:pt>
                <c:pt idx="1">
                  <c:v>12</c:v>
                </c:pt>
                <c:pt idx="2">
                  <c:v>15</c:v>
                </c:pt>
                <c:pt idx="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98-45F3-889C-6345C5891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1036320"/>
        <c:axId val="1971028160"/>
      </c:scatterChart>
      <c:valAx>
        <c:axId val="1971036320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1028160"/>
        <c:crosses val="autoZero"/>
        <c:crossBetween val="midCat"/>
      </c:valAx>
      <c:valAx>
        <c:axId val="197102816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high"/>
        <c:spPr>
          <a:solidFill>
            <a:schemeClr val="bg1"/>
          </a:solidFill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103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BCG</a:t>
            </a:r>
            <a:r>
              <a:rPr lang="ja-JP" altLang="en-US"/>
              <a:t>（</a:t>
            </a:r>
            <a:r>
              <a:rPr lang="en-US" altLang="ja-JP"/>
              <a:t>2022</a:t>
            </a:r>
            <a:r>
              <a:rPr lang="ja-JP" altLang="en-US"/>
              <a:t>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'3.4_BCG'!$P$17</c:f>
              <c:strCache>
                <c:ptCount val="1"/>
                <c:pt idx="0">
                  <c:v>市場成長率推定（％）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'3.4_BCG'!$O$18:$O$21</c:f>
              <c:numCache>
                <c:formatCode>General</c:formatCode>
                <c:ptCount val="4"/>
                <c:pt idx="0">
                  <c:v>1.9</c:v>
                </c:pt>
                <c:pt idx="1">
                  <c:v>1.1363636363636365</c:v>
                </c:pt>
                <c:pt idx="2">
                  <c:v>0.37037037037037035</c:v>
                </c:pt>
                <c:pt idx="3">
                  <c:v>0.16666666666666666</c:v>
                </c:pt>
              </c:numCache>
            </c:numRef>
          </c:xVal>
          <c:yVal>
            <c:numRef>
              <c:f>'3.4_BCG'!$P$18:$P$21</c:f>
              <c:numCache>
                <c:formatCode>General</c:formatCode>
                <c:ptCount val="4"/>
                <c:pt idx="0">
                  <c:v>2</c:v>
                </c:pt>
                <c:pt idx="1">
                  <c:v>15</c:v>
                </c:pt>
                <c:pt idx="2">
                  <c:v>17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3E-424F-9331-E80D7A6BA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1002720"/>
        <c:axId val="1970997920"/>
      </c:scatterChart>
      <c:valAx>
        <c:axId val="1971002720"/>
        <c:scaling>
          <c:logBase val="10"/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0997920"/>
        <c:crosses val="autoZero"/>
        <c:crossBetween val="midCat"/>
      </c:valAx>
      <c:valAx>
        <c:axId val="197099792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1002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'3.7_エクスペリエンスカーブ'!$V$11:$V$12</c:f>
              <c:strCache>
                <c:ptCount val="2"/>
                <c:pt idx="0">
                  <c:v>累積生産台数差</c:v>
                </c:pt>
                <c:pt idx="1">
                  <c:v>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'3.7_エクスペリエンスカーブ'!$P$13:$P$27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'3.7_エクスペリエンスカーブ'!$V$13:$V$27</c:f>
              <c:numCache>
                <c:formatCode>#,##0_);[Red]\(#,##0\)</c:formatCode>
                <c:ptCount val="15"/>
                <c:pt idx="0">
                  <c:v>58000</c:v>
                </c:pt>
                <c:pt idx="1">
                  <c:v>55700</c:v>
                </c:pt>
                <c:pt idx="2">
                  <c:v>53055</c:v>
                </c:pt>
                <c:pt idx="3">
                  <c:v>50013.25</c:v>
                </c:pt>
                <c:pt idx="4">
                  <c:v>46515.237500000017</c:v>
                </c:pt>
                <c:pt idx="5">
                  <c:v>42492.523125000007</c:v>
                </c:pt>
                <c:pt idx="6">
                  <c:v>37866.401593750023</c:v>
                </c:pt>
                <c:pt idx="7">
                  <c:v>32546.361832812516</c:v>
                </c:pt>
                <c:pt idx="8">
                  <c:v>26428.316107734398</c:v>
                </c:pt>
                <c:pt idx="9">
                  <c:v>19392.563523894525</c:v>
                </c:pt>
                <c:pt idx="10">
                  <c:v>11301.448052478721</c:v>
                </c:pt>
                <c:pt idx="11">
                  <c:v>1996.6652603505645</c:v>
                </c:pt>
                <c:pt idx="12">
                  <c:v>-8703.834950596909</c:v>
                </c:pt>
                <c:pt idx="13">
                  <c:v>-21009.410193186428</c:v>
                </c:pt>
                <c:pt idx="14">
                  <c:v>-35160.821722164343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6-4674-A9CD-ACD3EE0A0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1034880"/>
        <c:axId val="1971036320"/>
      </c:barChart>
      <c:catAx>
        <c:axId val="197103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1036320"/>
        <c:crosses val="autoZero"/>
        <c:auto val="1"/>
        <c:lblAlgn val="ctr"/>
        <c:lblOffset val="100"/>
        <c:noMultiLvlLbl val="0"/>
      </c:catAx>
      <c:valAx>
        <c:axId val="197103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103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'3.7_エクスペリエンスカーブ'!$Y$88:$Y$104</c:f>
              <c:numCache>
                <c:formatCode>General</c:formatCode>
                <c:ptCount val="17"/>
                <c:pt idx="0">
                  <c:v>8.0000000000000002E-3</c:v>
                </c:pt>
                <c:pt idx="1">
                  <c:v>0.01</c:v>
                </c:pt>
                <c:pt idx="2">
                  <c:v>1.2E-2</c:v>
                </c:pt>
                <c:pt idx="3">
                  <c:v>1.4E-2</c:v>
                </c:pt>
                <c:pt idx="4">
                  <c:v>1.6E-2</c:v>
                </c:pt>
                <c:pt idx="5">
                  <c:v>1.7999999999999999E-2</c:v>
                </c:pt>
                <c:pt idx="6">
                  <c:v>0.02</c:v>
                </c:pt>
                <c:pt idx="7">
                  <c:v>2.1999999999999999E-2</c:v>
                </c:pt>
                <c:pt idx="8">
                  <c:v>2.4E-2</c:v>
                </c:pt>
                <c:pt idx="9">
                  <c:v>2.5999999999999999E-2</c:v>
                </c:pt>
                <c:pt idx="10">
                  <c:v>2.8000000000000001E-2</c:v>
                </c:pt>
                <c:pt idx="11">
                  <c:v>0.03</c:v>
                </c:pt>
                <c:pt idx="12">
                  <c:v>3.2000000000000001E-2</c:v>
                </c:pt>
                <c:pt idx="13">
                  <c:v>3.4000000000000002E-2</c:v>
                </c:pt>
                <c:pt idx="14">
                  <c:v>3.5999999999999997E-2</c:v>
                </c:pt>
                <c:pt idx="15">
                  <c:v>3.7999999999999999E-2</c:v>
                </c:pt>
                <c:pt idx="16">
                  <c:v>0.04</c:v>
                </c:pt>
              </c:numCache>
            </c:numRef>
          </c:xVal>
          <c:yVal>
            <c:numRef>
              <c:f>'3.7_エクスペリエンスカーブ'!$AC$88:$AC$104</c:f>
              <c:numCache>
                <c:formatCode>General</c:formatCode>
                <c:ptCount val="17"/>
                <c:pt idx="0">
                  <c:v>26</c:v>
                </c:pt>
                <c:pt idx="1">
                  <c:v>17</c:v>
                </c:pt>
                <c:pt idx="2">
                  <c:v>14</c:v>
                </c:pt>
                <c:pt idx="3">
                  <c:v>12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8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43-4F9B-95BC-A0F886657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4568944"/>
        <c:axId val="2004566544"/>
      </c:scatterChart>
      <c:valAx>
        <c:axId val="2004568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04566544"/>
        <c:crosses val="autoZero"/>
        <c:crossBetween val="midCat"/>
      </c:valAx>
      <c:valAx>
        <c:axId val="200456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0456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'3.7_エクスペリエンスカーブ'!$Y$42:$Y$59</c:f>
              <c:numCache>
                <c:formatCode>General</c:formatCode>
                <c:ptCount val="18"/>
                <c:pt idx="0">
                  <c:v>3.0000000000000001E-3</c:v>
                </c:pt>
                <c:pt idx="1">
                  <c:v>4.0000000000000001E-3</c:v>
                </c:pt>
                <c:pt idx="2">
                  <c:v>5.0000000000000001E-3</c:v>
                </c:pt>
                <c:pt idx="3">
                  <c:v>6.0000000000000001E-3</c:v>
                </c:pt>
                <c:pt idx="4">
                  <c:v>7.0000000000000001E-3</c:v>
                </c:pt>
                <c:pt idx="5">
                  <c:v>8.0000000000000002E-3</c:v>
                </c:pt>
                <c:pt idx="6">
                  <c:v>8.9999999999999993E-3</c:v>
                </c:pt>
                <c:pt idx="7">
                  <c:v>0.01</c:v>
                </c:pt>
                <c:pt idx="8">
                  <c:v>1.0999999999999999E-2</c:v>
                </c:pt>
                <c:pt idx="9">
                  <c:v>1.2E-2</c:v>
                </c:pt>
                <c:pt idx="10">
                  <c:v>1.2999999999999999E-2</c:v>
                </c:pt>
                <c:pt idx="11">
                  <c:v>1.4E-2</c:v>
                </c:pt>
                <c:pt idx="12">
                  <c:v>1.4999999999999999E-2</c:v>
                </c:pt>
                <c:pt idx="13">
                  <c:v>1.6E-2</c:v>
                </c:pt>
                <c:pt idx="14">
                  <c:v>1.7000000000000001E-2</c:v>
                </c:pt>
                <c:pt idx="15">
                  <c:v>1.7999999999999999E-2</c:v>
                </c:pt>
                <c:pt idx="16">
                  <c:v>1.9E-2</c:v>
                </c:pt>
                <c:pt idx="17">
                  <c:v>0.02</c:v>
                </c:pt>
              </c:numCache>
            </c:numRef>
          </c:xVal>
          <c:yVal>
            <c:numRef>
              <c:f>'3.7_エクスペリエンスカーブ'!$AC$42:$AC$59</c:f>
              <c:numCache>
                <c:formatCode>General</c:formatCode>
                <c:ptCount val="18"/>
                <c:pt idx="0">
                  <c:v>22</c:v>
                </c:pt>
                <c:pt idx="1">
                  <c:v>15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4A-46CC-9325-9CC3906CC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6361984"/>
        <c:axId val="2106363424"/>
      </c:scatterChart>
      <c:valAx>
        <c:axId val="210636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06363424"/>
        <c:crosses val="autoZero"/>
        <c:crossBetween val="midCat"/>
      </c:valAx>
      <c:valAx>
        <c:axId val="210636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06361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600075</xdr:colOff>
      <xdr:row>10</xdr:row>
      <xdr:rowOff>157162</xdr:rowOff>
    </xdr:from>
    <xdr:to>
      <xdr:col>23</xdr:col>
      <xdr:colOff>371475</xdr:colOff>
      <xdr:row>22</xdr:row>
      <xdr:rowOff>42862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C702DE35-A51D-D1F9-FA58-B9F1EDCFB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604837</xdr:colOff>
      <xdr:row>23</xdr:row>
      <xdr:rowOff>147637</xdr:rowOff>
    </xdr:from>
    <xdr:to>
      <xdr:col>23</xdr:col>
      <xdr:colOff>376237</xdr:colOff>
      <xdr:row>35</xdr:row>
      <xdr:rowOff>33337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F0D2CD49-ACEA-8BA0-FFD3-780A74C73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775608</xdr:colOff>
      <xdr:row>35</xdr:row>
      <xdr:rowOff>240846</xdr:rowOff>
    </xdr:from>
    <xdr:to>
      <xdr:col>20</xdr:col>
      <xdr:colOff>693965</xdr:colOff>
      <xdr:row>47</xdr:row>
      <xdr:rowOff>44903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05045AA-9885-824D-DDE4-7236E32CA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244929</xdr:colOff>
      <xdr:row>85</xdr:row>
      <xdr:rowOff>77559</xdr:rowOff>
    </xdr:from>
    <xdr:to>
      <xdr:col>23</xdr:col>
      <xdr:colOff>27215</xdr:colOff>
      <xdr:row>96</xdr:row>
      <xdr:rowOff>126545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A214C5E-C66A-253E-0895-CC064FD11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938894</xdr:colOff>
      <xdr:row>48</xdr:row>
      <xdr:rowOff>104775</xdr:rowOff>
    </xdr:from>
    <xdr:to>
      <xdr:col>22</xdr:col>
      <xdr:colOff>312965</xdr:colOff>
      <xdr:row>59</xdr:row>
      <xdr:rowOff>153760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6EBA4F8D-BA66-3412-FFA6-665DA4456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A08C3-64BD-4F20-82FB-6EF1E2663D65}">
  <dimension ref="B3:W34"/>
  <sheetViews>
    <sheetView workbookViewId="0">
      <selection activeCell="I19" sqref="I19"/>
    </sheetView>
  </sheetViews>
  <sheetFormatPr defaultRowHeight="18.75" x14ac:dyDescent="0.4"/>
  <cols>
    <col min="1" max="1" width="9" style="1"/>
    <col min="2" max="2" width="2.125" style="1" customWidth="1"/>
    <col min="3" max="3" width="22.125" style="1" customWidth="1"/>
    <col min="4" max="10" width="9" style="1"/>
    <col min="11" max="11" width="9" style="1" customWidth="1"/>
    <col min="12" max="12" width="2" style="1" customWidth="1"/>
    <col min="13" max="14" width="9" style="1"/>
    <col min="15" max="15" width="16.5" style="1" customWidth="1"/>
    <col min="16" max="16" width="17.875" style="1" customWidth="1"/>
    <col min="17" max="16384" width="9" style="1"/>
  </cols>
  <sheetData>
    <row r="3" spans="2:23" x14ac:dyDescent="0.4">
      <c r="B3" s="4"/>
      <c r="C3" s="4" t="s">
        <v>0</v>
      </c>
      <c r="D3" s="5" t="s">
        <v>6</v>
      </c>
      <c r="E3" s="4"/>
      <c r="F3" s="4" t="s">
        <v>7</v>
      </c>
      <c r="G3" s="4"/>
      <c r="H3" s="4" t="s">
        <v>8</v>
      </c>
      <c r="I3" s="4"/>
      <c r="J3" s="4" t="s">
        <v>9</v>
      </c>
      <c r="K3" s="4"/>
      <c r="L3" s="4"/>
    </row>
    <row r="4" spans="2:23" x14ac:dyDescent="0.4">
      <c r="B4" s="3"/>
      <c r="C4" s="3" t="s">
        <v>1</v>
      </c>
      <c r="D4" s="6">
        <v>2020</v>
      </c>
      <c r="E4" s="3">
        <v>2022</v>
      </c>
      <c r="F4" s="3">
        <v>2020</v>
      </c>
      <c r="G4" s="3">
        <v>2022</v>
      </c>
      <c r="H4" s="3">
        <v>2020</v>
      </c>
      <c r="I4" s="3">
        <v>2022</v>
      </c>
      <c r="J4" s="3">
        <v>2020</v>
      </c>
      <c r="K4" s="3">
        <v>2022</v>
      </c>
      <c r="L4" s="3"/>
    </row>
    <row r="5" spans="2:23" x14ac:dyDescent="0.4">
      <c r="B5" s="2"/>
      <c r="C5" s="2" t="s">
        <v>2</v>
      </c>
      <c r="D5" s="7">
        <v>5</v>
      </c>
      <c r="E5" s="2">
        <v>2</v>
      </c>
      <c r="F5" s="2">
        <v>12</v>
      </c>
      <c r="G5" s="2">
        <v>15</v>
      </c>
      <c r="H5" s="2">
        <v>15</v>
      </c>
      <c r="I5" s="2">
        <v>17</v>
      </c>
      <c r="J5" s="2">
        <v>5</v>
      </c>
      <c r="K5" s="2">
        <v>4</v>
      </c>
      <c r="L5" s="2"/>
    </row>
    <row r="6" spans="2:23" x14ac:dyDescent="0.4">
      <c r="B6" s="2"/>
      <c r="C6" s="2" t="s">
        <v>10</v>
      </c>
      <c r="D6" s="7">
        <v>350</v>
      </c>
      <c r="E6" s="2">
        <v>400</v>
      </c>
      <c r="F6" s="2">
        <v>140</v>
      </c>
      <c r="G6" s="2">
        <v>140</v>
      </c>
      <c r="H6" s="2">
        <v>50</v>
      </c>
      <c r="I6" s="2">
        <v>58</v>
      </c>
      <c r="J6" s="2">
        <v>35</v>
      </c>
      <c r="K6" s="2">
        <v>57</v>
      </c>
      <c r="L6" s="2"/>
    </row>
    <row r="7" spans="2:23" x14ac:dyDescent="0.4">
      <c r="B7" s="2"/>
      <c r="C7" s="2" t="s">
        <v>3</v>
      </c>
      <c r="D7" s="8">
        <v>35</v>
      </c>
      <c r="E7" s="9">
        <v>38</v>
      </c>
      <c r="F7" s="9">
        <v>28</v>
      </c>
      <c r="G7" s="9">
        <v>25</v>
      </c>
      <c r="H7" s="2">
        <v>25</v>
      </c>
      <c r="I7" s="2">
        <v>27</v>
      </c>
      <c r="J7" s="2">
        <v>30</v>
      </c>
      <c r="K7" s="2">
        <v>30</v>
      </c>
      <c r="L7" s="2"/>
    </row>
    <row r="8" spans="2:23" x14ac:dyDescent="0.4">
      <c r="B8" s="2"/>
      <c r="C8" s="2" t="s">
        <v>4</v>
      </c>
      <c r="D8" s="7">
        <v>20</v>
      </c>
      <c r="E8" s="2">
        <v>20</v>
      </c>
      <c r="F8" s="2">
        <v>20</v>
      </c>
      <c r="G8" s="2">
        <v>22</v>
      </c>
      <c r="H8" s="2">
        <v>22</v>
      </c>
      <c r="I8" s="2">
        <v>22</v>
      </c>
      <c r="J8" s="2">
        <v>20</v>
      </c>
      <c r="K8" s="2">
        <v>22</v>
      </c>
      <c r="L8" s="2"/>
      <c r="O8" s="1" t="s">
        <v>11</v>
      </c>
      <c r="P8" s="1">
        <v>5</v>
      </c>
      <c r="Q8" s="1">
        <v>2</v>
      </c>
      <c r="R8" s="1">
        <v>12</v>
      </c>
      <c r="S8" s="1">
        <v>15</v>
      </c>
      <c r="T8" s="1">
        <v>15</v>
      </c>
      <c r="U8" s="1">
        <v>17</v>
      </c>
      <c r="V8" s="1">
        <v>5</v>
      </c>
      <c r="W8" s="1">
        <v>4</v>
      </c>
    </row>
    <row r="9" spans="2:23" x14ac:dyDescent="0.4">
      <c r="B9" s="3"/>
      <c r="C9" s="3" t="s">
        <v>5</v>
      </c>
      <c r="D9" s="6">
        <v>15</v>
      </c>
      <c r="E9" s="3">
        <v>12</v>
      </c>
      <c r="F9" s="3">
        <v>15</v>
      </c>
      <c r="G9" s="3">
        <v>15</v>
      </c>
      <c r="H9" s="10">
        <v>10</v>
      </c>
      <c r="I9" s="10">
        <v>10</v>
      </c>
      <c r="J9" s="10">
        <v>5</v>
      </c>
      <c r="K9" s="10">
        <v>5</v>
      </c>
      <c r="L9" s="10"/>
      <c r="O9" s="1" t="s">
        <v>13</v>
      </c>
      <c r="P9" s="1">
        <v>1.75</v>
      </c>
      <c r="Q9" s="1">
        <v>1.9</v>
      </c>
      <c r="R9" s="1">
        <v>1.4</v>
      </c>
      <c r="S9" s="1">
        <v>1.1363636363636365</v>
      </c>
      <c r="T9" s="1">
        <v>0.4</v>
      </c>
      <c r="U9" s="1">
        <v>0.37037037037037035</v>
      </c>
      <c r="V9" s="1">
        <v>0.16666666666666666</v>
      </c>
      <c r="W9" s="1">
        <v>0.16666666666666666</v>
      </c>
    </row>
    <row r="11" spans="2:23" x14ac:dyDescent="0.4">
      <c r="N11" s="3" t="s">
        <v>1</v>
      </c>
      <c r="O11" s="3" t="s">
        <v>13</v>
      </c>
      <c r="P11" s="3" t="s">
        <v>11</v>
      </c>
    </row>
    <row r="12" spans="2:23" x14ac:dyDescent="0.4">
      <c r="B12" s="4"/>
      <c r="C12" s="4" t="s">
        <v>0</v>
      </c>
      <c r="D12" s="5" t="s">
        <v>6</v>
      </c>
      <c r="E12" s="4"/>
      <c r="F12" s="4" t="s">
        <v>7</v>
      </c>
      <c r="G12" s="4"/>
      <c r="H12" s="4" t="s">
        <v>8</v>
      </c>
      <c r="I12" s="4"/>
      <c r="J12" s="4" t="s">
        <v>9</v>
      </c>
      <c r="K12" s="4"/>
      <c r="L12" s="4"/>
      <c r="N12" s="6">
        <v>2020</v>
      </c>
      <c r="O12" s="1">
        <v>1.75</v>
      </c>
      <c r="P12" s="1">
        <v>5</v>
      </c>
    </row>
    <row r="13" spans="2:23" x14ac:dyDescent="0.4">
      <c r="B13" s="3"/>
      <c r="C13" s="3" t="s">
        <v>1</v>
      </c>
      <c r="D13" s="6">
        <v>2020</v>
      </c>
      <c r="E13" s="3">
        <v>2022</v>
      </c>
      <c r="F13" s="3">
        <v>2020</v>
      </c>
      <c r="G13" s="3">
        <v>2022</v>
      </c>
      <c r="H13" s="3">
        <v>2020</v>
      </c>
      <c r="I13" s="3">
        <v>2022</v>
      </c>
      <c r="J13" s="3">
        <v>2020</v>
      </c>
      <c r="K13" s="3">
        <v>2022</v>
      </c>
      <c r="L13" s="3"/>
      <c r="N13" s="3">
        <v>2020</v>
      </c>
      <c r="O13" s="1">
        <v>1.4</v>
      </c>
      <c r="P13" s="1">
        <v>12</v>
      </c>
    </row>
    <row r="14" spans="2:23" x14ac:dyDescent="0.4">
      <c r="C14" s="1" t="s">
        <v>11</v>
      </c>
      <c r="D14" s="5">
        <v>5</v>
      </c>
      <c r="E14" s="2">
        <v>2</v>
      </c>
      <c r="F14" s="2">
        <v>12</v>
      </c>
      <c r="G14" s="2">
        <v>15</v>
      </c>
      <c r="H14" s="2">
        <v>15</v>
      </c>
      <c r="I14" s="2">
        <v>17</v>
      </c>
      <c r="J14" s="2">
        <v>5</v>
      </c>
      <c r="K14" s="2">
        <v>4</v>
      </c>
      <c r="N14" s="3">
        <v>2020</v>
      </c>
      <c r="O14" s="1">
        <v>0.4</v>
      </c>
      <c r="P14" s="1">
        <v>15</v>
      </c>
    </row>
    <row r="15" spans="2:23" x14ac:dyDescent="0.4">
      <c r="C15" s="1" t="s">
        <v>12</v>
      </c>
      <c r="D15" s="11">
        <f t="shared" ref="D15:E15" si="0">(D6/140)*PI()*2*2</f>
        <v>31.415926535897931</v>
      </c>
      <c r="E15" s="12">
        <f>(E6/140)*PI()*2*2</f>
        <v>35.903916041026207</v>
      </c>
      <c r="F15" s="12">
        <f>(F6/140)*PI()*2*2</f>
        <v>12.566370614359172</v>
      </c>
      <c r="G15" s="12">
        <f t="shared" ref="G15:K15" si="1">(G6/140)*PI()*2*2</f>
        <v>12.566370614359172</v>
      </c>
      <c r="H15" s="12">
        <f t="shared" si="1"/>
        <v>4.4879895051282759</v>
      </c>
      <c r="I15" s="12">
        <f t="shared" si="1"/>
        <v>5.2060678259488</v>
      </c>
      <c r="J15" s="12">
        <f t="shared" si="1"/>
        <v>3.1415926535897931</v>
      </c>
      <c r="K15" s="12">
        <f t="shared" si="1"/>
        <v>5.1163080358462345</v>
      </c>
      <c r="N15" s="3">
        <v>2020</v>
      </c>
      <c r="O15" s="1">
        <v>0.16666666666666666</v>
      </c>
      <c r="P15" s="1">
        <v>5</v>
      </c>
    </row>
    <row r="16" spans="2:23" x14ac:dyDescent="0.4">
      <c r="B16" s="3"/>
      <c r="C16" s="3" t="s">
        <v>13</v>
      </c>
      <c r="D16" s="13">
        <f>D7/D8</f>
        <v>1.75</v>
      </c>
      <c r="E16" s="14">
        <f t="shared" ref="E16:G16" si="2">E7/E8</f>
        <v>1.9</v>
      </c>
      <c r="F16" s="14">
        <f t="shared" si="2"/>
        <v>1.4</v>
      </c>
      <c r="G16" s="14">
        <f t="shared" si="2"/>
        <v>1.1363636363636365</v>
      </c>
      <c r="H16" s="14">
        <f>H9/H7</f>
        <v>0.4</v>
      </c>
      <c r="I16" s="14">
        <f>I9/I7</f>
        <v>0.37037037037037035</v>
      </c>
      <c r="J16" s="14">
        <f t="shared" ref="I16:L16" si="3">J9/J7</f>
        <v>0.16666666666666666</v>
      </c>
      <c r="K16" s="14">
        <f t="shared" si="3"/>
        <v>0.16666666666666666</v>
      </c>
      <c r="L16" s="3"/>
      <c r="N16" s="3"/>
    </row>
    <row r="17" spans="3:16" x14ac:dyDescent="0.4">
      <c r="N17" s="3" t="s">
        <v>1</v>
      </c>
      <c r="O17" s="3" t="s">
        <v>13</v>
      </c>
      <c r="P17" s="3" t="s">
        <v>11</v>
      </c>
    </row>
    <row r="18" spans="3:16" x14ac:dyDescent="0.4">
      <c r="N18" s="3">
        <v>2022</v>
      </c>
      <c r="O18" s="1">
        <v>1.9</v>
      </c>
      <c r="P18" s="1">
        <v>2</v>
      </c>
    </row>
    <row r="19" spans="3:16" x14ac:dyDescent="0.4">
      <c r="C19" s="1" t="s">
        <v>14</v>
      </c>
      <c r="D19" s="15">
        <f>SQRT(D15/PI())</f>
        <v>3.1622776601683795</v>
      </c>
      <c r="E19" s="1">
        <f t="shared" ref="E19:K19" si="4">SQRT(E15/PI())</f>
        <v>3.3806170189140663</v>
      </c>
      <c r="F19" s="15">
        <f t="shared" si="4"/>
        <v>2</v>
      </c>
      <c r="G19" s="1">
        <f t="shared" si="4"/>
        <v>2</v>
      </c>
      <c r="H19" s="15">
        <f t="shared" si="4"/>
        <v>1.1952286093343936</v>
      </c>
      <c r="I19" s="1">
        <f t="shared" si="4"/>
        <v>1.2873006086935783</v>
      </c>
      <c r="J19" s="15">
        <f t="shared" si="4"/>
        <v>1</v>
      </c>
      <c r="K19" s="1">
        <f t="shared" si="4"/>
        <v>1.2761549390929883</v>
      </c>
      <c r="N19" s="3">
        <v>2022</v>
      </c>
      <c r="O19" s="1">
        <v>1.1363636363636365</v>
      </c>
      <c r="P19" s="1">
        <v>15</v>
      </c>
    </row>
    <row r="20" spans="3:16" x14ac:dyDescent="0.4">
      <c r="N20" s="3">
        <v>2022</v>
      </c>
      <c r="O20" s="1">
        <v>0.37037037037037035</v>
      </c>
      <c r="P20" s="1">
        <v>17</v>
      </c>
    </row>
    <row r="21" spans="3:16" x14ac:dyDescent="0.4">
      <c r="N21" s="2">
        <v>2022</v>
      </c>
      <c r="O21" s="1">
        <v>0.16666666666666666</v>
      </c>
      <c r="P21" s="1">
        <v>4</v>
      </c>
    </row>
    <row r="22" spans="3:16" x14ac:dyDescent="0.4">
      <c r="N22" s="2"/>
      <c r="O22" s="2"/>
      <c r="P22" s="2"/>
    </row>
    <row r="23" spans="3:16" x14ac:dyDescent="0.4">
      <c r="N23" s="2"/>
      <c r="O23" s="2"/>
      <c r="P23" s="2"/>
    </row>
    <row r="24" spans="3:16" x14ac:dyDescent="0.4">
      <c r="N24" s="2"/>
      <c r="O24" s="2"/>
      <c r="P24" s="2"/>
    </row>
    <row r="25" spans="3:16" x14ac:dyDescent="0.4">
      <c r="N25" s="2"/>
      <c r="O25" s="2"/>
      <c r="P25" s="2"/>
    </row>
    <row r="26" spans="3:16" x14ac:dyDescent="0.4">
      <c r="N26" s="2"/>
      <c r="O26" s="2"/>
      <c r="P26" s="2"/>
    </row>
    <row r="27" spans="3:16" x14ac:dyDescent="0.4">
      <c r="N27" s="2"/>
      <c r="O27" s="2"/>
      <c r="P27" s="2"/>
    </row>
    <row r="28" spans="3:16" x14ac:dyDescent="0.4">
      <c r="N28" s="2"/>
      <c r="O28" s="2"/>
      <c r="P28" s="2"/>
    </row>
    <row r="29" spans="3:16" x14ac:dyDescent="0.4">
      <c r="N29" s="2"/>
      <c r="O29" s="2"/>
      <c r="P29" s="2"/>
    </row>
    <row r="30" spans="3:16" x14ac:dyDescent="0.4">
      <c r="N30" s="2"/>
      <c r="O30" s="2"/>
      <c r="P30" s="2"/>
    </row>
    <row r="31" spans="3:16" x14ac:dyDescent="0.4">
      <c r="N31" s="2"/>
      <c r="O31" s="2"/>
      <c r="P31" s="2"/>
    </row>
    <row r="32" spans="3:16" x14ac:dyDescent="0.4">
      <c r="N32" s="2"/>
      <c r="O32" s="2"/>
      <c r="P32" s="2"/>
    </row>
    <row r="33" spans="14:16" x14ac:dyDescent="0.4">
      <c r="N33" s="2"/>
      <c r="O33" s="2"/>
      <c r="P33" s="2"/>
    </row>
    <row r="34" spans="14:16" x14ac:dyDescent="0.4">
      <c r="N34" s="2"/>
      <c r="O34" s="2"/>
      <c r="P34" s="2"/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D5D8A-B69B-4CD0-B563-586171039222}">
  <dimension ref="C2:AD109"/>
  <sheetViews>
    <sheetView tabSelected="1" topLeftCell="T31" zoomScale="70" zoomScaleNormal="70" workbookViewId="0">
      <selection activeCell="AB41" sqref="AB41"/>
    </sheetView>
  </sheetViews>
  <sheetFormatPr defaultRowHeight="18.75" x14ac:dyDescent="0.4"/>
  <cols>
    <col min="1" max="2" width="9" style="1"/>
    <col min="3" max="3" width="19.25" style="1" customWidth="1"/>
    <col min="4" max="4" width="9" style="1"/>
    <col min="5" max="5" width="10.25" style="16" customWidth="1"/>
    <col min="6" max="6" width="41" style="1" customWidth="1"/>
    <col min="7" max="7" width="3.25" style="1" customWidth="1"/>
    <col min="8" max="8" width="4.5" style="1" customWidth="1"/>
    <col min="9" max="9" width="2.875" style="1" customWidth="1"/>
    <col min="10" max="10" width="17.5" style="1" customWidth="1"/>
    <col min="11" max="11" width="12.125" style="1" customWidth="1"/>
    <col min="12" max="12" width="15.125" style="1" customWidth="1"/>
    <col min="13" max="13" width="4.875" style="1" customWidth="1"/>
    <col min="14" max="14" width="7.625" style="1" customWidth="1"/>
    <col min="15" max="16" width="9" style="1"/>
    <col min="17" max="17" width="15.375" style="1" customWidth="1"/>
    <col min="18" max="18" width="13.125" style="1" customWidth="1"/>
    <col min="19" max="19" width="14.25" style="1" customWidth="1"/>
    <col min="20" max="20" width="18.125" style="1" customWidth="1"/>
    <col min="21" max="21" width="20.25" style="1" customWidth="1"/>
    <col min="22" max="22" width="15.5" style="1" customWidth="1"/>
    <col min="23" max="24" width="9" style="1"/>
    <col min="25" max="25" width="19.5" style="1" customWidth="1"/>
    <col min="26" max="27" width="10.375" style="1" customWidth="1"/>
    <col min="28" max="28" width="19.625" style="1" customWidth="1"/>
    <col min="29" max="29" width="27.25" style="1" customWidth="1"/>
    <col min="30" max="30" width="55.375" style="1" customWidth="1"/>
    <col min="31" max="31" width="16.75" style="1" customWidth="1"/>
    <col min="32" max="16384" width="9" style="1"/>
  </cols>
  <sheetData>
    <row r="2" spans="3:30" x14ac:dyDescent="0.4">
      <c r="C2" s="1" t="s">
        <v>15</v>
      </c>
    </row>
    <row r="4" spans="3:30" x14ac:dyDescent="0.4">
      <c r="C4" s="22" t="s">
        <v>34</v>
      </c>
      <c r="J4" s="22" t="s">
        <v>46</v>
      </c>
      <c r="P4" s="22" t="s">
        <v>68</v>
      </c>
      <c r="Y4" s="22" t="s">
        <v>81</v>
      </c>
    </row>
    <row r="5" spans="3:30" x14ac:dyDescent="0.4">
      <c r="C5" s="21" t="s">
        <v>17</v>
      </c>
      <c r="D5" s="21" t="s">
        <v>18</v>
      </c>
      <c r="E5" s="23" t="s">
        <v>19</v>
      </c>
      <c r="F5" s="21" t="s">
        <v>27</v>
      </c>
      <c r="G5" s="2"/>
      <c r="H5" s="2"/>
      <c r="J5" s="31" t="s">
        <v>35</v>
      </c>
      <c r="K5" s="31" t="s">
        <v>36</v>
      </c>
      <c r="L5" s="31" t="s">
        <v>37</v>
      </c>
      <c r="M5" s="43"/>
      <c r="N5" s="43"/>
      <c r="P5" s="1" t="s">
        <v>55</v>
      </c>
      <c r="Y5" s="1" t="s">
        <v>55</v>
      </c>
    </row>
    <row r="6" spans="3:30" x14ac:dyDescent="0.4">
      <c r="C6" s="20" t="s">
        <v>16</v>
      </c>
      <c r="D6" s="20" t="s">
        <v>20</v>
      </c>
      <c r="E6" s="25">
        <v>20000</v>
      </c>
      <c r="F6" s="20"/>
      <c r="G6" s="2"/>
      <c r="H6" s="2"/>
      <c r="J6" s="33">
        <v>20000</v>
      </c>
      <c r="K6" s="33">
        <v>28000</v>
      </c>
      <c r="L6" s="30" t="s">
        <v>39</v>
      </c>
      <c r="M6" s="43"/>
      <c r="N6" s="43"/>
      <c r="P6" s="1" t="s">
        <v>56</v>
      </c>
      <c r="Y6" s="1" t="s">
        <v>74</v>
      </c>
    </row>
    <row r="7" spans="3:30" x14ac:dyDescent="0.4">
      <c r="C7" s="17" t="s">
        <v>21</v>
      </c>
      <c r="D7" s="17" t="s">
        <v>22</v>
      </c>
      <c r="E7" s="26">
        <v>15</v>
      </c>
      <c r="F7" s="17"/>
      <c r="G7" s="2"/>
      <c r="H7" s="2"/>
      <c r="J7" s="34">
        <v>40000</v>
      </c>
      <c r="K7" s="34">
        <v>19600</v>
      </c>
      <c r="L7" s="38">
        <f>K7/K6</f>
        <v>0.7</v>
      </c>
      <c r="M7" s="44"/>
      <c r="N7" s="44"/>
      <c r="Q7" s="1" t="s">
        <v>64</v>
      </c>
      <c r="R7" s="28">
        <v>100</v>
      </c>
      <c r="S7" s="1" t="s">
        <v>66</v>
      </c>
      <c r="Z7" s="24" t="s">
        <v>78</v>
      </c>
      <c r="AA7" s="37">
        <f>$E$13-$E$14</f>
        <v>60000</v>
      </c>
      <c r="AB7" s="1" t="s">
        <v>33</v>
      </c>
    </row>
    <row r="8" spans="3:30" x14ac:dyDescent="0.4">
      <c r="C8" s="17" t="s">
        <v>23</v>
      </c>
      <c r="D8" s="17" t="s">
        <v>22</v>
      </c>
      <c r="E8" s="26">
        <v>40</v>
      </c>
      <c r="F8" s="17"/>
      <c r="G8" s="2"/>
      <c r="H8" s="2"/>
      <c r="J8" s="35">
        <v>160000</v>
      </c>
      <c r="K8" s="35">
        <v>9604</v>
      </c>
      <c r="L8" s="39">
        <f>(K8/K7)^(1/(J8/J7/2))</f>
        <v>0.7</v>
      </c>
      <c r="M8" s="44"/>
      <c r="N8" s="44"/>
      <c r="Q8" s="1" t="s">
        <v>65</v>
      </c>
      <c r="R8" s="28">
        <v>1</v>
      </c>
      <c r="S8" s="1" t="s">
        <v>22</v>
      </c>
      <c r="Z8" s="24" t="s">
        <v>90</v>
      </c>
      <c r="AA8" s="1">
        <v>1000</v>
      </c>
      <c r="AB8" s="1" t="s">
        <v>66</v>
      </c>
    </row>
    <row r="9" spans="3:30" x14ac:dyDescent="0.4">
      <c r="C9" s="17" t="s">
        <v>24</v>
      </c>
      <c r="D9" s="17" t="s">
        <v>22</v>
      </c>
      <c r="E9" s="26">
        <v>30</v>
      </c>
      <c r="F9" s="17"/>
      <c r="G9" s="2"/>
      <c r="H9" s="2"/>
      <c r="P9" s="1">
        <v>1000</v>
      </c>
      <c r="Q9" s="1" t="s">
        <v>61</v>
      </c>
      <c r="R9" s="1" t="s">
        <v>62</v>
      </c>
      <c r="S9" s="1">
        <f>$E$8-(P9/R7)*R8</f>
        <v>30</v>
      </c>
      <c r="T9" s="1" t="s">
        <v>76</v>
      </c>
      <c r="Y9" s="29" t="s">
        <v>75</v>
      </c>
      <c r="Z9" s="51" t="s">
        <v>79</v>
      </c>
      <c r="AA9" s="29" t="s">
        <v>80</v>
      </c>
      <c r="AB9" s="29" t="s">
        <v>87</v>
      </c>
      <c r="AC9" s="29" t="s">
        <v>86</v>
      </c>
      <c r="AD9" s="68" t="s">
        <v>27</v>
      </c>
    </row>
    <row r="10" spans="3:30" x14ac:dyDescent="0.4">
      <c r="C10" s="17" t="s">
        <v>25</v>
      </c>
      <c r="D10" s="17" t="s">
        <v>22</v>
      </c>
      <c r="E10" s="41">
        <f>M10*100</f>
        <v>70</v>
      </c>
      <c r="F10" s="17" t="s">
        <v>40</v>
      </c>
      <c r="G10" s="2"/>
      <c r="H10" s="2"/>
      <c r="J10" s="32" t="s">
        <v>41</v>
      </c>
      <c r="M10" s="40">
        <f>L8</f>
        <v>0.7</v>
      </c>
      <c r="N10" s="40"/>
      <c r="R10" s="1" t="s">
        <v>63</v>
      </c>
      <c r="S10" s="1">
        <f>$E$9+(P9/R7)*R8</f>
        <v>40</v>
      </c>
      <c r="T10" s="1" t="s">
        <v>22</v>
      </c>
      <c r="Y10" s="50" t="s">
        <v>84</v>
      </c>
      <c r="Z10" s="52" t="s">
        <v>22</v>
      </c>
      <c r="AA10" s="50" t="s">
        <v>22</v>
      </c>
      <c r="AB10" s="50" t="s">
        <v>33</v>
      </c>
      <c r="AC10" s="50" t="s">
        <v>82</v>
      </c>
      <c r="AD10" s="66"/>
    </row>
    <row r="11" spans="3:30" x14ac:dyDescent="0.4">
      <c r="C11" s="17" t="s">
        <v>26</v>
      </c>
      <c r="D11" s="17" t="s">
        <v>22</v>
      </c>
      <c r="E11" s="41">
        <f>E10</f>
        <v>70</v>
      </c>
      <c r="F11" s="17" t="s">
        <v>28</v>
      </c>
      <c r="G11" s="2"/>
      <c r="H11" s="2"/>
      <c r="J11" s="22"/>
      <c r="P11" s="29" t="s">
        <v>54</v>
      </c>
      <c r="Q11" s="51" t="s">
        <v>16</v>
      </c>
      <c r="R11" s="29" t="s">
        <v>57</v>
      </c>
      <c r="S11" s="29" t="s">
        <v>58</v>
      </c>
      <c r="T11" s="29" t="s">
        <v>59</v>
      </c>
      <c r="U11" s="29" t="s">
        <v>60</v>
      </c>
      <c r="V11" s="48" t="s">
        <v>67</v>
      </c>
      <c r="Y11" s="20">
        <v>2E-3</v>
      </c>
      <c r="Z11" s="67">
        <f>$E$8-(Y11*$AA$8)</f>
        <v>38</v>
      </c>
      <c r="AA11" s="20">
        <f>$E$9+(Y11*$AA$8)</f>
        <v>32</v>
      </c>
      <c r="AB11" s="20">
        <f t="shared" ref="AB11:AB30" si="0">$E$6*(AA11-Z11)/100</f>
        <v>-1200</v>
      </c>
      <c r="AC11" s="69" t="e">
        <f>ROUNDUP(LOG($AA$7/AB11*($E$7/100)+1,(($E$7/100)+1))-1,0)</f>
        <v>#NUM!</v>
      </c>
      <c r="AD11" s="67" t="s">
        <v>85</v>
      </c>
    </row>
    <row r="12" spans="3:30" x14ac:dyDescent="0.4">
      <c r="C12" s="17" t="s">
        <v>29</v>
      </c>
      <c r="D12" s="17" t="s">
        <v>30</v>
      </c>
      <c r="E12" s="26">
        <v>3000</v>
      </c>
      <c r="F12" s="17"/>
      <c r="G12" s="2"/>
      <c r="H12" s="2"/>
      <c r="J12" s="22" t="s">
        <v>47</v>
      </c>
      <c r="P12" s="50" t="s">
        <v>83</v>
      </c>
      <c r="Q12" s="52" t="s">
        <v>33</v>
      </c>
      <c r="R12" s="50" t="s">
        <v>33</v>
      </c>
      <c r="S12" s="50" t="s">
        <v>33</v>
      </c>
      <c r="T12" s="50" t="s">
        <v>33</v>
      </c>
      <c r="U12" s="50" t="s">
        <v>33</v>
      </c>
      <c r="V12" s="19" t="s">
        <v>33</v>
      </c>
      <c r="Y12" s="17">
        <v>4.0000000000000001E-3</v>
      </c>
      <c r="Z12" s="67">
        <f t="shared" ref="Z12:Z30" si="1">$E$8-(Y12*$AA$8)</f>
        <v>36</v>
      </c>
      <c r="AA12" s="20">
        <f t="shared" ref="AA12:AA30" si="2">$E$9+(Y12*$AA$8)</f>
        <v>34</v>
      </c>
      <c r="AB12" s="17">
        <f t="shared" si="0"/>
        <v>-400</v>
      </c>
      <c r="AC12" s="70" t="e">
        <f>ROUNDUP(LOG($AA$7/AB12*($E$7/100)+1,(($E$7/100)+1))-1,0)</f>
        <v>#NUM!</v>
      </c>
      <c r="AD12" s="65" t="s">
        <v>85</v>
      </c>
    </row>
    <row r="13" spans="3:30" x14ac:dyDescent="0.4">
      <c r="C13" s="17" t="s">
        <v>31</v>
      </c>
      <c r="D13" s="17" t="s">
        <v>33</v>
      </c>
      <c r="E13" s="26">
        <v>160000</v>
      </c>
      <c r="F13" s="17"/>
      <c r="G13" s="2"/>
      <c r="H13" s="2"/>
      <c r="J13" s="31" t="s">
        <v>35</v>
      </c>
      <c r="K13" s="31" t="s">
        <v>36</v>
      </c>
      <c r="L13" s="31" t="s">
        <v>37</v>
      </c>
      <c r="M13" s="43"/>
      <c r="N13" s="43"/>
      <c r="P13" s="20">
        <v>0</v>
      </c>
      <c r="Q13" s="53">
        <v>20000</v>
      </c>
      <c r="R13" s="49">
        <f>$Q13*$S$9/100</f>
        <v>6000</v>
      </c>
      <c r="S13" s="49">
        <f>$Q13*$S$10/100</f>
        <v>8000</v>
      </c>
      <c r="T13" s="49">
        <f>$J$8+$R13</f>
        <v>166000</v>
      </c>
      <c r="U13" s="49">
        <f>$J$15+$S13</f>
        <v>108000</v>
      </c>
      <c r="V13" s="72">
        <f>$T13-$U13</f>
        <v>58000</v>
      </c>
      <c r="W13" s="37"/>
      <c r="X13" s="37"/>
      <c r="Y13" s="17">
        <v>6.0000000000000001E-3</v>
      </c>
      <c r="Z13" s="67">
        <f t="shared" si="1"/>
        <v>34</v>
      </c>
      <c r="AA13" s="20">
        <f t="shared" si="2"/>
        <v>36</v>
      </c>
      <c r="AB13" s="17">
        <f t="shared" si="0"/>
        <v>400</v>
      </c>
      <c r="AC13" s="70">
        <f>ROUNDUP(LOG($AA$7/AB13*($E$7/100)+1,(($E$7/100)+1))-1,0)</f>
        <v>22</v>
      </c>
      <c r="AD13" s="65"/>
    </row>
    <row r="14" spans="3:30" x14ac:dyDescent="0.4">
      <c r="C14" s="18" t="s">
        <v>32</v>
      </c>
      <c r="D14" s="18" t="s">
        <v>33</v>
      </c>
      <c r="E14" s="27">
        <v>100000</v>
      </c>
      <c r="F14" s="18"/>
      <c r="G14" s="2"/>
      <c r="H14" s="2"/>
      <c r="J14" s="33">
        <v>20000</v>
      </c>
      <c r="K14" s="33">
        <v>28000</v>
      </c>
      <c r="L14" s="30" t="s">
        <v>38</v>
      </c>
      <c r="M14" s="43"/>
      <c r="N14" s="43"/>
      <c r="P14" s="17">
        <v>1</v>
      </c>
      <c r="Q14" s="54">
        <f>$Q13*(100+$E$7)/100</f>
        <v>23000</v>
      </c>
      <c r="R14" s="46">
        <f>$Q14*$S$9/100</f>
        <v>6900</v>
      </c>
      <c r="S14" s="46">
        <f>$Q14*$S$10/100</f>
        <v>9200</v>
      </c>
      <c r="T14" s="46">
        <f>$T13+$R14</f>
        <v>172900</v>
      </c>
      <c r="U14" s="46">
        <f>$U13+$S14</f>
        <v>117200</v>
      </c>
      <c r="V14" s="73">
        <f>$T14-$U14</f>
        <v>55700</v>
      </c>
      <c r="W14" s="37"/>
      <c r="X14" s="55"/>
      <c r="Y14" s="17">
        <v>8.0000000000000002E-3</v>
      </c>
      <c r="Z14" s="67">
        <f t="shared" si="1"/>
        <v>32</v>
      </c>
      <c r="AA14" s="20">
        <f t="shared" si="2"/>
        <v>38</v>
      </c>
      <c r="AB14" s="17">
        <f t="shared" si="0"/>
        <v>1200</v>
      </c>
      <c r="AC14" s="70">
        <f>ROUNDUP(LOG($AA$7/AB14*($E$7/100)+1,(($E$7/100)+1))-1,0)</f>
        <v>15</v>
      </c>
      <c r="AD14" s="65"/>
    </row>
    <row r="15" spans="3:30" x14ac:dyDescent="0.4">
      <c r="J15" s="35">
        <v>100000</v>
      </c>
      <c r="K15" s="36">
        <f>K14*L15^(LOG((J15/J14),2))</f>
        <v>12231.69993406339</v>
      </c>
      <c r="L15" s="39">
        <v>0.7</v>
      </c>
      <c r="M15" s="2"/>
      <c r="N15" s="2"/>
      <c r="P15" s="17">
        <v>2</v>
      </c>
      <c r="Q15" s="54">
        <f>$Q14*(100+$E$7)/100</f>
        <v>26450</v>
      </c>
      <c r="R15" s="46">
        <f>$Q15*$S$9/100</f>
        <v>7935</v>
      </c>
      <c r="S15" s="46">
        <f>$Q15*$S$10/100</f>
        <v>10580</v>
      </c>
      <c r="T15" s="46">
        <f>$T14+$R15</f>
        <v>180835</v>
      </c>
      <c r="U15" s="46">
        <f>$U14+$S15</f>
        <v>127780</v>
      </c>
      <c r="V15" s="73">
        <f>$T15-$U15</f>
        <v>53055</v>
      </c>
      <c r="W15" s="37"/>
      <c r="X15" s="55"/>
      <c r="Y15" s="17">
        <v>0.01</v>
      </c>
      <c r="Z15" s="67">
        <f t="shared" si="1"/>
        <v>30</v>
      </c>
      <c r="AA15" s="20">
        <f t="shared" si="2"/>
        <v>40</v>
      </c>
      <c r="AB15" s="17">
        <f>$E$6*(AA15-Z15)/100</f>
        <v>2000</v>
      </c>
      <c r="AC15" s="70">
        <f>ROUNDUP(LOG($AA$7/AB15*($E$7/100)+1,(($E$7/100)+1))-1,0)</f>
        <v>12</v>
      </c>
      <c r="AD15" s="65" t="s">
        <v>77</v>
      </c>
    </row>
    <row r="16" spans="3:30" x14ac:dyDescent="0.4">
      <c r="C16" s="1" t="s">
        <v>70</v>
      </c>
      <c r="P16" s="17">
        <v>3</v>
      </c>
      <c r="Q16" s="54">
        <f>$Q15*(100+$E$7)/100</f>
        <v>30417.5</v>
      </c>
      <c r="R16" s="46">
        <f>$Q16*$S$9/100</f>
        <v>9125.25</v>
      </c>
      <c r="S16" s="46">
        <f>$Q16*$S$10/100</f>
        <v>12167</v>
      </c>
      <c r="T16" s="46">
        <f t="shared" ref="T16:T32" si="3">$T15+$R16</f>
        <v>189960.25</v>
      </c>
      <c r="U16" s="46">
        <f>$U15+$S16</f>
        <v>139947</v>
      </c>
      <c r="V16" s="73">
        <f>$T16-$U16</f>
        <v>50013.25</v>
      </c>
      <c r="W16" s="37"/>
      <c r="X16" s="55"/>
      <c r="Y16" s="17">
        <v>1.2E-2</v>
      </c>
      <c r="Z16" s="67">
        <f t="shared" si="1"/>
        <v>28</v>
      </c>
      <c r="AA16" s="20">
        <f t="shared" si="2"/>
        <v>42</v>
      </c>
      <c r="AB16" s="17">
        <f t="shared" si="0"/>
        <v>2800</v>
      </c>
      <c r="AC16" s="70">
        <f>ROUNDUP(LOG($AA$7/AB16*($E$7/100)+1,(($E$7/100)+1))-1,0)</f>
        <v>10</v>
      </c>
      <c r="AD16" s="65"/>
    </row>
    <row r="17" spans="3:30" x14ac:dyDescent="0.4">
      <c r="C17" s="1" t="s">
        <v>72</v>
      </c>
      <c r="J17" s="1" t="s">
        <v>42</v>
      </c>
      <c r="P17" s="17">
        <v>4</v>
      </c>
      <c r="Q17" s="54">
        <f>$Q16*(100+$E$7)/100</f>
        <v>34980.125</v>
      </c>
      <c r="R17" s="46">
        <f>$Q17*$S$9/100</f>
        <v>10494.0375</v>
      </c>
      <c r="S17" s="46">
        <f>$Q17*$S$10/100</f>
        <v>13992.05</v>
      </c>
      <c r="T17" s="46">
        <f t="shared" si="3"/>
        <v>200454.28750000001</v>
      </c>
      <c r="U17" s="46">
        <f>$U16+$S17</f>
        <v>153939.04999999999</v>
      </c>
      <c r="V17" s="73">
        <f>$T17-$U17</f>
        <v>46515.237500000017</v>
      </c>
      <c r="Y17" s="17">
        <v>1.4E-2</v>
      </c>
      <c r="Z17" s="67">
        <f t="shared" si="1"/>
        <v>26</v>
      </c>
      <c r="AA17" s="20">
        <f t="shared" si="2"/>
        <v>44</v>
      </c>
      <c r="AB17" s="17">
        <f t="shared" si="0"/>
        <v>3600</v>
      </c>
      <c r="AC17" s="70">
        <f>ROUNDUP(LOG($AA$7/AB17*($E$7/100)+1,(($E$7/100)+1))-1,0)</f>
        <v>8</v>
      </c>
      <c r="AD17" s="65"/>
    </row>
    <row r="18" spans="3:30" x14ac:dyDescent="0.4">
      <c r="C18" s="1" t="s">
        <v>71</v>
      </c>
      <c r="J18" s="1" t="s">
        <v>43</v>
      </c>
      <c r="P18" s="17">
        <v>5</v>
      </c>
      <c r="Q18" s="54">
        <f>$Q17*(100+$E$7)/100</f>
        <v>40227.143750000003</v>
      </c>
      <c r="R18" s="46">
        <f>$Q18*$S$9/100</f>
        <v>12068.143125000001</v>
      </c>
      <c r="S18" s="46">
        <f>$Q18*$S$10/100</f>
        <v>16090.8575</v>
      </c>
      <c r="T18" s="46">
        <f t="shared" si="3"/>
        <v>212522.43062500001</v>
      </c>
      <c r="U18" s="46">
        <f>$U17+$S18</f>
        <v>170029.9075</v>
      </c>
      <c r="V18" s="73">
        <f>$T18-$U18</f>
        <v>42492.523125000007</v>
      </c>
      <c r="Y18" s="17">
        <v>1.6E-2</v>
      </c>
      <c r="Z18" s="67">
        <f t="shared" si="1"/>
        <v>24</v>
      </c>
      <c r="AA18" s="20">
        <f t="shared" si="2"/>
        <v>46</v>
      </c>
      <c r="AB18" s="17">
        <f t="shared" si="0"/>
        <v>4400</v>
      </c>
      <c r="AC18" s="70">
        <f>ROUNDUP(LOG($AA$7/AB18*($E$7/100)+1,(($E$7/100)+1))-1,0)</f>
        <v>7</v>
      </c>
      <c r="AD18" s="65"/>
    </row>
    <row r="19" spans="3:30" x14ac:dyDescent="0.4">
      <c r="C19" s="1" t="s">
        <v>73</v>
      </c>
      <c r="J19" s="1" t="s">
        <v>44</v>
      </c>
      <c r="K19" s="24" t="s">
        <v>45</v>
      </c>
      <c r="L19" s="45">
        <f>K15</f>
        <v>12231.69993406339</v>
      </c>
      <c r="M19" s="42" t="s">
        <v>48</v>
      </c>
      <c r="N19" s="42"/>
      <c r="P19" s="17">
        <v>6</v>
      </c>
      <c r="Q19" s="54">
        <f>$Q18*(100+$E$7)/100</f>
        <v>46261.215312499997</v>
      </c>
      <c r="R19" s="46">
        <f>$Q19*$S$9/100</f>
        <v>13878.364593749999</v>
      </c>
      <c r="S19" s="46">
        <f>$Q19*$S$10/100</f>
        <v>18504.486124999999</v>
      </c>
      <c r="T19" s="46">
        <f t="shared" si="3"/>
        <v>226400.79521875002</v>
      </c>
      <c r="U19" s="46">
        <f>$U18+$S19</f>
        <v>188534.393625</v>
      </c>
      <c r="V19" s="73">
        <f>$T19-$U19</f>
        <v>37866.401593750023</v>
      </c>
      <c r="Y19" s="17">
        <v>1.7999999999999999E-2</v>
      </c>
      <c r="Z19" s="67">
        <f t="shared" si="1"/>
        <v>22</v>
      </c>
      <c r="AA19" s="20">
        <f t="shared" si="2"/>
        <v>48</v>
      </c>
      <c r="AB19" s="17">
        <f t="shared" si="0"/>
        <v>5200</v>
      </c>
      <c r="AC19" s="70">
        <f>ROUNDUP(LOG($AA$7/AB19*($E$7/100)+1,(($E$7/100)+1))-1,0)</f>
        <v>7</v>
      </c>
      <c r="AD19" s="65"/>
    </row>
    <row r="20" spans="3:30" x14ac:dyDescent="0.4">
      <c r="J20" s="37"/>
      <c r="P20" s="17">
        <v>7</v>
      </c>
      <c r="Q20" s="54">
        <f>$Q19*(100+$E$7)/100</f>
        <v>53200.397609374995</v>
      </c>
      <c r="R20" s="46">
        <f>$Q20*$S$9/100</f>
        <v>15960.119282812499</v>
      </c>
      <c r="S20" s="46">
        <f>$Q20*$S$10/100</f>
        <v>21280.159043749998</v>
      </c>
      <c r="T20" s="46">
        <f t="shared" si="3"/>
        <v>242360.91450156251</v>
      </c>
      <c r="U20" s="46">
        <f>$U19+$S20</f>
        <v>209814.55266875</v>
      </c>
      <c r="V20" s="73">
        <f>$T20-$U20</f>
        <v>32546.361832812516</v>
      </c>
      <c r="Y20" s="17">
        <v>0.02</v>
      </c>
      <c r="Z20" s="67">
        <f t="shared" si="1"/>
        <v>20</v>
      </c>
      <c r="AA20" s="20">
        <f t="shared" si="2"/>
        <v>50</v>
      </c>
      <c r="AB20" s="17">
        <f t="shared" si="0"/>
        <v>6000</v>
      </c>
      <c r="AC20" s="70">
        <f>ROUNDUP(LOG($AA$7/AB20*($E$7/100)+1,(($E$7/100)+1))-1,0)</f>
        <v>6</v>
      </c>
      <c r="AD20" s="65"/>
    </row>
    <row r="21" spans="3:30" x14ac:dyDescent="0.4">
      <c r="C21" s="1" t="s">
        <v>69</v>
      </c>
      <c r="J21" s="22" t="s">
        <v>49</v>
      </c>
      <c r="P21" s="17">
        <v>8</v>
      </c>
      <c r="Q21" s="54">
        <f>$Q20*(100+$E$7)/100</f>
        <v>61180.457250781248</v>
      </c>
      <c r="R21" s="46">
        <f>$Q21*$S$9/100</f>
        <v>18354.137175234373</v>
      </c>
      <c r="S21" s="46">
        <f>$Q21*$S$10/100</f>
        <v>24472.182900312502</v>
      </c>
      <c r="T21" s="46">
        <f t="shared" si="3"/>
        <v>260715.05167679689</v>
      </c>
      <c r="U21" s="46">
        <f>$U20+$S21</f>
        <v>234286.7355690625</v>
      </c>
      <c r="V21" s="73">
        <f>$T21-$U21</f>
        <v>26428.316107734398</v>
      </c>
      <c r="Y21" s="17">
        <v>2.1999999999999999E-2</v>
      </c>
      <c r="Z21" s="67">
        <f t="shared" si="1"/>
        <v>18</v>
      </c>
      <c r="AA21" s="20">
        <f t="shared" si="2"/>
        <v>52</v>
      </c>
      <c r="AB21" s="17">
        <f t="shared" si="0"/>
        <v>6800</v>
      </c>
      <c r="AC21" s="70">
        <f>ROUNDUP(LOG($AA$7/AB21*($E$7/100)+1,(($E$7/100)+1))-1,0)</f>
        <v>6</v>
      </c>
      <c r="AD21" s="65"/>
    </row>
    <row r="22" spans="3:30" x14ac:dyDescent="0.4">
      <c r="I22" s="21"/>
      <c r="J22" s="21" t="s">
        <v>53</v>
      </c>
      <c r="K22" s="77" t="s">
        <v>88</v>
      </c>
      <c r="L22" s="31" t="s">
        <v>89</v>
      </c>
      <c r="M22" s="21"/>
      <c r="P22" s="17">
        <v>9</v>
      </c>
      <c r="Q22" s="54">
        <f>$Q21*(100+$E$7)/100</f>
        <v>70357.525838398433</v>
      </c>
      <c r="R22" s="46">
        <f>$Q22*$S$9/100</f>
        <v>21107.25775151953</v>
      </c>
      <c r="S22" s="46">
        <f>$Q22*$S$10/100</f>
        <v>28143.010335359373</v>
      </c>
      <c r="T22" s="46">
        <f t="shared" si="3"/>
        <v>281822.30942831642</v>
      </c>
      <c r="U22" s="46">
        <f>$U21+$S22</f>
        <v>262429.7459044219</v>
      </c>
      <c r="V22" s="73">
        <f>$T22-$U22</f>
        <v>19392.563523894525</v>
      </c>
      <c r="Y22" s="17">
        <v>2.4E-2</v>
      </c>
      <c r="Z22" s="67">
        <f t="shared" si="1"/>
        <v>16</v>
      </c>
      <c r="AA22" s="20">
        <f t="shared" si="2"/>
        <v>54</v>
      </c>
      <c r="AB22" s="17">
        <f t="shared" si="0"/>
        <v>7600</v>
      </c>
      <c r="AC22" s="70">
        <f>ROUNDUP(LOG($AA$7/AB22*($E$7/100)+1,(($E$7/100)+1))-1,0)</f>
        <v>5</v>
      </c>
      <c r="AD22" s="65"/>
    </row>
    <row r="23" spans="3:30" x14ac:dyDescent="0.4">
      <c r="I23" s="20"/>
      <c r="J23" s="20" t="s">
        <v>50</v>
      </c>
      <c r="K23" s="53">
        <v>16000</v>
      </c>
      <c r="L23" s="33">
        <v>16000</v>
      </c>
      <c r="M23" s="20"/>
      <c r="P23" s="17">
        <v>10</v>
      </c>
      <c r="Q23" s="54">
        <f>$Q22*(100+$E$7)/100</f>
        <v>80911.154714158198</v>
      </c>
      <c r="R23" s="46">
        <f>$Q23*$S$9/100</f>
        <v>24273.346414247459</v>
      </c>
      <c r="S23" s="46">
        <f>$Q23*$S$10/100</f>
        <v>32364.461885663281</v>
      </c>
      <c r="T23" s="46">
        <f t="shared" si="3"/>
        <v>306095.65584256389</v>
      </c>
      <c r="U23" s="46">
        <f>$U22+$S23</f>
        <v>294794.20779008517</v>
      </c>
      <c r="V23" s="73">
        <f>$T23-$U23</f>
        <v>11301.448052478721</v>
      </c>
      <c r="Y23" s="17">
        <v>2.5999999999999999E-2</v>
      </c>
      <c r="Z23" s="67">
        <f t="shared" si="1"/>
        <v>14</v>
      </c>
      <c r="AA23" s="20">
        <f t="shared" si="2"/>
        <v>56</v>
      </c>
      <c r="AB23" s="17">
        <f t="shared" si="0"/>
        <v>8400</v>
      </c>
      <c r="AC23" s="70">
        <f>ROUNDUP(LOG($AA$7/AB23*($E$7/100)+1,(($E$7/100)+1))-1,0)</f>
        <v>5</v>
      </c>
      <c r="AD23" s="65"/>
    </row>
    <row r="24" spans="3:30" x14ac:dyDescent="0.4">
      <c r="I24" s="17"/>
      <c r="J24" s="17" t="s">
        <v>35</v>
      </c>
      <c r="K24" s="80">
        <v>160000</v>
      </c>
      <c r="L24" s="34">
        <v>100000</v>
      </c>
      <c r="M24" s="17"/>
      <c r="P24" s="17">
        <v>11</v>
      </c>
      <c r="Q24" s="54">
        <f>$Q23*(100+$E$7)/100</f>
        <v>93047.827921281918</v>
      </c>
      <c r="R24" s="46">
        <f>$Q24*$S$9/100</f>
        <v>27914.348376384572</v>
      </c>
      <c r="S24" s="46">
        <f>$Q24*$S$10/100</f>
        <v>37219.131168512766</v>
      </c>
      <c r="T24" s="46">
        <f t="shared" si="3"/>
        <v>334010.00421894848</v>
      </c>
      <c r="U24" s="46">
        <f>$U23+$S24</f>
        <v>332013.33895859792</v>
      </c>
      <c r="V24" s="73">
        <f>$T24-$U24</f>
        <v>1996.6652603505645</v>
      </c>
      <c r="Y24" s="17">
        <v>2.8000000000000001E-2</v>
      </c>
      <c r="Z24" s="67">
        <f t="shared" si="1"/>
        <v>12</v>
      </c>
      <c r="AA24" s="20">
        <f t="shared" si="2"/>
        <v>58</v>
      </c>
      <c r="AB24" s="17">
        <f t="shared" si="0"/>
        <v>9200</v>
      </c>
      <c r="AC24" s="70">
        <f>ROUNDUP(LOG($AA$7/AB24*($E$7/100)+1,(($E$7/100)+1))-1,0)</f>
        <v>4</v>
      </c>
      <c r="AD24" s="65"/>
    </row>
    <row r="25" spans="3:30" x14ac:dyDescent="0.4">
      <c r="I25" s="17"/>
      <c r="J25" s="17" t="s">
        <v>36</v>
      </c>
      <c r="K25" s="78">
        <v>9604</v>
      </c>
      <c r="L25" s="46">
        <f>K15</f>
        <v>12231.69993406339</v>
      </c>
      <c r="M25" s="17"/>
      <c r="P25" s="17">
        <v>12</v>
      </c>
      <c r="Q25" s="54">
        <f>$Q24*(100+$E$7)/100</f>
        <v>107005.00210947421</v>
      </c>
      <c r="R25" s="46">
        <f>$Q25*$S$9/100</f>
        <v>32101.500632842261</v>
      </c>
      <c r="S25" s="46">
        <f>$Q25*$S$10/100</f>
        <v>42802.00084378969</v>
      </c>
      <c r="T25" s="46">
        <f t="shared" si="3"/>
        <v>366111.50485179073</v>
      </c>
      <c r="U25" s="46">
        <f>$U24+$S25</f>
        <v>374815.33980238764</v>
      </c>
      <c r="V25" s="73">
        <f>$T25-$U25</f>
        <v>-8703.834950596909</v>
      </c>
      <c r="Y25" s="17">
        <v>0.03</v>
      </c>
      <c r="Z25" s="67">
        <f t="shared" si="1"/>
        <v>10</v>
      </c>
      <c r="AA25" s="20">
        <f t="shared" si="2"/>
        <v>60</v>
      </c>
      <c r="AB25" s="17">
        <f t="shared" si="0"/>
        <v>10000</v>
      </c>
      <c r="AC25" s="70">
        <f>ROUNDUP(LOG($AA$7/AB25*($E$7/100)+1,(($E$7/100)+1))-1,0)</f>
        <v>4</v>
      </c>
      <c r="AD25" s="65"/>
    </row>
    <row r="26" spans="3:30" x14ac:dyDescent="0.4">
      <c r="I26" s="17"/>
      <c r="J26" s="17" t="s">
        <v>51</v>
      </c>
      <c r="K26" s="78">
        <v>3000</v>
      </c>
      <c r="L26" s="34">
        <v>3000</v>
      </c>
      <c r="M26" s="17"/>
      <c r="P26" s="17">
        <v>13</v>
      </c>
      <c r="Q26" s="54">
        <f>$Q25*(100+$E$7)/100</f>
        <v>123055.75242589535</v>
      </c>
      <c r="R26" s="46">
        <f>$Q26*$S$9/100</f>
        <v>36916.725727768608</v>
      </c>
      <c r="S26" s="46">
        <f>$Q26*$S$10/100</f>
        <v>49222.300970358141</v>
      </c>
      <c r="T26" s="46">
        <f t="shared" si="3"/>
        <v>403028.23057955934</v>
      </c>
      <c r="U26" s="46">
        <f>$U25+$S26</f>
        <v>424037.64077274577</v>
      </c>
      <c r="V26" s="73">
        <f>$T26-$U26</f>
        <v>-21009.410193186428</v>
      </c>
      <c r="Y26" s="17">
        <v>3.2000000000000001E-2</v>
      </c>
      <c r="Z26" s="67">
        <f t="shared" si="1"/>
        <v>8</v>
      </c>
      <c r="AA26" s="20">
        <f t="shared" si="2"/>
        <v>62</v>
      </c>
      <c r="AB26" s="17">
        <f t="shared" si="0"/>
        <v>10800</v>
      </c>
      <c r="AC26" s="70">
        <f>ROUNDUP(LOG($AA$7/AB26*($E$7/100)+1,(($E$7/100)+1))-1,0)</f>
        <v>4</v>
      </c>
      <c r="AD26" s="65"/>
    </row>
    <row r="27" spans="3:30" x14ac:dyDescent="0.4">
      <c r="I27" s="18"/>
      <c r="J27" s="18" t="s">
        <v>52</v>
      </c>
      <c r="K27" s="79">
        <f>K23-K25-K26</f>
        <v>3396</v>
      </c>
      <c r="L27" s="47">
        <f>L23-L25-L26</f>
        <v>768.30006593660983</v>
      </c>
      <c r="M27" s="18"/>
      <c r="N27" s="37">
        <f>K27-L27</f>
        <v>2627.6999340633902</v>
      </c>
      <c r="P27" s="17">
        <v>14</v>
      </c>
      <c r="Q27" s="54">
        <f>$Q26*(100+$E$7)/100</f>
        <v>141514.11528977967</v>
      </c>
      <c r="R27" s="46">
        <f>$Q27*$S$9/100</f>
        <v>42454.234586933897</v>
      </c>
      <c r="S27" s="46">
        <f>$Q27*$S$10/100</f>
        <v>56605.646115911863</v>
      </c>
      <c r="T27" s="46">
        <f t="shared" si="3"/>
        <v>445482.46516649326</v>
      </c>
      <c r="U27" s="46">
        <f>$U26+$S27</f>
        <v>480643.2868886576</v>
      </c>
      <c r="V27" s="73">
        <f>$T27-$U27</f>
        <v>-35160.821722164343</v>
      </c>
      <c r="Y27" s="17">
        <v>3.4000000000000002E-2</v>
      </c>
      <c r="Z27" s="67">
        <f t="shared" si="1"/>
        <v>6</v>
      </c>
      <c r="AA27" s="20">
        <f t="shared" si="2"/>
        <v>64</v>
      </c>
      <c r="AB27" s="17">
        <f t="shared" si="0"/>
        <v>11600</v>
      </c>
      <c r="AC27" s="70">
        <f>ROUNDUP(LOG($AA$7/AB27*($E$7/100)+1,(($E$7/100)+1))-1,0)</f>
        <v>4</v>
      </c>
      <c r="AD27" s="65"/>
    </row>
    <row r="28" spans="3:30" x14ac:dyDescent="0.4">
      <c r="P28" s="17">
        <v>15</v>
      </c>
      <c r="Q28" s="54">
        <f>$Q27*(100+$E$7)/100</f>
        <v>162741.23258324663</v>
      </c>
      <c r="R28" s="46">
        <f>$Q28*$S$9/100</f>
        <v>48822.369774973988</v>
      </c>
      <c r="S28" s="46">
        <f>$Q28*$S$10/100</f>
        <v>65096.493033298655</v>
      </c>
      <c r="T28" s="46">
        <f t="shared" si="3"/>
        <v>494304.83494146727</v>
      </c>
      <c r="U28" s="46">
        <f>$U27+$S28</f>
        <v>545739.77992195624</v>
      </c>
      <c r="V28" s="73">
        <f>$T28-$U28</f>
        <v>-51434.944980488974</v>
      </c>
      <c r="Y28" s="17">
        <v>3.5999999999999997E-2</v>
      </c>
      <c r="Z28" s="67">
        <f t="shared" si="1"/>
        <v>4</v>
      </c>
      <c r="AA28" s="20">
        <f t="shared" si="2"/>
        <v>66</v>
      </c>
      <c r="AB28" s="17">
        <f t="shared" si="0"/>
        <v>12400</v>
      </c>
      <c r="AC28" s="70">
        <f>ROUNDUP(LOG($AA$7/AB28*($E$7/100)+1,(($E$7/100)+1))-1,0)</f>
        <v>3</v>
      </c>
      <c r="AD28" s="65"/>
    </row>
    <row r="29" spans="3:30" x14ac:dyDescent="0.4">
      <c r="P29" s="17">
        <v>16</v>
      </c>
      <c r="Q29" s="54">
        <f>$Q28*(100+$E$7)/100</f>
        <v>187152.41747073364</v>
      </c>
      <c r="R29" s="46">
        <f>$Q29*$S$9/100</f>
        <v>56145.725241220091</v>
      </c>
      <c r="S29" s="46">
        <f>$Q29*$S$10/100</f>
        <v>74860.966988293454</v>
      </c>
      <c r="T29" s="46">
        <f t="shared" si="3"/>
        <v>550450.56018268736</v>
      </c>
      <c r="U29" s="46">
        <f>$U28+$S29</f>
        <v>620600.7469102497</v>
      </c>
      <c r="V29" s="73">
        <f>$T29-$U29</f>
        <v>-70150.186727562337</v>
      </c>
      <c r="Y29" s="17">
        <v>3.7999999999999999E-2</v>
      </c>
      <c r="Z29" s="67">
        <f t="shared" si="1"/>
        <v>2</v>
      </c>
      <c r="AA29" s="20">
        <f t="shared" si="2"/>
        <v>68</v>
      </c>
      <c r="AB29" s="17">
        <f t="shared" si="0"/>
        <v>13200</v>
      </c>
      <c r="AC29" s="70">
        <f>ROUNDUP(LOG($AA$7/AB29*($E$7/100)+1,(($E$7/100)+1))-1,0)</f>
        <v>3</v>
      </c>
      <c r="AD29" s="65"/>
    </row>
    <row r="30" spans="3:30" x14ac:dyDescent="0.4">
      <c r="P30" s="17">
        <v>17</v>
      </c>
      <c r="Q30" s="54">
        <f>$Q29*(100+$E$7)/100</f>
        <v>215225.28009134368</v>
      </c>
      <c r="R30" s="46">
        <f>$Q30*$S$9/100</f>
        <v>64567.584027403107</v>
      </c>
      <c r="S30" s="46">
        <f>$Q30*$S$10/100</f>
        <v>86090.112036537466</v>
      </c>
      <c r="T30" s="46">
        <f t="shared" si="3"/>
        <v>615018.14421009051</v>
      </c>
      <c r="U30" s="46">
        <f>$U29+$S30</f>
        <v>706690.85894678719</v>
      </c>
      <c r="V30" s="73">
        <f>$T30-$U30</f>
        <v>-91672.714736696682</v>
      </c>
      <c r="Y30" s="18">
        <v>0.04</v>
      </c>
      <c r="Z30" s="66">
        <f t="shared" si="1"/>
        <v>0</v>
      </c>
      <c r="AA30" s="18">
        <f t="shared" si="2"/>
        <v>70</v>
      </c>
      <c r="AB30" s="18">
        <f t="shared" si="0"/>
        <v>14000</v>
      </c>
      <c r="AC30" s="71">
        <f>ROUNDUP(LOG($AA$7/AB30*($E$7/100)+1,(($E$7/100)+1))-1,0)</f>
        <v>3</v>
      </c>
      <c r="AD30" s="66"/>
    </row>
    <row r="31" spans="3:30" x14ac:dyDescent="0.4">
      <c r="P31" s="17">
        <v>18</v>
      </c>
      <c r="Q31" s="54">
        <f>$Q30*(100+$E$7)/100</f>
        <v>247509.07210504526</v>
      </c>
      <c r="R31" s="46">
        <f>$Q31*$S$9/100</f>
        <v>74252.721631513574</v>
      </c>
      <c r="S31" s="46">
        <f>$Q31*$S$10/100</f>
        <v>99003.628842018094</v>
      </c>
      <c r="T31" s="46">
        <f t="shared" si="3"/>
        <v>689270.86584160407</v>
      </c>
      <c r="U31" s="46">
        <f>$U30+$S31</f>
        <v>805694.48778880527</v>
      </c>
      <c r="V31" s="73">
        <f>$T31-$U31</f>
        <v>-116423.6219472012</v>
      </c>
    </row>
    <row r="32" spans="3:30" x14ac:dyDescent="0.4">
      <c r="P32" s="56">
        <v>19</v>
      </c>
      <c r="Q32" s="57">
        <f>$Q31*(100+$E$7)/100</f>
        <v>284635.43292080204</v>
      </c>
      <c r="R32" s="58">
        <f>$Q32*$S$9/100</f>
        <v>85390.629876240608</v>
      </c>
      <c r="S32" s="58">
        <f>$Q32*$S$10/100</f>
        <v>113854.17316832081</v>
      </c>
      <c r="T32" s="58">
        <f t="shared" si="3"/>
        <v>774661.49571784469</v>
      </c>
      <c r="U32" s="58">
        <f>$U31+$S32</f>
        <v>919548.66095712606</v>
      </c>
      <c r="V32" s="74">
        <f>$T32-$U32</f>
        <v>-144887.16523928137</v>
      </c>
    </row>
    <row r="33" spans="16:30" x14ac:dyDescent="0.4">
      <c r="P33" s="59">
        <v>20</v>
      </c>
      <c r="Q33" s="60">
        <f>$Q32*(100+$E$7)/100</f>
        <v>327330.74785892235</v>
      </c>
      <c r="R33" s="61">
        <f t="shared" ref="R33:R35" si="4">$Q33*$S$9/100</f>
        <v>98199.224357676707</v>
      </c>
      <c r="S33" s="61">
        <f t="shared" ref="S33:S35" si="5">$Q33*$S$10/100</f>
        <v>130932.29914356895</v>
      </c>
      <c r="T33" s="61">
        <f t="shared" ref="T33:T35" si="6">$T32+$R33</f>
        <v>872860.72007552139</v>
      </c>
      <c r="U33" s="61">
        <f t="shared" ref="U33:U35" si="7">$U32+$S33</f>
        <v>1050480.960100695</v>
      </c>
      <c r="V33" s="75">
        <f t="shared" ref="V33:V35" si="8">$T33-$U33</f>
        <v>-177620.24002517364</v>
      </c>
      <c r="Y33" s="22" t="s">
        <v>92</v>
      </c>
    </row>
    <row r="34" spans="16:30" x14ac:dyDescent="0.4">
      <c r="P34" s="59">
        <v>21</v>
      </c>
      <c r="Q34" s="60">
        <f>$Q33*(100+$E$7)/100</f>
        <v>376430.36003776075</v>
      </c>
      <c r="R34" s="61">
        <f t="shared" si="4"/>
        <v>112929.10801132822</v>
      </c>
      <c r="S34" s="61">
        <f t="shared" si="5"/>
        <v>150572.14401510431</v>
      </c>
      <c r="T34" s="61">
        <f t="shared" si="6"/>
        <v>985789.82808684965</v>
      </c>
      <c r="U34" s="61">
        <f t="shared" si="7"/>
        <v>1201053.1041157993</v>
      </c>
      <c r="V34" s="75">
        <f t="shared" si="8"/>
        <v>-215263.27602894965</v>
      </c>
      <c r="Y34" s="1" t="s">
        <v>55</v>
      </c>
    </row>
    <row r="35" spans="16:30" x14ac:dyDescent="0.4">
      <c r="P35" s="62">
        <v>22</v>
      </c>
      <c r="Q35" s="63">
        <f>$Q34*(100+$E$7)/100</f>
        <v>432894.91404342488</v>
      </c>
      <c r="R35" s="64">
        <f t="shared" si="4"/>
        <v>129868.47421302747</v>
      </c>
      <c r="S35" s="64">
        <f t="shared" si="5"/>
        <v>173157.96561736995</v>
      </c>
      <c r="T35" s="64">
        <f t="shared" si="6"/>
        <v>1115658.3022998772</v>
      </c>
      <c r="U35" s="64">
        <f t="shared" si="7"/>
        <v>1374211.0697331692</v>
      </c>
      <c r="V35" s="76">
        <f t="shared" si="8"/>
        <v>-258552.767433292</v>
      </c>
      <c r="Y35" s="1" t="s">
        <v>91</v>
      </c>
    </row>
    <row r="36" spans="16:30" x14ac:dyDescent="0.4">
      <c r="Z36" s="24" t="s">
        <v>78</v>
      </c>
      <c r="AA36" s="37">
        <f>$E$13-$E$14</f>
        <v>60000</v>
      </c>
      <c r="AB36" s="1" t="s">
        <v>33</v>
      </c>
    </row>
    <row r="37" spans="16:30" x14ac:dyDescent="0.4">
      <c r="Z37" s="24" t="s">
        <v>90</v>
      </c>
      <c r="AA37" s="1">
        <v>2000</v>
      </c>
      <c r="AB37" s="1" t="s">
        <v>66</v>
      </c>
    </row>
    <row r="38" spans="16:30" x14ac:dyDescent="0.4">
      <c r="Y38" s="29" t="s">
        <v>75</v>
      </c>
      <c r="Z38" s="51" t="s">
        <v>79</v>
      </c>
      <c r="AA38" s="29" t="s">
        <v>80</v>
      </c>
      <c r="AB38" s="29" t="s">
        <v>87</v>
      </c>
      <c r="AC38" s="29" t="s">
        <v>86</v>
      </c>
      <c r="AD38" s="68" t="s">
        <v>27</v>
      </c>
    </row>
    <row r="39" spans="16:30" x14ac:dyDescent="0.4">
      <c r="Y39" s="50" t="s">
        <v>84</v>
      </c>
      <c r="Z39" s="52" t="s">
        <v>22</v>
      </c>
      <c r="AA39" s="50" t="s">
        <v>22</v>
      </c>
      <c r="AB39" s="50" t="s">
        <v>33</v>
      </c>
      <c r="AC39" s="50" t="s">
        <v>82</v>
      </c>
      <c r="AD39" s="66"/>
    </row>
    <row r="40" spans="16:30" x14ac:dyDescent="0.4">
      <c r="Y40" s="20">
        <v>1E-3</v>
      </c>
      <c r="Z40" s="67">
        <f>$E$8-(Y40*$AA$37)</f>
        <v>38</v>
      </c>
      <c r="AA40" s="20">
        <f>$E$9+(Y40*$AA$37)</f>
        <v>32</v>
      </c>
      <c r="AB40" s="20">
        <f t="shared" ref="AB40:AB43" si="9">$E$6*(AA40-Z40)/100</f>
        <v>-1200</v>
      </c>
      <c r="AC40" s="69" t="e">
        <f>ROUNDUP(LOG($AA$7/AB40*($E$7/100)+1,(($E$7/100)+1))-1,0)</f>
        <v>#NUM!</v>
      </c>
      <c r="AD40" s="67" t="s">
        <v>85</v>
      </c>
    </row>
    <row r="41" spans="16:30" x14ac:dyDescent="0.4">
      <c r="Y41" s="17">
        <v>2E-3</v>
      </c>
      <c r="Z41" s="67">
        <f t="shared" ref="Z41:Z59" si="10">$E$8-(Y41*$AA$37)</f>
        <v>36</v>
      </c>
      <c r="AA41" s="20">
        <f t="shared" ref="AA41:AA59" si="11">$E$9+(Y41*$AA$37)</f>
        <v>34</v>
      </c>
      <c r="AB41" s="17">
        <f t="shared" si="9"/>
        <v>-400</v>
      </c>
      <c r="AC41" s="70" t="e">
        <f>ROUNDUP(LOG($AA$7/AB41*($E$7/100)+1,(($E$7/100)+1))-1,0)</f>
        <v>#NUM!</v>
      </c>
      <c r="AD41" s="65"/>
    </row>
    <row r="42" spans="16:30" x14ac:dyDescent="0.4">
      <c r="Y42" s="20">
        <v>3.0000000000000001E-3</v>
      </c>
      <c r="Z42" s="67">
        <f t="shared" si="10"/>
        <v>34</v>
      </c>
      <c r="AA42" s="20">
        <f t="shared" si="11"/>
        <v>36</v>
      </c>
      <c r="AB42" s="17">
        <f t="shared" si="9"/>
        <v>400</v>
      </c>
      <c r="AC42" s="70">
        <f>ROUNDUP(LOG($AA$7/AB42*($E$7/100)+1,(($E$7/100)+1))-1,0)</f>
        <v>22</v>
      </c>
      <c r="AD42" s="65"/>
    </row>
    <row r="43" spans="16:30" x14ac:dyDescent="0.4">
      <c r="Y43" s="17">
        <v>4.0000000000000001E-3</v>
      </c>
      <c r="Z43" s="67">
        <f t="shared" si="10"/>
        <v>32</v>
      </c>
      <c r="AA43" s="20">
        <f t="shared" si="11"/>
        <v>38</v>
      </c>
      <c r="AB43" s="17">
        <f t="shared" si="9"/>
        <v>1200</v>
      </c>
      <c r="AC43" s="70">
        <f>ROUNDUP(LOG($AA$7/AB43*($E$7/100)+1,(($E$7/100)+1))-1,0)</f>
        <v>15</v>
      </c>
      <c r="AD43" s="65"/>
    </row>
    <row r="44" spans="16:30" x14ac:dyDescent="0.4">
      <c r="Y44" s="20">
        <v>5.0000000000000001E-3</v>
      </c>
      <c r="Z44" s="67">
        <f t="shared" si="10"/>
        <v>30</v>
      </c>
      <c r="AA44" s="20">
        <f t="shared" si="11"/>
        <v>40</v>
      </c>
      <c r="AB44" s="17">
        <f>$E$6*(AA44-Z44)/100</f>
        <v>2000</v>
      </c>
      <c r="AC44" s="70">
        <f>ROUNDUP(LOG($AA$7/AB44*($E$7/100)+1,(($E$7/100)+1))-1,0)</f>
        <v>12</v>
      </c>
      <c r="AD44" s="65" t="s">
        <v>77</v>
      </c>
    </row>
    <row r="45" spans="16:30" x14ac:dyDescent="0.4">
      <c r="Y45" s="17">
        <v>6.0000000000000001E-3</v>
      </c>
      <c r="Z45" s="67">
        <f t="shared" si="10"/>
        <v>28</v>
      </c>
      <c r="AA45" s="20">
        <f t="shared" ref="AA45:AA59" si="12">$E$9+(Y45*$AA$37)</f>
        <v>42</v>
      </c>
      <c r="AB45" s="17">
        <f t="shared" ref="AB45:AB59" si="13">$E$6*(AA45-Z45)/100</f>
        <v>2800</v>
      </c>
      <c r="AC45" s="70">
        <f t="shared" ref="AC45:AC59" si="14">ROUNDUP(LOG($AA$7/AB45*($E$7/100)+1,(($E$7/100)+1))-1,0)</f>
        <v>10</v>
      </c>
      <c r="AD45" s="65"/>
    </row>
    <row r="46" spans="16:30" x14ac:dyDescent="0.4">
      <c r="Y46" s="20">
        <v>7.0000000000000001E-3</v>
      </c>
      <c r="Z46" s="67">
        <f t="shared" si="10"/>
        <v>26</v>
      </c>
      <c r="AA46" s="20">
        <f t="shared" si="12"/>
        <v>44</v>
      </c>
      <c r="AB46" s="17">
        <f t="shared" si="13"/>
        <v>3600</v>
      </c>
      <c r="AC46" s="70">
        <f t="shared" si="14"/>
        <v>8</v>
      </c>
      <c r="AD46" s="65"/>
    </row>
    <row r="47" spans="16:30" x14ac:dyDescent="0.4">
      <c r="Y47" s="17">
        <v>8.0000000000000002E-3</v>
      </c>
      <c r="Z47" s="67">
        <f t="shared" si="10"/>
        <v>24</v>
      </c>
      <c r="AA47" s="20">
        <f t="shared" si="12"/>
        <v>46</v>
      </c>
      <c r="AB47" s="17">
        <f t="shared" si="13"/>
        <v>4400</v>
      </c>
      <c r="AC47" s="70">
        <f t="shared" si="14"/>
        <v>7</v>
      </c>
      <c r="AD47" s="65"/>
    </row>
    <row r="48" spans="16:30" x14ac:dyDescent="0.4">
      <c r="Y48" s="20">
        <v>8.9999999999999993E-3</v>
      </c>
      <c r="Z48" s="67">
        <f t="shared" si="10"/>
        <v>22</v>
      </c>
      <c r="AA48" s="20">
        <f t="shared" si="12"/>
        <v>48</v>
      </c>
      <c r="AB48" s="17">
        <f t="shared" si="13"/>
        <v>5200</v>
      </c>
      <c r="AC48" s="70">
        <f t="shared" si="14"/>
        <v>7</v>
      </c>
      <c r="AD48" s="65"/>
    </row>
    <row r="49" spans="25:30" x14ac:dyDescent="0.4">
      <c r="Y49" s="17">
        <v>0.01</v>
      </c>
      <c r="Z49" s="67">
        <f t="shared" si="10"/>
        <v>20</v>
      </c>
      <c r="AA49" s="20">
        <f t="shared" si="12"/>
        <v>50</v>
      </c>
      <c r="AB49" s="17">
        <f t="shared" si="13"/>
        <v>6000</v>
      </c>
      <c r="AC49" s="70">
        <f t="shared" si="14"/>
        <v>6</v>
      </c>
      <c r="AD49" s="65"/>
    </row>
    <row r="50" spans="25:30" x14ac:dyDescent="0.4">
      <c r="Y50" s="20">
        <v>1.0999999999999999E-2</v>
      </c>
      <c r="Z50" s="67">
        <f t="shared" si="10"/>
        <v>18</v>
      </c>
      <c r="AA50" s="20">
        <f t="shared" si="12"/>
        <v>52</v>
      </c>
      <c r="AB50" s="17">
        <f t="shared" si="13"/>
        <v>6800</v>
      </c>
      <c r="AC50" s="70">
        <f t="shared" si="14"/>
        <v>6</v>
      </c>
      <c r="AD50" s="65"/>
    </row>
    <row r="51" spans="25:30" x14ac:dyDescent="0.4">
      <c r="Y51" s="17">
        <v>1.2E-2</v>
      </c>
      <c r="Z51" s="67">
        <f t="shared" si="10"/>
        <v>16</v>
      </c>
      <c r="AA51" s="20">
        <f t="shared" si="12"/>
        <v>54</v>
      </c>
      <c r="AB51" s="17">
        <f t="shared" si="13"/>
        <v>7600</v>
      </c>
      <c r="AC51" s="70">
        <f t="shared" si="14"/>
        <v>5</v>
      </c>
      <c r="AD51" s="65"/>
    </row>
    <row r="52" spans="25:30" x14ac:dyDescent="0.4">
      <c r="Y52" s="20">
        <v>1.2999999999999999E-2</v>
      </c>
      <c r="Z52" s="67">
        <f t="shared" si="10"/>
        <v>14</v>
      </c>
      <c r="AA52" s="20">
        <f t="shared" si="12"/>
        <v>56</v>
      </c>
      <c r="AB52" s="17">
        <f t="shared" si="13"/>
        <v>8400</v>
      </c>
      <c r="AC52" s="70">
        <f t="shared" si="14"/>
        <v>5</v>
      </c>
      <c r="AD52" s="65"/>
    </row>
    <row r="53" spans="25:30" x14ac:dyDescent="0.4">
      <c r="Y53" s="17">
        <v>1.4E-2</v>
      </c>
      <c r="Z53" s="67">
        <f t="shared" si="10"/>
        <v>12</v>
      </c>
      <c r="AA53" s="20">
        <f t="shared" si="12"/>
        <v>58</v>
      </c>
      <c r="AB53" s="17">
        <f t="shared" si="13"/>
        <v>9200</v>
      </c>
      <c r="AC53" s="70">
        <f t="shared" si="14"/>
        <v>4</v>
      </c>
      <c r="AD53" s="65"/>
    </row>
    <row r="54" spans="25:30" x14ac:dyDescent="0.4">
      <c r="Y54" s="20">
        <v>1.4999999999999999E-2</v>
      </c>
      <c r="Z54" s="67">
        <f t="shared" si="10"/>
        <v>10</v>
      </c>
      <c r="AA54" s="20">
        <f t="shared" si="12"/>
        <v>60</v>
      </c>
      <c r="AB54" s="17">
        <f t="shared" si="13"/>
        <v>10000</v>
      </c>
      <c r="AC54" s="70">
        <f t="shared" si="14"/>
        <v>4</v>
      </c>
      <c r="AD54" s="65"/>
    </row>
    <row r="55" spans="25:30" x14ac:dyDescent="0.4">
      <c r="Y55" s="17">
        <v>1.6E-2</v>
      </c>
      <c r="Z55" s="67">
        <f t="shared" si="10"/>
        <v>8</v>
      </c>
      <c r="AA55" s="20">
        <f t="shared" si="12"/>
        <v>62</v>
      </c>
      <c r="AB55" s="17">
        <f t="shared" si="13"/>
        <v>10800</v>
      </c>
      <c r="AC55" s="70">
        <f t="shared" si="14"/>
        <v>4</v>
      </c>
      <c r="AD55" s="65"/>
    </row>
    <row r="56" spans="25:30" x14ac:dyDescent="0.4">
      <c r="Y56" s="20">
        <v>1.7000000000000001E-2</v>
      </c>
      <c r="Z56" s="67">
        <f t="shared" si="10"/>
        <v>6</v>
      </c>
      <c r="AA56" s="20">
        <f t="shared" si="12"/>
        <v>64</v>
      </c>
      <c r="AB56" s="17">
        <f t="shared" si="13"/>
        <v>11600</v>
      </c>
      <c r="AC56" s="70">
        <f t="shared" si="14"/>
        <v>4</v>
      </c>
      <c r="AD56" s="65"/>
    </row>
    <row r="57" spans="25:30" x14ac:dyDescent="0.4">
      <c r="Y57" s="17">
        <v>1.7999999999999999E-2</v>
      </c>
      <c r="Z57" s="67">
        <f t="shared" si="10"/>
        <v>4</v>
      </c>
      <c r="AA57" s="20">
        <f t="shared" si="12"/>
        <v>66</v>
      </c>
      <c r="AB57" s="17">
        <f t="shared" si="13"/>
        <v>12400</v>
      </c>
      <c r="AC57" s="70">
        <f t="shared" si="14"/>
        <v>3</v>
      </c>
      <c r="AD57" s="65"/>
    </row>
    <row r="58" spans="25:30" x14ac:dyDescent="0.4">
      <c r="Y58" s="20">
        <v>1.9E-2</v>
      </c>
      <c r="Z58" s="67">
        <f t="shared" si="10"/>
        <v>2</v>
      </c>
      <c r="AA58" s="20">
        <f t="shared" si="12"/>
        <v>68</v>
      </c>
      <c r="AB58" s="17">
        <f t="shared" si="13"/>
        <v>13200</v>
      </c>
      <c r="AC58" s="70">
        <f t="shared" si="14"/>
        <v>3</v>
      </c>
      <c r="AD58" s="65"/>
    </row>
    <row r="59" spans="25:30" x14ac:dyDescent="0.4">
      <c r="Y59" s="97">
        <v>0.02</v>
      </c>
      <c r="Z59" s="66">
        <f t="shared" si="10"/>
        <v>0</v>
      </c>
      <c r="AA59" s="18">
        <f t="shared" si="12"/>
        <v>70</v>
      </c>
      <c r="AB59" s="18">
        <f t="shared" si="13"/>
        <v>14000</v>
      </c>
      <c r="AC59" s="98">
        <f t="shared" si="14"/>
        <v>3</v>
      </c>
      <c r="AD59" s="66"/>
    </row>
    <row r="62" spans="25:30" x14ac:dyDescent="0.4">
      <c r="Y62" s="22" t="s">
        <v>93</v>
      </c>
    </row>
    <row r="63" spans="25:30" x14ac:dyDescent="0.4">
      <c r="Y63" s="1" t="s">
        <v>55</v>
      </c>
    </row>
    <row r="64" spans="25:30" x14ac:dyDescent="0.4">
      <c r="Y64" s="1" t="s">
        <v>94</v>
      </c>
    </row>
    <row r="65" spans="25:30" x14ac:dyDescent="0.4">
      <c r="Z65" s="24" t="s">
        <v>78</v>
      </c>
      <c r="AA65" s="37">
        <f>$E$13-$E$14</f>
        <v>60000</v>
      </c>
      <c r="AB65" s="1" t="s">
        <v>33</v>
      </c>
    </row>
    <row r="66" spans="25:30" x14ac:dyDescent="0.4">
      <c r="Z66" s="24" t="s">
        <v>90</v>
      </c>
      <c r="AA66" s="1">
        <v>3000</v>
      </c>
      <c r="AB66" s="1" t="s">
        <v>66</v>
      </c>
    </row>
    <row r="67" spans="25:30" x14ac:dyDescent="0.4">
      <c r="Y67" s="29" t="s">
        <v>75</v>
      </c>
      <c r="Z67" s="51" t="s">
        <v>79</v>
      </c>
      <c r="AA67" s="29" t="s">
        <v>80</v>
      </c>
      <c r="AB67" s="29" t="s">
        <v>87</v>
      </c>
      <c r="AC67" s="29" t="s">
        <v>86</v>
      </c>
      <c r="AD67" s="68" t="s">
        <v>27</v>
      </c>
    </row>
    <row r="68" spans="25:30" x14ac:dyDescent="0.4">
      <c r="Y68" s="50" t="s">
        <v>84</v>
      </c>
      <c r="Z68" s="52" t="s">
        <v>22</v>
      </c>
      <c r="AA68" s="50" t="s">
        <v>22</v>
      </c>
      <c r="AB68" s="50" t="s">
        <v>33</v>
      </c>
      <c r="AC68" s="50" t="s">
        <v>82</v>
      </c>
      <c r="AD68" s="66"/>
    </row>
    <row r="69" spans="25:30" x14ac:dyDescent="0.4">
      <c r="Y69" s="20">
        <v>2E-3</v>
      </c>
      <c r="Z69" s="67">
        <f>$E$8-(Y69*$AA$66)</f>
        <v>34</v>
      </c>
      <c r="AA69" s="20">
        <f>$E$9+(Y69*$AA$66)</f>
        <v>36</v>
      </c>
      <c r="AB69" s="20">
        <f>$E$6*(AA69-Z69)/100</f>
        <v>400</v>
      </c>
      <c r="AC69" s="69">
        <f>ROUNDUP(LOG($AA$7/AB69*($E$7/100)+1,(($E$7/100)+1))-1,0)</f>
        <v>22</v>
      </c>
      <c r="AD69" s="67" t="s">
        <v>95</v>
      </c>
    </row>
    <row r="70" spans="25:30" x14ac:dyDescent="0.4">
      <c r="Y70" s="17">
        <v>4.0000000000000001E-3</v>
      </c>
      <c r="Z70" s="67">
        <f>$E$8-(Y70*$AA$66)</f>
        <v>28</v>
      </c>
      <c r="AA70" s="20">
        <f>$E$9+(Y70*$AA$66)</f>
        <v>42</v>
      </c>
      <c r="AB70" s="17">
        <f t="shared" ref="AB70:AB72" si="15">$E$6*(AA70-Z70)/100</f>
        <v>2800</v>
      </c>
      <c r="AC70" s="70">
        <f>ROUNDUP(LOG($AA$7/AB70*($E$7/100)+1,(($E$7/100)+1))-1,0)</f>
        <v>10</v>
      </c>
      <c r="AD70" s="65"/>
    </row>
    <row r="71" spans="25:30" x14ac:dyDescent="0.4">
      <c r="Y71" s="17">
        <v>6.0000000000000001E-3</v>
      </c>
      <c r="Z71" s="67">
        <f>$E$8-(Y71*$AA$66)</f>
        <v>22</v>
      </c>
      <c r="AA71" s="20">
        <f>$E$9+(Y71*$AA$66)</f>
        <v>48</v>
      </c>
      <c r="AB71" s="17">
        <f t="shared" si="15"/>
        <v>5200</v>
      </c>
      <c r="AC71" s="70">
        <f>ROUNDUP(LOG($AA$7/AB71*($E$7/100)+1,(($E$7/100)+1))-1,0)</f>
        <v>7</v>
      </c>
      <c r="AD71" s="65"/>
    </row>
    <row r="72" spans="25:30" x14ac:dyDescent="0.4">
      <c r="Y72" s="17">
        <v>8.0000000000000002E-3</v>
      </c>
      <c r="Z72" s="67">
        <f>$E$8-(Y72*$AA$66)</f>
        <v>16</v>
      </c>
      <c r="AA72" s="20">
        <f>$E$9+(Y72*$AA$66)</f>
        <v>54</v>
      </c>
      <c r="AB72" s="17">
        <f t="shared" si="15"/>
        <v>7600</v>
      </c>
      <c r="AC72" s="70">
        <f>ROUNDUP(LOG($AA$7/AB72*($E$7/100)+1,(($E$7/100)+1))-1,0)</f>
        <v>5</v>
      </c>
      <c r="AD72" s="65"/>
    </row>
    <row r="73" spans="25:30" x14ac:dyDescent="0.4">
      <c r="Y73" s="17">
        <v>0.01</v>
      </c>
      <c r="Z73" s="67">
        <f>$E$8-(Y73*$AA$66)</f>
        <v>10</v>
      </c>
      <c r="AA73" s="20">
        <f>$E$9+(Y73*$AA$66)</f>
        <v>60</v>
      </c>
      <c r="AB73" s="17">
        <f>$E$6*(AA73-Z73)/100</f>
        <v>10000</v>
      </c>
      <c r="AC73" s="70">
        <f>ROUNDUP(LOG($AA$7/AB73*($E$7/100)+1,(($E$7/100)+1))-1,0)</f>
        <v>4</v>
      </c>
      <c r="AD73" s="65" t="s">
        <v>77</v>
      </c>
    </row>
    <row r="74" spans="25:30" x14ac:dyDescent="0.4">
      <c r="Y74" s="17">
        <v>1.2E-2</v>
      </c>
      <c r="Z74" s="67">
        <f>$E$8-(Y74*$AA$66)</f>
        <v>4</v>
      </c>
      <c r="AA74" s="20">
        <f>$E$9+(Y74*$AA$66)</f>
        <v>66</v>
      </c>
      <c r="AB74" s="17">
        <f t="shared" ref="AB74:AB75" si="16">$E$6*(AA74-Z74)/100</f>
        <v>12400</v>
      </c>
      <c r="AC74" s="70">
        <f>ROUNDUP(LOG($AA$7/AB74*($E$7/100)+1,(($E$7/100)+1))-1,0)</f>
        <v>3</v>
      </c>
      <c r="AD74" s="65"/>
    </row>
    <row r="75" spans="25:30" x14ac:dyDescent="0.4">
      <c r="Y75" s="18">
        <v>1.4E-2</v>
      </c>
      <c r="Z75" s="66">
        <f>$E$8-(Y75*$AA$66)</f>
        <v>-2</v>
      </c>
      <c r="AA75" s="18">
        <f>$E$9+(Y75*$AA$66)</f>
        <v>72</v>
      </c>
      <c r="AB75" s="18">
        <f t="shared" si="16"/>
        <v>14800</v>
      </c>
      <c r="AC75" s="71">
        <f>ROUNDUP(LOG($AA$7/AB75*($E$7/100)+1,(($E$7/100)+1))-1,0)</f>
        <v>3</v>
      </c>
      <c r="AD75" s="66"/>
    </row>
    <row r="78" spans="25:30" x14ac:dyDescent="0.4">
      <c r="Y78" s="22" t="s">
        <v>96</v>
      </c>
    </row>
    <row r="79" spans="25:30" x14ac:dyDescent="0.4">
      <c r="Y79" s="1" t="s">
        <v>55</v>
      </c>
    </row>
    <row r="80" spans="25:30" x14ac:dyDescent="0.4">
      <c r="Y80" s="1" t="s">
        <v>94</v>
      </c>
    </row>
    <row r="81" spans="25:30" x14ac:dyDescent="0.4">
      <c r="Z81" s="24" t="s">
        <v>78</v>
      </c>
      <c r="AA81" s="37">
        <f>$E$13-$E$14</f>
        <v>60000</v>
      </c>
      <c r="AB81" s="1" t="s">
        <v>33</v>
      </c>
    </row>
    <row r="82" spans="25:30" x14ac:dyDescent="0.4">
      <c r="Z82" s="24" t="s">
        <v>90</v>
      </c>
      <c r="AA82" s="1">
        <v>700</v>
      </c>
      <c r="AB82" s="1" t="s">
        <v>66</v>
      </c>
    </row>
    <row r="83" spans="25:30" x14ac:dyDescent="0.4">
      <c r="Y83" s="29" t="s">
        <v>75</v>
      </c>
      <c r="Z83" s="51" t="s">
        <v>79</v>
      </c>
      <c r="AA83" s="29" t="s">
        <v>80</v>
      </c>
      <c r="AB83" s="29" t="s">
        <v>87</v>
      </c>
      <c r="AC83" s="29" t="s">
        <v>86</v>
      </c>
      <c r="AD83" s="68" t="s">
        <v>27</v>
      </c>
    </row>
    <row r="84" spans="25:30" x14ac:dyDescent="0.4">
      <c r="Y84" s="50" t="s">
        <v>84</v>
      </c>
      <c r="Z84" s="52" t="s">
        <v>22</v>
      </c>
      <c r="AA84" s="50" t="s">
        <v>22</v>
      </c>
      <c r="AB84" s="50" t="s">
        <v>33</v>
      </c>
      <c r="AC84" s="50" t="s">
        <v>82</v>
      </c>
      <c r="AD84" s="66"/>
    </row>
    <row r="85" spans="25:30" x14ac:dyDescent="0.4">
      <c r="Y85" s="20">
        <v>2E-3</v>
      </c>
      <c r="Z85" s="67">
        <f>$E$8-(Y85*$AA$82)</f>
        <v>38.6</v>
      </c>
      <c r="AA85" s="20">
        <f>$E$9+(Y85*$AA$82)</f>
        <v>31.4</v>
      </c>
      <c r="AB85" s="20">
        <f>$E$6*(AA85-Z85)/100</f>
        <v>-1440.0000000000007</v>
      </c>
      <c r="AC85" s="69" t="e">
        <f>ROUNDUP(LOG($AA$7/AB85*($E$7/100)+1,(($E$7/100)+1))-1,0)</f>
        <v>#NUM!</v>
      </c>
      <c r="AD85" s="67" t="s">
        <v>85</v>
      </c>
    </row>
    <row r="86" spans="25:30" x14ac:dyDescent="0.4">
      <c r="Y86" s="17">
        <v>4.0000000000000001E-3</v>
      </c>
      <c r="Z86" s="67">
        <f>$E$8-(Y86*$AA$82)</f>
        <v>37.200000000000003</v>
      </c>
      <c r="AA86" s="20">
        <f>$E$9+(Y86*$AA$82)</f>
        <v>32.799999999999997</v>
      </c>
      <c r="AB86" s="20">
        <f t="shared" ref="AB86:AB109" si="17">$E$6*(AA86-Z86)/100</f>
        <v>-880.00000000000114</v>
      </c>
      <c r="AC86" s="69" t="e">
        <f t="shared" ref="AC86:AC109" si="18">ROUNDUP(LOG($AA$7/AB86*($E$7/100)+1,(($E$7/100)+1))-1,0)</f>
        <v>#NUM!</v>
      </c>
      <c r="AD86" s="65" t="s">
        <v>85</v>
      </c>
    </row>
    <row r="87" spans="25:30" x14ac:dyDescent="0.4">
      <c r="Y87" s="17">
        <v>6.0000000000000001E-3</v>
      </c>
      <c r="Z87" s="67">
        <f>$E$8-(Y87*$AA$82)</f>
        <v>35.799999999999997</v>
      </c>
      <c r="AA87" s="20">
        <f>$E$9+(Y87*$AA$82)</f>
        <v>34.200000000000003</v>
      </c>
      <c r="AB87" s="20">
        <f t="shared" si="17"/>
        <v>-319.99999999999886</v>
      </c>
      <c r="AC87" s="69" t="e">
        <f t="shared" si="18"/>
        <v>#NUM!</v>
      </c>
      <c r="AD87" s="65" t="s">
        <v>85</v>
      </c>
    </row>
    <row r="88" spans="25:30" x14ac:dyDescent="0.4">
      <c r="Y88" s="17">
        <v>8.0000000000000002E-3</v>
      </c>
      <c r="Z88" s="67">
        <f>$E$8-(Y88*$AA$82)</f>
        <v>34.4</v>
      </c>
      <c r="AA88" s="20">
        <f>$E$9+(Y88*$AA$82)</f>
        <v>35.6</v>
      </c>
      <c r="AB88" s="20">
        <f t="shared" si="17"/>
        <v>240.00000000000057</v>
      </c>
      <c r="AC88" s="69">
        <f t="shared" si="18"/>
        <v>26</v>
      </c>
      <c r="AD88" s="65"/>
    </row>
    <row r="89" spans="25:30" x14ac:dyDescent="0.4">
      <c r="Y89" s="17">
        <v>0.01</v>
      </c>
      <c r="Z89" s="67">
        <f>$E$8-(Y89*$AA$82)</f>
        <v>33</v>
      </c>
      <c r="AA89" s="20">
        <f>$E$9+(Y89*$AA$82)</f>
        <v>37</v>
      </c>
      <c r="AB89" s="20">
        <f t="shared" si="17"/>
        <v>800</v>
      </c>
      <c r="AC89" s="69">
        <f t="shared" si="18"/>
        <v>17</v>
      </c>
      <c r="AD89" s="65" t="s">
        <v>77</v>
      </c>
    </row>
    <row r="90" spans="25:30" x14ac:dyDescent="0.4">
      <c r="Y90" s="17">
        <v>1.2E-2</v>
      </c>
      <c r="Z90" s="67">
        <f>$E$8-(Y90*$AA$82)</f>
        <v>31.6</v>
      </c>
      <c r="AA90" s="20">
        <f>$E$9+(Y90*$AA$82)</f>
        <v>38.4</v>
      </c>
      <c r="AB90" s="20">
        <f t="shared" si="17"/>
        <v>1359.9999999999993</v>
      </c>
      <c r="AC90" s="69">
        <f t="shared" si="18"/>
        <v>14</v>
      </c>
      <c r="AD90" s="65"/>
    </row>
    <row r="91" spans="25:30" x14ac:dyDescent="0.4">
      <c r="Y91" s="17">
        <v>1.4E-2</v>
      </c>
      <c r="Z91" s="67">
        <f>$E$8-(Y91*$AA$82)</f>
        <v>30.2</v>
      </c>
      <c r="AA91" s="20">
        <f>$E$9+(Y91*$AA$82)</f>
        <v>39.799999999999997</v>
      </c>
      <c r="AB91" s="20">
        <f t="shared" si="17"/>
        <v>1919.9999999999998</v>
      </c>
      <c r="AC91" s="69">
        <f t="shared" si="18"/>
        <v>12</v>
      </c>
      <c r="AD91" s="65"/>
    </row>
    <row r="92" spans="25:30" x14ac:dyDescent="0.4">
      <c r="Y92" s="17">
        <v>1.6E-2</v>
      </c>
      <c r="Z92" s="67">
        <f>$E$8-(Y92*$AA$82)</f>
        <v>28.799999999999997</v>
      </c>
      <c r="AA92" s="20">
        <f>$E$9+(Y92*$AA$82)</f>
        <v>41.2</v>
      </c>
      <c r="AB92" s="20">
        <f t="shared" si="17"/>
        <v>2480.0000000000014</v>
      </c>
      <c r="AC92" s="69">
        <f t="shared" si="18"/>
        <v>10</v>
      </c>
      <c r="AD92" s="65"/>
    </row>
    <row r="93" spans="25:30" x14ac:dyDescent="0.4">
      <c r="Y93" s="17">
        <v>1.7999999999999999E-2</v>
      </c>
      <c r="Z93" s="67">
        <f>$E$8-(Y93*$AA$82)</f>
        <v>27.4</v>
      </c>
      <c r="AA93" s="20">
        <f>$E$9+(Y93*$AA$82)</f>
        <v>42.6</v>
      </c>
      <c r="AB93" s="20">
        <f t="shared" si="17"/>
        <v>3040.0000000000005</v>
      </c>
      <c r="AC93" s="69">
        <f t="shared" si="18"/>
        <v>9</v>
      </c>
      <c r="AD93" s="65"/>
    </row>
    <row r="94" spans="25:30" x14ac:dyDescent="0.4">
      <c r="Y94" s="17">
        <v>0.02</v>
      </c>
      <c r="Z94" s="67">
        <f>$E$8-(Y94*$AA$82)</f>
        <v>26</v>
      </c>
      <c r="AA94" s="20">
        <f>$E$9+(Y94*$AA$82)</f>
        <v>44</v>
      </c>
      <c r="AB94" s="20">
        <f t="shared" si="17"/>
        <v>3600</v>
      </c>
      <c r="AC94" s="69">
        <f t="shared" si="18"/>
        <v>8</v>
      </c>
      <c r="AD94" s="65"/>
    </row>
    <row r="95" spans="25:30" x14ac:dyDescent="0.4">
      <c r="Y95" s="17">
        <v>2.1999999999999999E-2</v>
      </c>
      <c r="Z95" s="67">
        <f>$E$8-(Y95*$AA$82)</f>
        <v>24.6</v>
      </c>
      <c r="AA95" s="20">
        <f>$E$9+(Y95*$AA$82)</f>
        <v>45.4</v>
      </c>
      <c r="AB95" s="20">
        <f t="shared" si="17"/>
        <v>4159.9999999999991</v>
      </c>
      <c r="AC95" s="69">
        <f t="shared" si="18"/>
        <v>8</v>
      </c>
      <c r="AD95" s="65"/>
    </row>
    <row r="96" spans="25:30" x14ac:dyDescent="0.4">
      <c r="Y96" s="17">
        <v>2.4E-2</v>
      </c>
      <c r="Z96" s="67">
        <f>$E$8-(Y96*$AA$82)</f>
        <v>23.2</v>
      </c>
      <c r="AA96" s="20">
        <f>$E$9+(Y96*$AA$82)</f>
        <v>46.8</v>
      </c>
      <c r="AB96" s="20">
        <f t="shared" si="17"/>
        <v>4719.9999999999991</v>
      </c>
      <c r="AC96" s="69">
        <f t="shared" si="18"/>
        <v>7</v>
      </c>
      <c r="AD96" s="65"/>
    </row>
    <row r="97" spans="25:30" x14ac:dyDescent="0.4">
      <c r="Y97" s="17">
        <v>2.5999999999999999E-2</v>
      </c>
      <c r="Z97" s="67">
        <f>$E$8-(Y97*$AA$82)</f>
        <v>21.8</v>
      </c>
      <c r="AA97" s="20">
        <f>$E$9+(Y97*$AA$82)</f>
        <v>48.2</v>
      </c>
      <c r="AB97" s="20">
        <f t="shared" si="17"/>
        <v>5280</v>
      </c>
      <c r="AC97" s="69">
        <f t="shared" si="18"/>
        <v>7</v>
      </c>
      <c r="AD97" s="65"/>
    </row>
    <row r="98" spans="25:30" x14ac:dyDescent="0.4">
      <c r="Y98" s="17">
        <v>2.8000000000000001E-2</v>
      </c>
      <c r="Z98" s="67">
        <f>$E$8-(Y98*$AA$82)</f>
        <v>20.399999999999999</v>
      </c>
      <c r="AA98" s="20">
        <f>$E$9+(Y98*$AA$82)</f>
        <v>49.6</v>
      </c>
      <c r="AB98" s="20">
        <f t="shared" si="17"/>
        <v>5840</v>
      </c>
      <c r="AC98" s="69">
        <f t="shared" si="18"/>
        <v>6</v>
      </c>
      <c r="AD98" s="65"/>
    </row>
    <row r="99" spans="25:30" x14ac:dyDescent="0.4">
      <c r="Y99" s="17">
        <v>0.03</v>
      </c>
      <c r="Z99" s="67">
        <f>$E$8-(Y99*$AA$82)</f>
        <v>19</v>
      </c>
      <c r="AA99" s="20">
        <f>$E$9+(Y99*$AA$82)</f>
        <v>51</v>
      </c>
      <c r="AB99" s="20">
        <f t="shared" si="17"/>
        <v>6400</v>
      </c>
      <c r="AC99" s="69">
        <f t="shared" si="18"/>
        <v>6</v>
      </c>
      <c r="AD99" s="65"/>
    </row>
    <row r="100" spans="25:30" x14ac:dyDescent="0.4">
      <c r="Y100" s="17">
        <v>3.2000000000000001E-2</v>
      </c>
      <c r="Z100" s="67">
        <f>$E$8-(Y100*$AA$82)</f>
        <v>17.599999999999998</v>
      </c>
      <c r="AA100" s="20">
        <f>$E$9+(Y100*$AA$82)</f>
        <v>52.400000000000006</v>
      </c>
      <c r="AB100" s="20">
        <f t="shared" si="17"/>
        <v>6960.0000000000027</v>
      </c>
      <c r="AC100" s="69">
        <f t="shared" si="18"/>
        <v>5</v>
      </c>
      <c r="AD100" s="65"/>
    </row>
    <row r="101" spans="25:30" x14ac:dyDescent="0.4">
      <c r="Y101" s="17">
        <v>3.4000000000000002E-2</v>
      </c>
      <c r="Z101" s="67">
        <f>$E$8-(Y101*$AA$82)</f>
        <v>16.2</v>
      </c>
      <c r="AA101" s="20">
        <f>$E$9+(Y101*$AA$82)</f>
        <v>53.8</v>
      </c>
      <c r="AB101" s="20">
        <f t="shared" si="17"/>
        <v>7519.9999999999991</v>
      </c>
      <c r="AC101" s="69">
        <f t="shared" si="18"/>
        <v>5</v>
      </c>
      <c r="AD101" s="65"/>
    </row>
    <row r="102" spans="25:30" x14ac:dyDescent="0.4">
      <c r="Y102" s="17">
        <v>3.5999999999999997E-2</v>
      </c>
      <c r="Z102" s="67">
        <f>$E$8-(Y102*$AA$82)</f>
        <v>14.8</v>
      </c>
      <c r="AA102" s="20">
        <f>$E$9+(Y102*$AA$82)</f>
        <v>55.2</v>
      </c>
      <c r="AB102" s="20">
        <f t="shared" si="17"/>
        <v>8080.0000000000009</v>
      </c>
      <c r="AC102" s="69">
        <f t="shared" si="18"/>
        <v>5</v>
      </c>
      <c r="AD102" s="65"/>
    </row>
    <row r="103" spans="25:30" x14ac:dyDescent="0.4">
      <c r="Y103" s="17">
        <v>3.7999999999999999E-2</v>
      </c>
      <c r="Z103" s="67">
        <f>$E$8-(Y103*$AA$82)</f>
        <v>13.400000000000002</v>
      </c>
      <c r="AA103" s="20">
        <f>$E$9+(Y103*$AA$82)</f>
        <v>56.599999999999994</v>
      </c>
      <c r="AB103" s="20">
        <f t="shared" si="17"/>
        <v>8639.9999999999982</v>
      </c>
      <c r="AC103" s="69">
        <f t="shared" si="18"/>
        <v>5</v>
      </c>
      <c r="AD103" s="65"/>
    </row>
    <row r="104" spans="25:30" x14ac:dyDescent="0.4">
      <c r="Y104" s="17">
        <v>0.04</v>
      </c>
      <c r="Z104" s="67">
        <f>$E$8-(Y104*$AA$82)</f>
        <v>12</v>
      </c>
      <c r="AA104" s="20">
        <f>$E$9+(Y104*$AA$82)</f>
        <v>58</v>
      </c>
      <c r="AB104" s="20">
        <f t="shared" si="17"/>
        <v>9200</v>
      </c>
      <c r="AC104" s="69">
        <f t="shared" si="18"/>
        <v>4</v>
      </c>
      <c r="AD104" s="65"/>
    </row>
    <row r="105" spans="25:30" x14ac:dyDescent="0.4">
      <c r="Y105" s="17">
        <v>4.2000000000000003E-2</v>
      </c>
      <c r="Z105" s="67">
        <f>$E$8-(Y105*$AA$82)</f>
        <v>10.599999999999998</v>
      </c>
      <c r="AA105" s="20">
        <f>$E$9+(Y105*$AA$82)</f>
        <v>59.400000000000006</v>
      </c>
      <c r="AB105" s="20">
        <f t="shared" si="17"/>
        <v>9760.0000000000018</v>
      </c>
      <c r="AC105" s="69">
        <f t="shared" si="18"/>
        <v>4</v>
      </c>
      <c r="AD105" s="65"/>
    </row>
    <row r="106" spans="25:30" x14ac:dyDescent="0.4">
      <c r="Y106" s="17">
        <v>4.3999999999999997E-2</v>
      </c>
      <c r="Z106" s="67">
        <f>$E$8-(Y106*$AA$82)</f>
        <v>9.2000000000000028</v>
      </c>
      <c r="AA106" s="20">
        <f>$E$9+(Y106*$AA$82)</f>
        <v>60.8</v>
      </c>
      <c r="AB106" s="20">
        <f t="shared" si="17"/>
        <v>10319.999999999998</v>
      </c>
      <c r="AC106" s="69">
        <f t="shared" si="18"/>
        <v>4</v>
      </c>
      <c r="AD106" s="65"/>
    </row>
    <row r="107" spans="25:30" x14ac:dyDescent="0.4">
      <c r="Y107" s="17">
        <v>4.5999999999999999E-2</v>
      </c>
      <c r="Z107" s="67">
        <f>$E$8-(Y107*$AA$82)</f>
        <v>7.7999999999999972</v>
      </c>
      <c r="AA107" s="20">
        <f>$E$9+(Y107*$AA$82)</f>
        <v>62.2</v>
      </c>
      <c r="AB107" s="20">
        <f t="shared" si="17"/>
        <v>10880</v>
      </c>
      <c r="AC107" s="69">
        <f t="shared" si="18"/>
        <v>4</v>
      </c>
      <c r="AD107" s="65"/>
    </row>
    <row r="108" spans="25:30" x14ac:dyDescent="0.4">
      <c r="Y108" s="17">
        <v>4.8000000000000001E-2</v>
      </c>
      <c r="Z108" s="67">
        <f>$E$8-(Y108*$AA$82)</f>
        <v>6.3999999999999986</v>
      </c>
      <c r="AA108" s="20">
        <f>$E$9+(Y108*$AA$82)</f>
        <v>63.6</v>
      </c>
      <c r="AB108" s="20">
        <f t="shared" si="17"/>
        <v>11440</v>
      </c>
      <c r="AC108" s="69">
        <f t="shared" si="18"/>
        <v>4</v>
      </c>
      <c r="AD108" s="65"/>
    </row>
    <row r="109" spans="25:30" x14ac:dyDescent="0.4">
      <c r="Y109" s="18">
        <v>0.05</v>
      </c>
      <c r="Z109" s="66">
        <f>$E$8-(Y109*$AA$82)</f>
        <v>5</v>
      </c>
      <c r="AA109" s="18">
        <f>$E$9+(Y109*$AA$82)</f>
        <v>65</v>
      </c>
      <c r="AB109" s="18">
        <f t="shared" si="17"/>
        <v>12000</v>
      </c>
      <c r="AC109" s="71">
        <f t="shared" si="18"/>
        <v>4</v>
      </c>
      <c r="AD109" s="66"/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9D52-CBD2-449D-8DC6-8923EA55802B}">
  <dimension ref="C8:H13"/>
  <sheetViews>
    <sheetView workbookViewId="0">
      <selection activeCell="C8" sqref="C8:H13"/>
    </sheetView>
  </sheetViews>
  <sheetFormatPr defaultRowHeight="18.75" x14ac:dyDescent="0.4"/>
  <cols>
    <col min="2" max="2" width="16.5" customWidth="1"/>
    <col min="3" max="3" width="2.625" customWidth="1"/>
    <col min="4" max="4" width="17.5" customWidth="1"/>
    <col min="5" max="5" width="4.375" customWidth="1"/>
    <col min="8" max="8" width="2.625" customWidth="1"/>
  </cols>
  <sheetData>
    <row r="8" spans="3:8" x14ac:dyDescent="0.4">
      <c r="C8" s="21"/>
      <c r="D8" s="81" t="s">
        <v>53</v>
      </c>
      <c r="E8" s="81"/>
      <c r="F8" s="82" t="s">
        <v>88</v>
      </c>
      <c r="G8" s="83" t="s">
        <v>89</v>
      </c>
      <c r="H8" s="21"/>
    </row>
    <row r="9" spans="3:8" x14ac:dyDescent="0.4">
      <c r="C9" s="20"/>
      <c r="D9" s="84" t="s">
        <v>50</v>
      </c>
      <c r="E9" s="94" t="s">
        <v>66</v>
      </c>
      <c r="F9" s="85">
        <v>16000</v>
      </c>
      <c r="G9" s="86">
        <v>16000</v>
      </c>
      <c r="H9" s="20"/>
    </row>
    <row r="10" spans="3:8" x14ac:dyDescent="0.4">
      <c r="C10" s="17"/>
      <c r="D10" s="87" t="s">
        <v>35</v>
      </c>
      <c r="E10" s="95" t="s">
        <v>33</v>
      </c>
      <c r="F10" s="88">
        <v>160000</v>
      </c>
      <c r="G10" s="89">
        <v>100000</v>
      </c>
      <c r="H10" s="17"/>
    </row>
    <row r="11" spans="3:8" x14ac:dyDescent="0.4">
      <c r="C11" s="17"/>
      <c r="D11" s="87" t="s">
        <v>36</v>
      </c>
      <c r="E11" s="95" t="s">
        <v>66</v>
      </c>
      <c r="F11" s="90">
        <v>9604</v>
      </c>
      <c r="G11" s="89">
        <v>12231.69993406339</v>
      </c>
      <c r="H11" s="17"/>
    </row>
    <row r="12" spans="3:8" x14ac:dyDescent="0.4">
      <c r="C12" s="17"/>
      <c r="D12" s="87" t="s">
        <v>51</v>
      </c>
      <c r="E12" s="95" t="s">
        <v>66</v>
      </c>
      <c r="F12" s="90">
        <v>3000</v>
      </c>
      <c r="G12" s="89">
        <v>3000</v>
      </c>
      <c r="H12" s="17"/>
    </row>
    <row r="13" spans="3:8" x14ac:dyDescent="0.4">
      <c r="C13" s="18"/>
      <c r="D13" s="91" t="s">
        <v>52</v>
      </c>
      <c r="E13" s="96" t="s">
        <v>66</v>
      </c>
      <c r="F13" s="92">
        <f>F9-F11-F12</f>
        <v>3396</v>
      </c>
      <c r="G13" s="93">
        <v>768.30006593660983</v>
      </c>
      <c r="H13" s="18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3.4_BCG</vt:lpstr>
      <vt:lpstr>3.7_エクスペリエンスカーブ</vt:lpstr>
      <vt:lpstr>パワポ貼り付け用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ishowaseda</dc:creator>
  <cp:lastModifiedBy>ishowaseda</cp:lastModifiedBy>
  <dcterms:created xsi:type="dcterms:W3CDTF">2026-04-15T11:06:39Z</dcterms:created>
  <dcterms:modified xsi:type="dcterms:W3CDTF">2026-04-19T06:21:30Z</dcterms:modified>
</cp:coreProperties>
</file>